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aisSpb\"/>
    </mc:Choice>
  </mc:AlternateContent>
  <xr:revisionPtr revIDLastSave="0" documentId="13_ncr:1_{F152FA3E-97F6-48B2-B193-D63882B3201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  <sheet name="Лист1" sheetId="11" r:id="rId11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_xlnm._FilterDatabase" localSheetId="10" hidden="1">Лист1!$A$1:$C$150</definedName>
    <definedName name="AdidasCountriesCodes">Manufactures!$CK$3:$CK$11</definedName>
    <definedName name="AdidasManufactures">Manufactures!$CK:$CM</definedName>
    <definedName name="AisCountriesCodes">Manufactures!$DI$3:$DI$11</definedName>
    <definedName name="AisManufactures">Manufactures!$DI:$DK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Settings!$L$2:$L$30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36" i="1" l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Y10" i="1"/>
  <c r="AY9" i="1"/>
  <c r="AY8" i="1"/>
  <c r="AY7" i="1"/>
  <c r="AY6" i="1"/>
  <c r="AY5" i="1"/>
  <c r="AY4" i="1"/>
  <c r="AY3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T36" i="1"/>
  <c r="AT35" i="1"/>
  <c r="BA35" i="1" s="1"/>
  <c r="AT34" i="1"/>
  <c r="AZ34" i="1" s="1"/>
  <c r="AT33" i="1"/>
  <c r="AZ33" i="1" s="1"/>
  <c r="AT32" i="1"/>
  <c r="AZ32" i="1" s="1"/>
  <c r="AT31" i="1"/>
  <c r="AT30" i="1"/>
  <c r="AZ30" i="1" s="1"/>
  <c r="AT29" i="1"/>
  <c r="AT28" i="1"/>
  <c r="AT27" i="1"/>
  <c r="BA27" i="1" s="1"/>
  <c r="AT26" i="1"/>
  <c r="AZ26" i="1" s="1"/>
  <c r="AT25" i="1"/>
  <c r="AZ25" i="1" s="1"/>
  <c r="AT24" i="1"/>
  <c r="AZ24" i="1" s="1"/>
  <c r="AT23" i="1"/>
  <c r="AT22" i="1"/>
  <c r="AZ22" i="1" s="1"/>
  <c r="AT21" i="1"/>
  <c r="AT20" i="1"/>
  <c r="AT19" i="1"/>
  <c r="BA19" i="1" s="1"/>
  <c r="AT18" i="1"/>
  <c r="AZ18" i="1" s="1"/>
  <c r="AT17" i="1"/>
  <c r="AZ17" i="1" s="1"/>
  <c r="AT16" i="1"/>
  <c r="AZ16" i="1" s="1"/>
  <c r="AT15" i="1"/>
  <c r="AT14" i="1"/>
  <c r="AZ14" i="1" s="1"/>
  <c r="AT13" i="1"/>
  <c r="AT12" i="1"/>
  <c r="AT11" i="1"/>
  <c r="BA11" i="1" s="1"/>
  <c r="AT10" i="1"/>
  <c r="AZ10" i="1" s="1"/>
  <c r="AT9" i="1"/>
  <c r="AZ9" i="1" s="1"/>
  <c r="AT8" i="1"/>
  <c r="AZ8" i="1" s="1"/>
  <c r="AT7" i="1"/>
  <c r="AT6" i="1"/>
  <c r="AZ6" i="1" s="1"/>
  <c r="AT5" i="1"/>
  <c r="AT4" i="1"/>
  <c r="AT3" i="1"/>
  <c r="BA3" i="1" s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BE2" i="1"/>
  <c r="AV6" i="1"/>
  <c r="AV10" i="1"/>
  <c r="AV13" i="1"/>
  <c r="AW4" i="1"/>
  <c r="AV12" i="1"/>
  <c r="AV36" i="1"/>
  <c r="AV30" i="1"/>
  <c r="AV22" i="1"/>
  <c r="AW35" i="1"/>
  <c r="AV34" i="1"/>
  <c r="AV5" i="1"/>
  <c r="AV11" i="1"/>
  <c r="AW32" i="1"/>
  <c r="AV28" i="1"/>
  <c r="AW16" i="1"/>
  <c r="AV19" i="1"/>
  <c r="AV14" i="1"/>
  <c r="AW15" i="1"/>
  <c r="AW25" i="1"/>
  <c r="AW19" i="1"/>
  <c r="AW18" i="1"/>
  <c r="AW28" i="1"/>
  <c r="AW8" i="1"/>
  <c r="AV17" i="1"/>
  <c r="AV35" i="1"/>
  <c r="AW31" i="1"/>
  <c r="AV33" i="1"/>
  <c r="AW33" i="1"/>
  <c r="AW13" i="1"/>
  <c r="AW17" i="1"/>
  <c r="AW26" i="1"/>
  <c r="AV15" i="1"/>
  <c r="AW36" i="1"/>
  <c r="AV25" i="1"/>
  <c r="AW7" i="1"/>
  <c r="AV18" i="1"/>
  <c r="AV4" i="1"/>
  <c r="AW5" i="1"/>
  <c r="AW24" i="1"/>
  <c r="AW14" i="1"/>
  <c r="AW29" i="1"/>
  <c r="AW20" i="1"/>
  <c r="AW23" i="1"/>
  <c r="AV8" i="1"/>
  <c r="AW6" i="1"/>
  <c r="AV20" i="1"/>
  <c r="AW27" i="1"/>
  <c r="AW22" i="1"/>
  <c r="AW11" i="1"/>
  <c r="AV32" i="1"/>
  <c r="AV24" i="1"/>
  <c r="AW10" i="1"/>
  <c r="AW3" i="1"/>
  <c r="AV29" i="1"/>
  <c r="AW12" i="1"/>
  <c r="AV7" i="1"/>
  <c r="AW34" i="1"/>
  <c r="AV27" i="1"/>
  <c r="AV3" i="1"/>
  <c r="AW21" i="1"/>
  <c r="AV16" i="1"/>
  <c r="AV31" i="1"/>
  <c r="AV23" i="1"/>
  <c r="AW30" i="1"/>
  <c r="AW9" i="1"/>
  <c r="AV26" i="1"/>
  <c r="AV21" i="1"/>
  <c r="AV9" i="1"/>
  <c r="BA4" i="1" l="1"/>
  <c r="BA12" i="1"/>
  <c r="BA20" i="1"/>
  <c r="BA28" i="1"/>
  <c r="BA36" i="1"/>
  <c r="BA7" i="1"/>
  <c r="BA15" i="1"/>
  <c r="BA23" i="1"/>
  <c r="BA31" i="1"/>
  <c r="BA16" i="1"/>
  <c r="BA24" i="1"/>
  <c r="BA32" i="1"/>
  <c r="BA5" i="1"/>
  <c r="BA13" i="1"/>
  <c r="BA21" i="1"/>
  <c r="BA29" i="1"/>
  <c r="BA9" i="1"/>
  <c r="BA17" i="1"/>
  <c r="BA25" i="1"/>
  <c r="BA33" i="1"/>
  <c r="BA6" i="1"/>
  <c r="BA22" i="1"/>
  <c r="AZ11" i="1"/>
  <c r="BA8" i="1"/>
  <c r="BA30" i="1"/>
  <c r="BC8" i="1"/>
  <c r="BC16" i="1"/>
  <c r="BC24" i="1"/>
  <c r="BC32" i="1"/>
  <c r="BC9" i="1"/>
  <c r="BC17" i="1"/>
  <c r="BC25" i="1"/>
  <c r="BC33" i="1"/>
  <c r="AZ19" i="1"/>
  <c r="BA14" i="1"/>
  <c r="BC10" i="1"/>
  <c r="BC18" i="1"/>
  <c r="BC26" i="1"/>
  <c r="BC34" i="1"/>
  <c r="BC3" i="1"/>
  <c r="BC11" i="1"/>
  <c r="BC19" i="1"/>
  <c r="BC27" i="1"/>
  <c r="BC35" i="1"/>
  <c r="AZ27" i="1"/>
  <c r="BC4" i="1"/>
  <c r="BC12" i="1"/>
  <c r="BC20" i="1"/>
  <c r="BC28" i="1"/>
  <c r="BC36" i="1"/>
  <c r="BC5" i="1"/>
  <c r="BC13" i="1"/>
  <c r="BC21" i="1"/>
  <c r="BC29" i="1"/>
  <c r="AZ3" i="1"/>
  <c r="AZ35" i="1"/>
  <c r="BC6" i="1"/>
  <c r="BC14" i="1"/>
  <c r="BC22" i="1"/>
  <c r="BC30" i="1"/>
  <c r="BC7" i="1"/>
  <c r="BC15" i="1"/>
  <c r="BC23" i="1"/>
  <c r="BC31" i="1"/>
  <c r="AZ4" i="1"/>
  <c r="AZ12" i="1"/>
  <c r="AZ20" i="1"/>
  <c r="AZ28" i="1"/>
  <c r="AZ36" i="1"/>
  <c r="BA10" i="1"/>
  <c r="BA18" i="1"/>
  <c r="BA26" i="1"/>
  <c r="BA34" i="1"/>
  <c r="AZ5" i="1"/>
  <c r="AZ13" i="1"/>
  <c r="AZ21" i="1"/>
  <c r="AZ29" i="1"/>
  <c r="AZ7" i="1"/>
  <c r="AZ15" i="1"/>
  <c r="AZ23" i="1"/>
  <c r="AZ31" i="1"/>
  <c r="C3" i="11" l="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2" i="1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D38" i="4" l="1"/>
  <c r="D39" i="4"/>
  <c r="D40" i="4"/>
  <c r="D41" i="4"/>
  <c r="D42" i="4"/>
  <c r="D43" i="4"/>
  <c r="D44" i="4"/>
  <c r="D45" i="4"/>
  <c r="D46" i="4"/>
  <c r="D37" i="4" l="1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V6008" i="8" s="1"/>
  <c r="W6009" i="8"/>
  <c r="W6010" i="8"/>
  <c r="W6011" i="8"/>
  <c r="W6012" i="8"/>
  <c r="V6012" i="8" s="1"/>
  <c r="W6013" i="8"/>
  <c r="W6014" i="8"/>
  <c r="W6015" i="8"/>
  <c r="W6016" i="8"/>
  <c r="V6016" i="8" s="1"/>
  <c r="W6017" i="8"/>
  <c r="W6018" i="8"/>
  <c r="W6019" i="8"/>
  <c r="W6020" i="8"/>
  <c r="V6020" i="8" s="1"/>
  <c r="W6021" i="8"/>
  <c r="W6022" i="8"/>
  <c r="W6023" i="8"/>
  <c r="W6024" i="8"/>
  <c r="V6024" i="8" s="1"/>
  <c r="W6025" i="8"/>
  <c r="W6026" i="8"/>
  <c r="W6027" i="8"/>
  <c r="W6028" i="8"/>
  <c r="V6028" i="8" s="1"/>
  <c r="W6029" i="8"/>
  <c r="W6030" i="8"/>
  <c r="W6031" i="8"/>
  <c r="W6032" i="8"/>
  <c r="V6032" i="8" s="1"/>
  <c r="W6033" i="8"/>
  <c r="W6034" i="8"/>
  <c r="W6035" i="8"/>
  <c r="W6036" i="8"/>
  <c r="V6036" i="8" s="1"/>
  <c r="W6037" i="8"/>
  <c r="W6038" i="8"/>
  <c r="W6039" i="8"/>
  <c r="W6040" i="8"/>
  <c r="V6040" i="8" s="1"/>
  <c r="W6041" i="8"/>
  <c r="W6042" i="8"/>
  <c r="W6043" i="8"/>
  <c r="W6044" i="8"/>
  <c r="V6044" i="8" s="1"/>
  <c r="W6045" i="8"/>
  <c r="W6046" i="8"/>
  <c r="W6047" i="8"/>
  <c r="W6048" i="8"/>
  <c r="V6048" i="8" s="1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V6064" i="8" s="1"/>
  <c r="W6065" i="8"/>
  <c r="W6066" i="8"/>
  <c r="W6067" i="8"/>
  <c r="W6068" i="8"/>
  <c r="V6068" i="8" s="1"/>
  <c r="W6069" i="8"/>
  <c r="W6070" i="8"/>
  <c r="W6071" i="8"/>
  <c r="W6072" i="8"/>
  <c r="V6072" i="8" s="1"/>
  <c r="W6073" i="8"/>
  <c r="W6074" i="8"/>
  <c r="W6075" i="8"/>
  <c r="W6076" i="8"/>
  <c r="V6076" i="8" s="1"/>
  <c r="W6077" i="8"/>
  <c r="W6078" i="8"/>
  <c r="W6079" i="8"/>
  <c r="W6080" i="8"/>
  <c r="V6080" i="8" s="1"/>
  <c r="W6081" i="8"/>
  <c r="W6082" i="8"/>
  <c r="W6083" i="8"/>
  <c r="W6084" i="8"/>
  <c r="V6084" i="8" s="1"/>
  <c r="W6085" i="8"/>
  <c r="W6086" i="8"/>
  <c r="W6087" i="8"/>
  <c r="W6088" i="8"/>
  <c r="V6088" i="8" s="1"/>
  <c r="W6089" i="8"/>
  <c r="W6090" i="8"/>
  <c r="W6091" i="8"/>
  <c r="W6092" i="8"/>
  <c r="V6092" i="8" s="1"/>
  <c r="W6093" i="8"/>
  <c r="W6094" i="8"/>
  <c r="W6095" i="8"/>
  <c r="W6096" i="8"/>
  <c r="V6096" i="8" s="1"/>
  <c r="W6097" i="8"/>
  <c r="W6098" i="8"/>
  <c r="W6099" i="8"/>
  <c r="W6100" i="8"/>
  <c r="V6100" i="8" s="1"/>
  <c r="W6101" i="8"/>
  <c r="W6102" i="8"/>
  <c r="W6103" i="8"/>
  <c r="W6104" i="8"/>
  <c r="V6104" i="8" s="1"/>
  <c r="W6105" i="8"/>
  <c r="W6106" i="8"/>
  <c r="W6107" i="8"/>
  <c r="W6108" i="8"/>
  <c r="W6109" i="8"/>
  <c r="W6110" i="8"/>
  <c r="W6111" i="8"/>
  <c r="W6112" i="8"/>
  <c r="V6112" i="8" s="1"/>
  <c r="W6113" i="8"/>
  <c r="W6114" i="8"/>
  <c r="W6115" i="8"/>
  <c r="W6116" i="8"/>
  <c r="V6116" i="8" s="1"/>
  <c r="W6117" i="8"/>
  <c r="W6118" i="8"/>
  <c r="W6119" i="8"/>
  <c r="W6120" i="8"/>
  <c r="V6120" i="8" s="1"/>
  <c r="W6121" i="8"/>
  <c r="W6122" i="8"/>
  <c r="W6123" i="8"/>
  <c r="W6124" i="8"/>
  <c r="V6124" i="8" s="1"/>
  <c r="W6125" i="8"/>
  <c r="W6126" i="8"/>
  <c r="W6127" i="8"/>
  <c r="W6128" i="8"/>
  <c r="V6128" i="8" s="1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V6344" i="8" s="1"/>
  <c r="W6345" i="8"/>
  <c r="W6346" i="8"/>
  <c r="W6347" i="8"/>
  <c r="W6348" i="8"/>
  <c r="V6348" i="8" s="1"/>
  <c r="W6349" i="8"/>
  <c r="W6350" i="8"/>
  <c r="W6351" i="8"/>
  <c r="W6352" i="8"/>
  <c r="V6352" i="8" s="1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V6368" i="8" s="1"/>
  <c r="W6369" i="8"/>
  <c r="W6370" i="8"/>
  <c r="W6371" i="8"/>
  <c r="W6372" i="8"/>
  <c r="V6372" i="8" s="1"/>
  <c r="W6373" i="8"/>
  <c r="W6374" i="8"/>
  <c r="W6375" i="8"/>
  <c r="W6376" i="8"/>
  <c r="V6376" i="8" s="1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V6424" i="8" s="1"/>
  <c r="W6425" i="8"/>
  <c r="W6426" i="8"/>
  <c r="W6427" i="8"/>
  <c r="W6428" i="8"/>
  <c r="W6429" i="8"/>
  <c r="W6430" i="8"/>
  <c r="W6431" i="8"/>
  <c r="W6432" i="8"/>
  <c r="V6432" i="8" s="1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V6448" i="8" s="1"/>
  <c r="W6449" i="8"/>
  <c r="W6450" i="8"/>
  <c r="W6451" i="8"/>
  <c r="W6452" i="8"/>
  <c r="V6452" i="8" s="1"/>
  <c r="W6453" i="8"/>
  <c r="W6454" i="8"/>
  <c r="W6455" i="8"/>
  <c r="W6456" i="8"/>
  <c r="V6456" i="8" s="1"/>
  <c r="W6457" i="8"/>
  <c r="W6458" i="8"/>
  <c r="W6459" i="8"/>
  <c r="W6460" i="8"/>
  <c r="V6460" i="8" s="1"/>
  <c r="W6461" i="8"/>
  <c r="W6462" i="8"/>
  <c r="W6463" i="8"/>
  <c r="W6464" i="8"/>
  <c r="V6464" i="8" s="1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V6480" i="8" s="1"/>
  <c r="W6481" i="8"/>
  <c r="W6482" i="8"/>
  <c r="W6483" i="8"/>
  <c r="W6484" i="8"/>
  <c r="V6484" i="8" s="1"/>
  <c r="W6485" i="8"/>
  <c r="W6486" i="8"/>
  <c r="W6487" i="8"/>
  <c r="W6488" i="8"/>
  <c r="V6488" i="8" s="1"/>
  <c r="W6489" i="8"/>
  <c r="W6490" i="8"/>
  <c r="W6491" i="8"/>
  <c r="W6492" i="8"/>
  <c r="W6493" i="8"/>
  <c r="W6494" i="8"/>
  <c r="W6495" i="8"/>
  <c r="W6496" i="8"/>
  <c r="V6496" i="8" s="1"/>
  <c r="W6497" i="8"/>
  <c r="W6498" i="8"/>
  <c r="W6499" i="8"/>
  <c r="W6500" i="8"/>
  <c r="V6500" i="8" s="1"/>
  <c r="W6501" i="8"/>
  <c r="W6502" i="8"/>
  <c r="W6503" i="8"/>
  <c r="W6504" i="8"/>
  <c r="V6504" i="8" s="1"/>
  <c r="W6505" i="8"/>
  <c r="W6506" i="8"/>
  <c r="W6507" i="8"/>
  <c r="W6508" i="8"/>
  <c r="V6508" i="8" s="1"/>
  <c r="W6509" i="8"/>
  <c r="W6510" i="8"/>
  <c r="W6511" i="8"/>
  <c r="W6512" i="8"/>
  <c r="V6512" i="8" s="1"/>
  <c r="W6513" i="8"/>
  <c r="W6514" i="8"/>
  <c r="W6515" i="8"/>
  <c r="W6516" i="8"/>
  <c r="V6516" i="8" s="1"/>
  <c r="W6517" i="8"/>
  <c r="W6518" i="8"/>
  <c r="W6519" i="8"/>
  <c r="W6520" i="8"/>
  <c r="V6520" i="8" s="1"/>
  <c r="W6521" i="8"/>
  <c r="W6522" i="8"/>
  <c r="W6523" i="8"/>
  <c r="W6524" i="8"/>
  <c r="V6524" i="8" s="1"/>
  <c r="W6525" i="8"/>
  <c r="W6526" i="8"/>
  <c r="W6527" i="8"/>
  <c r="W6528" i="8"/>
  <c r="V6528" i="8" s="1"/>
  <c r="W6529" i="8"/>
  <c r="W6530" i="8"/>
  <c r="W6531" i="8"/>
  <c r="W6532" i="8"/>
  <c r="V6532" i="8" s="1"/>
  <c r="W6533" i="8"/>
  <c r="W6534" i="8"/>
  <c r="W6535" i="8"/>
  <c r="W6536" i="8"/>
  <c r="V6536" i="8" s="1"/>
  <c r="W6537" i="8"/>
  <c r="W6538" i="8"/>
  <c r="W6539" i="8"/>
  <c r="W6540" i="8"/>
  <c r="V6540" i="8" s="1"/>
  <c r="W6541" i="8"/>
  <c r="W6542" i="8"/>
  <c r="W6543" i="8"/>
  <c r="W6544" i="8"/>
  <c r="V6544" i="8" s="1"/>
  <c r="W6545" i="8"/>
  <c r="W6546" i="8"/>
  <c r="W6547" i="8"/>
  <c r="W6548" i="8"/>
  <c r="W6549" i="8"/>
  <c r="W6550" i="8"/>
  <c r="W6551" i="8"/>
  <c r="W6552" i="8"/>
  <c r="V6552" i="8" s="1"/>
  <c r="W6553" i="8"/>
  <c r="W6554" i="8"/>
  <c r="W6555" i="8"/>
  <c r="W6556" i="8"/>
  <c r="V6556" i="8" s="1"/>
  <c r="W6557" i="8"/>
  <c r="W6558" i="8"/>
  <c r="W6559" i="8"/>
  <c r="W6560" i="8"/>
  <c r="V6560" i="8" s="1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V6576" i="8" s="1"/>
  <c r="W6577" i="8"/>
  <c r="W6578" i="8"/>
  <c r="W6579" i="8"/>
  <c r="W6580" i="8"/>
  <c r="V6580" i="8" s="1"/>
  <c r="W6581" i="8"/>
  <c r="W6582" i="8"/>
  <c r="W6583" i="8"/>
  <c r="W6584" i="8"/>
  <c r="V6584" i="8" s="1"/>
  <c r="W6585" i="8"/>
  <c r="W6586" i="8"/>
  <c r="W6587" i="8"/>
  <c r="W6588" i="8"/>
  <c r="V6588" i="8" s="1"/>
  <c r="W6589" i="8"/>
  <c r="W6590" i="8"/>
  <c r="W6591" i="8"/>
  <c r="W6592" i="8"/>
  <c r="V6592" i="8" s="1"/>
  <c r="W6593" i="8"/>
  <c r="W6594" i="8"/>
  <c r="W6595" i="8"/>
  <c r="W6596" i="8"/>
  <c r="V6596" i="8" s="1"/>
  <c r="W6597" i="8"/>
  <c r="W6598" i="8"/>
  <c r="W6599" i="8"/>
  <c r="W6600" i="8"/>
  <c r="V6600" i="8" s="1"/>
  <c r="W6601" i="8"/>
  <c r="W6602" i="8"/>
  <c r="W6603" i="8"/>
  <c r="W6604" i="8"/>
  <c r="V6604" i="8" s="1"/>
  <c r="W6605" i="8"/>
  <c r="W6606" i="8"/>
  <c r="W6607" i="8"/>
  <c r="W6608" i="8"/>
  <c r="V6608" i="8" s="1"/>
  <c r="W6609" i="8"/>
  <c r="W6610" i="8"/>
  <c r="W6611" i="8"/>
  <c r="W6612" i="8"/>
  <c r="V6612" i="8" s="1"/>
  <c r="W6613" i="8"/>
  <c r="W6614" i="8"/>
  <c r="W6615" i="8"/>
  <c r="W6616" i="8"/>
  <c r="V6616" i="8" s="1"/>
  <c r="W6617" i="8"/>
  <c r="W6618" i="8"/>
  <c r="W6619" i="8"/>
  <c r="W6620" i="8"/>
  <c r="V6620" i="8" s="1"/>
  <c r="W6621" i="8"/>
  <c r="W6622" i="8"/>
  <c r="W6623" i="8"/>
  <c r="W6624" i="8"/>
  <c r="V6624" i="8" s="1"/>
  <c r="W6625" i="8"/>
  <c r="W6626" i="8"/>
  <c r="W6627" i="8"/>
  <c r="W6628" i="8"/>
  <c r="V6628" i="8" s="1"/>
  <c r="W6629" i="8"/>
  <c r="W6630" i="8"/>
  <c r="W6631" i="8"/>
  <c r="W6632" i="8"/>
  <c r="V6632" i="8" s="1"/>
  <c r="W6633" i="8"/>
  <c r="W6634" i="8"/>
  <c r="W6635" i="8"/>
  <c r="W6636" i="8"/>
  <c r="V6636" i="8" s="1"/>
  <c r="W6637" i="8"/>
  <c r="W6638" i="8"/>
  <c r="W6639" i="8"/>
  <c r="W6640" i="8"/>
  <c r="V6640" i="8" s="1"/>
  <c r="W6641" i="8"/>
  <c r="W6642" i="8"/>
  <c r="W6643" i="8"/>
  <c r="W6644" i="8"/>
  <c r="V6644" i="8" s="1"/>
  <c r="W6645" i="8"/>
  <c r="W6646" i="8"/>
  <c r="W6647" i="8"/>
  <c r="W6648" i="8"/>
  <c r="V6648" i="8" s="1"/>
  <c r="W6649" i="8"/>
  <c r="W6650" i="8"/>
  <c r="W6651" i="8"/>
  <c r="W6652" i="8"/>
  <c r="V6652" i="8" s="1"/>
  <c r="W6653" i="8"/>
  <c r="W6654" i="8"/>
  <c r="W6655" i="8"/>
  <c r="W6656" i="8"/>
  <c r="V6656" i="8" s="1"/>
  <c r="W6657" i="8"/>
  <c r="W6658" i="8"/>
  <c r="W6659" i="8"/>
  <c r="W6660" i="8"/>
  <c r="V6660" i="8" s="1"/>
  <c r="W6661" i="8"/>
  <c r="W6662" i="8"/>
  <c r="W6663" i="8"/>
  <c r="W6664" i="8"/>
  <c r="V6664" i="8" s="1"/>
  <c r="W6665" i="8"/>
  <c r="W6666" i="8"/>
  <c r="W6667" i="8"/>
  <c r="W6668" i="8"/>
  <c r="V6668" i="8" s="1"/>
  <c r="W6669" i="8"/>
  <c r="W6670" i="8"/>
  <c r="W6671" i="8"/>
  <c r="W6672" i="8"/>
  <c r="V6672" i="8" s="1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V6688" i="8" s="1"/>
  <c r="W6689" i="8"/>
  <c r="W6690" i="8"/>
  <c r="W6691" i="8"/>
  <c r="W6692" i="8"/>
  <c r="V6692" i="8" s="1"/>
  <c r="W6693" i="8"/>
  <c r="W6694" i="8"/>
  <c r="W6695" i="8"/>
  <c r="W6696" i="8"/>
  <c r="V6696" i="8" s="1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V6712" i="8" s="1"/>
  <c r="W6713" i="8"/>
  <c r="W6714" i="8"/>
  <c r="W6715" i="8"/>
  <c r="W6716" i="8"/>
  <c r="V6716" i="8" s="1"/>
  <c r="W6717" i="8"/>
  <c r="W6718" i="8"/>
  <c r="W6719" i="8"/>
  <c r="W6720" i="8"/>
  <c r="V6720" i="8" s="1"/>
  <c r="W6721" i="8"/>
  <c r="W6722" i="8"/>
  <c r="W6723" i="8"/>
  <c r="W6724" i="8"/>
  <c r="V6724" i="8" s="1"/>
  <c r="W6725" i="8"/>
  <c r="W6726" i="8"/>
  <c r="W6727" i="8"/>
  <c r="W6728" i="8"/>
  <c r="V6728" i="8" s="1"/>
  <c r="W6729" i="8"/>
  <c r="W6730" i="8"/>
  <c r="W6731" i="8"/>
  <c r="W6732" i="8"/>
  <c r="W6733" i="8"/>
  <c r="W6734" i="8"/>
  <c r="W6735" i="8"/>
  <c r="W6736" i="8"/>
  <c r="V6736" i="8" s="1"/>
  <c r="W6737" i="8"/>
  <c r="W6738" i="8"/>
  <c r="W6739" i="8"/>
  <c r="W6740" i="8"/>
  <c r="V6740" i="8" s="1"/>
  <c r="W6741" i="8"/>
  <c r="W6742" i="8"/>
  <c r="W6743" i="8"/>
  <c r="W6744" i="8"/>
  <c r="V6744" i="8" s="1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V6760" i="8" s="1"/>
  <c r="W6761" i="8"/>
  <c r="W6762" i="8"/>
  <c r="W6763" i="8"/>
  <c r="W6764" i="8"/>
  <c r="V6764" i="8" s="1"/>
  <c r="W6765" i="8"/>
  <c r="W6766" i="8"/>
  <c r="W6767" i="8"/>
  <c r="W6768" i="8"/>
  <c r="V6768" i="8" s="1"/>
  <c r="W6769" i="8"/>
  <c r="W6770" i="8"/>
  <c r="W6771" i="8"/>
  <c r="W6772" i="8"/>
  <c r="V6772" i="8" s="1"/>
  <c r="W6773" i="8"/>
  <c r="W6774" i="8"/>
  <c r="W6775" i="8"/>
  <c r="W6776" i="8"/>
  <c r="V6776" i="8" s="1"/>
  <c r="W6777" i="8"/>
  <c r="W6778" i="8"/>
  <c r="W6779" i="8"/>
  <c r="W6780" i="8"/>
  <c r="V6780" i="8" s="1"/>
  <c r="W6781" i="8"/>
  <c r="W6782" i="8"/>
  <c r="W6783" i="8"/>
  <c r="W6784" i="8"/>
  <c r="V6784" i="8" s="1"/>
  <c r="W6785" i="8"/>
  <c r="W6786" i="8"/>
  <c r="W6787" i="8"/>
  <c r="W6788" i="8"/>
  <c r="V6788" i="8" s="1"/>
  <c r="W6789" i="8"/>
  <c r="W6790" i="8"/>
  <c r="W6791" i="8"/>
  <c r="W6792" i="8"/>
  <c r="V6792" i="8" s="1"/>
  <c r="W6793" i="8"/>
  <c r="V6793" i="8" s="1"/>
  <c r="W6794" i="8"/>
  <c r="W6795" i="8"/>
  <c r="W6796" i="8"/>
  <c r="V6796" i="8" s="1"/>
  <c r="W6797" i="8"/>
  <c r="W6798" i="8"/>
  <c r="W6799" i="8"/>
  <c r="W6800" i="8"/>
  <c r="V6800" i="8" s="1"/>
  <c r="W6801" i="8"/>
  <c r="W6802" i="8"/>
  <c r="W6803" i="8"/>
  <c r="W6804" i="8"/>
  <c r="V6804" i="8" s="1"/>
  <c r="W6805" i="8"/>
  <c r="W6806" i="8"/>
  <c r="W6807" i="8"/>
  <c r="W6808" i="8"/>
  <c r="V6808" i="8" s="1"/>
  <c r="W6809" i="8"/>
  <c r="W6810" i="8"/>
  <c r="W6811" i="8"/>
  <c r="W6812" i="8"/>
  <c r="V6812" i="8" s="1"/>
  <c r="W6813" i="8"/>
  <c r="V6813" i="8" s="1"/>
  <c r="W6814" i="8"/>
  <c r="W6815" i="8"/>
  <c r="W6816" i="8"/>
  <c r="V6816" i="8" s="1"/>
  <c r="W6817" i="8"/>
  <c r="W6818" i="8"/>
  <c r="W6819" i="8"/>
  <c r="W6820" i="8"/>
  <c r="W6821" i="8"/>
  <c r="V6821" i="8" s="1"/>
  <c r="W6822" i="8"/>
  <c r="W6823" i="8"/>
  <c r="W6824" i="8"/>
  <c r="V6824" i="8" s="1"/>
  <c r="W6825" i="8"/>
  <c r="W6826" i="8"/>
  <c r="W6827" i="8"/>
  <c r="W6828" i="8"/>
  <c r="V6828" i="8" s="1"/>
  <c r="W6829" i="8"/>
  <c r="W6830" i="8"/>
  <c r="W6831" i="8"/>
  <c r="W6832" i="8"/>
  <c r="V6832" i="8" s="1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V6840" i="8" s="1"/>
  <c r="W6841" i="8"/>
  <c r="W6842" i="8"/>
  <c r="W6843" i="8"/>
  <c r="W6844" i="8"/>
  <c r="V6844" i="8" s="1"/>
  <c r="W6845" i="8"/>
  <c r="W6846" i="8"/>
  <c r="W6847" i="8"/>
  <c r="W6848" i="8"/>
  <c r="V6848" i="8" s="1"/>
  <c r="W6849" i="8"/>
  <c r="W6850" i="8"/>
  <c r="W6851" i="8"/>
  <c r="W6852" i="8"/>
  <c r="V6852" i="8" s="1"/>
  <c r="W6853" i="8"/>
  <c r="W6854" i="8"/>
  <c r="W6855" i="8"/>
  <c r="W6856" i="8"/>
  <c r="V6856" i="8" s="1"/>
  <c r="W6857" i="8"/>
  <c r="W6858" i="8"/>
  <c r="W6859" i="8"/>
  <c r="W6860" i="8"/>
  <c r="V6860" i="8" s="1"/>
  <c r="W6861" i="8"/>
  <c r="W6862" i="8"/>
  <c r="W6863" i="8"/>
  <c r="W6864" i="8"/>
  <c r="V6864" i="8" s="1"/>
  <c r="W6865" i="8"/>
  <c r="W6866" i="8"/>
  <c r="W6867" i="8"/>
  <c r="W6868" i="8"/>
  <c r="W6869" i="8"/>
  <c r="V6869" i="8" s="1"/>
  <c r="W6870" i="8"/>
  <c r="W6871" i="8"/>
  <c r="W6872" i="8"/>
  <c r="V6872" i="8" s="1"/>
  <c r="W6873" i="8"/>
  <c r="W6874" i="8"/>
  <c r="W6875" i="8"/>
  <c r="W6876" i="8"/>
  <c r="V6876" i="8" s="1"/>
  <c r="W6877" i="8"/>
  <c r="W6878" i="8"/>
  <c r="W6879" i="8"/>
  <c r="W6880" i="8"/>
  <c r="V6880" i="8" s="1"/>
  <c r="W6881" i="8"/>
  <c r="V6881" i="8" s="1"/>
  <c r="W6882" i="8"/>
  <c r="W6883" i="8"/>
  <c r="W6884" i="8"/>
  <c r="V6884" i="8" s="1"/>
  <c r="W6885" i="8"/>
  <c r="W6886" i="8"/>
  <c r="W6887" i="8"/>
  <c r="W6888" i="8"/>
  <c r="V6888" i="8" s="1"/>
  <c r="W6889" i="8"/>
  <c r="W6890" i="8"/>
  <c r="W6891" i="8"/>
  <c r="W6892" i="8"/>
  <c r="V6892" i="8" s="1"/>
  <c r="W6893" i="8"/>
  <c r="V6893" i="8" s="1"/>
  <c r="W6894" i="8"/>
  <c r="W6895" i="8"/>
  <c r="W6896" i="8"/>
  <c r="V6896" i="8" s="1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V6912" i="8" s="1"/>
  <c r="W6913" i="8"/>
  <c r="W6914" i="8"/>
  <c r="W6915" i="8"/>
  <c r="W6916" i="8"/>
  <c r="V6916" i="8" s="1"/>
  <c r="W6917" i="8"/>
  <c r="W6918" i="8"/>
  <c r="W6919" i="8"/>
  <c r="W6920" i="8"/>
  <c r="V6920" i="8" s="1"/>
  <c r="W6921" i="8"/>
  <c r="W6922" i="8"/>
  <c r="W6923" i="8"/>
  <c r="W6924" i="8"/>
  <c r="V6924" i="8" s="1"/>
  <c r="W6925" i="8"/>
  <c r="V6925" i="8" s="1"/>
  <c r="W6926" i="8"/>
  <c r="W6927" i="8"/>
  <c r="W6928" i="8"/>
  <c r="V6928" i="8" s="1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V6944" i="8" s="1"/>
  <c r="W6945" i="8"/>
  <c r="W6946" i="8"/>
  <c r="W6947" i="8"/>
  <c r="W6948" i="8"/>
  <c r="W6949" i="8"/>
  <c r="V6949" i="8" s="1"/>
  <c r="W6950" i="8"/>
  <c r="W6951" i="8"/>
  <c r="W6952" i="8"/>
  <c r="V6952" i="8" s="1"/>
  <c r="W6953" i="8"/>
  <c r="W6954" i="8"/>
  <c r="W6955" i="8"/>
  <c r="W6956" i="8"/>
  <c r="V6956" i="8" s="1"/>
  <c r="W6957" i="8"/>
  <c r="V6957" i="8" s="1"/>
  <c r="W6958" i="8"/>
  <c r="W6959" i="8"/>
  <c r="W6960" i="8"/>
  <c r="V6960" i="8" s="1"/>
  <c r="W6961" i="8"/>
  <c r="W6962" i="8"/>
  <c r="W6963" i="8"/>
  <c r="W6964" i="8"/>
  <c r="V6964" i="8" s="1"/>
  <c r="W6965" i="8"/>
  <c r="W6966" i="8"/>
  <c r="W6967" i="8"/>
  <c r="W6968" i="8"/>
  <c r="V6968" i="8" s="1"/>
  <c r="W6969" i="8"/>
  <c r="V6969" i="8" s="1"/>
  <c r="W6970" i="8"/>
  <c r="W6971" i="8"/>
  <c r="W6972" i="8"/>
  <c r="V6972" i="8" s="1"/>
  <c r="W6973" i="8"/>
  <c r="W6974" i="8"/>
  <c r="W6975" i="8"/>
  <c r="W6976" i="8"/>
  <c r="V6976" i="8" s="1"/>
  <c r="W6977" i="8"/>
  <c r="W6978" i="8"/>
  <c r="W6979" i="8"/>
  <c r="W6980" i="8"/>
  <c r="V6980" i="8" s="1"/>
  <c r="W6981" i="8"/>
  <c r="V6981" i="8" s="1"/>
  <c r="W6982" i="8"/>
  <c r="W6983" i="8"/>
  <c r="W6984" i="8"/>
  <c r="V6984" i="8" s="1"/>
  <c r="W6985" i="8"/>
  <c r="W6986" i="8"/>
  <c r="W6987" i="8"/>
  <c r="W6988" i="8"/>
  <c r="W6989" i="8"/>
  <c r="W6990" i="8"/>
  <c r="W6991" i="8"/>
  <c r="W6992" i="8"/>
  <c r="V6992" i="8" s="1"/>
  <c r="W6993" i="8"/>
  <c r="W6994" i="8"/>
  <c r="W6995" i="8"/>
  <c r="W6996" i="8"/>
  <c r="V6996" i="8" s="1"/>
  <c r="W6997" i="8"/>
  <c r="V6997" i="8" s="1"/>
  <c r="W6998" i="8"/>
  <c r="W6999" i="8"/>
  <c r="W7000" i="8"/>
  <c r="V7000" i="8" s="1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V7016" i="8" s="1"/>
  <c r="W7017" i="8"/>
  <c r="W7018" i="8"/>
  <c r="W7019" i="8"/>
  <c r="W7020" i="8"/>
  <c r="V7020" i="8" s="1"/>
  <c r="W7021" i="8"/>
  <c r="W7022" i="8"/>
  <c r="W7023" i="8"/>
  <c r="W7024" i="8"/>
  <c r="V7024" i="8" s="1"/>
  <c r="W7025" i="8"/>
  <c r="W7026" i="8"/>
  <c r="W7027" i="8"/>
  <c r="W7028" i="8"/>
  <c r="W7029" i="8"/>
  <c r="W7030" i="8"/>
  <c r="W7031" i="8"/>
  <c r="W7032" i="8"/>
  <c r="V7032" i="8" s="1"/>
  <c r="W7033" i="8"/>
  <c r="W7034" i="8"/>
  <c r="W7035" i="8"/>
  <c r="W7036" i="8"/>
  <c r="V7036" i="8" s="1"/>
  <c r="W7037" i="8"/>
  <c r="V7037" i="8" s="1"/>
  <c r="W7038" i="8"/>
  <c r="W7039" i="8"/>
  <c r="W7040" i="8"/>
  <c r="V7040" i="8" s="1"/>
  <c r="W7041" i="8"/>
  <c r="V7041" i="8" s="1"/>
  <c r="W7042" i="8"/>
  <c r="W7043" i="8"/>
  <c r="W7044" i="8"/>
  <c r="V7044" i="8" s="1"/>
  <c r="W7045" i="8"/>
  <c r="W7046" i="8"/>
  <c r="W7047" i="8"/>
  <c r="W7048" i="8"/>
  <c r="V7048" i="8" s="1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V7056" i="8" s="1"/>
  <c r="W7057" i="8"/>
  <c r="W7058" i="8"/>
  <c r="W7059" i="8"/>
  <c r="W7060" i="8"/>
  <c r="V7060" i="8" s="1"/>
  <c r="W7061" i="8"/>
  <c r="W7062" i="8"/>
  <c r="W7063" i="8"/>
  <c r="W7064" i="8"/>
  <c r="V7064" i="8" s="1"/>
  <c r="W7065" i="8"/>
  <c r="W7066" i="8"/>
  <c r="W7067" i="8"/>
  <c r="W7068" i="8"/>
  <c r="V7068" i="8" s="1"/>
  <c r="W7069" i="8"/>
  <c r="V7069" i="8" s="1"/>
  <c r="W7070" i="8"/>
  <c r="W7071" i="8"/>
  <c r="W7072" i="8"/>
  <c r="V7072" i="8" s="1"/>
  <c r="W7073" i="8"/>
  <c r="W7074" i="8"/>
  <c r="W7075" i="8"/>
  <c r="W7076" i="8"/>
  <c r="V7076" i="8" s="1"/>
  <c r="W7077" i="8"/>
  <c r="W7078" i="8"/>
  <c r="W7079" i="8"/>
  <c r="W7080" i="8"/>
  <c r="V7080" i="8" s="1"/>
  <c r="W7081" i="8"/>
  <c r="V7081" i="8" s="1"/>
  <c r="W7082" i="8"/>
  <c r="W7083" i="8"/>
  <c r="W7084" i="8"/>
  <c r="V7084" i="8" s="1"/>
  <c r="W7085" i="8"/>
  <c r="W7086" i="8"/>
  <c r="W7087" i="8"/>
  <c r="W7088" i="8"/>
  <c r="V7088" i="8" s="1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V7104" i="8" s="1"/>
  <c r="W7105" i="8"/>
  <c r="W7106" i="8"/>
  <c r="W7107" i="8"/>
  <c r="W7108" i="8"/>
  <c r="V7108" i="8" s="1"/>
  <c r="W7109" i="8"/>
  <c r="V7109" i="8" s="1"/>
  <c r="W7110" i="8"/>
  <c r="W7111" i="8"/>
  <c r="W7112" i="8"/>
  <c r="V7112" i="8" s="1"/>
  <c r="W7113" i="8"/>
  <c r="W7114" i="8"/>
  <c r="W7115" i="8"/>
  <c r="W7116" i="8"/>
  <c r="V7116" i="8" s="1"/>
  <c r="W7117" i="8"/>
  <c r="W7118" i="8"/>
  <c r="W7119" i="8"/>
  <c r="W7120" i="8"/>
  <c r="V7120" i="8" s="1"/>
  <c r="W7121" i="8"/>
  <c r="W7122" i="8"/>
  <c r="W7123" i="8"/>
  <c r="W7124" i="8"/>
  <c r="V7124" i="8" s="1"/>
  <c r="W7125" i="8"/>
  <c r="V7125" i="8" s="1"/>
  <c r="W7126" i="8"/>
  <c r="W7127" i="8"/>
  <c r="W7128" i="8"/>
  <c r="V7128" i="8" s="1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V7136" i="8" s="1"/>
  <c r="W7137" i="8"/>
  <c r="W7138" i="8"/>
  <c r="W7139" i="8"/>
  <c r="W7140" i="8"/>
  <c r="V7140" i="8" s="1"/>
  <c r="W7141" i="8"/>
  <c r="W7142" i="8"/>
  <c r="W7143" i="8"/>
  <c r="W7144" i="8"/>
  <c r="V7144" i="8" s="1"/>
  <c r="W7145" i="8"/>
  <c r="W7146" i="8"/>
  <c r="W7147" i="8"/>
  <c r="W7148" i="8"/>
  <c r="W7149" i="8"/>
  <c r="V7149" i="8" s="1"/>
  <c r="W7150" i="8"/>
  <c r="W7151" i="8"/>
  <c r="W7152" i="8"/>
  <c r="V7152" i="8" s="1"/>
  <c r="W7153" i="8"/>
  <c r="W7154" i="8"/>
  <c r="W7155" i="8"/>
  <c r="W7156" i="8"/>
  <c r="V7156" i="8" s="1"/>
  <c r="W7157" i="8"/>
  <c r="W7158" i="8"/>
  <c r="W7159" i="8"/>
  <c r="W7160" i="8"/>
  <c r="V7160" i="8" s="1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V7168" i="8" s="1"/>
  <c r="W7169" i="8"/>
  <c r="V7169" i="8" s="1"/>
  <c r="W7170" i="8"/>
  <c r="W7171" i="8"/>
  <c r="W7172" i="8"/>
  <c r="V7172" i="8" s="1"/>
  <c r="W7173" i="8"/>
  <c r="W7174" i="8"/>
  <c r="W7175" i="8"/>
  <c r="W7176" i="8"/>
  <c r="V7176" i="8" s="1"/>
  <c r="W7177" i="8"/>
  <c r="W7178" i="8"/>
  <c r="W7179" i="8"/>
  <c r="W7180" i="8"/>
  <c r="V7180" i="8" s="1"/>
  <c r="W7181" i="8"/>
  <c r="V7181" i="8" s="1"/>
  <c r="W7182" i="8"/>
  <c r="W7183" i="8"/>
  <c r="W7184" i="8"/>
  <c r="V7184" i="8" s="1"/>
  <c r="W7185" i="8"/>
  <c r="W7186" i="8"/>
  <c r="W7187" i="8"/>
  <c r="W7188" i="8"/>
  <c r="W7189" i="8"/>
  <c r="V7189" i="8" s="1"/>
  <c r="W7190" i="8"/>
  <c r="W7191" i="8"/>
  <c r="W7192" i="8"/>
  <c r="V7192" i="8" s="1"/>
  <c r="W7193" i="8"/>
  <c r="W7194" i="8"/>
  <c r="W7195" i="8"/>
  <c r="W7196" i="8"/>
  <c r="V7196" i="8" s="1"/>
  <c r="W7197" i="8"/>
  <c r="W7198" i="8"/>
  <c r="W7199" i="8"/>
  <c r="W7200" i="8"/>
  <c r="V7200" i="8" s="1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V7216" i="8" s="1"/>
  <c r="W7217" i="8"/>
  <c r="W7218" i="8"/>
  <c r="W7219" i="8"/>
  <c r="W7220" i="8"/>
  <c r="V7220" i="8" s="1"/>
  <c r="W7221" i="8"/>
  <c r="V7221" i="8" s="1"/>
  <c r="W7222" i="8"/>
  <c r="W7223" i="8"/>
  <c r="W7224" i="8"/>
  <c r="V7224" i="8" s="1"/>
  <c r="W7225" i="8"/>
  <c r="W7226" i="8"/>
  <c r="W7227" i="8"/>
  <c r="W7228" i="8"/>
  <c r="V7228" i="8" s="1"/>
  <c r="W7229" i="8"/>
  <c r="W7230" i="8"/>
  <c r="W7231" i="8"/>
  <c r="W7232" i="8"/>
  <c r="V7232" i="8" s="1"/>
  <c r="W7233" i="8"/>
  <c r="W7234" i="8"/>
  <c r="W7235" i="8"/>
  <c r="W7236" i="8"/>
  <c r="V7236" i="8" s="1"/>
  <c r="W7237" i="8"/>
  <c r="V7237" i="8" s="1"/>
  <c r="W7238" i="8"/>
  <c r="W7239" i="8"/>
  <c r="W7240" i="8"/>
  <c r="V7240" i="8" s="1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V7248" i="8" s="1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V7264" i="8" s="1"/>
  <c r="W7265" i="8"/>
  <c r="W7266" i="8"/>
  <c r="W7267" i="8"/>
  <c r="W7268" i="8"/>
  <c r="W7269" i="8"/>
  <c r="V7269" i="8" s="1"/>
  <c r="W7270" i="8"/>
  <c r="W7271" i="8"/>
  <c r="W7272" i="8"/>
  <c r="V7272" i="8" s="1"/>
  <c r="W7273" i="8"/>
  <c r="W7274" i="8"/>
  <c r="W7275" i="8"/>
  <c r="W7276" i="8"/>
  <c r="V7276" i="8" s="1"/>
  <c r="W7277" i="8"/>
  <c r="W7278" i="8"/>
  <c r="W7279" i="8"/>
  <c r="W7280" i="8"/>
  <c r="V7280" i="8" s="1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V7288" i="8" s="1"/>
  <c r="W7289" i="8"/>
  <c r="V7289" i="8" s="1"/>
  <c r="W7290" i="8"/>
  <c r="W7291" i="8"/>
  <c r="W7292" i="8"/>
  <c r="V7292" i="8" s="1"/>
  <c r="W7293" i="8"/>
  <c r="W7294" i="8"/>
  <c r="W7295" i="8"/>
  <c r="W7296" i="8"/>
  <c r="V7296" i="8" s="1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V7312" i="8" s="1"/>
  <c r="W7313" i="8"/>
  <c r="W7314" i="8"/>
  <c r="W7315" i="8"/>
  <c r="W7316" i="8"/>
  <c r="V7316" i="8" s="1"/>
  <c r="W7317" i="8"/>
  <c r="W7318" i="8"/>
  <c r="W7319" i="8"/>
  <c r="W7320" i="8"/>
  <c r="V7320" i="8" s="1"/>
  <c r="W7321" i="8"/>
  <c r="V7321" i="8" s="1"/>
  <c r="W7322" i="8"/>
  <c r="W7323" i="8"/>
  <c r="W7324" i="8"/>
  <c r="V7324" i="8" s="1"/>
  <c r="W7325" i="8"/>
  <c r="W7326" i="8"/>
  <c r="W7327" i="8"/>
  <c r="W7328" i="8"/>
  <c r="V7328" i="8" s="1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V7336" i="8" s="1"/>
  <c r="W7337" i="8"/>
  <c r="W7338" i="8"/>
  <c r="W7339" i="8"/>
  <c r="W7340" i="8"/>
  <c r="V7340" i="8" s="1"/>
  <c r="W7341" i="8"/>
  <c r="W7342" i="8"/>
  <c r="W7343" i="8"/>
  <c r="W7344" i="8"/>
  <c r="V7344" i="8" s="1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V7360" i="8" s="1"/>
  <c r="W7361" i="8"/>
  <c r="W7362" i="8"/>
  <c r="W7363" i="8"/>
  <c r="W7364" i="8"/>
  <c r="V7364" i="8" s="1"/>
  <c r="W7365" i="8"/>
  <c r="V7365" i="8" s="1"/>
  <c r="W7366" i="8"/>
  <c r="W7367" i="8"/>
  <c r="W7368" i="8"/>
  <c r="V7368" i="8" s="1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V7376" i="8" s="1"/>
  <c r="W7377" i="8"/>
  <c r="W7378" i="8"/>
  <c r="W7379" i="8"/>
  <c r="W7380" i="8"/>
  <c r="V7380" i="8" s="1"/>
  <c r="W7381" i="8"/>
  <c r="W7382" i="8"/>
  <c r="W7383" i="8"/>
  <c r="W7384" i="8"/>
  <c r="V7384" i="8" s="1"/>
  <c r="W7385" i="8"/>
  <c r="W7386" i="8"/>
  <c r="W7387" i="8"/>
  <c r="W7388" i="8"/>
  <c r="V7388" i="8" s="1"/>
  <c r="W7389" i="8"/>
  <c r="W7390" i="8"/>
  <c r="W7391" i="8"/>
  <c r="W7392" i="8"/>
  <c r="V7392" i="8" s="1"/>
  <c r="W7393" i="8"/>
  <c r="W7394" i="8"/>
  <c r="W7395" i="8"/>
  <c r="W7396" i="8"/>
  <c r="V7396" i="8" s="1"/>
  <c r="W7397" i="8"/>
  <c r="W7398" i="8"/>
  <c r="W7399" i="8"/>
  <c r="W7400" i="8"/>
  <c r="V7400" i="8" s="1"/>
  <c r="W7401" i="8"/>
  <c r="W7402" i="8"/>
  <c r="W7403" i="8"/>
  <c r="W7404" i="8"/>
  <c r="V7404" i="8" s="1"/>
  <c r="W7405" i="8"/>
  <c r="V7405" i="8" s="1"/>
  <c r="W7406" i="8"/>
  <c r="W7407" i="8"/>
  <c r="W7408" i="8"/>
  <c r="V7408" i="8" s="1"/>
  <c r="W7409" i="8"/>
  <c r="V7409" i="8" s="1"/>
  <c r="W7410" i="8"/>
  <c r="W7411" i="8"/>
  <c r="W7412" i="8"/>
  <c r="V7412" i="8" s="1"/>
  <c r="W7413" i="8"/>
  <c r="W7414" i="8"/>
  <c r="W7415" i="8"/>
  <c r="W7416" i="8"/>
  <c r="V7416" i="8" s="1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V7424" i="8" s="1"/>
  <c r="W7425" i="8"/>
  <c r="W7426" i="8"/>
  <c r="W7427" i="8"/>
  <c r="W7428" i="8"/>
  <c r="V7428" i="8" s="1"/>
  <c r="W7429" i="8"/>
  <c r="W7430" i="8"/>
  <c r="W7431" i="8"/>
  <c r="W7432" i="8"/>
  <c r="V7432" i="8" s="1"/>
  <c r="W7433" i="8"/>
  <c r="W7434" i="8"/>
  <c r="W7435" i="8"/>
  <c r="W7436" i="8"/>
  <c r="V7436" i="8" s="1"/>
  <c r="W7437" i="8"/>
  <c r="W7438" i="8"/>
  <c r="W7439" i="8"/>
  <c r="W7440" i="8"/>
  <c r="V7440" i="8" s="1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V7456" i="8" s="1"/>
  <c r="W7457" i="8"/>
  <c r="W7458" i="8"/>
  <c r="W7459" i="8"/>
  <c r="W7460" i="8"/>
  <c r="V7460" i="8" s="1"/>
  <c r="W7461" i="8"/>
  <c r="V7461" i="8" s="1"/>
  <c r="W7462" i="8"/>
  <c r="W7463" i="8"/>
  <c r="W7464" i="8"/>
  <c r="V7464" i="8" s="1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V7472" i="8" s="1"/>
  <c r="W7473" i="8"/>
  <c r="W7474" i="8"/>
  <c r="W7475" i="8"/>
  <c r="W7476" i="8"/>
  <c r="V7476" i="8" s="1"/>
  <c r="W7477" i="8"/>
  <c r="W7478" i="8"/>
  <c r="W7479" i="8"/>
  <c r="W7480" i="8"/>
  <c r="V7480" i="8" s="1"/>
  <c r="W7481" i="8"/>
  <c r="W7482" i="8"/>
  <c r="W7483" i="8"/>
  <c r="W7484" i="8"/>
  <c r="V7484" i="8" s="1"/>
  <c r="W7485" i="8"/>
  <c r="W7486" i="8"/>
  <c r="W7487" i="8"/>
  <c r="W7488" i="8"/>
  <c r="V7488" i="8" s="1"/>
  <c r="W7489" i="8"/>
  <c r="W7490" i="8"/>
  <c r="W7491" i="8"/>
  <c r="W7492" i="8"/>
  <c r="V7492" i="8" s="1"/>
  <c r="W7493" i="8"/>
  <c r="V7493" i="8" s="1"/>
  <c r="W7494" i="8"/>
  <c r="W7495" i="8"/>
  <c r="W7496" i="8"/>
  <c r="V7496" i="8" s="1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V7504" i="8" s="1"/>
  <c r="W7505" i="8"/>
  <c r="W7506" i="8"/>
  <c r="W7507" i="8"/>
  <c r="W7508" i="8"/>
  <c r="V7508" i="8" s="1"/>
  <c r="W7509" i="8"/>
  <c r="W7510" i="8"/>
  <c r="W7511" i="8"/>
  <c r="W7512" i="8"/>
  <c r="V7512" i="8" s="1"/>
  <c r="W7513" i="8"/>
  <c r="W7514" i="8"/>
  <c r="W7515" i="8"/>
  <c r="W7516" i="8"/>
  <c r="V7516" i="8" s="1"/>
  <c r="W7517" i="8"/>
  <c r="W7518" i="8"/>
  <c r="W7519" i="8"/>
  <c r="W7520" i="8"/>
  <c r="V7520" i="8" s="1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V7528" i="8" s="1"/>
  <c r="W7529" i="8"/>
  <c r="W7530" i="8"/>
  <c r="W7531" i="8"/>
  <c r="W7532" i="8"/>
  <c r="V7532" i="8" s="1"/>
  <c r="W7533" i="8"/>
  <c r="W7534" i="8"/>
  <c r="W7535" i="8"/>
  <c r="W7536" i="8"/>
  <c r="V7536" i="8" s="1"/>
  <c r="W7537" i="8"/>
  <c r="W7538" i="8"/>
  <c r="W7539" i="8"/>
  <c r="W7540" i="8"/>
  <c r="V7540" i="8" s="1"/>
  <c r="W7541" i="8"/>
  <c r="V7541" i="8" s="1"/>
  <c r="W7542" i="8"/>
  <c r="W7543" i="8"/>
  <c r="W7544" i="8"/>
  <c r="V7544" i="8" s="1"/>
  <c r="W7545" i="8"/>
  <c r="W7546" i="8"/>
  <c r="W7547" i="8"/>
  <c r="W7548" i="8"/>
  <c r="V7548" i="8" s="1"/>
  <c r="W7549" i="8"/>
  <c r="W7550" i="8"/>
  <c r="W7551" i="8"/>
  <c r="W7552" i="8"/>
  <c r="V7552" i="8" s="1"/>
  <c r="W7553" i="8"/>
  <c r="V7553" i="8" s="1"/>
  <c r="W7554" i="8"/>
  <c r="W7555" i="8"/>
  <c r="W7556" i="8"/>
  <c r="V7556" i="8" s="1"/>
  <c r="W7557" i="8"/>
  <c r="W7558" i="8"/>
  <c r="W7559" i="8"/>
  <c r="W7560" i="8"/>
  <c r="V7560" i="8" s="1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V7568" i="8" s="1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V7576" i="8" s="1"/>
  <c r="W7577" i="8"/>
  <c r="V7577" i="8" s="1"/>
  <c r="W7578" i="8"/>
  <c r="W7579" i="8"/>
  <c r="W7580" i="8"/>
  <c r="V7580" i="8" s="1"/>
  <c r="W7581" i="8"/>
  <c r="W7582" i="8"/>
  <c r="W7583" i="8"/>
  <c r="W7584" i="8"/>
  <c r="V7584" i="8" s="1"/>
  <c r="W7585" i="8"/>
  <c r="V7585" i="8" s="1"/>
  <c r="W7586" i="8"/>
  <c r="W7587" i="8"/>
  <c r="W7588" i="8"/>
  <c r="V7588" i="8" s="1"/>
  <c r="W7589" i="8"/>
  <c r="W7590" i="8"/>
  <c r="W7591" i="8"/>
  <c r="W7592" i="8"/>
  <c r="V7592" i="8" s="1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V7608" i="8" s="1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V7616" i="8" s="1"/>
  <c r="W7617" i="8"/>
  <c r="W7618" i="8"/>
  <c r="W7619" i="8"/>
  <c r="W7620" i="8"/>
  <c r="V7620" i="8" s="1"/>
  <c r="W7621" i="8"/>
  <c r="W7622" i="8"/>
  <c r="W7623" i="8"/>
  <c r="W7624" i="8"/>
  <c r="V7624" i="8" s="1"/>
  <c r="W7625" i="8"/>
  <c r="V7625" i="8" s="1"/>
  <c r="W7626" i="8"/>
  <c r="W7627" i="8"/>
  <c r="W7628" i="8"/>
  <c r="V7628" i="8" s="1"/>
  <c r="W7629" i="8"/>
  <c r="W7630" i="8"/>
  <c r="W7631" i="8"/>
  <c r="W7632" i="8"/>
  <c r="V7632" i="8" s="1"/>
  <c r="W7633" i="8"/>
  <c r="W7634" i="8"/>
  <c r="W7635" i="8"/>
  <c r="W7636" i="8"/>
  <c r="V7636" i="8" s="1"/>
  <c r="W7637" i="8"/>
  <c r="V7637" i="8" s="1"/>
  <c r="W7638" i="8"/>
  <c r="W7639" i="8"/>
  <c r="W7640" i="8"/>
  <c r="V7640" i="8" s="1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V7648" i="8" s="1"/>
  <c r="W7649" i="8"/>
  <c r="V7649" i="8" s="1"/>
  <c r="W7650" i="8"/>
  <c r="W7651" i="8"/>
  <c r="W7652" i="8"/>
  <c r="V7652" i="8" s="1"/>
  <c r="W7653" i="8"/>
  <c r="W7654" i="8"/>
  <c r="W7655" i="8"/>
  <c r="W7656" i="8"/>
  <c r="V7656" i="8" s="1"/>
  <c r="W7657" i="8"/>
  <c r="W7658" i="8"/>
  <c r="W7659" i="8"/>
  <c r="W7660" i="8"/>
  <c r="V7660" i="8" s="1"/>
  <c r="W7661" i="8"/>
  <c r="V7661" i="8" s="1"/>
  <c r="W7662" i="8"/>
  <c r="W7663" i="8"/>
  <c r="W7664" i="8"/>
  <c r="V7664" i="8" s="1"/>
  <c r="W7665" i="8"/>
  <c r="V7665" i="8" s="1"/>
  <c r="W7666" i="8"/>
  <c r="W7667" i="8"/>
  <c r="W7668" i="8"/>
  <c r="V7668" i="8" s="1"/>
  <c r="W7669" i="8"/>
  <c r="W7670" i="8"/>
  <c r="W7671" i="8"/>
  <c r="W7672" i="8"/>
  <c r="V7672" i="8" s="1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V7688" i="8" s="1"/>
  <c r="W7689" i="8"/>
  <c r="V7689" i="8" s="1"/>
  <c r="W7690" i="8"/>
  <c r="W7691" i="8"/>
  <c r="W7692" i="8"/>
  <c r="V7692" i="8" s="1"/>
  <c r="W7693" i="8"/>
  <c r="W7694" i="8"/>
  <c r="W7695" i="8"/>
  <c r="W7696" i="8"/>
  <c r="V7696" i="8" s="1"/>
  <c r="W7697" i="8"/>
  <c r="V7697" i="8" s="1"/>
  <c r="W7698" i="8"/>
  <c r="W7699" i="8"/>
  <c r="W7700" i="8"/>
  <c r="V7700" i="8" s="1"/>
  <c r="W7701" i="8"/>
  <c r="W7702" i="8"/>
  <c r="W7703" i="8"/>
  <c r="W7704" i="8"/>
  <c r="V7704" i="8" s="1"/>
  <c r="W7705" i="8"/>
  <c r="W7706" i="8"/>
  <c r="W7707" i="8"/>
  <c r="W7708" i="8"/>
  <c r="V7708" i="8" s="1"/>
  <c r="W7709" i="8"/>
  <c r="V7709" i="8" s="1"/>
  <c r="W7710" i="8"/>
  <c r="W7711" i="8"/>
  <c r="W7712" i="8"/>
  <c r="V7712" i="8" s="1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V7728" i="8" s="1"/>
  <c r="W7729" i="8"/>
  <c r="W7730" i="8"/>
  <c r="W7731" i="8"/>
  <c r="W7732" i="8"/>
  <c r="V7732" i="8" s="1"/>
  <c r="W7733" i="8"/>
  <c r="W7734" i="8"/>
  <c r="W7735" i="8"/>
  <c r="W7736" i="8"/>
  <c r="V7736" i="8" s="1"/>
  <c r="W7737" i="8"/>
  <c r="V7737" i="8" s="1"/>
  <c r="W7738" i="8"/>
  <c r="W7739" i="8"/>
  <c r="W7740" i="8"/>
  <c r="V7740" i="8" s="1"/>
  <c r="W7741" i="8"/>
  <c r="W7742" i="8"/>
  <c r="W7743" i="8"/>
  <c r="W7744" i="8"/>
  <c r="V7744" i="8" s="1"/>
  <c r="W7745" i="8"/>
  <c r="W7746" i="8"/>
  <c r="W7747" i="8"/>
  <c r="W7748" i="8"/>
  <c r="V7748" i="8" s="1"/>
  <c r="W7749" i="8"/>
  <c r="V7749" i="8" s="1"/>
  <c r="W7750" i="8"/>
  <c r="W7751" i="8"/>
  <c r="W7752" i="8"/>
  <c r="V7752" i="8" s="1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V7768" i="8" s="1"/>
  <c r="W7769" i="8"/>
  <c r="W7770" i="8"/>
  <c r="W7771" i="8"/>
  <c r="W7772" i="8"/>
  <c r="V7772" i="8" s="1"/>
  <c r="W7773" i="8"/>
  <c r="W7774" i="8"/>
  <c r="W7775" i="8"/>
  <c r="W7776" i="8"/>
  <c r="V7776" i="8" s="1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V7784" i="8" s="1"/>
  <c r="W7785" i="8"/>
  <c r="W7786" i="8"/>
  <c r="W7787" i="8"/>
  <c r="W7788" i="8"/>
  <c r="V7788" i="8" s="1"/>
  <c r="W7789" i="8"/>
  <c r="W7790" i="8"/>
  <c r="W7791" i="8"/>
  <c r="W7792" i="8"/>
  <c r="V7792" i="8" s="1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V7800" i="8" s="1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V7808" i="8" s="1"/>
  <c r="W7809" i="8"/>
  <c r="W7810" i="8"/>
  <c r="W7811" i="8"/>
  <c r="W7812" i="8"/>
  <c r="V7812" i="8" s="1"/>
  <c r="W7813" i="8"/>
  <c r="V7813" i="8" s="1"/>
  <c r="W7814" i="8"/>
  <c r="W7815" i="8"/>
  <c r="V7815" i="8" s="1"/>
  <c r="W7816" i="8"/>
  <c r="V7816" i="8" s="1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V7832" i="8" s="1"/>
  <c r="W7833" i="8"/>
  <c r="W7834" i="8"/>
  <c r="W7835" i="8"/>
  <c r="W7836" i="8"/>
  <c r="V7836" i="8" s="1"/>
  <c r="W7837" i="8"/>
  <c r="V7837" i="8" s="1"/>
  <c r="W7838" i="8"/>
  <c r="W7839" i="8"/>
  <c r="W7840" i="8"/>
  <c r="V7840" i="8" s="1"/>
  <c r="W7841" i="8"/>
  <c r="W7842" i="8"/>
  <c r="W7843" i="8"/>
  <c r="W7844" i="8"/>
  <c r="V7844" i="8" s="1"/>
  <c r="W7845" i="8"/>
  <c r="V7845" i="8" s="1"/>
  <c r="W7846" i="8"/>
  <c r="W7847" i="8"/>
  <c r="W7848" i="8"/>
  <c r="V7848" i="8" s="1"/>
  <c r="W7849" i="8"/>
  <c r="V7849" i="8" s="1"/>
  <c r="W7850" i="8"/>
  <c r="W7851" i="8"/>
  <c r="W7852" i="8"/>
  <c r="V7852" i="8" s="1"/>
  <c r="W7853" i="8"/>
  <c r="V7853" i="8" s="1"/>
  <c r="W7854" i="8"/>
  <c r="W7855" i="8"/>
  <c r="V7855" i="8" s="1"/>
  <c r="W7856" i="8"/>
  <c r="V7856" i="8" s="1"/>
  <c r="W7857" i="8"/>
  <c r="W7858" i="8"/>
  <c r="W7859" i="8"/>
  <c r="W7860" i="8"/>
  <c r="V7860" i="8" s="1"/>
  <c r="W7861" i="8"/>
  <c r="V7861" i="8" s="1"/>
  <c r="W7862" i="8"/>
  <c r="W7863" i="8"/>
  <c r="W7864" i="8"/>
  <c r="V7864" i="8" s="1"/>
  <c r="W7865" i="8"/>
  <c r="W7866" i="8"/>
  <c r="W7867" i="8"/>
  <c r="W7868" i="8"/>
  <c r="V7868" i="8" s="1"/>
  <c r="W7869" i="8"/>
  <c r="W7870" i="8"/>
  <c r="W7871" i="8"/>
  <c r="W7872" i="8"/>
  <c r="V7872" i="8" s="1"/>
  <c r="W7873" i="8"/>
  <c r="V7873" i="8" s="1"/>
  <c r="W7874" i="8"/>
  <c r="W7875" i="8"/>
  <c r="W7876" i="8"/>
  <c r="V7876" i="8" s="1"/>
  <c r="W7877" i="8"/>
  <c r="W7878" i="8"/>
  <c r="W7879" i="8"/>
  <c r="V7879" i="8" s="1"/>
  <c r="W7880" i="8"/>
  <c r="V7880" i="8" s="1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V7888" i="8" s="1"/>
  <c r="W7889" i="8"/>
  <c r="V7889" i="8" s="1"/>
  <c r="W7890" i="8"/>
  <c r="W7891" i="8"/>
  <c r="W7892" i="8"/>
  <c r="V7892" i="8" s="1"/>
  <c r="W7893" i="8"/>
  <c r="V7893" i="8" s="1"/>
  <c r="W7894" i="8"/>
  <c r="W7895" i="8"/>
  <c r="V7895" i="8" s="1"/>
  <c r="W7896" i="8"/>
  <c r="V7896" i="8" s="1"/>
  <c r="W7897" i="8"/>
  <c r="V7897" i="8" s="1"/>
  <c r="W7898" i="8"/>
  <c r="W7899" i="8"/>
  <c r="W7900" i="8"/>
  <c r="V7900" i="8" s="1"/>
  <c r="W7901" i="8"/>
  <c r="W7902" i="8"/>
  <c r="W7903" i="8"/>
  <c r="W7904" i="8"/>
  <c r="V7904" i="8" s="1"/>
  <c r="W7905" i="8"/>
  <c r="V7905" i="8" s="1"/>
  <c r="W7906" i="8"/>
  <c r="W7907" i="8"/>
  <c r="W7908" i="8"/>
  <c r="V7908" i="8" s="1"/>
  <c r="W7909" i="8"/>
  <c r="W7910" i="8"/>
  <c r="W7911" i="8"/>
  <c r="W7912" i="8"/>
  <c r="V7912" i="8" s="1"/>
  <c r="W7913" i="8"/>
  <c r="W7914" i="8"/>
  <c r="W7915" i="8"/>
  <c r="W7916" i="8"/>
  <c r="V7916" i="8" s="1"/>
  <c r="W7917" i="8"/>
  <c r="V7917" i="8" s="1"/>
  <c r="W7918" i="8"/>
  <c r="W7919" i="8"/>
  <c r="W7920" i="8"/>
  <c r="V7920" i="8" s="1"/>
  <c r="W7921" i="8"/>
  <c r="W7922" i="8"/>
  <c r="W7923" i="8"/>
  <c r="W7924" i="8"/>
  <c r="V7924" i="8" s="1"/>
  <c r="W7925" i="8"/>
  <c r="W7926" i="8"/>
  <c r="W7927" i="8"/>
  <c r="W7928" i="8"/>
  <c r="V7928" i="8" s="1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V7936" i="8" s="1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V7952" i="8" s="1"/>
  <c r="W7953" i="8"/>
  <c r="V7953" i="8" s="1"/>
  <c r="W7954" i="8"/>
  <c r="W7955" i="8"/>
  <c r="W7956" i="8"/>
  <c r="V7956" i="8" s="1"/>
  <c r="W7957" i="8"/>
  <c r="W7958" i="8"/>
  <c r="W7959" i="8"/>
  <c r="V7959" i="8" s="1"/>
  <c r="W7960" i="8"/>
  <c r="V7960" i="8" s="1"/>
  <c r="W7961" i="8"/>
  <c r="W7962" i="8"/>
  <c r="W7963" i="8"/>
  <c r="W7964" i="8"/>
  <c r="V7964" i="8" s="1"/>
  <c r="W7965" i="8"/>
  <c r="V7965" i="8" s="1"/>
  <c r="W7966" i="8"/>
  <c r="W7967" i="8"/>
  <c r="W7968" i="8"/>
  <c r="V7968" i="8" s="1"/>
  <c r="W7969" i="8"/>
  <c r="W7970" i="8"/>
  <c r="W7971" i="8"/>
  <c r="W7972" i="8"/>
  <c r="V7972" i="8" s="1"/>
  <c r="W7973" i="8"/>
  <c r="V7973" i="8" s="1"/>
  <c r="W7974" i="8"/>
  <c r="W7975" i="8"/>
  <c r="W7976" i="8"/>
  <c r="V7976" i="8" s="1"/>
  <c r="W7977" i="8"/>
  <c r="V7977" i="8" s="1"/>
  <c r="W7978" i="8"/>
  <c r="W7979" i="8"/>
  <c r="W7980" i="8"/>
  <c r="V7980" i="8" s="1"/>
  <c r="W7981" i="8"/>
  <c r="W7982" i="8"/>
  <c r="W7983" i="8"/>
  <c r="W7984" i="8"/>
  <c r="V7984" i="8" s="1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V7992" i="8" s="1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V8000" i="8" s="1"/>
  <c r="W8001" i="8"/>
  <c r="V8001" i="8" s="1"/>
  <c r="W8002" i="8"/>
  <c r="W8003" i="8"/>
  <c r="W8004" i="8"/>
  <c r="V8004" i="8" s="1"/>
  <c r="W8005" i="8"/>
  <c r="W8006" i="8"/>
  <c r="W8007" i="8"/>
  <c r="W8008" i="8"/>
  <c r="V8008" i="8" s="1"/>
  <c r="W8009" i="8"/>
  <c r="V8009" i="8" s="1"/>
  <c r="W8010" i="8"/>
  <c r="W8011" i="8"/>
  <c r="W8012" i="8"/>
  <c r="V8012" i="8" s="1"/>
  <c r="W8013" i="8"/>
  <c r="W8014" i="8"/>
  <c r="W8015" i="8"/>
  <c r="W8016" i="8"/>
  <c r="V8016" i="8" s="1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V8032" i="8" s="1"/>
  <c r="W8033" i="8"/>
  <c r="V8033" i="8" s="1"/>
  <c r="W8034" i="8"/>
  <c r="W8035" i="8"/>
  <c r="W8036" i="8"/>
  <c r="V8036" i="8" s="1"/>
  <c r="W8037" i="8"/>
  <c r="W8038" i="8"/>
  <c r="W8039" i="8"/>
  <c r="W8040" i="8"/>
  <c r="V8040" i="8" s="1"/>
  <c r="W8041" i="8"/>
  <c r="W8042" i="8"/>
  <c r="W8043" i="8"/>
  <c r="W8044" i="8"/>
  <c r="V8044" i="8" s="1"/>
  <c r="W8045" i="8"/>
  <c r="V8045" i="8" s="1"/>
  <c r="W8046" i="8"/>
  <c r="W8047" i="8"/>
  <c r="W8048" i="8"/>
  <c r="V8048" i="8" s="1"/>
  <c r="W8049" i="8"/>
  <c r="W8050" i="8"/>
  <c r="W8051" i="8"/>
  <c r="W8052" i="8"/>
  <c r="V8052" i="8" s="1"/>
  <c r="W8053" i="8"/>
  <c r="V8053" i="8" s="1"/>
  <c r="W8054" i="8"/>
  <c r="W8055" i="8"/>
  <c r="W8056" i="8"/>
  <c r="V8056" i="8" s="1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V8072" i="8" s="1"/>
  <c r="W8073" i="8"/>
  <c r="W8074" i="8"/>
  <c r="W8075" i="8"/>
  <c r="W8076" i="8"/>
  <c r="V8076" i="8" s="1"/>
  <c r="W8077" i="8"/>
  <c r="V8077" i="8" s="1"/>
  <c r="W8078" i="8"/>
  <c r="W8079" i="8"/>
  <c r="V8079" i="8" s="1"/>
  <c r="W8080" i="8"/>
  <c r="V8080" i="8" s="1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V8088" i="8" s="1"/>
  <c r="W8089" i="8"/>
  <c r="W8090" i="8"/>
  <c r="W8091" i="8"/>
  <c r="W8092" i="8"/>
  <c r="V8092" i="8" s="1"/>
  <c r="W8093" i="8"/>
  <c r="W8094" i="8"/>
  <c r="W8095" i="8"/>
  <c r="W8096" i="8"/>
  <c r="V8096" i="8" s="1"/>
  <c r="W8097" i="8"/>
  <c r="W8098" i="8"/>
  <c r="W8099" i="8"/>
  <c r="W8100" i="8"/>
  <c r="V8100" i="8" s="1"/>
  <c r="W8101" i="8"/>
  <c r="V8101" i="8" s="1"/>
  <c r="W8102" i="8"/>
  <c r="W8103" i="8"/>
  <c r="W8104" i="8"/>
  <c r="V8104" i="8" s="1"/>
  <c r="W8105" i="8"/>
  <c r="V8105" i="8" s="1"/>
  <c r="W8106" i="8"/>
  <c r="W8107" i="8"/>
  <c r="W8108" i="8"/>
  <c r="V8108" i="8" s="1"/>
  <c r="W8109" i="8"/>
  <c r="W8110" i="8"/>
  <c r="W8111" i="8"/>
  <c r="W8112" i="8"/>
  <c r="V8112" i="8" s="1"/>
  <c r="W8113" i="8"/>
  <c r="V8113" i="8" s="1"/>
  <c r="W8114" i="8"/>
  <c r="W8115" i="8"/>
  <c r="W8116" i="8"/>
  <c r="V8116" i="8" s="1"/>
  <c r="W8117" i="8"/>
  <c r="W8118" i="8"/>
  <c r="W8119" i="8"/>
  <c r="W8120" i="8"/>
  <c r="V8120" i="8" s="1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V8136" i="8" s="1"/>
  <c r="W8137" i="8"/>
  <c r="V8137" i="8" s="1"/>
  <c r="W8138" i="8"/>
  <c r="W8139" i="8"/>
  <c r="W8140" i="8"/>
  <c r="V8140" i="8" s="1"/>
  <c r="W8141" i="8"/>
  <c r="W8142" i="8"/>
  <c r="W8143" i="8"/>
  <c r="W8144" i="8"/>
  <c r="V8144" i="8" s="1"/>
  <c r="W8145" i="8"/>
  <c r="W8146" i="8"/>
  <c r="W8147" i="8"/>
  <c r="W8148" i="8"/>
  <c r="V8148" i="8" s="1"/>
  <c r="W8149" i="8"/>
  <c r="W8150" i="8"/>
  <c r="W8151" i="8"/>
  <c r="W8152" i="8"/>
  <c r="V8152" i="8" s="1"/>
  <c r="W8153" i="8"/>
  <c r="W8154" i="8"/>
  <c r="W8155" i="8"/>
  <c r="W8156" i="8"/>
  <c r="V8156" i="8" s="1"/>
  <c r="W8157" i="8"/>
  <c r="V8157" i="8" s="1"/>
  <c r="W8158" i="8"/>
  <c r="W8159" i="8"/>
  <c r="W8160" i="8"/>
  <c r="V8160" i="8" s="1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V8176" i="8" s="1"/>
  <c r="W8177" i="8"/>
  <c r="W8178" i="8"/>
  <c r="W8179" i="8"/>
  <c r="W8180" i="8"/>
  <c r="V8180" i="8" s="1"/>
  <c r="W8181" i="8"/>
  <c r="V8181" i="8" s="1"/>
  <c r="W8182" i="8"/>
  <c r="W8183" i="8"/>
  <c r="V8183" i="8" s="1"/>
  <c r="W8184" i="8"/>
  <c r="V8184" i="8" s="1"/>
  <c r="W8185" i="8"/>
  <c r="V8185" i="8" s="1"/>
  <c r="W8186" i="8"/>
  <c r="W8187" i="8"/>
  <c r="W8188" i="8"/>
  <c r="V8188" i="8" s="1"/>
  <c r="W8189" i="8"/>
  <c r="V8189" i="8" s="1"/>
  <c r="W8190" i="8"/>
  <c r="W8191" i="8"/>
  <c r="V8191" i="8" s="1"/>
  <c r="W8192" i="8"/>
  <c r="V8192" i="8" s="1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V8208" i="8" s="1"/>
  <c r="W8209" i="8"/>
  <c r="V8209" i="8" s="1"/>
  <c r="W8210" i="8"/>
  <c r="W8211" i="8"/>
  <c r="W8212" i="8"/>
  <c r="V8212" i="8" s="1"/>
  <c r="W8213" i="8"/>
  <c r="W8214" i="8"/>
  <c r="W8215" i="8"/>
  <c r="V8215" i="8" s="1"/>
  <c r="W8216" i="8"/>
  <c r="V8216" i="8" s="1"/>
  <c r="W8217" i="8"/>
  <c r="W8218" i="8"/>
  <c r="W8219" i="8"/>
  <c r="W8220" i="8"/>
  <c r="V8220" i="8" s="1"/>
  <c r="W8221" i="8"/>
  <c r="V8221" i="8" s="1"/>
  <c r="W8222" i="8"/>
  <c r="W8223" i="8"/>
  <c r="W8224" i="8"/>
  <c r="V8224" i="8" s="1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V8240" i="8" s="1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V8248" i="8" s="1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V8256" i="8" s="1"/>
  <c r="W8257" i="8"/>
  <c r="V8257" i="8" s="1"/>
  <c r="W8258" i="8"/>
  <c r="W8259" i="8"/>
  <c r="W8260" i="8"/>
  <c r="V8260" i="8" s="1"/>
  <c r="W8261" i="8"/>
  <c r="W8262" i="8"/>
  <c r="W8263" i="8"/>
  <c r="V8263" i="8" s="1"/>
  <c r="W8264" i="8"/>
  <c r="V8264" i="8" s="1"/>
  <c r="W8265" i="8"/>
  <c r="W8266" i="8"/>
  <c r="W8267" i="8"/>
  <c r="W8268" i="8"/>
  <c r="V8268" i="8" s="1"/>
  <c r="W8269" i="8"/>
  <c r="W8270" i="8"/>
  <c r="W8271" i="8"/>
  <c r="W8272" i="8"/>
  <c r="V8272" i="8" s="1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V8304" i="8" s="1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V8312" i="8" s="1"/>
  <c r="W8313" i="8"/>
  <c r="W8314" i="8"/>
  <c r="W8315" i="8"/>
  <c r="W8316" i="8"/>
  <c r="V8316" i="8" s="1"/>
  <c r="W8317" i="8"/>
  <c r="V8317" i="8" s="1"/>
  <c r="W8318" i="8"/>
  <c r="W8319" i="8"/>
  <c r="V8319" i="8" s="1"/>
  <c r="W8320" i="8"/>
  <c r="V8320" i="8" s="1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V8336" i="8" s="1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V8351" i="8" s="1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V8359" i="8" s="1"/>
  <c r="W8360" i="8"/>
  <c r="V8360" i="8" s="1"/>
  <c r="W8361" i="8"/>
  <c r="W8362" i="8"/>
  <c r="W8363" i="8"/>
  <c r="W8364" i="8"/>
  <c r="V8364" i="8" s="1"/>
  <c r="W8365" i="8"/>
  <c r="W8366" i="8"/>
  <c r="W8367" i="8"/>
  <c r="W8368" i="8"/>
  <c r="V8368" i="8" s="1"/>
  <c r="W8369" i="8"/>
  <c r="W8370" i="8"/>
  <c r="W8371" i="8"/>
  <c r="W8372" i="8"/>
  <c r="V8372" i="8" s="1"/>
  <c r="W8373" i="8"/>
  <c r="V8373" i="8" s="1"/>
  <c r="W8374" i="8"/>
  <c r="W8375" i="8"/>
  <c r="W8376" i="8"/>
  <c r="V8376" i="8" s="1"/>
  <c r="W8377" i="8"/>
  <c r="V8377" i="8" s="1"/>
  <c r="W8378" i="8"/>
  <c r="W8379" i="8"/>
  <c r="W8380" i="8"/>
  <c r="V8380" i="8" s="1"/>
  <c r="W8381" i="8"/>
  <c r="W8382" i="8"/>
  <c r="W8383" i="8"/>
  <c r="W8384" i="8"/>
  <c r="V8384" i="8" s="1"/>
  <c r="W8385" i="8"/>
  <c r="V8385" i="8" s="1"/>
  <c r="W8386" i="8"/>
  <c r="W8387" i="8"/>
  <c r="W8388" i="8"/>
  <c r="V8388" i="8" s="1"/>
  <c r="W8389" i="8"/>
  <c r="W8390" i="8"/>
  <c r="W8391" i="8"/>
  <c r="V8391" i="8" s="1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V8399" i="8" s="1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V8407" i="8" s="1"/>
  <c r="W8408" i="8"/>
  <c r="V8408" i="8" s="1"/>
  <c r="W8409" i="8"/>
  <c r="W8410" i="8"/>
  <c r="W8411" i="8"/>
  <c r="W8412" i="8"/>
  <c r="V8412" i="8" s="1"/>
  <c r="W8413" i="8"/>
  <c r="W8414" i="8"/>
  <c r="W8415" i="8"/>
  <c r="W8416" i="8"/>
  <c r="V8416" i="8" s="1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V8432" i="8" s="1"/>
  <c r="W8433" i="8"/>
  <c r="W8434" i="8"/>
  <c r="W8435" i="8"/>
  <c r="W8436" i="8"/>
  <c r="V8436" i="8" s="1"/>
  <c r="W8437" i="8"/>
  <c r="W8438" i="8"/>
  <c r="W8439" i="8"/>
  <c r="W8440" i="8"/>
  <c r="V8440" i="8" s="1"/>
  <c r="W8441" i="8"/>
  <c r="V8441" i="8" s="1"/>
  <c r="W8442" i="8"/>
  <c r="W8443" i="8"/>
  <c r="W8444" i="8"/>
  <c r="V8444" i="8" s="1"/>
  <c r="W8445" i="8"/>
  <c r="W8446" i="8"/>
  <c r="W8447" i="8"/>
  <c r="V8447" i="8" s="1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V8455" i="8" s="1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V8463" i="8" s="1"/>
  <c r="W8464" i="8"/>
  <c r="V8464" i="8" s="1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V8480" i="8" s="1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V8495" i="8" s="1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V8503" i="8" s="1"/>
  <c r="W8504" i="8"/>
  <c r="V8504" i="8" s="1"/>
  <c r="W8505" i="8"/>
  <c r="V8505" i="8" s="1"/>
  <c r="W8506" i="8"/>
  <c r="W8507" i="8"/>
  <c r="W8508" i="8"/>
  <c r="V8508" i="8" s="1"/>
  <c r="W8509" i="8"/>
  <c r="V8509" i="8" s="1"/>
  <c r="W8510" i="8"/>
  <c r="W8511" i="8"/>
  <c r="V8511" i="8" s="1"/>
  <c r="W8512" i="8"/>
  <c r="V8512" i="8" s="1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V8543" i="8" s="1"/>
  <c r="W8544" i="8"/>
  <c r="V8544" i="8" s="1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V8559" i="8" s="1"/>
  <c r="W8560" i="8"/>
  <c r="V8560" i="8" s="1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V8591" i="8" s="1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V8599" i="8" s="1"/>
  <c r="W8600" i="8"/>
  <c r="V8600" i="8" s="1"/>
  <c r="W8601" i="8"/>
  <c r="W8602" i="8"/>
  <c r="W8603" i="8"/>
  <c r="W8604" i="8"/>
  <c r="V8604" i="8" s="1"/>
  <c r="W8605" i="8"/>
  <c r="W8606" i="8"/>
  <c r="W8607" i="8"/>
  <c r="W8608" i="8"/>
  <c r="V8608" i="8" s="1"/>
  <c r="W8609" i="8"/>
  <c r="W8610" i="8"/>
  <c r="W8611" i="8"/>
  <c r="W8612" i="8"/>
  <c r="V8612" i="8" s="1"/>
  <c r="W8613" i="8"/>
  <c r="V8613" i="8" s="1"/>
  <c r="W8614" i="8"/>
  <c r="W8615" i="8"/>
  <c r="V8615" i="8" s="1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V8631" i="8" s="1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V8647" i="8" s="1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V8663" i="8" s="1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V8671" i="8" s="1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V8687" i="8" s="1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V8696" i="8" s="1"/>
  <c r="W8697" i="8"/>
  <c r="W8698" i="8"/>
  <c r="W8699" i="8"/>
  <c r="W8700" i="8"/>
  <c r="V8700" i="8" s="1"/>
  <c r="W8701" i="8"/>
  <c r="V8701" i="8" s="1"/>
  <c r="W8702" i="8"/>
  <c r="W8703" i="8"/>
  <c r="V8703" i="8" s="1"/>
  <c r="W8704" i="8"/>
  <c r="V8704" i="8" s="1"/>
  <c r="W8705" i="8"/>
  <c r="W8706" i="8"/>
  <c r="W8707" i="8"/>
  <c r="W8708" i="8"/>
  <c r="V8708" i="8" s="1"/>
  <c r="W8709" i="8"/>
  <c r="W8710" i="8"/>
  <c r="W8711" i="8"/>
  <c r="V8711" i="8" s="1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V8719" i="8" s="1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V8743" i="8" s="1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V8759" i="8" s="1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V8768" i="8" s="1"/>
  <c r="W8769" i="8"/>
  <c r="W8770" i="8"/>
  <c r="W8771" i="8"/>
  <c r="W8772" i="8"/>
  <c r="V8772" i="8" s="1"/>
  <c r="W8773" i="8"/>
  <c r="V8773" i="8" s="1"/>
  <c r="W8774" i="8"/>
  <c r="W8775" i="8"/>
  <c r="V8775" i="8" s="1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V8791" i="8" s="1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V8807" i="8" s="1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V8823" i="8" s="1"/>
  <c r="W8824" i="8"/>
  <c r="V8824" i="8" s="1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V8832" i="8" s="1"/>
  <c r="W8833" i="8"/>
  <c r="W8834" i="8"/>
  <c r="W8835" i="8"/>
  <c r="W8836" i="8"/>
  <c r="V8836" i="8" s="1"/>
  <c r="W8837" i="8"/>
  <c r="V8837" i="8" s="1"/>
  <c r="W8838" i="8"/>
  <c r="W8839" i="8"/>
  <c r="V8839" i="8" s="1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V8855" i="8" s="1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V8871" i="8" s="1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V8887" i="8" s="1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V8896" i="8" s="1"/>
  <c r="W8897" i="8"/>
  <c r="W8898" i="8"/>
  <c r="W8899" i="8"/>
  <c r="W8900" i="8"/>
  <c r="V8900" i="8" s="1"/>
  <c r="W8901" i="8"/>
  <c r="V8901" i="8" s="1"/>
  <c r="W8902" i="8"/>
  <c r="W8903" i="8"/>
  <c r="V8903" i="8" s="1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V8919" i="8" s="1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V8935" i="8" s="1"/>
  <c r="W8936" i="8"/>
  <c r="V8936" i="8" s="1"/>
  <c r="W8937" i="8"/>
  <c r="W8938" i="8"/>
  <c r="W8939" i="8"/>
  <c r="W8940" i="8"/>
  <c r="V8940" i="8" s="1"/>
  <c r="W8941" i="8"/>
  <c r="W8942" i="8"/>
  <c r="W8943" i="8"/>
  <c r="V8943" i="8" s="1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V8951" i="8" s="1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V8960" i="8" s="1"/>
  <c r="W8961" i="8"/>
  <c r="W8962" i="8"/>
  <c r="W8963" i="8"/>
  <c r="W8964" i="8"/>
  <c r="V8964" i="8" s="1"/>
  <c r="W8965" i="8"/>
  <c r="V8965" i="8" s="1"/>
  <c r="W8966" i="8"/>
  <c r="W8967" i="8"/>
  <c r="V8967" i="8" s="1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V8983" i="8" s="1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V8999" i="8" s="1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V9015" i="8" s="1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V9023" i="8" s="1"/>
  <c r="W9024" i="8"/>
  <c r="V9024" i="8" s="1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V9047" i="8" s="1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V9055" i="8" s="1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V9079" i="8" s="1"/>
  <c r="W9080" i="8"/>
  <c r="V9080" i="8" s="1"/>
  <c r="W9081" i="8"/>
  <c r="W9082" i="8"/>
  <c r="W9083" i="8"/>
  <c r="W9084" i="8"/>
  <c r="V9084" i="8" s="1"/>
  <c r="W9085" i="8"/>
  <c r="W9086" i="8"/>
  <c r="W9087" i="8"/>
  <c r="V9087" i="8" s="1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V9199" i="8" s="1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V9207" i="8" s="1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V9215" i="8" s="1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V9221" i="8" s="1"/>
  <c r="W9222" i="8"/>
  <c r="V9222" i="8" s="1"/>
  <c r="W9223" i="8"/>
  <c r="V9223" i="8" s="1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V9247" i="8" s="1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V9255" i="8" s="1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V9532" i="8" s="1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V9950" i="8" s="1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V9974" i="8" s="1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66" i="8"/>
  <c r="V9574" i="8"/>
  <c r="V9590" i="8"/>
  <c r="V9622" i="8"/>
  <c r="V9670" i="8"/>
  <c r="V9718" i="8"/>
  <c r="V9750" i="8"/>
  <c r="V9798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D8599" i="8"/>
  <c r="AC8600" i="8"/>
  <c r="AD8600" i="8"/>
  <c r="AC8601" i="8"/>
  <c r="AD8601" i="8"/>
  <c r="AC8602" i="8"/>
  <c r="AD8602" i="8"/>
  <c r="AC8603" i="8"/>
  <c r="AD8603" i="8"/>
  <c r="AC8604" i="8"/>
  <c r="AD8604" i="8"/>
  <c r="AC8605" i="8"/>
  <c r="AD8605" i="8"/>
  <c r="AC8606" i="8"/>
  <c r="AD8606" i="8"/>
  <c r="AC8607" i="8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D8615" i="8"/>
  <c r="AC8616" i="8"/>
  <c r="AD8616" i="8"/>
  <c r="AC8617" i="8"/>
  <c r="AD8617" i="8"/>
  <c r="AC8618" i="8"/>
  <c r="AD8618" i="8"/>
  <c r="AC8619" i="8"/>
  <c r="AD8619" i="8"/>
  <c r="AC8620" i="8"/>
  <c r="AD8620" i="8"/>
  <c r="AC8621" i="8"/>
  <c r="AD8621" i="8"/>
  <c r="AC8622" i="8"/>
  <c r="AD8622" i="8"/>
  <c r="AC8623" i="8"/>
  <c r="AD8623" i="8"/>
  <c r="AC8624" i="8"/>
  <c r="AD8624" i="8"/>
  <c r="AC8625" i="8"/>
  <c r="AD8625" i="8"/>
  <c r="AC8626" i="8"/>
  <c r="AD8626" i="8"/>
  <c r="AC8627" i="8"/>
  <c r="AD8627" i="8"/>
  <c r="AC8628" i="8"/>
  <c r="AD8628" i="8"/>
  <c r="AC8629" i="8"/>
  <c r="AD8629" i="8"/>
  <c r="AC8630" i="8"/>
  <c r="AD8630" i="8"/>
  <c r="AC8631" i="8"/>
  <c r="AD8631" i="8"/>
  <c r="AC8632" i="8"/>
  <c r="AD8632" i="8"/>
  <c r="AC8633" i="8"/>
  <c r="AD8633" i="8"/>
  <c r="AC8634" i="8"/>
  <c r="AD8634" i="8"/>
  <c r="AC8635" i="8"/>
  <c r="AD8635" i="8"/>
  <c r="AC8636" i="8"/>
  <c r="AD8636" i="8"/>
  <c r="AC8637" i="8"/>
  <c r="AD8637" i="8"/>
  <c r="AC8638" i="8"/>
  <c r="AD8638" i="8"/>
  <c r="AC8639" i="8"/>
  <c r="AD8639" i="8"/>
  <c r="AC8640" i="8"/>
  <c r="AD8640" i="8"/>
  <c r="AC8641" i="8"/>
  <c r="AD8641" i="8"/>
  <c r="AC8642" i="8"/>
  <c r="AD8642" i="8"/>
  <c r="AC8643" i="8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D8659" i="8"/>
  <c r="AC8660" i="8"/>
  <c r="AD8660" i="8"/>
  <c r="AC8661" i="8"/>
  <c r="AD8661" i="8"/>
  <c r="AC8662" i="8"/>
  <c r="AD8662" i="8"/>
  <c r="AC8663" i="8"/>
  <c r="AD8663" i="8"/>
  <c r="AC8664" i="8"/>
  <c r="AD8664" i="8"/>
  <c r="AC8665" i="8"/>
  <c r="AD8665" i="8"/>
  <c r="AC8666" i="8"/>
  <c r="AD8666" i="8"/>
  <c r="AC8667" i="8"/>
  <c r="AD8667" i="8"/>
  <c r="AC8668" i="8"/>
  <c r="AD8668" i="8"/>
  <c r="AC8669" i="8"/>
  <c r="AD8669" i="8"/>
  <c r="AC8670" i="8"/>
  <c r="AD8670" i="8"/>
  <c r="AC8671" i="8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209" i="8"/>
  <c r="V9211" i="8"/>
  <c r="V9214" i="8"/>
  <c r="V9225" i="8"/>
  <c r="V9227" i="8"/>
  <c r="V9229" i="8"/>
  <c r="V9230" i="8"/>
  <c r="V9239" i="8"/>
  <c r="V9241" i="8"/>
  <c r="V9243" i="8"/>
  <c r="V9246" i="8"/>
  <c r="V9254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9" i="8"/>
  <c r="V6011" i="8"/>
  <c r="V6013" i="8"/>
  <c r="V6014" i="8"/>
  <c r="V6015" i="8"/>
  <c r="V6017" i="8"/>
  <c r="V6019" i="8"/>
  <c r="V6021" i="8"/>
  <c r="V6022" i="8"/>
  <c r="V6023" i="8"/>
  <c r="V6025" i="8"/>
  <c r="V6027" i="8"/>
  <c r="V6029" i="8"/>
  <c r="V6030" i="8"/>
  <c r="V6031" i="8"/>
  <c r="V6033" i="8"/>
  <c r="V6035" i="8"/>
  <c r="V6037" i="8"/>
  <c r="V6038" i="8"/>
  <c r="V6039" i="8"/>
  <c r="V6041" i="8"/>
  <c r="V6043" i="8"/>
  <c r="V6045" i="8"/>
  <c r="V6046" i="8"/>
  <c r="V6047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5" i="8"/>
  <c r="V6067" i="8"/>
  <c r="V6069" i="8"/>
  <c r="V6070" i="8"/>
  <c r="V6071" i="8"/>
  <c r="V6073" i="8"/>
  <c r="V6075" i="8"/>
  <c r="V6078" i="8"/>
  <c r="V6079" i="8"/>
  <c r="V6081" i="8"/>
  <c r="V6083" i="8"/>
  <c r="V6085" i="8"/>
  <c r="V6086" i="8"/>
  <c r="V6087" i="8"/>
  <c r="V6089" i="8"/>
  <c r="V6091" i="8"/>
  <c r="V6093" i="8"/>
  <c r="V6094" i="8"/>
  <c r="V6095" i="8"/>
  <c r="V6097" i="8"/>
  <c r="V6099" i="8"/>
  <c r="V6101" i="8"/>
  <c r="V6102" i="8"/>
  <c r="V6103" i="8"/>
  <c r="V6105" i="8"/>
  <c r="V6107" i="8"/>
  <c r="V6108" i="8"/>
  <c r="V6110" i="8"/>
  <c r="V6111" i="8"/>
  <c r="V6113" i="8"/>
  <c r="V6115" i="8"/>
  <c r="V6117" i="8"/>
  <c r="V6118" i="8"/>
  <c r="V6119" i="8"/>
  <c r="V6121" i="8"/>
  <c r="V6123" i="8"/>
  <c r="V6125" i="8"/>
  <c r="V6126" i="8"/>
  <c r="V6127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5" i="8"/>
  <c r="V6347" i="8"/>
  <c r="V6349" i="8"/>
  <c r="V6350" i="8"/>
  <c r="V6351" i="8"/>
  <c r="V6353" i="8"/>
  <c r="V6355" i="8"/>
  <c r="V6357" i="8"/>
  <c r="V6358" i="8"/>
  <c r="V6359" i="8"/>
  <c r="V6360" i="8"/>
  <c r="V6361" i="8"/>
  <c r="V6363" i="8"/>
  <c r="V6365" i="8"/>
  <c r="V6366" i="8"/>
  <c r="V6367" i="8"/>
  <c r="V6369" i="8"/>
  <c r="V6371" i="8"/>
  <c r="V6373" i="8"/>
  <c r="V6374" i="8"/>
  <c r="V6375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5" i="8"/>
  <c r="V6427" i="8"/>
  <c r="V6428" i="8"/>
  <c r="V6429" i="8"/>
  <c r="V6430" i="8"/>
  <c r="V6431" i="8"/>
  <c r="V6433" i="8"/>
  <c r="V6435" i="8"/>
  <c r="V6437" i="8"/>
  <c r="V6438" i="8"/>
  <c r="V6439" i="8"/>
  <c r="V6440" i="8"/>
  <c r="V6441" i="8"/>
  <c r="V6443" i="8"/>
  <c r="V6445" i="8"/>
  <c r="V6446" i="8"/>
  <c r="V6447" i="8"/>
  <c r="V6449" i="8"/>
  <c r="V6451" i="8"/>
  <c r="V6453" i="8"/>
  <c r="V6454" i="8"/>
  <c r="V6455" i="8"/>
  <c r="V6457" i="8"/>
  <c r="V6459" i="8"/>
  <c r="V6461" i="8"/>
  <c r="V6462" i="8"/>
  <c r="V6463" i="8"/>
  <c r="V6465" i="8"/>
  <c r="V6467" i="8"/>
  <c r="V6469" i="8"/>
  <c r="V6470" i="8"/>
  <c r="V6471" i="8"/>
  <c r="V6472" i="8"/>
  <c r="V6473" i="8"/>
  <c r="V6475" i="8"/>
  <c r="V6477" i="8"/>
  <c r="V6478" i="8"/>
  <c r="V6479" i="8"/>
  <c r="V6481" i="8"/>
  <c r="V6483" i="8"/>
  <c r="V6485" i="8"/>
  <c r="V6486" i="8"/>
  <c r="V6487" i="8"/>
  <c r="V6489" i="8"/>
  <c r="V6491" i="8"/>
  <c r="V6492" i="8"/>
  <c r="V6493" i="8"/>
  <c r="V6494" i="8"/>
  <c r="V6495" i="8"/>
  <c r="V6497" i="8"/>
  <c r="V6499" i="8"/>
  <c r="V6501" i="8"/>
  <c r="V6502" i="8"/>
  <c r="V6503" i="8"/>
  <c r="V6505" i="8"/>
  <c r="V6507" i="8"/>
  <c r="V6509" i="8"/>
  <c r="V6510" i="8"/>
  <c r="V6511" i="8"/>
  <c r="V6513" i="8"/>
  <c r="V6515" i="8"/>
  <c r="V6517" i="8"/>
  <c r="V6518" i="8"/>
  <c r="V6519" i="8"/>
  <c r="V6521" i="8"/>
  <c r="V6523" i="8"/>
  <c r="V6525" i="8"/>
  <c r="V6526" i="8"/>
  <c r="V6527" i="8"/>
  <c r="V6529" i="8"/>
  <c r="V6531" i="8"/>
  <c r="V6533" i="8"/>
  <c r="V6534" i="8"/>
  <c r="V6535" i="8"/>
  <c r="V6537" i="8"/>
  <c r="V6539" i="8"/>
  <c r="V6541" i="8"/>
  <c r="V6542" i="8"/>
  <c r="V6543" i="8"/>
  <c r="V6545" i="8"/>
  <c r="V6548" i="8"/>
  <c r="V6549" i="8"/>
  <c r="V6550" i="8"/>
  <c r="V6551" i="8"/>
  <c r="V6553" i="8"/>
  <c r="V6555" i="8"/>
  <c r="V6557" i="8"/>
  <c r="V6558" i="8"/>
  <c r="V6559" i="8"/>
  <c r="V6561" i="8"/>
  <c r="V6565" i="8"/>
  <c r="V6566" i="8"/>
  <c r="V6567" i="8"/>
  <c r="V6568" i="8"/>
  <c r="V6569" i="8"/>
  <c r="V6573" i="8"/>
  <c r="V6574" i="8"/>
  <c r="V6575" i="8"/>
  <c r="V6577" i="8"/>
  <c r="V6581" i="8"/>
  <c r="V6582" i="8"/>
  <c r="V6583" i="8"/>
  <c r="V6585" i="8"/>
  <c r="V6589" i="8"/>
  <c r="V6590" i="8"/>
  <c r="V6591" i="8"/>
  <c r="V6593" i="8"/>
  <c r="V6597" i="8"/>
  <c r="V6598" i="8"/>
  <c r="V6599" i="8"/>
  <c r="V6601" i="8"/>
  <c r="V6603" i="8"/>
  <c r="V6605" i="8"/>
  <c r="V6606" i="8"/>
  <c r="V6607" i="8"/>
  <c r="V6609" i="8"/>
  <c r="V6613" i="8"/>
  <c r="V6614" i="8"/>
  <c r="V6615" i="8"/>
  <c r="V6617" i="8"/>
  <c r="V6619" i="8"/>
  <c r="V6621" i="8"/>
  <c r="V6622" i="8"/>
  <c r="V6623" i="8"/>
  <c r="V6625" i="8"/>
  <c r="V6629" i="8"/>
  <c r="V6630" i="8"/>
  <c r="V6631" i="8"/>
  <c r="V6633" i="8"/>
  <c r="V6637" i="8"/>
  <c r="V6638" i="8"/>
  <c r="V6639" i="8"/>
  <c r="V6641" i="8"/>
  <c r="V6645" i="8"/>
  <c r="V6646" i="8"/>
  <c r="V6647" i="8"/>
  <c r="V6649" i="8"/>
  <c r="V6653" i="8"/>
  <c r="V6654" i="8"/>
  <c r="V6655" i="8"/>
  <c r="V6657" i="8"/>
  <c r="V6661" i="8"/>
  <c r="V6662" i="8"/>
  <c r="V6663" i="8"/>
  <c r="V6665" i="8"/>
  <c r="V6667" i="8"/>
  <c r="V6669" i="8"/>
  <c r="V6670" i="8"/>
  <c r="V6671" i="8"/>
  <c r="V6677" i="8"/>
  <c r="V6678" i="8"/>
  <c r="V6679" i="8"/>
  <c r="V6680" i="8"/>
  <c r="V6681" i="8"/>
  <c r="V6683" i="8"/>
  <c r="V6685" i="8"/>
  <c r="V6686" i="8"/>
  <c r="V6687" i="8"/>
  <c r="V6689" i="8"/>
  <c r="V6693" i="8"/>
  <c r="V6694" i="8"/>
  <c r="V6695" i="8"/>
  <c r="V6697" i="8"/>
  <c r="V6701" i="8"/>
  <c r="V6702" i="8"/>
  <c r="V6703" i="8"/>
  <c r="V6704" i="8"/>
  <c r="V6705" i="8"/>
  <c r="V6709" i="8"/>
  <c r="V6710" i="8"/>
  <c r="V6711" i="8"/>
  <c r="V6713" i="8"/>
  <c r="V6717" i="8"/>
  <c r="V6718" i="8"/>
  <c r="V6719" i="8"/>
  <c r="V6721" i="8"/>
  <c r="V6725" i="8"/>
  <c r="V6726" i="8"/>
  <c r="V6727" i="8"/>
  <c r="V6729" i="8"/>
  <c r="V6731" i="8"/>
  <c r="V6732" i="8"/>
  <c r="V6733" i="8"/>
  <c r="V6734" i="8"/>
  <c r="V6735" i="8"/>
  <c r="V6737" i="8"/>
  <c r="V6741" i="8"/>
  <c r="V6742" i="8"/>
  <c r="V6743" i="8"/>
  <c r="V6747" i="8"/>
  <c r="V6749" i="8"/>
  <c r="V6750" i="8"/>
  <c r="V6751" i="8"/>
  <c r="V6752" i="8"/>
  <c r="V6753" i="8"/>
  <c r="V6757" i="8"/>
  <c r="V6758" i="8"/>
  <c r="V6759" i="8"/>
  <c r="V6761" i="8"/>
  <c r="V6763" i="8"/>
  <c r="V6765" i="8"/>
  <c r="V6766" i="8"/>
  <c r="V6767" i="8"/>
  <c r="V6769" i="8"/>
  <c r="V6771" i="8"/>
  <c r="V6773" i="8"/>
  <c r="V6774" i="8"/>
  <c r="V6775" i="8"/>
  <c r="V6777" i="8"/>
  <c r="V6781" i="8"/>
  <c r="V6782" i="8"/>
  <c r="V6783" i="8"/>
  <c r="V6785" i="8"/>
  <c r="V6787" i="8"/>
  <c r="V6789" i="8"/>
  <c r="V6790" i="8"/>
  <c r="V6791" i="8"/>
  <c r="V6795" i="8"/>
  <c r="V6797" i="8"/>
  <c r="V6798" i="8"/>
  <c r="V6799" i="8"/>
  <c r="V6801" i="8"/>
  <c r="V6803" i="8"/>
  <c r="V6805" i="8"/>
  <c r="V6806" i="8"/>
  <c r="V6807" i="8"/>
  <c r="V6809" i="8"/>
  <c r="V6811" i="8"/>
  <c r="V6814" i="8"/>
  <c r="V6815" i="8"/>
  <c r="V6817" i="8"/>
  <c r="V6820" i="8"/>
  <c r="V6822" i="8"/>
  <c r="V6823" i="8"/>
  <c r="V6825" i="8"/>
  <c r="V6827" i="8"/>
  <c r="V6829" i="8"/>
  <c r="V6830" i="8"/>
  <c r="V6831" i="8"/>
  <c r="V6835" i="8"/>
  <c r="V6838" i="8"/>
  <c r="V6839" i="8"/>
  <c r="V6841" i="8"/>
  <c r="V6843" i="8"/>
  <c r="V6845" i="8"/>
  <c r="V6846" i="8"/>
  <c r="V6847" i="8"/>
  <c r="V6849" i="8"/>
  <c r="V6851" i="8"/>
  <c r="V6853" i="8"/>
  <c r="V6854" i="8"/>
  <c r="V6855" i="8"/>
  <c r="V6857" i="8"/>
  <c r="V6859" i="8"/>
  <c r="V6861" i="8"/>
  <c r="V6862" i="8"/>
  <c r="V6863" i="8"/>
  <c r="V6865" i="8"/>
  <c r="V6867" i="8"/>
  <c r="V6868" i="8"/>
  <c r="V6870" i="8"/>
  <c r="V6871" i="8"/>
  <c r="V6873" i="8"/>
  <c r="V6875" i="8"/>
  <c r="V6877" i="8"/>
  <c r="V6878" i="8"/>
  <c r="V6879" i="8"/>
  <c r="V6885" i="8"/>
  <c r="V6886" i="8"/>
  <c r="V6887" i="8"/>
  <c r="V6889" i="8"/>
  <c r="V6891" i="8"/>
  <c r="V6894" i="8"/>
  <c r="V6895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3" i="8"/>
  <c r="V6915" i="8"/>
  <c r="V6917" i="8"/>
  <c r="V6918" i="8"/>
  <c r="V6919" i="8"/>
  <c r="V6921" i="8"/>
  <c r="V6923" i="8"/>
  <c r="V6926" i="8"/>
  <c r="V6927" i="8"/>
  <c r="V6929" i="8"/>
  <c r="V6931" i="8"/>
  <c r="V6933" i="8"/>
  <c r="V6934" i="8"/>
  <c r="V6935" i="8"/>
  <c r="V6936" i="8"/>
  <c r="V6937" i="8"/>
  <c r="V6939" i="8"/>
  <c r="V6942" i="8"/>
  <c r="V6943" i="8"/>
  <c r="V6945" i="8"/>
  <c r="V6948" i="8"/>
  <c r="V6950" i="8"/>
  <c r="V6951" i="8"/>
  <c r="V6953" i="8"/>
  <c r="V6955" i="8"/>
  <c r="V6958" i="8"/>
  <c r="V6959" i="8"/>
  <c r="V6961" i="8"/>
  <c r="V6963" i="8"/>
  <c r="V6965" i="8"/>
  <c r="V6966" i="8"/>
  <c r="V6967" i="8"/>
  <c r="V6971" i="8"/>
  <c r="V6973" i="8"/>
  <c r="V6974" i="8"/>
  <c r="V6975" i="8"/>
  <c r="V6977" i="8"/>
  <c r="V6979" i="8"/>
  <c r="V6982" i="8"/>
  <c r="V6983" i="8"/>
  <c r="V6985" i="8"/>
  <c r="V6987" i="8"/>
  <c r="V6988" i="8"/>
  <c r="V6989" i="8"/>
  <c r="V6990" i="8"/>
  <c r="V6991" i="8"/>
  <c r="V6993" i="8"/>
  <c r="V6995" i="8"/>
  <c r="V6998" i="8"/>
  <c r="V6999" i="8"/>
  <c r="V7003" i="8"/>
  <c r="V7005" i="8"/>
  <c r="V7006" i="8"/>
  <c r="V7007" i="8"/>
  <c r="V7008" i="8"/>
  <c r="V7009" i="8"/>
  <c r="V7014" i="8"/>
  <c r="V7015" i="8"/>
  <c r="V7017" i="8"/>
  <c r="V7019" i="8"/>
  <c r="V7021" i="8"/>
  <c r="V7022" i="8"/>
  <c r="V7023" i="8"/>
  <c r="V7025" i="8"/>
  <c r="V7027" i="8"/>
  <c r="V7028" i="8"/>
  <c r="V7029" i="8"/>
  <c r="V7030" i="8"/>
  <c r="V7031" i="8"/>
  <c r="V7033" i="8"/>
  <c r="V7035" i="8"/>
  <c r="V7038" i="8"/>
  <c r="V7039" i="8"/>
  <c r="V7043" i="8"/>
  <c r="V7045" i="8"/>
  <c r="V7046" i="8"/>
  <c r="V7047" i="8"/>
  <c r="V7051" i="8"/>
  <c r="V7054" i="8"/>
  <c r="V7055" i="8"/>
  <c r="V7057" i="8"/>
  <c r="V7059" i="8"/>
  <c r="V7061" i="8"/>
  <c r="V7062" i="8"/>
  <c r="V7063" i="8"/>
  <c r="V7065" i="8"/>
  <c r="V7067" i="8"/>
  <c r="V7070" i="8"/>
  <c r="V7071" i="8"/>
  <c r="V7073" i="8"/>
  <c r="V7077" i="8"/>
  <c r="V7078" i="8"/>
  <c r="V7079" i="8"/>
  <c r="V7083" i="8"/>
  <c r="V7085" i="8"/>
  <c r="V7086" i="8"/>
  <c r="V7087" i="8"/>
  <c r="V7091" i="8"/>
  <c r="V7094" i="8"/>
  <c r="V7095" i="8"/>
  <c r="V7096" i="8"/>
  <c r="V7097" i="8"/>
  <c r="V7099" i="8"/>
  <c r="V7101" i="8"/>
  <c r="V7102" i="8"/>
  <c r="V7103" i="8"/>
  <c r="V7105" i="8"/>
  <c r="V7107" i="8"/>
  <c r="V7110" i="8"/>
  <c r="V7111" i="8"/>
  <c r="V7113" i="8"/>
  <c r="V7115" i="8"/>
  <c r="V7117" i="8"/>
  <c r="V7118" i="8"/>
  <c r="V7119" i="8"/>
  <c r="V7121" i="8"/>
  <c r="V7123" i="8"/>
  <c r="V7126" i="8"/>
  <c r="V7127" i="8"/>
  <c r="V7131" i="8"/>
  <c r="V7134" i="8"/>
  <c r="V7135" i="8"/>
  <c r="V7137" i="8"/>
  <c r="V7141" i="8"/>
  <c r="V7142" i="8"/>
  <c r="V7143" i="8"/>
  <c r="V7145" i="8"/>
  <c r="V7147" i="8"/>
  <c r="V7148" i="8"/>
  <c r="V7150" i="8"/>
  <c r="V7151" i="8"/>
  <c r="V7153" i="8"/>
  <c r="V7155" i="8"/>
  <c r="V7157" i="8"/>
  <c r="V7158" i="8"/>
  <c r="V7159" i="8"/>
  <c r="V7163" i="8"/>
  <c r="V7166" i="8"/>
  <c r="V7167" i="8"/>
  <c r="V7171" i="8"/>
  <c r="V7173" i="8"/>
  <c r="V7174" i="8"/>
  <c r="V7175" i="8"/>
  <c r="V7177" i="8"/>
  <c r="V7179" i="8"/>
  <c r="V7182" i="8"/>
  <c r="V7183" i="8"/>
  <c r="V7185" i="8"/>
  <c r="V7187" i="8"/>
  <c r="V7188" i="8"/>
  <c r="V7190" i="8"/>
  <c r="V7191" i="8"/>
  <c r="V7193" i="8"/>
  <c r="V7195" i="8"/>
  <c r="V7197" i="8"/>
  <c r="V7198" i="8"/>
  <c r="V7199" i="8"/>
  <c r="V7206" i="8"/>
  <c r="V7207" i="8"/>
  <c r="V7208" i="8"/>
  <c r="V7209" i="8"/>
  <c r="V7211" i="8"/>
  <c r="V7213" i="8"/>
  <c r="V7214" i="8"/>
  <c r="V7215" i="8"/>
  <c r="V7217" i="8"/>
  <c r="V7219" i="8"/>
  <c r="V7222" i="8"/>
  <c r="V7223" i="8"/>
  <c r="V7225" i="8"/>
  <c r="V7227" i="8"/>
  <c r="V7229" i="8"/>
  <c r="V7230" i="8"/>
  <c r="V7231" i="8"/>
  <c r="V7233" i="8"/>
  <c r="V7235" i="8"/>
  <c r="V7238" i="8"/>
  <c r="V7239" i="8"/>
  <c r="V7243" i="8"/>
  <c r="V7246" i="8"/>
  <c r="V7247" i="8"/>
  <c r="V7249" i="8"/>
  <c r="V7251" i="8"/>
  <c r="V7253" i="8"/>
  <c r="V7254" i="8"/>
  <c r="V7255" i="8"/>
  <c r="V7256" i="8"/>
  <c r="V7257" i="8"/>
  <c r="V7259" i="8"/>
  <c r="V7261" i="8"/>
  <c r="V7262" i="8"/>
  <c r="V7263" i="8"/>
  <c r="V7265" i="8"/>
  <c r="V7267" i="8"/>
  <c r="V7268" i="8"/>
  <c r="V7270" i="8"/>
  <c r="V7271" i="8"/>
  <c r="V7273" i="8"/>
  <c r="V7275" i="8"/>
  <c r="V7277" i="8"/>
  <c r="V7278" i="8"/>
  <c r="V7279" i="8"/>
  <c r="V7283" i="8"/>
  <c r="V7286" i="8"/>
  <c r="V7287" i="8"/>
  <c r="V7291" i="8"/>
  <c r="V7293" i="8"/>
  <c r="V7294" i="8"/>
  <c r="V7295" i="8"/>
  <c r="V7297" i="8"/>
  <c r="V7299" i="8"/>
  <c r="V7302" i="8"/>
  <c r="V7303" i="8"/>
  <c r="V7304" i="8"/>
  <c r="V7305" i="8"/>
  <c r="V7307" i="8"/>
  <c r="V7308" i="8"/>
  <c r="V7310" i="8"/>
  <c r="V7311" i="8"/>
  <c r="V7313" i="8"/>
  <c r="V7315" i="8"/>
  <c r="V7317" i="8"/>
  <c r="V7318" i="8"/>
  <c r="V7319" i="8"/>
  <c r="V7323" i="8"/>
  <c r="V7325" i="8"/>
  <c r="V7326" i="8"/>
  <c r="V7327" i="8"/>
  <c r="V7331" i="8"/>
  <c r="V7334" i="8"/>
  <c r="V7335" i="8"/>
  <c r="V7337" i="8"/>
  <c r="V7339" i="8"/>
  <c r="V7341" i="8"/>
  <c r="V7342" i="8"/>
  <c r="V7343" i="8"/>
  <c r="V7345" i="8"/>
  <c r="V7347" i="8"/>
  <c r="V7350" i="8"/>
  <c r="V7351" i="8"/>
  <c r="V7352" i="8"/>
  <c r="V7353" i="8"/>
  <c r="V7355" i="8"/>
  <c r="V7357" i="8"/>
  <c r="V7358" i="8"/>
  <c r="V7359" i="8"/>
  <c r="V7361" i="8"/>
  <c r="V7363" i="8"/>
  <c r="V7366" i="8"/>
  <c r="V7367" i="8"/>
  <c r="V7371" i="8"/>
  <c r="V7374" i="8"/>
  <c r="V7375" i="8"/>
  <c r="V7377" i="8"/>
  <c r="V7379" i="8"/>
  <c r="V7381" i="8"/>
  <c r="V7382" i="8"/>
  <c r="V7383" i="8"/>
  <c r="V7385" i="8"/>
  <c r="V7387" i="8"/>
  <c r="V7389" i="8"/>
  <c r="V7390" i="8"/>
  <c r="V7391" i="8"/>
  <c r="V7393" i="8"/>
  <c r="V7395" i="8"/>
  <c r="V7397" i="8"/>
  <c r="V7398" i="8"/>
  <c r="V7399" i="8"/>
  <c r="V7401" i="8"/>
  <c r="V7403" i="8"/>
  <c r="V7406" i="8"/>
  <c r="V7407" i="8"/>
  <c r="V7411" i="8"/>
  <c r="V7413" i="8"/>
  <c r="V7414" i="8"/>
  <c r="V7415" i="8"/>
  <c r="V7419" i="8"/>
  <c r="V7422" i="8"/>
  <c r="V7423" i="8"/>
  <c r="V7425" i="8"/>
  <c r="V7427" i="8"/>
  <c r="V7429" i="8"/>
  <c r="V7430" i="8"/>
  <c r="V7431" i="8"/>
  <c r="V7433" i="8"/>
  <c r="V7435" i="8"/>
  <c r="V7437" i="8"/>
  <c r="V7438" i="8"/>
  <c r="V7439" i="8"/>
  <c r="V7443" i="8"/>
  <c r="V7445" i="8"/>
  <c r="V7446" i="8"/>
  <c r="V7447" i="8"/>
  <c r="V7448" i="8"/>
  <c r="V7449" i="8"/>
  <c r="V7451" i="8"/>
  <c r="V7454" i="8"/>
  <c r="V7455" i="8"/>
  <c r="V7457" i="8"/>
  <c r="V7459" i="8"/>
  <c r="V7462" i="8"/>
  <c r="V7463" i="8"/>
  <c r="V7467" i="8"/>
  <c r="V7470" i="8"/>
  <c r="V7471" i="8"/>
  <c r="V7473" i="8"/>
  <c r="V7475" i="8"/>
  <c r="V7477" i="8"/>
  <c r="V7478" i="8"/>
  <c r="V7479" i="8"/>
  <c r="V7481" i="8"/>
  <c r="V7483" i="8"/>
  <c r="V7485" i="8"/>
  <c r="V7486" i="8"/>
  <c r="V7487" i="8"/>
  <c r="V7489" i="8"/>
  <c r="V7491" i="8"/>
  <c r="V7494" i="8"/>
  <c r="V7495" i="8"/>
  <c r="V7499" i="8"/>
  <c r="V7502" i="8"/>
  <c r="V7503" i="8"/>
  <c r="V7505" i="8"/>
  <c r="V7507" i="8"/>
  <c r="V7509" i="8"/>
  <c r="V7510" i="8"/>
  <c r="V7511" i="8"/>
  <c r="V7513" i="8"/>
  <c r="V7515" i="8"/>
  <c r="V7517" i="8"/>
  <c r="V7518" i="8"/>
  <c r="V7519" i="8"/>
  <c r="V7523" i="8"/>
  <c r="V7526" i="8"/>
  <c r="V7527" i="8"/>
  <c r="V7529" i="8"/>
  <c r="V7531" i="8"/>
  <c r="V7533" i="8"/>
  <c r="V7534" i="8"/>
  <c r="V7535" i="8"/>
  <c r="V7537" i="8"/>
  <c r="V7539" i="8"/>
  <c r="V7542" i="8"/>
  <c r="V7543" i="8"/>
  <c r="V7545" i="8"/>
  <c r="V7547" i="8"/>
  <c r="V7549" i="8"/>
  <c r="V7550" i="8"/>
  <c r="V7551" i="8"/>
  <c r="V7555" i="8"/>
  <c r="V7557" i="8"/>
  <c r="V7558" i="8"/>
  <c r="V7559" i="8"/>
  <c r="V7563" i="8"/>
  <c r="V7566" i="8"/>
  <c r="V7567" i="8"/>
  <c r="V7571" i="8"/>
  <c r="V7574" i="8"/>
  <c r="V7575" i="8"/>
  <c r="V7579" i="8"/>
  <c r="V7581" i="8"/>
  <c r="V7582" i="8"/>
  <c r="V7583" i="8"/>
  <c r="V7587" i="8"/>
  <c r="V7589" i="8"/>
  <c r="V7590" i="8"/>
  <c r="V7591" i="8"/>
  <c r="V7593" i="8"/>
  <c r="V7595" i="8"/>
  <c r="V7598" i="8"/>
  <c r="V7599" i="8"/>
  <c r="V7600" i="8"/>
  <c r="V7601" i="8"/>
  <c r="V7603" i="8"/>
  <c r="V7606" i="8"/>
  <c r="V7607" i="8"/>
  <c r="V7611" i="8"/>
  <c r="V7614" i="8"/>
  <c r="V7615" i="8"/>
  <c r="V7617" i="8"/>
  <c r="V7619" i="8"/>
  <c r="V7621" i="8"/>
  <c r="V7622" i="8"/>
  <c r="V7623" i="8"/>
  <c r="V7627" i="8"/>
  <c r="V7629" i="8"/>
  <c r="V7630" i="8"/>
  <c r="V7631" i="8"/>
  <c r="V7633" i="8"/>
  <c r="V7635" i="8"/>
  <c r="V7638" i="8"/>
  <c r="V7639" i="8"/>
  <c r="V7643" i="8"/>
  <c r="V7646" i="8"/>
  <c r="V7647" i="8"/>
  <c r="V7651" i="8"/>
  <c r="V7653" i="8"/>
  <c r="V7654" i="8"/>
  <c r="V7655" i="8"/>
  <c r="V7657" i="8"/>
  <c r="V7659" i="8"/>
  <c r="V7662" i="8"/>
  <c r="V7663" i="8"/>
  <c r="V7667" i="8"/>
  <c r="V7669" i="8"/>
  <c r="V7670" i="8"/>
  <c r="V7671" i="8"/>
  <c r="V7675" i="8"/>
  <c r="V7678" i="8"/>
  <c r="V7679" i="8"/>
  <c r="V7680" i="8"/>
  <c r="V7683" i="8"/>
  <c r="V7686" i="8"/>
  <c r="V7687" i="8"/>
  <c r="V7691" i="8"/>
  <c r="V7693" i="8"/>
  <c r="V7694" i="8"/>
  <c r="V7695" i="8"/>
  <c r="V7699" i="8"/>
  <c r="V7701" i="8"/>
  <c r="V7702" i="8"/>
  <c r="V7703" i="8"/>
  <c r="V7705" i="8"/>
  <c r="V7707" i="8"/>
  <c r="V7710" i="8"/>
  <c r="V7711" i="8"/>
  <c r="V7713" i="8"/>
  <c r="V7715" i="8"/>
  <c r="V7718" i="8"/>
  <c r="V7719" i="8"/>
  <c r="V7720" i="8"/>
  <c r="V7723" i="8"/>
  <c r="V7726" i="8"/>
  <c r="V7727" i="8"/>
  <c r="V7729" i="8"/>
  <c r="V7731" i="8"/>
  <c r="V7733" i="8"/>
  <c r="V7734" i="8"/>
  <c r="V7735" i="8"/>
  <c r="V7739" i="8"/>
  <c r="V7741" i="8"/>
  <c r="V7742" i="8"/>
  <c r="V7743" i="8"/>
  <c r="V7745" i="8"/>
  <c r="V7747" i="8"/>
  <c r="V7750" i="8"/>
  <c r="V7751" i="8"/>
  <c r="V7755" i="8"/>
  <c r="V7758" i="8"/>
  <c r="V7759" i="8"/>
  <c r="V7760" i="8"/>
  <c r="V7763" i="8"/>
  <c r="V7765" i="8"/>
  <c r="V7766" i="8"/>
  <c r="V7767" i="8"/>
  <c r="V7769" i="8"/>
  <c r="V7771" i="8"/>
  <c r="V7773" i="8"/>
  <c r="V7774" i="8"/>
  <c r="V7775" i="8"/>
  <c r="V7779" i="8"/>
  <c r="V7782" i="8"/>
  <c r="V7783" i="8"/>
  <c r="V7785" i="8"/>
  <c r="V7787" i="8"/>
  <c r="V7789" i="8"/>
  <c r="V7790" i="8"/>
  <c r="V7791" i="8"/>
  <c r="V7795" i="8"/>
  <c r="V7798" i="8"/>
  <c r="V7799" i="8"/>
  <c r="V7803" i="8"/>
  <c r="V7806" i="8"/>
  <c r="V7807" i="8"/>
  <c r="V7809" i="8"/>
  <c r="V7811" i="8"/>
  <c r="V7814" i="8"/>
  <c r="V7817" i="8"/>
  <c r="V7819" i="8"/>
  <c r="V7821" i="8"/>
  <c r="V7822" i="8"/>
  <c r="V7823" i="8"/>
  <c r="V7824" i="8"/>
  <c r="V7827" i="8"/>
  <c r="V7830" i="8"/>
  <c r="V7831" i="8"/>
  <c r="V7833" i="8"/>
  <c r="V7835" i="8"/>
  <c r="V7838" i="8"/>
  <c r="V7839" i="8"/>
  <c r="V7841" i="8"/>
  <c r="V7843" i="8"/>
  <c r="V7846" i="8"/>
  <c r="V7847" i="8"/>
  <c r="V7851" i="8"/>
  <c r="V7854" i="8"/>
  <c r="V7857" i="8"/>
  <c r="V7859" i="8"/>
  <c r="V7862" i="8"/>
  <c r="V7863" i="8"/>
  <c r="V7865" i="8"/>
  <c r="V7867" i="8"/>
  <c r="V7869" i="8"/>
  <c r="V7870" i="8"/>
  <c r="V7871" i="8"/>
  <c r="V7875" i="8"/>
  <c r="V7877" i="8"/>
  <c r="V7878" i="8"/>
  <c r="V7883" i="8"/>
  <c r="V7886" i="8"/>
  <c r="V7887" i="8"/>
  <c r="V7891" i="8"/>
  <c r="V7894" i="8"/>
  <c r="V7899" i="8"/>
  <c r="V7901" i="8"/>
  <c r="V7902" i="8"/>
  <c r="V7903" i="8"/>
  <c r="V7907" i="8"/>
  <c r="V7909" i="8"/>
  <c r="V7910" i="8"/>
  <c r="V7911" i="8"/>
  <c r="V7913" i="8"/>
  <c r="V7915" i="8"/>
  <c r="V7918" i="8"/>
  <c r="V7919" i="8"/>
  <c r="V7921" i="8"/>
  <c r="V7923" i="8"/>
  <c r="V7925" i="8"/>
  <c r="V7926" i="8"/>
  <c r="V7927" i="8"/>
  <c r="V7931" i="8"/>
  <c r="V7934" i="8"/>
  <c r="V7935" i="8"/>
  <c r="V7937" i="8"/>
  <c r="V7939" i="8"/>
  <c r="V7942" i="8"/>
  <c r="V7943" i="8"/>
  <c r="V7944" i="8"/>
  <c r="V7945" i="8"/>
  <c r="V7947" i="8"/>
  <c r="V7950" i="8"/>
  <c r="V7951" i="8"/>
  <c r="V7955" i="8"/>
  <c r="V7957" i="8"/>
  <c r="V7958" i="8"/>
  <c r="V7961" i="8"/>
  <c r="V7963" i="8"/>
  <c r="V7966" i="8"/>
  <c r="V7967" i="8"/>
  <c r="V7969" i="8"/>
  <c r="V7971" i="8"/>
  <c r="V7974" i="8"/>
  <c r="V7975" i="8"/>
  <c r="V7979" i="8"/>
  <c r="V7981" i="8"/>
  <c r="V7982" i="8"/>
  <c r="V7983" i="8"/>
  <c r="V7987" i="8"/>
  <c r="V7990" i="8"/>
  <c r="V7991" i="8"/>
  <c r="V7995" i="8"/>
  <c r="V7998" i="8"/>
  <c r="V7999" i="8"/>
  <c r="V8003" i="8"/>
  <c r="V8005" i="8"/>
  <c r="V8006" i="8"/>
  <c r="V8007" i="8"/>
  <c r="V8011" i="8"/>
  <c r="V8013" i="8"/>
  <c r="V8014" i="8"/>
  <c r="V8015" i="8"/>
  <c r="V8017" i="8"/>
  <c r="V8019" i="8"/>
  <c r="V8022" i="8"/>
  <c r="V8023" i="8"/>
  <c r="V8025" i="8"/>
  <c r="V8027" i="8"/>
  <c r="V8030" i="8"/>
  <c r="V8031" i="8"/>
  <c r="V8035" i="8"/>
  <c r="V8037" i="8"/>
  <c r="V8038" i="8"/>
  <c r="V8039" i="8"/>
  <c r="V8041" i="8"/>
  <c r="V8043" i="8"/>
  <c r="V8046" i="8"/>
  <c r="V8047" i="8"/>
  <c r="V8049" i="8"/>
  <c r="V8051" i="8"/>
  <c r="V8054" i="8"/>
  <c r="V8055" i="8"/>
  <c r="V8059" i="8"/>
  <c r="V8061" i="8"/>
  <c r="V8062" i="8"/>
  <c r="V8063" i="8"/>
  <c r="V8064" i="8"/>
  <c r="V8065" i="8"/>
  <c r="V8067" i="8"/>
  <c r="V8070" i="8"/>
  <c r="V8071" i="8"/>
  <c r="V8073" i="8"/>
  <c r="V8075" i="8"/>
  <c r="V8078" i="8"/>
  <c r="V8083" i="8"/>
  <c r="V8086" i="8"/>
  <c r="V8087" i="8"/>
  <c r="V8089" i="8"/>
  <c r="V8091" i="8"/>
  <c r="V8093" i="8"/>
  <c r="V8094" i="8"/>
  <c r="V8095" i="8"/>
  <c r="V8097" i="8"/>
  <c r="V8099" i="8"/>
  <c r="V8102" i="8"/>
  <c r="V8103" i="8"/>
  <c r="V8107" i="8"/>
  <c r="V8109" i="8"/>
  <c r="V8110" i="8"/>
  <c r="V8111" i="8"/>
  <c r="V8115" i="8"/>
  <c r="V8117" i="8"/>
  <c r="V8118" i="8"/>
  <c r="V8119" i="8"/>
  <c r="V8121" i="8"/>
  <c r="V8123" i="8"/>
  <c r="V8126" i="8"/>
  <c r="V8127" i="8"/>
  <c r="V8129" i="8"/>
  <c r="V8131" i="8"/>
  <c r="V8134" i="8"/>
  <c r="V8135" i="8"/>
  <c r="V8139" i="8"/>
  <c r="V8141" i="8"/>
  <c r="V8142" i="8"/>
  <c r="V8143" i="8"/>
  <c r="V8145" i="8"/>
  <c r="V8147" i="8"/>
  <c r="V8149" i="8"/>
  <c r="V8150" i="8"/>
  <c r="V8151" i="8"/>
  <c r="V8153" i="8"/>
  <c r="V8155" i="8"/>
  <c r="V8158" i="8"/>
  <c r="V8159" i="8"/>
  <c r="V8163" i="8"/>
  <c r="V8166" i="8"/>
  <c r="V8167" i="8"/>
  <c r="V8168" i="8"/>
  <c r="V8169" i="8"/>
  <c r="V8171" i="8"/>
  <c r="V8174" i="8"/>
  <c r="V8175" i="8"/>
  <c r="V8177" i="8"/>
  <c r="V8179" i="8"/>
  <c r="V8182" i="8"/>
  <c r="V8187" i="8"/>
  <c r="V8190" i="8"/>
  <c r="V8193" i="8"/>
  <c r="V8195" i="8"/>
  <c r="V8197" i="8"/>
  <c r="V8198" i="8"/>
  <c r="V8199" i="8"/>
  <c r="V8201" i="8"/>
  <c r="V8203" i="8"/>
  <c r="V8205" i="8"/>
  <c r="V8206" i="8"/>
  <c r="V8207" i="8"/>
  <c r="V8211" i="8"/>
  <c r="V8213" i="8"/>
  <c r="V8214" i="8"/>
  <c r="V8217" i="8"/>
  <c r="V8219" i="8"/>
  <c r="V8222" i="8"/>
  <c r="V8223" i="8"/>
  <c r="V8225" i="8"/>
  <c r="V8227" i="8"/>
  <c r="V8229" i="8"/>
  <c r="V8230" i="8"/>
  <c r="V8231" i="8"/>
  <c r="V8233" i="8"/>
  <c r="V8235" i="8"/>
  <c r="V8238" i="8"/>
  <c r="V8239" i="8"/>
  <c r="V8243" i="8"/>
  <c r="V8246" i="8"/>
  <c r="V8247" i="8"/>
  <c r="V8251" i="8"/>
  <c r="V8254" i="8"/>
  <c r="V8255" i="8"/>
  <c r="V8259" i="8"/>
  <c r="V8261" i="8"/>
  <c r="V8262" i="8"/>
  <c r="V8265" i="8"/>
  <c r="V8267" i="8"/>
  <c r="V8269" i="8"/>
  <c r="V8270" i="8"/>
  <c r="V8271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7" i="8"/>
  <c r="V8310" i="8"/>
  <c r="V8311" i="8"/>
  <c r="V8313" i="8"/>
  <c r="V8315" i="8"/>
  <c r="V8318" i="8"/>
  <c r="V8321" i="8"/>
  <c r="V8323" i="8"/>
  <c r="V8325" i="8"/>
  <c r="V8326" i="8"/>
  <c r="V8327" i="8"/>
  <c r="V8331" i="8"/>
  <c r="V8334" i="8"/>
  <c r="V8335" i="8"/>
  <c r="V8337" i="8"/>
  <c r="V8339" i="8"/>
  <c r="V8341" i="8"/>
  <c r="V8342" i="8"/>
  <c r="V8343" i="8"/>
  <c r="V8345" i="8"/>
  <c r="V8347" i="8"/>
  <c r="V8349" i="8"/>
  <c r="V8350" i="8"/>
  <c r="V8355" i="8"/>
  <c r="V8357" i="8"/>
  <c r="V8358" i="8"/>
  <c r="V8361" i="8"/>
  <c r="V8363" i="8"/>
  <c r="V8365" i="8"/>
  <c r="V8366" i="8"/>
  <c r="V8367" i="8"/>
  <c r="V8369" i="8"/>
  <c r="V8371" i="8"/>
  <c r="V8374" i="8"/>
  <c r="V8375" i="8"/>
  <c r="V8379" i="8"/>
  <c r="V8381" i="8"/>
  <c r="V8382" i="8"/>
  <c r="V8383" i="8"/>
  <c r="V8387" i="8"/>
  <c r="V8389" i="8"/>
  <c r="V8390" i="8"/>
  <c r="V8395" i="8"/>
  <c r="V8397" i="8"/>
  <c r="V8398" i="8"/>
  <c r="V8401" i="8"/>
  <c r="V8403" i="8"/>
  <c r="V8406" i="8"/>
  <c r="V8409" i="8"/>
  <c r="V8411" i="8"/>
  <c r="V8413" i="8"/>
  <c r="V8414" i="8"/>
  <c r="V8415" i="8"/>
  <c r="V8419" i="8"/>
  <c r="V8420" i="8"/>
  <c r="V8422" i="8"/>
  <c r="V8423" i="8"/>
  <c r="V8427" i="8"/>
  <c r="V8430" i="8"/>
  <c r="V8431" i="8"/>
  <c r="V8433" i="8"/>
  <c r="V8435" i="8"/>
  <c r="V8437" i="8"/>
  <c r="V8438" i="8"/>
  <c r="V8439" i="8"/>
  <c r="V8443" i="8"/>
  <c r="V8445" i="8"/>
  <c r="V8446" i="8"/>
  <c r="V8449" i="8"/>
  <c r="V8451" i="8"/>
  <c r="V8454" i="8"/>
  <c r="V8457" i="8"/>
  <c r="V8459" i="8"/>
  <c r="V8462" i="8"/>
  <c r="V8465" i="8"/>
  <c r="V8467" i="8"/>
  <c r="V8469" i="8"/>
  <c r="V8470" i="8"/>
  <c r="V8471" i="8"/>
  <c r="V8475" i="8"/>
  <c r="V8478" i="8"/>
  <c r="V8479" i="8"/>
  <c r="V8481" i="8"/>
  <c r="V8483" i="8"/>
  <c r="V8485" i="8"/>
  <c r="V8486" i="8"/>
  <c r="V8487" i="8"/>
  <c r="V8489" i="8"/>
  <c r="V8491" i="8"/>
  <c r="V8493" i="8"/>
  <c r="V8494" i="8"/>
  <c r="V8499" i="8"/>
  <c r="V8501" i="8"/>
  <c r="V8502" i="8"/>
  <c r="V8507" i="8"/>
  <c r="V8510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5" i="8"/>
  <c r="V8547" i="8"/>
  <c r="V8550" i="8"/>
  <c r="V8551" i="8"/>
  <c r="V8555" i="8"/>
  <c r="V8558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5" i="8"/>
  <c r="V8597" i="8"/>
  <c r="V8598" i="8"/>
  <c r="V8601" i="8"/>
  <c r="V8603" i="8"/>
  <c r="V8605" i="8"/>
  <c r="V8606" i="8"/>
  <c r="V8607" i="8"/>
  <c r="V8609" i="8"/>
  <c r="V8611" i="8"/>
  <c r="V8614" i="8"/>
  <c r="V8619" i="8"/>
  <c r="V8621" i="8"/>
  <c r="V8622" i="8"/>
  <c r="V8623" i="8"/>
  <c r="V8627" i="8"/>
  <c r="V8629" i="8"/>
  <c r="V8630" i="8"/>
  <c r="V8633" i="8"/>
  <c r="V8635" i="8"/>
  <c r="V8638" i="8"/>
  <c r="V8639" i="8"/>
  <c r="V8640" i="8"/>
  <c r="V8643" i="8"/>
  <c r="V8646" i="8"/>
  <c r="V8651" i="8"/>
  <c r="V8654" i="8"/>
  <c r="V8655" i="8"/>
  <c r="V8659" i="8"/>
  <c r="V8662" i="8"/>
  <c r="V8667" i="8"/>
  <c r="V8670" i="8"/>
  <c r="V8675" i="8"/>
  <c r="V8678" i="8"/>
  <c r="V8679" i="8"/>
  <c r="V8681" i="8"/>
  <c r="V8683" i="8"/>
  <c r="V8686" i="8"/>
  <c r="V8691" i="8"/>
  <c r="V8694" i="8"/>
  <c r="V8695" i="8"/>
  <c r="V8697" i="8"/>
  <c r="V8699" i="8"/>
  <c r="V8702" i="8"/>
  <c r="V8705" i="8"/>
  <c r="V8707" i="8"/>
  <c r="V8709" i="8"/>
  <c r="V8710" i="8"/>
  <c r="V8715" i="8"/>
  <c r="V8718" i="8"/>
  <c r="V8723" i="8"/>
  <c r="V8726" i="8"/>
  <c r="V8727" i="8"/>
  <c r="V8731" i="8"/>
  <c r="V8734" i="8"/>
  <c r="V8735" i="8"/>
  <c r="V8739" i="8"/>
  <c r="V8742" i="8"/>
  <c r="V8747" i="8"/>
  <c r="V8750" i="8"/>
  <c r="V8751" i="8"/>
  <c r="V8755" i="8"/>
  <c r="V8758" i="8"/>
  <c r="V8763" i="8"/>
  <c r="V8766" i="8"/>
  <c r="V8767" i="8"/>
  <c r="V8769" i="8"/>
  <c r="V8771" i="8"/>
  <c r="V8774" i="8"/>
  <c r="V8777" i="8"/>
  <c r="V8779" i="8"/>
  <c r="V8782" i="8"/>
  <c r="V8783" i="8"/>
  <c r="V8785" i="8"/>
  <c r="V8787" i="8"/>
  <c r="V8790" i="8"/>
  <c r="V8793" i="8"/>
  <c r="V8795" i="8"/>
  <c r="V8798" i="8"/>
  <c r="V8799" i="8"/>
  <c r="V8801" i="8"/>
  <c r="V8803" i="8"/>
  <c r="V8806" i="8"/>
  <c r="V8809" i="8"/>
  <c r="V8811" i="8"/>
  <c r="V8813" i="8"/>
  <c r="V8814" i="8"/>
  <c r="V8815" i="8"/>
  <c r="V8819" i="8"/>
  <c r="V8821" i="8"/>
  <c r="V8822" i="8"/>
  <c r="V8827" i="8"/>
  <c r="V8830" i="8"/>
  <c r="V8831" i="8"/>
  <c r="V8833" i="8"/>
  <c r="V8835" i="8"/>
  <c r="V8838" i="8"/>
  <c r="V8843" i="8"/>
  <c r="V8846" i="8"/>
  <c r="V8847" i="8"/>
  <c r="V8849" i="8"/>
  <c r="V8851" i="8"/>
  <c r="V8854" i="8"/>
  <c r="V8859" i="8"/>
  <c r="V8862" i="8"/>
  <c r="V8863" i="8"/>
  <c r="V8865" i="8"/>
  <c r="V8867" i="8"/>
  <c r="V8870" i="8"/>
  <c r="V8875" i="8"/>
  <c r="V8878" i="8"/>
  <c r="V8879" i="8"/>
  <c r="V8881" i="8"/>
  <c r="V8883" i="8"/>
  <c r="V8885" i="8"/>
  <c r="V8886" i="8"/>
  <c r="V8891" i="8"/>
  <c r="V8894" i="8"/>
  <c r="V8895" i="8"/>
  <c r="V8897" i="8"/>
  <c r="V8899" i="8"/>
  <c r="V8902" i="8"/>
  <c r="V8905" i="8"/>
  <c r="V8907" i="8"/>
  <c r="V8910" i="8"/>
  <c r="V8911" i="8"/>
  <c r="V8913" i="8"/>
  <c r="V8915" i="8"/>
  <c r="V8918" i="8"/>
  <c r="V8921" i="8"/>
  <c r="V8923" i="8"/>
  <c r="V8926" i="8"/>
  <c r="V8927" i="8"/>
  <c r="V8929" i="8"/>
  <c r="V8931" i="8"/>
  <c r="V8933" i="8"/>
  <c r="V8934" i="8"/>
  <c r="V8937" i="8"/>
  <c r="V8939" i="8"/>
  <c r="V8941" i="8"/>
  <c r="V8942" i="8"/>
  <c r="V8947" i="8"/>
  <c r="V8950" i="8"/>
  <c r="V8955" i="8"/>
  <c r="V8957" i="8"/>
  <c r="V8958" i="8"/>
  <c r="V8959" i="8"/>
  <c r="V8961" i="8"/>
  <c r="V8963" i="8"/>
  <c r="V8966" i="8"/>
  <c r="V8971" i="8"/>
  <c r="V8974" i="8"/>
  <c r="V8975" i="8"/>
  <c r="V8977" i="8"/>
  <c r="V8979" i="8"/>
  <c r="V8981" i="8"/>
  <c r="V8982" i="8"/>
  <c r="V8989" i="8"/>
  <c r="V8990" i="8"/>
  <c r="V8991" i="8"/>
  <c r="V8995" i="8"/>
  <c r="V8998" i="8"/>
  <c r="V9003" i="8"/>
  <c r="V9006" i="8"/>
  <c r="V9007" i="8"/>
  <c r="V9011" i="8"/>
  <c r="V9014" i="8"/>
  <c r="V9017" i="8"/>
  <c r="V9019" i="8"/>
  <c r="V9022" i="8"/>
  <c r="V9027" i="8"/>
  <c r="V9029" i="8"/>
  <c r="V9030" i="8"/>
  <c r="V9031" i="8"/>
  <c r="V9035" i="8"/>
  <c r="V9037" i="8"/>
  <c r="V9038" i="8"/>
  <c r="V9039" i="8"/>
  <c r="V9043" i="8"/>
  <c r="V9046" i="8"/>
  <c r="V9051" i="8"/>
  <c r="V9054" i="8"/>
  <c r="V9059" i="8"/>
  <c r="V9062" i="8"/>
  <c r="V9063" i="8"/>
  <c r="V9067" i="8"/>
  <c r="V9070" i="8"/>
  <c r="V9071" i="8"/>
  <c r="V9075" i="8"/>
  <c r="V9078" i="8"/>
  <c r="V9081" i="8"/>
  <c r="V9083" i="8"/>
  <c r="V9085" i="8"/>
  <c r="V9086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E8927" i="8" l="1"/>
  <c r="AE8863" i="8"/>
  <c r="AE8691" i="8"/>
  <c r="AE8671" i="8"/>
  <c r="AE8667" i="8"/>
  <c r="AE8663" i="8"/>
  <c r="AE8659" i="8"/>
  <c r="AE8643" i="8"/>
  <c r="AE8639" i="8"/>
  <c r="AE8635" i="8"/>
  <c r="AE8631" i="8"/>
  <c r="AE8627" i="8"/>
  <c r="AE8623" i="8"/>
  <c r="AE8619" i="8"/>
  <c r="AE8615" i="8"/>
  <c r="AE8607" i="8"/>
  <c r="AE8603" i="8"/>
  <c r="AE8599" i="8"/>
  <c r="BE5" i="1"/>
  <c r="BF5" i="1" s="1"/>
  <c r="BE13" i="1"/>
  <c r="BF13" i="1" s="1"/>
  <c r="BE21" i="1"/>
  <c r="BF21" i="1" s="1"/>
  <c r="BE29" i="1"/>
  <c r="BF29" i="1" s="1"/>
  <c r="BE6" i="1"/>
  <c r="BF6" i="1" s="1"/>
  <c r="BE14" i="1"/>
  <c r="BF14" i="1" s="1"/>
  <c r="BE22" i="1"/>
  <c r="BF22" i="1" s="1"/>
  <c r="BE30" i="1"/>
  <c r="BF30" i="1" s="1"/>
  <c r="BE32" i="1"/>
  <c r="BF32" i="1" s="1"/>
  <c r="BE28" i="1"/>
  <c r="BF28" i="1" s="1"/>
  <c r="BE7" i="1"/>
  <c r="BF7" i="1" s="1"/>
  <c r="BE15" i="1"/>
  <c r="BF15" i="1" s="1"/>
  <c r="BE23" i="1"/>
  <c r="BF23" i="1" s="1"/>
  <c r="BE31" i="1"/>
  <c r="BF31" i="1" s="1"/>
  <c r="BE16" i="1"/>
  <c r="BF16" i="1" s="1"/>
  <c r="BE8" i="1"/>
  <c r="BF8" i="1" s="1"/>
  <c r="BE24" i="1"/>
  <c r="BF24" i="1" s="1"/>
  <c r="BE9" i="1"/>
  <c r="BF9" i="1" s="1"/>
  <c r="BE17" i="1"/>
  <c r="BF17" i="1" s="1"/>
  <c r="BE25" i="1"/>
  <c r="BF25" i="1" s="1"/>
  <c r="BE33" i="1"/>
  <c r="BF33" i="1" s="1"/>
  <c r="BE36" i="1"/>
  <c r="BF36" i="1" s="1"/>
  <c r="BE10" i="1"/>
  <c r="BF10" i="1" s="1"/>
  <c r="BE18" i="1"/>
  <c r="BF18" i="1" s="1"/>
  <c r="BE26" i="1"/>
  <c r="BF26" i="1" s="1"/>
  <c r="BE34" i="1"/>
  <c r="BF34" i="1" s="1"/>
  <c r="BE3" i="1"/>
  <c r="BF3" i="1" s="1"/>
  <c r="BE11" i="1"/>
  <c r="BF11" i="1" s="1"/>
  <c r="BE19" i="1"/>
  <c r="BF19" i="1" s="1"/>
  <c r="BE27" i="1"/>
  <c r="BF27" i="1" s="1"/>
  <c r="BE35" i="1"/>
  <c r="BF35" i="1" s="1"/>
  <c r="BE4" i="1"/>
  <c r="BF4" i="1" s="1"/>
  <c r="BE12" i="1"/>
  <c r="BF12" i="1" s="1"/>
  <c r="BE20" i="1"/>
  <c r="BF20" i="1" s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269" i="8" l="1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B26" i="1" s="1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31" i="1" l="1"/>
  <c r="B30" i="1"/>
  <c r="B24" i="1"/>
  <c r="B18" i="1"/>
  <c r="B17" i="1"/>
  <c r="B23" i="1"/>
  <c r="B9" i="1"/>
  <c r="BD5" i="1"/>
  <c r="B3" i="1"/>
  <c r="B34" i="1"/>
  <c r="B12" i="1"/>
  <c r="B22" i="1"/>
  <c r="BD34" i="1"/>
  <c r="BD10" i="1"/>
  <c r="BD6" i="1"/>
  <c r="BD18" i="1"/>
  <c r="B19" i="1"/>
  <c r="B5" i="1"/>
  <c r="B15" i="1"/>
  <c r="BD3" i="1"/>
  <c r="BD21" i="1"/>
  <c r="BD27" i="1"/>
  <c r="BD30" i="1"/>
  <c r="B6" i="1"/>
  <c r="B20" i="1"/>
  <c r="B16" i="1"/>
  <c r="BD7" i="1"/>
  <c r="BD22" i="1"/>
  <c r="BD25" i="1"/>
  <c r="BD12" i="1"/>
  <c r="B32" i="1"/>
  <c r="B33" i="1"/>
  <c r="B13" i="1"/>
  <c r="B10" i="1"/>
  <c r="BD32" i="1"/>
  <c r="BD20" i="1"/>
  <c r="BD29" i="1"/>
  <c r="BD36" i="1"/>
  <c r="B27" i="1"/>
  <c r="B7" i="1"/>
  <c r="B36" i="1"/>
  <c r="BD26" i="1"/>
  <c r="BD16" i="1"/>
  <c r="BD19" i="1"/>
  <c r="BD11" i="1"/>
  <c r="B4" i="1"/>
  <c r="B8" i="1"/>
  <c r="B29" i="1"/>
  <c r="BD31" i="1"/>
  <c r="BD14" i="1"/>
  <c r="BD9" i="1"/>
  <c r="BD17" i="1"/>
  <c r="B11" i="1"/>
  <c r="B14" i="1"/>
  <c r="B28" i="1"/>
  <c r="BD15" i="1"/>
  <c r="BD8" i="1"/>
  <c r="BD4" i="1"/>
  <c r="BD24" i="1"/>
  <c r="BD35" i="1"/>
  <c r="B25" i="1"/>
  <c r="B35" i="1"/>
  <c r="B21" i="1"/>
  <c r="BD13" i="1"/>
  <c r="BD28" i="1"/>
  <c r="BD33" i="1"/>
  <c r="BD23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BD2" i="1" s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<sst xmlns="http://schemas.openxmlformats.org/spreadsheetml/2006/main" count="7896" uniqueCount="2251">
  <si>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</si>
  <si>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</si>
  <si>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</si>
  <si>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</si>
  <si>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</si>
  <si>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</si>
  <si>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</si>
  <si>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</si>
  <si>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</si>
  <si>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</si>
  <si>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</si>
  <si>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</si>
  <si>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</si>
  <si>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</si>
  <si>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</si>
  <si>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</si>
  <si>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</si>
  <si>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</si>
  <si>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</si>
  <si>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</si>
  <si>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</si>
  <si>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</si>
  <si>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</si>
  <si>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</si>
  <si>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</si>
  <si>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</si>
  <si>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</si>
  <si>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</si>
  <si>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</si>
  <si>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</si>
  <si>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</si>
  <si>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</si>
  <si>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</si>
  <si>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</si>
  <si>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</si>
  <si>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</si>
  <si>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</si>
  <si>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</si>
  <si>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</si>
  <si>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</si>
  <si>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</si>
  <si>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</si>
  <si>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</si>
  <si>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</si>
  <si>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</si>
  <si>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</si>
  <si>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</si>
  <si>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</si>
  <si>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</si>
  <si>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</si>
  <si>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</si>
  <si>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</si>
  <si>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</si>
  <si>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</si>
  <si>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</si>
  <si>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</si>
  <si>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</si>
  <si>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</si>
  <si>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</si>
  <si>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</si>
  <si>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</si>
  <si>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</si>
  <si>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</si>
  <si>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</si>
  <si>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</si>
  <si>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</si>
  <si>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</si>
  <si>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</si>
  <si>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</si>
  <si>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</si>
  <si>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</si>
  <si>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</si>
  <si>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</si>
  <si>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</si>
  <si>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</si>
  <si>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</si>
  <si>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</si>
  <si>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</si>
  <si>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</si>
  <si>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</si>
  <si>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</si>
  <si>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</si>
  <si>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</si>
  <si>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</si>
  <si>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</si>
  <si>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</si>
  <si>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</si>
  <si>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</si>
  <si>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</si>
  <si>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</si>
  <si>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</si>
  <si>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</si>
  <si>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</si>
  <si>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</si>
  <si>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</si>
  <si>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</si>
  <si>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</si>
  <si>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</si>
  <si>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</si>
  <si>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</si>
  <si>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</si>
  <si>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</si>
  <si>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</si>
  <si>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</si>
  <si>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</si>
  <si>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</si>
  <si>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</si>
  <si>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</si>
  <si>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</si>
  <si>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</si>
  <si>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</si>
  <si>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</si>
  <si>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</si>
  <si>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</si>
  <si>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</si>
  <si>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</si>
  <si>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</si>
  <si>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</si>
  <si>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</si>
  <si>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</si>
  <si>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</si>
  <si>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</si>
  <si>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</si>
  <si>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</si>
  <si>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</si>
  <si>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</si>
  <si>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</si>
  <si>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</si>
  <si>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</si>
  <si>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</si>
  <si>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</si>
  <si>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</si>
  <si>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</si>
  <si>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</si>
  <si>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</si>
  <si>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</si>
  <si>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</si>
  <si>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</si>
  <si>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</si>
  <si>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</si>
  <si>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</si>
  <si>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</si>
  <si>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</si>
  <si>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</si>
  <si>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</si>
  <si>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</si>
  <si>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</si>
  <si>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</si>
  <si>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</si>
  <si>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</si>
  <si>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</si>
  <si>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</si>
  <si>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</si>
  <si>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</si>
  <si>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</si>
  <si>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</si>
  <si>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</si>
  <si>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</si>
  <si>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</si>
  <si>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</si>
  <si>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</si>
  <si>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</si>
  <si>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</si>
  <si>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</si>
  <si>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</si>
  <si>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</si>
  <si>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</si>
  <si>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</si>
  <si>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</si>
  <si>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</si>
  <si>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</si>
  <si>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</si>
  <si>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</si>
  <si>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</si>
  <si>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</si>
  <si>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</si>
  <si>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</si>
  <si>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</si>
  <si>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</si>
  <si>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</si>
  <si>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</si>
  <si>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</si>
  <si>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</si>
  <si>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</si>
  <si>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</si>
  <si>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</si>
  <si>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</si>
  <si>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</si>
  <si>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</si>
  <si>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</si>
  <si>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</si>
  <si>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</si>
  <si>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</si>
  <si>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</si>
  <si>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</si>
  <si>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</si>
  <si>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</si>
  <si>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</si>
  <si>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</si>
  <si>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</si>
  <si>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</si>
  <si>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</si>
  <si>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</si>
  <si>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</si>
  <si>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</si>
  <si>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</si>
  <si>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</si>
  <si>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</si>
  <si>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</si>
  <si>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</si>
  <si>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</si>
  <si>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</si>
  <si>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</si>
  <si>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</si>
  <si>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</si>
  <si>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</si>
  <si>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</si>
  <si>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</si>
  <si>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</si>
  <si>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</si>
  <si>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</si>
  <si>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</si>
  <si>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</si>
  <si>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</si>
  <si>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</si>
  <si>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</si>
  <si>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</si>
  <si>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</si>
  <si>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</si>
  <si>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</si>
  <si>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</si>
  <si>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</si>
  <si>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</si>
  <si>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</si>
  <si>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</si>
  <si>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</si>
  <si>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</si>
  <si>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</si>
  <si>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</si>
  <si>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</si>
  <si>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</si>
  <si>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</si>
  <si>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</si>
  <si>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</si>
  <si>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</si>
  <si>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</si>
  <si>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</si>
  <si>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</si>
  <si>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</si>
  <si>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</si>
  <si>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</si>
  <si>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</si>
  <si>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</si>
  <si>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</si>
  <si>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</si>
  <si>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</si>
  <si>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</si>
  <si>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</si>
  <si>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</si>
  <si>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</si>
  <si>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</si>
  <si>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</si>
  <si>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</si>
  <si>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</si>
  <si>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</si>
  <si>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</si>
  <si>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</si>
  <si>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</si>
  <si>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</si>
  <si>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</si>
  <si>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</si>
  <si>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</si>
  <si>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</si>
  <si>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</si>
  <si>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</si>
  <si>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</si>
  <si>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</si>
  <si>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</si>
  <si>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</si>
  <si>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</si>
  <si>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</si>
  <si>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</si>
  <si>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</si>
  <si>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</si>
  <si>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</si>
  <si>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</si>
  <si>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</si>
  <si>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</si>
  <si>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</si>
  <si>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</si>
  <si>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</si>
  <si>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</si>
  <si>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</si>
  <si>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</si>
  <si>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</si>
  <si>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</si>
  <si>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</si>
  <si>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</si>
  <si>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</si>
  <si>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</si>
  <si>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</si>
  <si>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</si>
  <si>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</si>
  <si>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</si>
  <si>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</si>
  <si>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</si>
  <si>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</si>
  <si>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</si>
  <si>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</si>
  <si>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</si>
  <si>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</si>
  <si>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</si>
  <si>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</si>
  <si>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</si>
  <si>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</si>
  <si>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</si>
  <si>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</si>
  <si>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</si>
  <si>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</si>
  <si>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</si>
  <si>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</si>
  <si>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</si>
  <si>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</si>
  <si>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</si>
  <si>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</si>
  <si>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</si>
  <si>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</si>
  <si>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</si>
  <si>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</si>
  <si>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</si>
  <si>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</si>
  <si>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</si>
  <si>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</si>
  <si>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</si>
  <si>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</si>
  <si>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</si>
  <si>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</si>
  <si>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</si>
  <si>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</si>
  <si>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</si>
  <si>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</si>
  <si>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</si>
  <si>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</si>
  <si>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</si>
  <si>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</si>
  <si>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</si>
  <si>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</si>
  <si>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</si>
  <si>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</si>
  <si>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</si>
  <si>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</si>
  <si>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</si>
  <si>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</si>
  <si>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</si>
  <si>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</si>
  <si>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</si>
  <si>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</si>
  <si>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</si>
  <si>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</si>
  <si>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</si>
  <si>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</si>
  <si>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</si>
  <si>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</si>
  <si>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</si>
  <si>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</si>
  <si>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</si>
  <si>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</si>
  <si>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</si>
  <si>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</si>
  <si>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</si>
  <si>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</si>
  <si>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</si>
  <si>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</si>
  <si>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</si>
  <si>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</si>
  <si>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</si>
  <si>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</si>
  <si>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</si>
  <si>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</si>
  <si>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</si>
  <si>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</si>
  <si>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</si>
  <si>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</si>
  <si>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</si>
  <si>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</si>
  <si>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</si>
  <si>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</si>
  <si>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</si>
  <si>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</si>
  <si>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</si>
  <si>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</si>
  <si>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</si>
  <si>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</si>
  <si>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</si>
  <si>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</si>
  <si>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</si>
  <si>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</si>
  <si>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</si>
  <si>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</si>
  <si>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</si>
  <si>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</si>
  <si>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</si>
  <si>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</si>
  <si>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</si>
  <si>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</si>
  <si>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</si>
  <si>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</si>
  <si>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</si>
  <si>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</si>
  <si>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</si>
  <si>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</si>
  <si>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</si>
  <si>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</si>
  <si>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</si>
  <si>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</si>
  <si>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</si>
  <si>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</si>
  <si>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</si>
  <si>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</si>
  <si>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</si>
  <si>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</si>
  <si>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</si>
  <si>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</si>
  <si>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</si>
  <si>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</si>
  <si>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</si>
  <si>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</si>
  <si>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</si>
  <si>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</si>
  <si>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</si>
  <si>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</si>
  <si>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</si>
  <si>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</si>
  <si>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</si>
  <si>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</si>
  <si>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</si>
  <si>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</si>
  <si>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</si>
  <si>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</si>
  <si>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</si>
  <si>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</si>
  <si>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</si>
  <si>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</si>
  <si>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</si>
  <si>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</si>
  <si>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</si>
  <si>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</si>
  <si>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</si>
  <si>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</si>
  <si>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</si>
  <si>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</si>
  <si>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</si>
  <si>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</si>
  <si>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</si>
  <si>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</si>
  <si>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</si>
  <si>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</si>
  <si>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</si>
  <si>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</si>
  <si>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</si>
  <si>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</si>
  <si>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</si>
  <si>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</si>
  <si>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</si>
  <si>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</si>
  <si>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</si>
  <si>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</si>
  <si>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</si>
  <si>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</si>
  <si>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</si>
  <si>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</si>
  <si>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</si>
  <si>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</si>
  <si>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</si>
  <si>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</si>
  <si>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</si>
  <si>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</si>
  <si>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</si>
  <si>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</si>
  <si>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</si>
  <si>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</si>
  <si>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</si>
  <si>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</si>
  <si>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</si>
  <si>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</si>
  <si>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</si>
  <si>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</si>
  <si>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</si>
  <si>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</si>
  <si>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</si>
  <si>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</si>
  <si>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</si>
  <si>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</si>
  <si>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</si>
  <si>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</si>
  <si>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</si>
  <si>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</si>
  <si>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</si>
  <si>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</si>
  <si>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</si>
  <si>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</si>
  <si>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</si>
  <si>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</si>
  <si>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</si>
  <si>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</si>
  <si>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</si>
  <si>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</si>
  <si>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</si>
  <si>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</si>
  <si>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</si>
  <si>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</si>
  <si>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</si>
  <si>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</si>
  <si>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</si>
  <si>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</si>
  <si>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</si>
  <si>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</si>
  <si>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</si>
  <si>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</si>
  <si>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</si>
  <si>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</si>
  <si>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</si>
  <si>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</si>
  <si>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</si>
  <si>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</si>
  <si>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</si>
  <si>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</si>
  <si>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</si>
  <si>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</si>
  <si>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</si>
  <si>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</si>
  <si>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</si>
  <si>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</si>
  <si>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</si>
  <si>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</si>
  <si>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</si>
  <si>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</si>
  <si>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</si>
  <si>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</si>
  <si>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</si>
  <si>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</si>
  <si>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</si>
  <si>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</si>
  <si>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</si>
  <si>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</si>
  <si>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</si>
  <si>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</si>
  <si>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</si>
  <si>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</si>
  <si>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</si>
  <si>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</si>
  <si>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</si>
  <si>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</si>
  <si>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</si>
  <si>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</si>
  <si>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</si>
  <si>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</si>
  <si>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</si>
  <si>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</si>
  <si>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</si>
  <si>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</si>
  <si>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</si>
  <si>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</si>
  <si>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</si>
  <si>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</si>
  <si>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</si>
  <si>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</si>
  <si>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</si>
  <si>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</si>
  <si>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</si>
  <si>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</si>
  <si>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</si>
  <si>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</si>
  <si>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</si>
  <si>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</si>
  <si>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</si>
  <si>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</si>
  <si>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</si>
  <si>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</si>
  <si>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</si>
  <si>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</si>
  <si>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</si>
  <si>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</si>
  <si>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</si>
  <si>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</si>
  <si>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</si>
  <si>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</si>
  <si>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</si>
  <si>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</si>
  <si>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</si>
  <si>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</si>
  <si>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</si>
  <si>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</si>
  <si>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</si>
  <si>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</si>
  <si>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</si>
  <si>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</si>
  <si>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</si>
  <si>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</si>
  <si>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</si>
  <si>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</si>
  <si>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</si>
  <si>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</si>
  <si>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</si>
  <si>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</si>
  <si>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</si>
  <si>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</si>
  <si>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</si>
  <si>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</si>
  <si>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</si>
  <si>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</si>
  <si>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</si>
  <si>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</si>
  <si>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</si>
  <si>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</si>
  <si>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</si>
  <si>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</si>
  <si>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</si>
  <si>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</si>
  <si>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</si>
  <si>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</si>
  <si>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</si>
  <si>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</si>
  <si>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</si>
  <si>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</si>
  <si>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</si>
  <si>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</si>
  <si>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</si>
  <si>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</si>
  <si>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</si>
  <si>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</si>
  <si>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</si>
  <si>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</si>
  <si>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</si>
  <si>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</si>
  <si>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</si>
  <si>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</si>
  <si>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</si>
  <si>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</si>
  <si>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</si>
  <si>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</si>
  <si>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</si>
  <si>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</si>
  <si>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</si>
  <si>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</si>
  <si>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</si>
  <si>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</si>
  <si>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</si>
  <si>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</si>
  <si>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</si>
  <si>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</si>
  <si>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</si>
  <si>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</si>
  <si>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</si>
  <si>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</si>
  <si>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</si>
  <si>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</si>
  <si>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</si>
  <si>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</si>
  <si>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</si>
  <si>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</si>
  <si>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</si>
  <si>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</si>
  <si>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</si>
  <si>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</si>
  <si>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</si>
  <si>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</si>
  <si>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</si>
  <si>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</si>
  <si>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</si>
  <si>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</si>
  <si>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</si>
  <si>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</si>
  <si>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</si>
  <si>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</si>
  <si>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</si>
  <si>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</si>
  <si>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</si>
  <si>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</si>
  <si>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</si>
  <si>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</si>
  <si>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</si>
  <si>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</si>
  <si>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</si>
  <si>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</si>
  <si>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</si>
  <si>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</si>
  <si>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</si>
  <si>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</si>
  <si>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</si>
  <si>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</si>
  <si>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</si>
  <si>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</si>
  <si>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</si>
  <si>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</si>
  <si>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</si>
  <si>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</si>
  <si>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</si>
  <si>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</si>
  <si>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</si>
  <si>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</si>
  <si>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</si>
  <si>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</si>
  <si>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</si>
  <si>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</si>
  <si>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</si>
  <si>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</si>
  <si>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</si>
  <si>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</si>
  <si>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</si>
  <si>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</si>
  <si>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</si>
  <si>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</si>
  <si>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</si>
  <si>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</si>
  <si>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</si>
  <si>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</si>
  <si>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</si>
  <si>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</si>
  <si>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</si>
  <si>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</si>
  <si>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</si>
  <si>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</si>
  <si>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</si>
  <si>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</si>
  <si>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</si>
  <si>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</si>
  <si>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</si>
  <si>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</si>
  <si>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</si>
  <si>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</si>
  <si>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</si>
  <si>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</si>
  <si>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</si>
  <si>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</si>
  <si>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</si>
  <si>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</si>
  <si>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</si>
  <si>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</si>
  <si>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</si>
  <si>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</si>
  <si>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</si>
  <si>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</si>
  <si>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</si>
  <si>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</si>
  <si>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</si>
  <si>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</si>
  <si>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</si>
  <si>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</si>
  <si>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</si>
  <si>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</si>
  <si>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</si>
  <si>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</si>
  <si>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</si>
  <si>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</si>
  <si>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</si>
  <si>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</si>
  <si>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</si>
  <si>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</si>
  <si>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</si>
  <si>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</si>
  <si>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</si>
  <si>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</si>
  <si>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</si>
  <si>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</si>
  <si>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</si>
  <si>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</si>
  <si>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</si>
  <si>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</si>
  <si>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</si>
  <si>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</si>
  <si>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</si>
  <si>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</si>
  <si>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</si>
  <si>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</si>
  <si>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</si>
  <si>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</si>
  <si>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</si>
  <si>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</si>
  <si>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</si>
  <si>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</si>
  <si>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</si>
  <si>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</si>
  <si>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</si>
  <si>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</si>
  <si>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</si>
  <si>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</si>
  <si>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</si>
  <si>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</si>
  <si>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</si>
  <si>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</si>
  <si>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</si>
  <si>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</si>
  <si>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</si>
  <si>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</si>
  <si>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</si>
  <si>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</si>
  <si>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</si>
  <si>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</si>
  <si>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</si>
  <si>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</si>
  <si>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</si>
  <si>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</si>
  <si>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</si>
  <si>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</si>
  <si>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</si>
  <si>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</si>
  <si>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</si>
  <si>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</si>
  <si>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</si>
  <si>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</si>
  <si>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</si>
  <si>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</si>
  <si>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</si>
  <si>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</si>
  <si>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</si>
  <si>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</si>
  <si>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</si>
  <si>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</si>
  <si>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</si>
  <si>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</si>
  <si>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</si>
  <si>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</si>
  <si>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</si>
  <si>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</si>
  <si>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</si>
  <si>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</si>
  <si>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</si>
  <si>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</si>
  <si>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</si>
  <si>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</si>
  <si>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</si>
  <si>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</si>
  <si>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</si>
  <si>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</si>
  <si>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</si>
  <si>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</si>
  <si>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</si>
  <si>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</si>
  <si>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</si>
  <si>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</si>
  <si>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</si>
  <si>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</si>
  <si>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</si>
  <si>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</si>
  <si>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</si>
  <si>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</si>
  <si>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</si>
  <si>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</si>
  <si>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</si>
  <si>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</si>
  <si>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</si>
  <si>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</si>
  <si>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</si>
  <si>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</si>
  <si>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</si>
  <si>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</si>
  <si>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</si>
  <si>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</si>
  <si>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</si>
  <si>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</si>
  <si>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</si>
  <si>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</si>
  <si>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</si>
  <si>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</si>
  <si>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</si>
  <si>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</si>
  <si>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</si>
  <si>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</si>
  <si>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</si>
  <si>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</si>
  <si>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</si>
  <si>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</si>
  <si>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</si>
  <si>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</si>
  <si>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</si>
  <si>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</si>
  <si>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</si>
  <si>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</si>
  <si>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</si>
  <si>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</si>
  <si>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</si>
  <si>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</si>
  <si>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</si>
  <si>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</si>
  <si>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</si>
  <si>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</si>
  <si>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</si>
  <si>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</si>
  <si>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</si>
  <si>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</si>
  <si>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</si>
  <si>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</si>
  <si>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</si>
  <si>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</si>
  <si>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</si>
  <si>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</si>
  <si>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</si>
  <si>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</si>
  <si>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</si>
  <si>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</si>
  <si>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</si>
  <si>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</si>
  <si>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</si>
  <si>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</si>
  <si>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</si>
  <si>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</si>
  <si>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</si>
  <si>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36-001-05-00</t>
  </si>
  <si>
    <t>Бейсболка 47 BRAND арт. B-AERIL12GWS Los Angeles Dodgers MLB (темно-серый) {cc}</t>
  </si>
  <si>
    <t>ONE</t>
  </si>
  <si>
    <t>B-AERIL12GWS Los Angeles Dodgers MLB</t>
  </si>
  <si>
    <t>100% хлопок</t>
  </si>
  <si>
    <t>47 BRAND</t>
  </si>
  <si>
    <t>MLB</t>
  </si>
  <si>
    <t>Los Angeles Dodgers</t>
  </si>
  <si>
    <t>жесткая форма</t>
  </si>
  <si>
    <t>47 Brand Europe Ltd; Suite B, The Shorts Building, 65 Beauvias Square, Shortstown, United Kingdom</t>
  </si>
  <si>
    <t>cc</t>
  </si>
  <si>
    <t>36-001-12-00</t>
  </si>
  <si>
    <t>Бейсболка 47 BRAND арт. B-AERIL12GWS Los Angeles Dodgers MLB (бордовый) {km}</t>
  </si>
  <si>
    <t>km</t>
  </si>
  <si>
    <t>36-001-17-00</t>
  </si>
  <si>
    <t>Бейсболка 47 BRAND арт. B-AERIL12GWS Los Angeles Dodgers MLB (голубой) {mk}</t>
  </si>
  <si>
    <t>mk</t>
  </si>
  <si>
    <t>36-001-03-00</t>
  </si>
  <si>
    <t>Бейсболка 47 BRAND арт. B-AERIL12GWS Los Angeles Dodgers MLB (оливковый) {ms}</t>
  </si>
  <si>
    <t>ms</t>
  </si>
  <si>
    <t>36-001-36-00</t>
  </si>
  <si>
    <t>Бейсболка 47 BRAND арт. B-AERIL12GWS Los Angeles Dodgers MLB (кремовый) {nt}</t>
  </si>
  <si>
    <t>nt</t>
  </si>
  <si>
    <t>36-002-12-00</t>
  </si>
  <si>
    <t>Бейсболка 47 BRAND арт. B-AERIL17GWS New York Yankees MLB (бордовый) {km}</t>
  </si>
  <si>
    <t>B-AERIL17GWS New York Yankees MLB</t>
  </si>
  <si>
    <t>New York Yankees</t>
  </si>
  <si>
    <t>36-002-19-00</t>
  </si>
  <si>
    <t>Бейсболка 47 BRAND арт. B-AERIL17GWS New York Yankees MLB (голубой) {mk}</t>
  </si>
  <si>
    <t>36-002-03-00</t>
  </si>
  <si>
    <t>Бейсболка 47 BRAND арт. B-AERIL17GWS New York Yankees MLB (оливковый) {ms}</t>
  </si>
  <si>
    <t>36-003-08-00</t>
  </si>
  <si>
    <t>Бейсболка 47 BRAND арт. B-ARGTT17FRS New York Yankees MLB (серый) {gy}</t>
  </si>
  <si>
    <t>B-ARGTT17FRS New York Yankees MLB</t>
  </si>
  <si>
    <t>мягкая форма</t>
  </si>
  <si>
    <t>gy</t>
  </si>
  <si>
    <t>36-004-09-00</t>
  </si>
  <si>
    <t>Бейсболка 47 BRAND арт. B-BRMTL12CTP Los Angeles Dodgers MLB (черный) {bk}</t>
  </si>
  <si>
    <t>B-BRMTL12CTP Los Angeles Dodgers MLB</t>
  </si>
  <si>
    <t>bk</t>
  </si>
  <si>
    <t>36-005-12-00</t>
  </si>
  <si>
    <t>Бейсболка 47 BRAND арт. B-BRMTL17CTP New York Yankees MLB (бордовый) {km}</t>
  </si>
  <si>
    <t>B-BRMTL17CTP New York Yankees MLB</t>
  </si>
  <si>
    <t>36-006-00-00</t>
  </si>
  <si>
    <t>Бейсболка 47 BRAND арт. B-CARGW12GWSNL Los Angeles Dodgers MLB (камуфляж) {cmd}</t>
  </si>
  <si>
    <t>B-CARGW12GWSNL Los Angeles Dodgers MLB</t>
  </si>
  <si>
    <t>cmd</t>
  </si>
  <si>
    <t>36-007-00-00</t>
  </si>
  <si>
    <t>Бейсболка 47 BRAND арт. B-CBRAN17GWP New York Yankees MLB (камуфляж) {cmf}</t>
  </si>
  <si>
    <t>B-CBRAN17GWP New York Yankees MLB</t>
  </si>
  <si>
    <t>cmf</t>
  </si>
  <si>
    <t>36-008-09-00</t>
  </si>
  <si>
    <t>Бейсболка 47 BRAND арт. B-CLZOE02WBP Boston Red Sox MLB (черный) {bk}</t>
  </si>
  <si>
    <t>B-CLZOE02WBP Boston Red Sox MLB</t>
  </si>
  <si>
    <t>85% акрил - 15% шерсть</t>
  </si>
  <si>
    <t>Boston Red Sox</t>
  </si>
  <si>
    <t>36-008-16-00</t>
  </si>
  <si>
    <t>Бейсболка 47 BRAND арт. B-CLZOE02WBP Boston Red Sox MLB (темно-синий) {ny}</t>
  </si>
  <si>
    <t>ny</t>
  </si>
  <si>
    <t>36-009-52-00</t>
  </si>
  <si>
    <t>Бейсболка 47 BRAND арт. B-CLZOE09WBP Detroit Tigers MLB (черный / черный) {bkb}</t>
  </si>
  <si>
    <t>B-CLZOE09WBP Detroit Tigers MLB</t>
  </si>
  <si>
    <t>Detroit Tigers</t>
  </si>
  <si>
    <t>bkb</t>
  </si>
  <si>
    <t>36-009-16-00</t>
  </si>
  <si>
    <t>Бейсболка 47 BRAND арт. B-CLZOE09WBP Detroit Tigers MLB (темно-синий) {ny}</t>
  </si>
  <si>
    <t>36-010-48-00</t>
  </si>
  <si>
    <t>Бейсболка 47 BRAND арт. B-CLZOE12WBP Los Angeles Dodgers MLB (черный / белый) {bkb}</t>
  </si>
  <si>
    <t>B-CLZOE12WBP Los Angeles Dodgers MLB</t>
  </si>
  <si>
    <t>36-010-52-00</t>
  </si>
  <si>
    <t>Бейсболка 47 BRAND арт. B-CLZOE12WBP Los Angeles Dodgers MLB (черный / черный) {bkd}</t>
  </si>
  <si>
    <t>bkd</t>
  </si>
  <si>
    <t>36-011-09-00</t>
  </si>
  <si>
    <t>Бейсболка 47 BRAND арт. B-CLZOE17WBP New York Yankees MLB (черный) {bk}</t>
  </si>
  <si>
    <t>B-CLZOE17WBP New York Yankees MLB</t>
  </si>
  <si>
    <t>36-011-52-00</t>
  </si>
  <si>
    <t>Бейсболка 47 BRAND арт. B-CLZOE17WBP New York Yankees MLB (черный / черный) {bka}</t>
  </si>
  <si>
    <t>bka</t>
  </si>
  <si>
    <t>36-011-48-00</t>
  </si>
  <si>
    <t>Бейсболка 47 BRAND арт. B-CLZOE17WBP New York Yankees MLB (черный / белый) {bkb}</t>
  </si>
  <si>
    <t>36-011-53-00</t>
  </si>
  <si>
    <t>Бейсболка 47 BRAND арт. B-CLZOE17WBP New York Yankees MLB (черный / рыжий) {bkm}</t>
  </si>
  <si>
    <t>bkm</t>
  </si>
  <si>
    <t>36-011-10-00</t>
  </si>
  <si>
    <t>Бейсболка 47 BRAND арт. B-CLZOE17WBP New York Yankees MLB (черный / серый) {bkr}</t>
  </si>
  <si>
    <t>bkr</t>
  </si>
  <si>
    <t>36-011-08-00</t>
  </si>
  <si>
    <t>Бейсболка 47 BRAND арт. B-CLZOE17WBP New York Yankees MLB (серый) {cc}</t>
  </si>
  <si>
    <t>36-011-12-00</t>
  </si>
  <si>
    <t>Бейсболка 47 BRAND арт. B-CLZOE17WBP New York Yankees MLB (бордовый) {km}</t>
  </si>
  <si>
    <t>36-011-16-00</t>
  </si>
  <si>
    <t>Бейсболка 47 BRAND арт. B-CLZOE17WBP New York Yankees MLB (темно-синий) {ny}</t>
  </si>
  <si>
    <t>36-011-03-00</t>
  </si>
  <si>
    <t>Бейсболка 47 BRAND арт. B-CLZOE17WBP New York Yankees MLB (оливковый) {swa}</t>
  </si>
  <si>
    <t>swa</t>
  </si>
  <si>
    <t>36-012-09-00</t>
  </si>
  <si>
    <t>Бейсболка 47 BRAND арт. B-CLZOE18WBP Oakland Athletics MLB (черный) {bk}</t>
  </si>
  <si>
    <t>B-CLZOE18WBP Oakland Athletics MLB</t>
  </si>
  <si>
    <t>Oakland Athletics</t>
  </si>
  <si>
    <t>36-012-07-00</t>
  </si>
  <si>
    <t>Бейсболка 47 BRAND арт. B-CLZOE18WBP Oakland Athletics MLB (темно-зеленый) {dg}</t>
  </si>
  <si>
    <t>dg</t>
  </si>
  <si>
    <t>36-013-16-00</t>
  </si>
  <si>
    <t>Бейсболка 47 BRAND арт. BCPTN-MVP01WBV Atlanta Braves MLB (темно-синий) {ny41}</t>
  </si>
  <si>
    <t>BCPTN-MVP01WBV Atlanta Braves MLB</t>
  </si>
  <si>
    <t>Atlanta Braves</t>
  </si>
  <si>
    <t>ny41</t>
  </si>
  <si>
    <t>36-014-16-00</t>
  </si>
  <si>
    <t>Бейсболка 47 BRAND арт. BCPTN-MVP04WBV Los Angeles Angels MLB (темно-синий) {ny93}</t>
  </si>
  <si>
    <t>BCPTN-MVP04WBV Los Angeles Angels MLB</t>
  </si>
  <si>
    <t>Los Angeles Angels</t>
  </si>
  <si>
    <t>ny93</t>
  </si>
  <si>
    <t>36-014-54-00</t>
  </si>
  <si>
    <t>Бейсболка 47 BRAND арт. BCPTN-MVP04WBV Los Angeles Angels MLB (темно-синий / красный) {ny97}</t>
  </si>
  <si>
    <t>ny97</t>
  </si>
  <si>
    <t>36-015-09-00</t>
  </si>
  <si>
    <t>Бейсболка 47 BRAND арт. BCPTN-MVP29WBV Arizona Diamondbacks MLB (черный) {bk98}</t>
  </si>
  <si>
    <t>BCPTN-MVP29WBV Arizona Diamondbacks MLB</t>
  </si>
  <si>
    <t>Arizona Diamondbacks</t>
  </si>
  <si>
    <t>bk98</t>
  </si>
  <si>
    <t>36-016-07-00</t>
  </si>
  <si>
    <t>Бейсболка 47 BRAND арт. BCWS-SUMTT18WBP Oakland Athletics MLB (темно-зеленый) {dg88}</t>
  </si>
  <si>
    <t>BCWS-SUMTT18WBP Oakland Athletics MLB</t>
  </si>
  <si>
    <t>dg88</t>
  </si>
  <si>
    <t>36-017-16-00</t>
  </si>
  <si>
    <t>Бейсболка 47 BRAND арт. BCWS-SUMVP02WBP Boston Red Sox MLB (темно-синий) {ny03}</t>
  </si>
  <si>
    <t>BCWS-SUMVP02WBP Boston Red Sox MLB</t>
  </si>
  <si>
    <t>ny03</t>
  </si>
  <si>
    <t>36-018-09-00</t>
  </si>
  <si>
    <t>Бейсболка 47 BRAND арт. BCWS-SUMVP06WBP Chicago White Sox MLB (черный) {bk06}</t>
  </si>
  <si>
    <t>BCWS-SUMVP06WBP Chicago White Sox MLB</t>
  </si>
  <si>
    <t>Chicago White Sox</t>
  </si>
  <si>
    <t>bk06</t>
  </si>
  <si>
    <t>36-019-16-00</t>
  </si>
  <si>
    <t>Бейсболка 47 BRAND арт. BCWS-SUMVP09WBP Detroit Tigers MLB (темно-синий) {ny80}</t>
  </si>
  <si>
    <t>BCWS-SUMVP09WBP Detroit Tigers MLB</t>
  </si>
  <si>
    <t>ny80</t>
  </si>
  <si>
    <t>36-020-16-00</t>
  </si>
  <si>
    <t>Бейсболка 47 BRAND арт. BCWS-SUMVP17WBP New York Yankees MLB (темно-синий) {ny01}</t>
  </si>
  <si>
    <t>BCWS-SUMVP17WBP New York Yankees MLB</t>
  </si>
  <si>
    <t>ny01</t>
  </si>
  <si>
    <t>36-021-12-00</t>
  </si>
  <si>
    <t>Бейсболка 47 BRAND арт. BCWS-SUMVP19WBP Philadelphia Phillies MLB (бордовый) {ca79}</t>
  </si>
  <si>
    <t>BCWS-SUMVP19WBP Philadelphia Phillies MLB</t>
  </si>
  <si>
    <t>Philadelphia Phillies</t>
  </si>
  <si>
    <t>ca79</t>
  </si>
  <si>
    <t>36-022-09-00</t>
  </si>
  <si>
    <t>Бейсболка 47 BRAND арт. B-DEFRO12WBV Los Angeles Dodgers MLB (черный) {bkb}</t>
  </si>
  <si>
    <t>B-DEFRO12WBV Los Angeles Dodgers MLB</t>
  </si>
  <si>
    <t>36-023-00-00</t>
  </si>
  <si>
    <t>Бейсболка 47 BRAND арт. B-DRZMV12PTP Los Angeles Dodgers MLB (камуфляж) {e1}</t>
  </si>
  <si>
    <t>B-DRZMV12PTP Los Angeles Dodgers MLB</t>
  </si>
  <si>
    <t>100% полиэстер</t>
  </si>
  <si>
    <t>e1</t>
  </si>
  <si>
    <t>36-024-00-00</t>
  </si>
  <si>
    <t>Бейсболка 47 BRAND арт. B-DRZMV17PTP New York Yankees MLB (камуфляж) {e1}</t>
  </si>
  <si>
    <t>B-DRZMV17PTP New York Yankees MLB</t>
  </si>
  <si>
    <t>36-025-09-00</t>
  </si>
  <si>
    <t>Бейсболка 47 BRAND арт. B-DWODM17CTP New York Yankees MLB (черный / оливковый) {bk}</t>
  </si>
  <si>
    <t>B-DWODM17CTP New York Yankees MLB</t>
  </si>
  <si>
    <t>36-025-00-00</t>
  </si>
  <si>
    <t>Бейсболка 47 BRAND арт. B-DWODM17CTP New York Yankees MLB (черный / бордовый) {bka}</t>
  </si>
  <si>
    <t>65% полиэстер - 35% хлопок</t>
  </si>
  <si>
    <t>36-026-08-00</t>
  </si>
  <si>
    <t>Бейсболка 47 BRAND арт. B-GRIMM02HYP Boston Red Sox MLB (серый) {dy}</t>
  </si>
  <si>
    <t>B-GRIMM02HYP Boston Red Sox MLB</t>
  </si>
  <si>
    <t>dy</t>
  </si>
  <si>
    <t>36-027-08-00</t>
  </si>
  <si>
    <t>Бейсболка 47 BRAND арт. B-GRIMM12HYP Los Angeles Dodgers MLB (серый) {dya}</t>
  </si>
  <si>
    <t>B-GRIMM12HYP Los Angeles Dodgers MLB</t>
  </si>
  <si>
    <t>dya</t>
  </si>
  <si>
    <t>36-028-08-00</t>
  </si>
  <si>
    <t>Бейсболка 47 BRAND арт. B-GRIMM17HYP New York Yankees MLB (серый) {dy}</t>
  </si>
  <si>
    <t>B-GRIMM17HYP New York Yankees MLB</t>
  </si>
  <si>
    <t>36-029-52-00</t>
  </si>
  <si>
    <t>Бейсболка 47 BRAND арт. B-MLTSP02WMP Boston Red Sox MLB (черный / черный) {bk}</t>
  </si>
  <si>
    <t>B-MLTSP02WMP Boston Red Sox MLB</t>
  </si>
  <si>
    <t>36-030-52-00</t>
  </si>
  <si>
    <t>Бейсболка 47 BRAND арт. B-MLTSP12WMP Los Angeles Dodgers MLB (черный / черный) {bk}</t>
  </si>
  <si>
    <t>B-MLTSP12WMP Los Angeles Dodgers MLB</t>
  </si>
  <si>
    <t>36-031-52-00</t>
  </si>
  <si>
    <t>Бейсболка 47 BRAND арт. B-MLTSP20WMP Pittsburgh Pirates MLB (черный / черный) {bk}</t>
  </si>
  <si>
    <t>B-MLTSP20WMP Pittsburgh Pirates MLB</t>
  </si>
  <si>
    <t>Pittsburgh Pirates</t>
  </si>
  <si>
    <t>36-032-55-00</t>
  </si>
  <si>
    <t>Бейсболка 47 BRAND арт. B-MPDTP12WBP Los Angeles Dodgers MLB (оливковый / черный) {swc}</t>
  </si>
  <si>
    <t>B-MPDTP12WBP Los Angeles Dodgers MLB</t>
  </si>
  <si>
    <t>swc</t>
  </si>
  <si>
    <t>36-033-56-00</t>
  </si>
  <si>
    <t>Бейсболка 47 BRAND арт. B-MTLCS17WBP New York Yankees MLB (серый / золотой) {cca}</t>
  </si>
  <si>
    <t>B-MTLCS17WBP New York Yankees MLB</t>
  </si>
  <si>
    <t>серый / золотой</t>
  </si>
  <si>
    <t>cca</t>
  </si>
  <si>
    <t>36-033-57-00</t>
  </si>
  <si>
    <t>Бейсболка 47 BRAND арт. B-MTLCS17WBP New York Yankees MLB (бордовый / рыжий) {kma}</t>
  </si>
  <si>
    <t>бордовый / рыжий</t>
  </si>
  <si>
    <t>kma</t>
  </si>
  <si>
    <t>36-033-58-00</t>
  </si>
  <si>
    <t>Бейсболка 47 BRAND арт. B-MTLCS17WBP New York Yankees MLB (кремовый / золотой) {nt}</t>
  </si>
  <si>
    <t>кремовый / золотой</t>
  </si>
  <si>
    <t>36-033-59-00</t>
  </si>
  <si>
    <t>Бейсболка 47 BRAND арт. B-MTLCS17WBP New York Yankees MLB (темно-синий / рыжий) {ny}</t>
  </si>
  <si>
    <t>36-034-16-00</t>
  </si>
  <si>
    <t>Бейсболка 47 BRAND арт. B-MVP01WBV Atlanta Braves MLB (темно-синий) {ra}</t>
  </si>
  <si>
    <t>B-MVP01WBV Atlanta Braves MLB</t>
  </si>
  <si>
    <t>ra</t>
  </si>
  <si>
    <t>36-035-16-00</t>
  </si>
  <si>
    <t>Бейсболка 47 BRAND арт. B-MVP02WBV Boston Red Sox MLB (темно-синий) {hm}</t>
  </si>
  <si>
    <t>B-MVP02WBV Boston Red Sox MLB</t>
  </si>
  <si>
    <t>hm</t>
  </si>
  <si>
    <t>36-036-05-00</t>
  </si>
  <si>
    <t>Бейсболка 47 BRAND арт. B-MVP03WBV Baltimore Orioles MLB (темно-серый) {cc}</t>
  </si>
  <si>
    <t>B-MVP03WBV Baltimore Orioles MLB</t>
  </si>
  <si>
    <t>Baltimore Orioles</t>
  </si>
  <si>
    <t>36-037-09-00</t>
  </si>
  <si>
    <t>Бейсболка 47 BRAND арт. B-MVP07WBV Cincinnati Reds MLB (черный) {bka}</t>
  </si>
  <si>
    <t>B-MVP07WBV Cincinnati Reds MLB</t>
  </si>
  <si>
    <t>Cincinnati Reds</t>
  </si>
  <si>
    <t>36-038-36-00</t>
  </si>
  <si>
    <t>Бейсболка 47 BRAND арт. B-MVP09WBV Detroit Tigers MLB (кремовый) {bn}</t>
  </si>
  <si>
    <t>B-MVP09WBV Detroit Tigers MLB</t>
  </si>
  <si>
    <t>bn</t>
  </si>
  <si>
    <t>36-038-16-00</t>
  </si>
  <si>
    <t>Бейсболка 47 BRAND арт. B-MVP09WBV Detroit Tigers MLB (темно-синий) {hm}</t>
  </si>
  <si>
    <t>36-039-16-00</t>
  </si>
  <si>
    <t>Бейсболка 47 BRAND арт. B-MVP10WBV Houston Astros MLB (темно-синий) {hm13}</t>
  </si>
  <si>
    <t>B-MVP10WBV Houston Astros MLB</t>
  </si>
  <si>
    <t>Houston Astros</t>
  </si>
  <si>
    <t>hm13</t>
  </si>
  <si>
    <t>36-040-09-00</t>
  </si>
  <si>
    <t>Бейсболка 47 BRAND арт. B-MVP12WBV Los Angeles Dodgers MLB (черный) {bkj}</t>
  </si>
  <si>
    <t>B-MVP12WBV Los Angeles Dodgers MLB</t>
  </si>
  <si>
    <t>bkj</t>
  </si>
  <si>
    <t>36-040-12-00</t>
  </si>
  <si>
    <t>Бейсболка 47 BRAND арт. B-MVP12WBV Los Angeles Dodgers MLB (бордовый) {kma}</t>
  </si>
  <si>
    <t>36-040-06-00</t>
  </si>
  <si>
    <t>Бейсболка 47 BRAND арт. B-MVP12WBV Los Angeles Dodgers MLB (синий) {ryg}</t>
  </si>
  <si>
    <t>ryg</t>
  </si>
  <si>
    <t>36-041-09-00</t>
  </si>
  <si>
    <t>Бейсболка 47 BRAND арт. B-MVP15WBV Washington Nationals MLB (черный) {bke}</t>
  </si>
  <si>
    <t>B-MVP15WBV Washington Nationals MLB</t>
  </si>
  <si>
    <t>Washington Nationals</t>
  </si>
  <si>
    <t>bke</t>
  </si>
  <si>
    <t>36-042-72-00</t>
  </si>
  <si>
    <t>Бейсболка 47 BRAND арт. B-MVP16WBV New York Mets MLB (черный / оранжевый) {bkb}</t>
  </si>
  <si>
    <t>B-MVP16WBV New York Mets MLB</t>
  </si>
  <si>
    <t>New York Mets</t>
  </si>
  <si>
    <t>36-042-60-00</t>
  </si>
  <si>
    <t>Бейсболка 47 BRAND арт. B-MVP16WBV New York Mets MLB (темно-серый / белый) {cca}</t>
  </si>
  <si>
    <t>36-042-26-00</t>
  </si>
  <si>
    <t>Бейсболка 47 BRAND арт. B-MVP16WBV New York Mets MLB (темно-серый / синий) {ccc}</t>
  </si>
  <si>
    <t>ccc</t>
  </si>
  <si>
    <t>36-042-00-00</t>
  </si>
  <si>
    <t>Бейсболка 47 BRAND арт. B-MVP16WBV New York Mets MLB (синий / оранжевый) {ryc}</t>
  </si>
  <si>
    <t>ryc</t>
  </si>
  <si>
    <t>36-043-09-00</t>
  </si>
  <si>
    <t>Бейсболка 47 BRAND арт. B-MVP17WBV New York Yankees MLB (черный) {bk}</t>
  </si>
  <si>
    <t>B-MVP17WBV New York Yankees MLB</t>
  </si>
  <si>
    <t>36-043-08-00</t>
  </si>
  <si>
    <t>Бейсболка 47 BRAND арт. B-MVP17WBV New York Yankees MLB (серый) {gyc}</t>
  </si>
  <si>
    <t>gyc</t>
  </si>
  <si>
    <t>36-043-16-00</t>
  </si>
  <si>
    <t>Бейсболка 47 BRAND арт. B-MVP17WBV New York Yankees MLB (темно-синий) {hm}</t>
  </si>
  <si>
    <t>36-043-12-00</t>
  </si>
  <si>
    <t>Бейсболка 47 BRAND арт. B-MVP17WBV New York Yankees MLB (бордовый) {kma}</t>
  </si>
  <si>
    <t>36-043-18-00</t>
  </si>
  <si>
    <t>Бейсболка 47 BRAND арт. B-MVP17WBV New York Yankees MLB (красный) {rd}</t>
  </si>
  <si>
    <t>rd</t>
  </si>
  <si>
    <t>36-044-09-00</t>
  </si>
  <si>
    <t>Бейсболка 47 BRAND арт. B-MVP18WBV Oakland Athletics MLB (черный) {bkf}</t>
  </si>
  <si>
    <t>B-MVP18WBV Oakland Athletics MLB</t>
  </si>
  <si>
    <t>bkf</t>
  </si>
  <si>
    <t>36-044-07-00</t>
  </si>
  <si>
    <t>Бейсболка 47 BRAND арт. B-MVP18WBV Oakland Athletics MLB (темно-зеленый) {dgc}</t>
  </si>
  <si>
    <t>dgc</t>
  </si>
  <si>
    <t>36-045-09-00</t>
  </si>
  <si>
    <t>Бейсболка 47 BRAND арт. B-MVP19WBV Philadelphia Phillies MLB (черный) {bkj}</t>
  </si>
  <si>
    <t>B-MVP19WBV Philadelphia Phillies MLB</t>
  </si>
  <si>
    <t>36-045-18-00</t>
  </si>
  <si>
    <t>Бейсболка 47 BRAND арт. B-MVP19WBV Philadelphia Phillies MLB (красный) {caa}</t>
  </si>
  <si>
    <t>caa</t>
  </si>
  <si>
    <t>36-046-09-00</t>
  </si>
  <si>
    <t>Бейсболка 47 BRAND арт. B-MVP20WBV Pittsburgh Pirates MLB (черный) {bkj}</t>
  </si>
  <si>
    <t>B-MVP20WBV Pittsburgh Pirates MLB</t>
  </si>
  <si>
    <t>36-046-48-00</t>
  </si>
  <si>
    <t>Бейсболка 47 BRAND арт. B-MVP20WBV Pittsburgh Pirates MLB (черный / белый) {bko}</t>
  </si>
  <si>
    <t>bko</t>
  </si>
  <si>
    <t>36-047-09-00</t>
  </si>
  <si>
    <t>Бейсболка 47 BRAND арт. B-MVP22WBV San Francisco Giants MLB (черный) {bkd}</t>
  </si>
  <si>
    <t>B-MVP22WBV San Francisco Giants MLB</t>
  </si>
  <si>
    <t>San Francisco Giants</t>
  </si>
  <si>
    <t>36-048-09-00</t>
  </si>
  <si>
    <t>Бейсболка 47 BRAND арт. B-MVP26WBV Toronto Blue Jays MLB (черный) {bkh}</t>
  </si>
  <si>
    <t>B-MVP26WBV Toronto Blue Jays MLB</t>
  </si>
  <si>
    <t>Toronto Blue Jays</t>
  </si>
  <si>
    <t>bkh</t>
  </si>
  <si>
    <t>36-048-16-00</t>
  </si>
  <si>
    <t>Бейсболка 47 BRAND арт. B-MVP26WBV Toronto Blue Jays MLB (темно-синий) {nya}</t>
  </si>
  <si>
    <t>nya</t>
  </si>
  <si>
    <t>36-049-09-00</t>
  </si>
  <si>
    <t>Бейсболка 47 BRAND арт. B-MVPSP01WBP Atlanta Braves MLB (черный) {bk}</t>
  </si>
  <si>
    <t>B-MVPSP01WBP Atlanta Braves MLB</t>
  </si>
  <si>
    <t>36-050-48-00</t>
  </si>
  <si>
    <t>Бейсболка 47 BRAND арт. B-MVPSP02WBP Boston Red Sox MLB (черный / белый) {bka}</t>
  </si>
  <si>
    <t>B-MVPSP02WBP Boston Red Sox MLB</t>
  </si>
  <si>
    <t>36-050-52-00</t>
  </si>
  <si>
    <t>Бейсболка 47 BRAND арт. B-MVPSP02WBP Boston Red Sox MLB (черный / черный) {bkb}</t>
  </si>
  <si>
    <t>36-051-48-00</t>
  </si>
  <si>
    <t>Бейсболка 47 BRAND арт. B-MVPSP12WBP Los Angeles Dodgers MLB (черный / белый) {bkd}</t>
  </si>
  <si>
    <t>B-MVPSP12WBP Los Angeles Dodgers MLB</t>
  </si>
  <si>
    <t>36-051-52-00</t>
  </si>
  <si>
    <t>Бейсболка 47 BRAND арт. B-MVPSP12WBP Los Angeles Dodgers MLB (черный / черный) {bke}</t>
  </si>
  <si>
    <t>36-052-52-00</t>
  </si>
  <si>
    <t>Бейсболка 47 BRAND арт. B-MVPSP17WBP New York Yankees MLB (черный / черный) {bkb}</t>
  </si>
  <si>
    <t>B-MVPSP17WBP New York Yankees MLB</t>
  </si>
  <si>
    <t>36-052-78-00</t>
  </si>
  <si>
    <t>Бейсболка 47 BRAND арт. B-MVPSP17WBP New York Yankees MLB (черный / синий) {bks}</t>
  </si>
  <si>
    <t>bks</t>
  </si>
  <si>
    <t>36-052-10-00</t>
  </si>
  <si>
    <t>Бейсболка 47 BRAND арт. B-MVPSP17WBP New York Yankees MLB (черный / серый) {bkx}</t>
  </si>
  <si>
    <t>bkx</t>
  </si>
  <si>
    <t>36-052-61-00</t>
  </si>
  <si>
    <t>Бейсболка 47 BRAND арт. B-MVPSP17WBP New York Yankees MLB (черный / бордовый) {bky}</t>
  </si>
  <si>
    <t>bky</t>
  </si>
  <si>
    <t>36-052-09-00</t>
  </si>
  <si>
    <t>Бейсболка 47 BRAND арт. B-MVPSP17WBP New York Yankees MLB (черный / оливковый) {bkz}</t>
  </si>
  <si>
    <t>bkz</t>
  </si>
  <si>
    <t>36-052-13-00</t>
  </si>
  <si>
    <t>Бейсболка 47 BRAND арт. B-MVPSP17WBP New York Yankees MLB (рыжий) {bof}</t>
  </si>
  <si>
    <t>bof</t>
  </si>
  <si>
    <t>36-052-14-00</t>
  </si>
  <si>
    <t>Бейсболка 47 BRAND арт. B-MVPSP17WBP New York Yankees MLB (коричневый) {bw}</t>
  </si>
  <si>
    <t>bw</t>
  </si>
  <si>
    <t>36-052-18-00</t>
  </si>
  <si>
    <t>Бейсболка 47 BRAND арт. B-MVPSP17WBP New York Yankees MLB (красный) {ca}</t>
  </si>
  <si>
    <t>ca</t>
  </si>
  <si>
    <t>36-052-08-00</t>
  </si>
  <si>
    <t>Бейсболка 47 BRAND арт. B-MVPSP17WBP New York Yankees MLB (серый) {gy}</t>
  </si>
  <si>
    <t>36-052-12-00</t>
  </si>
  <si>
    <t>Бейсболка 47 BRAND арт. B-MVPSP17WBP New York Yankees MLB (бордовый) {km}</t>
  </si>
  <si>
    <t>36-052-47-00</t>
  </si>
  <si>
    <t>Бейсболка 47 BRAND арт. B-MVPSP17WBP New York Yankees MLB (молочный) {ntl}</t>
  </si>
  <si>
    <t>ntl</t>
  </si>
  <si>
    <t>36-052-16-00</t>
  </si>
  <si>
    <t>Бейсболка 47 BRAND арт. B-MVPSP17WBP New York Yankees MLB (темно-синий) {ny}</t>
  </si>
  <si>
    <t>36-052-03-00</t>
  </si>
  <si>
    <t>Бейсболка 47 BRAND арт. B-MVPSP17WBP New York Yankees MLB (оливковый) {swi}</t>
  </si>
  <si>
    <t>swi</t>
  </si>
  <si>
    <t>36-053-31-00</t>
  </si>
  <si>
    <t>Бейсболка 47 BRAND арт. B-NLRGW17GWS New York Yankees MLB (розовый) {qc}</t>
  </si>
  <si>
    <t>B-NLRGW17GWS New York Yankees MLB</t>
  </si>
  <si>
    <t>qc</t>
  </si>
  <si>
    <t>36-054-09-00</t>
  </si>
  <si>
    <t>Бейсболка 47 BRAND арт. B-NSHOT12WBP Los Angeles Dodgers MLB (черный) {bkd}</t>
  </si>
  <si>
    <t>B-NSHOT12WBP Los Angeles Dodgers MLB</t>
  </si>
  <si>
    <t>36-054-03-00</t>
  </si>
  <si>
    <t>Бейсболка 47 BRAND арт. B-NSHOT12WBP Los Angeles Dodgers MLB (оливковый) {swb}</t>
  </si>
  <si>
    <t>swb</t>
  </si>
  <si>
    <t>36-055-16-00</t>
  </si>
  <si>
    <t>Бейсболка 47 BRAND арт. B-NSHOT17WBP New York Yankees MLB (темно-синий) {ny}</t>
  </si>
  <si>
    <t>B-NSHOT17WBP New York Yankees MLB</t>
  </si>
  <si>
    <t>36-055-03-00</t>
  </si>
  <si>
    <t>Бейсболка 47 BRAND арт. B-NSHOT17WBP New York Yankees MLB (оливковый) {swe}</t>
  </si>
  <si>
    <t>swe</t>
  </si>
  <si>
    <t>36-056-52-00</t>
  </si>
  <si>
    <t>Бейсболка 47 BRAND арт. B-RGW12GWSNL Los Angeles Dodgers MLB (черный / черный) {bkq}</t>
  </si>
  <si>
    <t>B-RGW12GWSNL Los Angeles Dodgers MLB</t>
  </si>
  <si>
    <t>bkq</t>
  </si>
  <si>
    <t>36-056-03-00</t>
  </si>
  <si>
    <t>Бейсболка 47 BRAND арт. B-RGW12GWSNL Los Angeles Dodgers MLB (оливковый) {msg}</t>
  </si>
  <si>
    <t>msg</t>
  </si>
  <si>
    <t>36-057-06-00</t>
  </si>
  <si>
    <t>Бейсболка 47 BRAND арт. B-RGW12GWS Los Angeles Dodgers MLB (синий) {ryk}</t>
  </si>
  <si>
    <t>B-RGW12GWS Los Angeles Dodgers MLB</t>
  </si>
  <si>
    <t>ryk</t>
  </si>
  <si>
    <t>36-058-16-00</t>
  </si>
  <si>
    <t>Бейсболка 47 BRAND арт. B-RGW17GWS New York Yankees MLB (темно-синий) {hm}</t>
  </si>
  <si>
    <t>B-RGW17GWS New York Yankees MLB</t>
  </si>
  <si>
    <t>36-058-02-00</t>
  </si>
  <si>
    <t>Бейсболка 47 BRAND арт. B-RGW17GWS New York Yankees MLB (бежевый) {lt}</t>
  </si>
  <si>
    <t>lt</t>
  </si>
  <si>
    <t>36-058-03-00</t>
  </si>
  <si>
    <t>Бейсболка 47 BRAND арт. B-RGW17GWS New York Yankees MLB (оливковый) {msa}</t>
  </si>
  <si>
    <t>msa</t>
  </si>
  <si>
    <t>36-058-18-00</t>
  </si>
  <si>
    <t>Бейсболка 47 BRAND арт. B-RGW17GWS New York Yankees MLB (красный) {rz}</t>
  </si>
  <si>
    <t>rz</t>
  </si>
  <si>
    <t>36-058-22-00</t>
  </si>
  <si>
    <t>Бейсболка 47 BRAND арт. B-RGW17GWS New York Yankees MLB (светло-синий) {vn}</t>
  </si>
  <si>
    <t>vn</t>
  </si>
  <si>
    <t>36-059-07-00</t>
  </si>
  <si>
    <t>Бейсболка 47 BRAND арт. B-RGW18GWS Oakland Athletics MLB (темно-зеленый) {dgc}</t>
  </si>
  <si>
    <t>B-RGW18GWS Oakland Athletics MLB</t>
  </si>
  <si>
    <t>36-060-08-00</t>
  </si>
  <si>
    <t>Бейсболка 47 BRAND арт. B-SCTTD12WHP Los Angeles Dodgers MLB (серый) {cc}</t>
  </si>
  <si>
    <t>B-SCTTD12WHP Los Angeles Dodgers MLB</t>
  </si>
  <si>
    <t>36-061-08-00</t>
  </si>
  <si>
    <t>Бейсболка 47 BRAND арт. B-SCTTD17WHP New York Yankees MLB (серый) {cca}</t>
  </si>
  <si>
    <t>B-SCTTD17WHP New York Yankees MLB</t>
  </si>
  <si>
    <t>36-062-16-00</t>
  </si>
  <si>
    <t>Бейсболка 47 BRAND арт. B-SRS12WBP Los Angeles Dodgers MLB (темно-синий) {ny}</t>
  </si>
  <si>
    <t>B-SRS12WBP Los Angeles Dodgers MLB</t>
  </si>
  <si>
    <t>36-063-16-00</t>
  </si>
  <si>
    <t>Бейсболка 47 BRAND арт. B-SRS17WBP New York Yankees MLB (темно-синий) {ny}</t>
  </si>
  <si>
    <t>B-SRS17WBP New York Yankees MLB</t>
  </si>
  <si>
    <t>36-064-23-00</t>
  </si>
  <si>
    <t>Бейсболка 47 BRAND арт. B-TDMVP17PTP New York Yankees MLB (бирюзовый) {wh}</t>
  </si>
  <si>
    <t>B-TDMVP17PTP New York Yankees MLB</t>
  </si>
  <si>
    <t>wh</t>
  </si>
  <si>
    <t>36-065-09-00</t>
  </si>
  <si>
    <t>Бейсболка 47 BRAND арт. B-UPLNC17BXS New York Yankees MLB (темно-синий) {vb}</t>
  </si>
  <si>
    <t>B-UPLNC17BXS New York Yankees MLB</t>
  </si>
  <si>
    <t>vb</t>
  </si>
  <si>
    <t>36-066-16-00</t>
  </si>
  <si>
    <t>Бейсболка 47 BRAND арт. B-WLOBM17WMS New York Yankees MLB (темно-синий) {ny}</t>
  </si>
  <si>
    <t>B-WLOBM17WMS New York Yankees MLB</t>
  </si>
  <si>
    <t>36-067-48-00</t>
  </si>
  <si>
    <t>Бейсболка 47 BRAND арт. EPL-MVP04WBV Liverpool FC EPL (черный / белый) {bk}</t>
  </si>
  <si>
    <t>EPL-MVP04WBV Liverpool FC EPL</t>
  </si>
  <si>
    <t>SOCCER</t>
  </si>
  <si>
    <t>Liverpool FC</t>
  </si>
  <si>
    <t>36-067-72-00</t>
  </si>
  <si>
    <t>Бейсболка 47 BRAND арт. EPL-MVP04WBV Liverpool FC EPL (черный / красный) {bka}</t>
  </si>
  <si>
    <t>36-067-08-00</t>
  </si>
  <si>
    <t>Бейсболка 47 BRAND арт. EPL-MVP04WBV Liverpool FC EPL (серый) {gh}</t>
  </si>
  <si>
    <t>gh</t>
  </si>
  <si>
    <t>36-067-18-00</t>
  </si>
  <si>
    <t>Бейсболка 47 BRAND арт. EPL-MVP04WBV Liverpool FC EPL (красный) {rda}</t>
  </si>
  <si>
    <t>rda</t>
  </si>
  <si>
    <t>36-068-16-00</t>
  </si>
  <si>
    <t>Бейсболка 47 BRAND арт. EPL-MVP17WBV West Ham United FC EPL (темно-синий) {ny}</t>
  </si>
  <si>
    <t>EPL-MVP17WBV West Ham United FC EPL</t>
  </si>
  <si>
    <t>West Ham United FC</t>
  </si>
  <si>
    <t>36-069-09-00</t>
  </si>
  <si>
    <t>Бейсболка 47 BRAND арт. H-AUDDP15WBV Pittsburgh Penguins NHL (черный) {bk}</t>
  </si>
  <si>
    <t>H-AUDDP15WBV Pittsburgh Penguins NHL</t>
  </si>
  <si>
    <t>NHL</t>
  </si>
  <si>
    <t>Pittsburgh Penguins</t>
  </si>
  <si>
    <t>36-070-16-00</t>
  </si>
  <si>
    <t>Бейсболка 47 BRAND арт. H-CLZOE18WBP Toronto Maple Leafs NHL (темно-синий) {lna}</t>
  </si>
  <si>
    <t>H-CLZOE18WBP Toronto Maple Leafs NHL</t>
  </si>
  <si>
    <t>Toronto Maple Leafs</t>
  </si>
  <si>
    <t>lna</t>
  </si>
  <si>
    <t>36-071-09-00</t>
  </si>
  <si>
    <t>Бейсболка 47 BRAND арт. H-CLZOE32WBP Seattle Kraken NHL (черный) {bka}</t>
  </si>
  <si>
    <t>H-CLZOE32WBP Seattle Kraken NHL</t>
  </si>
  <si>
    <t>Seattle Kraken</t>
  </si>
  <si>
    <t>36-072-10-00</t>
  </si>
  <si>
    <t>Бейсболка 47 BRAND арт. H-GRIMM31HYP Vegas Golden Knights NHL (серый / черный) {dy}</t>
  </si>
  <si>
    <t>H-GRIMM31HYP Vegas Golden Knights NHL</t>
  </si>
  <si>
    <t>Vegas Golden Knights</t>
  </si>
  <si>
    <t>36-073-09-00</t>
  </si>
  <si>
    <t>Бейсболка 47 BRAND арт. H-MVP01WBV Boston Bruins NHL (черный) {bk}</t>
  </si>
  <si>
    <t>H-MVP01WBV Boston Bruins NHL</t>
  </si>
  <si>
    <t>Boston Bruins</t>
  </si>
  <si>
    <t>36-073-72-00</t>
  </si>
  <si>
    <t>Бейсболка 47 BRAND арт. H-MVP01WBV Boston Bruins NHL (черный / оранжевый) {bke}</t>
  </si>
  <si>
    <t>36-074-16-00</t>
  </si>
  <si>
    <t>Бейсболка 47 BRAND арт. H-MVP02WBV Buffalo Sabres NHL (темно-синий) {nya}</t>
  </si>
  <si>
    <t>H-MVP02WBV Buffalo Sabres NHL</t>
  </si>
  <si>
    <t>Buffalo Sabres</t>
  </si>
  <si>
    <t>36-075-09-00</t>
  </si>
  <si>
    <t>Бейсболка 47 BRAND арт. H-MVP03WBV Calgary Flames NHL (черный) {bk}</t>
  </si>
  <si>
    <t>H-MVP03WBV Calgary Flames NHL</t>
  </si>
  <si>
    <t>Calgary Flames</t>
  </si>
  <si>
    <t>36-076-09-00</t>
  </si>
  <si>
    <t>Бейсболка 47 BRAND арт. H-MVP05WBV Detroit Red Wings NHL (черный) {bka}</t>
  </si>
  <si>
    <t>H-MVP05WBV Detroit Red Wings NHL</t>
  </si>
  <si>
    <t>Detroit Red Wings</t>
  </si>
  <si>
    <t>36-076-18-00</t>
  </si>
  <si>
    <t>Бейсболка 47 BRAND арт. H-MVP05WBV Detroit Red Wings NHL (красный) {rdb}</t>
  </si>
  <si>
    <t>rdb</t>
  </si>
  <si>
    <t>36-077-09-00</t>
  </si>
  <si>
    <t>Бейсболка 47 BRAND арт. H-MVP07WBV Carolina Hurricanes NHL (черный) {bka}</t>
  </si>
  <si>
    <t>H-MVP07WBV Carolina Hurricanes NHL</t>
  </si>
  <si>
    <t>Carolina Hurricanes</t>
  </si>
  <si>
    <t>36-078-09-00</t>
  </si>
  <si>
    <t>Бейсболка 47 BRAND арт. H-MVP08WBV Los Angeles Kings NHL (черный) {bkb}</t>
  </si>
  <si>
    <t>H-MVP08WBV Los Angeles Kings NHL</t>
  </si>
  <si>
    <t>Los Angeles Kings</t>
  </si>
  <si>
    <t>36-079-09-00</t>
  </si>
  <si>
    <t>Бейсболка 47 BRAND арт. H-MVP09WBV Dallas Stars NHL (черный) {bkc}</t>
  </si>
  <si>
    <t>H-MVP09WBV Dallas Stars NHL</t>
  </si>
  <si>
    <t>Dallas Stars</t>
  </si>
  <si>
    <t>bkc</t>
  </si>
  <si>
    <t>36-079-11-00</t>
  </si>
  <si>
    <t>Бейсболка 47 BRAND арт. H-MVP09WBV Dallas Stars NHL (зеленый) {ky}</t>
  </si>
  <si>
    <t>ky</t>
  </si>
  <si>
    <t>36-080-16-00</t>
  </si>
  <si>
    <t>Бейсболка 47 BRAND арт. H-MVP10WBV Montreal Canadians NHL (темно-синий) {lnd}</t>
  </si>
  <si>
    <t>H-MVP10WBV Montreal Canadians NHL</t>
  </si>
  <si>
    <t>Montreal Canadians</t>
  </si>
  <si>
    <t>lnd</t>
  </si>
  <si>
    <t>36-081-09-00</t>
  </si>
  <si>
    <t>Бейсболка 47 BRAND арт. H-MVP11WBV New Jersey Devils NHL (черный) {bk}</t>
  </si>
  <si>
    <t>H-MVP11WBV New Jersey Devils NHL</t>
  </si>
  <si>
    <t>New Jersey Devils</t>
  </si>
  <si>
    <t>36-082-09-00</t>
  </si>
  <si>
    <t>Бейсболка 47 BRAND арт. H-MVP12WBV New York Islanders NHL (черный) {bkb}</t>
  </si>
  <si>
    <t>H-MVP12WBV New York Islanders NHL</t>
  </si>
  <si>
    <t>New York Islanders</t>
  </si>
  <si>
    <t>36-083-09-00</t>
  </si>
  <si>
    <t>Бейсболка 47 BRAND арт. H-MVP14WBV Philadelphia Flyers NHL (черный) {bkb}</t>
  </si>
  <si>
    <t>H-MVP14WBV Philadelphia Flyers NHL</t>
  </si>
  <si>
    <t>Philadelphia Flyers</t>
  </si>
  <si>
    <t>36-084-09-00</t>
  </si>
  <si>
    <t>Бейсболка 47 BRAND арт. H-MVP15WBV Pittsburgh Penguins NHL (черный) {bkb}</t>
  </si>
  <si>
    <t>H-MVP15WBV Pittsburgh Penguins NHL</t>
  </si>
  <si>
    <t>36-085-16-00</t>
  </si>
  <si>
    <t>Бейсболка 47 BRAND арт. H-MVP16WBV Colorado Avalanche NHL (темно-синий) {ny}</t>
  </si>
  <si>
    <t>H-MVP16WBV Colorado Avalanche NHL</t>
  </si>
  <si>
    <t>Colorado Avalanche</t>
  </si>
  <si>
    <t>36-086-16-00</t>
  </si>
  <si>
    <t>Бейсболка 47 BRAND арт. H-MVP17WBV St Louis Blues NHL (темно-синий) {nyb}</t>
  </si>
  <si>
    <t>H-MVP17WBV St Louis Blues NHL</t>
  </si>
  <si>
    <t>St Louis Blues</t>
  </si>
  <si>
    <t>nyb</t>
  </si>
  <si>
    <t>36-087-16-00</t>
  </si>
  <si>
    <t>Бейсболка 47 BRAND арт. H-MVP18WBV Toronto Maple Leafs NHL (темно-синий) {lna}</t>
  </si>
  <si>
    <t>H-MVP18WBV Toronto Maple Leafs NHL</t>
  </si>
  <si>
    <t>36-088-09-00</t>
  </si>
  <si>
    <t>Бейсболка 47 BRAND арт. H-MVP20WBV Washington Capitals NHL (черный) {bkb}</t>
  </si>
  <si>
    <t>H-MVP20WBV Washington Capitals NHL</t>
  </si>
  <si>
    <t>Washington Capitals</t>
  </si>
  <si>
    <t>36-088-16-00</t>
  </si>
  <si>
    <t>Бейсболка 47 BRAND арт. H-MVP20WBV Washington Capitals NHL (темно-синий) {nya}</t>
  </si>
  <si>
    <t>36-089-70-00</t>
  </si>
  <si>
    <t>Бейсболка 47 BRAND арт. H-MVP22WBV San Jose Sharks NHL (черный / голубой) {bk}</t>
  </si>
  <si>
    <t>H-MVP22WBV San Jose Sharks NHL</t>
  </si>
  <si>
    <t>San Jose Sharks</t>
  </si>
  <si>
    <t>36-089-48-00</t>
  </si>
  <si>
    <t>Бейсболка 47 BRAND арт. H-MVP22WBV San Jose Sharks NHL (черный / белый) {bkd}</t>
  </si>
  <si>
    <t>36-090-09-00</t>
  </si>
  <si>
    <t>Бейсболка 47 BRAND арт. H-MVP23WBV Tampa Bay Lightning NHL (черный) {bka}</t>
  </si>
  <si>
    <t>H-MVP23WBV Tampa Bay Lightning NHL</t>
  </si>
  <si>
    <t>Tampa Bay Lightning</t>
  </si>
  <si>
    <t>36-090-06-00</t>
  </si>
  <si>
    <t>Бейсболка 47 BRAND арт. H-MVP23WBV Tampa Bay Lightning NHL (синий) {ryc}</t>
  </si>
  <si>
    <t>36-091-09-00</t>
  </si>
  <si>
    <t>Бейсболка 47 BRAND арт. H-MVP25WBV Anaheim Ducks NHL (черный) {bki}</t>
  </si>
  <si>
    <t>H-MVP25WBV Anaheim Ducks NHL</t>
  </si>
  <si>
    <t>Anaheim Ducks</t>
  </si>
  <si>
    <t>bki</t>
  </si>
  <si>
    <t>36-092-09-00</t>
  </si>
  <si>
    <t>Бейсболка 47 BRAND арт. H-MVP26WBV Florida Panthers NHL (черный) {bkc}</t>
  </si>
  <si>
    <t>H-MVP26WBV Florida Panthers NHL</t>
  </si>
  <si>
    <t>Florida Panthers</t>
  </si>
  <si>
    <t>36-093-16-00</t>
  </si>
  <si>
    <t>Бейсболка 47 BRAND арт. H-MVP28WBV Columbus Blue Jackets NHL (темно-синий) {nyb}</t>
  </si>
  <si>
    <t>H-MVP28WBV Columbus Blue Jackets NHL</t>
  </si>
  <si>
    <t>Columbus Blue Jackets</t>
  </si>
  <si>
    <t>36-094-09-00</t>
  </si>
  <si>
    <t>Бейсболка 47 BRAND арт. H-MVP29WBV Minnesota Wild NHL (черный) {bk}</t>
  </si>
  <si>
    <t>H-MVP29WBV Minnesota Wild NHL</t>
  </si>
  <si>
    <t>Minnesota Wild</t>
  </si>
  <si>
    <t>36-095-16-00</t>
  </si>
  <si>
    <t>Бейсболка 47 BRAND арт. H-MVP30WBV Nashville Predators NHL (темно-синий) {ny}</t>
  </si>
  <si>
    <t>H-MVP30WBV Nashville Predators NHL</t>
  </si>
  <si>
    <t>Nashville Predators</t>
  </si>
  <si>
    <t>36-096-09-00</t>
  </si>
  <si>
    <t>Бейсболка 47 BRAND арт. H-MVP31WBV Vegas Golden Knights NHL (черный) {bk}</t>
  </si>
  <si>
    <t>H-MVP31WBV Vegas Golden Knights NHL</t>
  </si>
  <si>
    <t>36-097-09-00</t>
  </si>
  <si>
    <t>Бейсболка 47 BRAND арт. H-MVP32WBV Seattle Kraken NHL (черный) {bk}</t>
  </si>
  <si>
    <t>H-MVP32WBV Seattle Kraken NHL</t>
  </si>
  <si>
    <t>36-098-09-00</t>
  </si>
  <si>
    <t>Бейсболка 47 BRAND арт. H-MVP47WBV Winnipeg Jets NHL (черный) {bkd}</t>
  </si>
  <si>
    <t>H-MVP47WBV Winnipeg Jets NHL</t>
  </si>
  <si>
    <t>Winnipeg Jets</t>
  </si>
  <si>
    <t>36-099-09-00</t>
  </si>
  <si>
    <t>Бейсболка 47 BRAND арт. H-MVPSP15WBP Pittsburgh Penguins NHL (черный) {bka}</t>
  </si>
  <si>
    <t>H-MVPSP15WBP Pittsburgh Penguins NHL</t>
  </si>
  <si>
    <t>36-100-09-00</t>
  </si>
  <si>
    <t>Бейсболка 47 BRAND арт. H-MVPSP22WBP San Jose Sharks NHL (черный) {bk}</t>
  </si>
  <si>
    <t>H-MVPSP22WBP San Jose Sharks NHL</t>
  </si>
  <si>
    <t>36-101-09-00</t>
  </si>
  <si>
    <t>Бейсболка 47 BRAND арт. H-MVPSP25WBP Anaheim Ducks NHL (черный) {bkd}</t>
  </si>
  <si>
    <t>H-MVPSP25WBP Anaheim Ducks NHL</t>
  </si>
  <si>
    <t>36-101-41-00</t>
  </si>
  <si>
    <t>Бейсболка 47 BRAND арт. H-MVPSP25WBP Anaheim Ducks NHL (фиолетовый) {pjb}</t>
  </si>
  <si>
    <t>pjb</t>
  </si>
  <si>
    <t>36-102-09-00</t>
  </si>
  <si>
    <t>Бейсболка 47 BRAND арт. H-NLRGW32GWS Seattle Kraken NHL (черный) {bk}</t>
  </si>
  <si>
    <t>H-NLRGW32GWS Seattle Kraken NHL</t>
  </si>
  <si>
    <t>36-103-09-00</t>
  </si>
  <si>
    <t>Бейсболка 47 BRAND арт. HVIN-MVP01WBV Boston Bruins NHL (черный) {bk33}</t>
  </si>
  <si>
    <t>HVIN-MVP01WBV Boston Bruins NHL</t>
  </si>
  <si>
    <t>bk33</t>
  </si>
  <si>
    <t>36-104-09-00</t>
  </si>
  <si>
    <t>Бейсболка 47 BRAND арт. HVIN-MVP08WBV Los Angeles Kings NHL (черный) {bkb88}</t>
  </si>
  <si>
    <t>HVIN-MVP08WBV Los Angeles Kings NHL</t>
  </si>
  <si>
    <t>bkb88</t>
  </si>
  <si>
    <t>36-105-11-00</t>
  </si>
  <si>
    <t>Бейсболка 47 BRAND арт. HVIN-MVP09WBV Minnesota Northstars NHL (зеленый) {ky67}</t>
  </si>
  <si>
    <t>HVIN-MVP09WBV Minnesota Northstars NHL</t>
  </si>
  <si>
    <t>Minnesota Northstars</t>
  </si>
  <si>
    <t>ky67</t>
  </si>
  <si>
    <t>36-106-11-00</t>
  </si>
  <si>
    <t>Бейсболка 47 BRAND арт. HVIN-MVP44WBV Hartford Whalers NHL (зеленый) {kya79}</t>
  </si>
  <si>
    <t>HVIN-MVP44WBV Hartford Whalers NHL</t>
  </si>
  <si>
    <t>Hartford Whalers</t>
  </si>
  <si>
    <t>kya79</t>
  </si>
  <si>
    <t>36-107-16-00</t>
  </si>
  <si>
    <t>Бейсболка 47 BRAND арт. HVIN-MVP47WBV Winnipeg Jets NHL (темно-синий) {ny79}</t>
  </si>
  <si>
    <t>HVIN-MVP47WBV Winnipeg Jets NHL</t>
  </si>
  <si>
    <t>ny79</t>
  </si>
  <si>
    <t>36-182-09-00</t>
  </si>
  <si>
    <t>Бейсболка 47 BRAND арт. EPL-ULTBS04USS Liverpool FC EPL (черный) {bka}</t>
  </si>
  <si>
    <t>EPL-ULTBS04USS Liverpool FC EPL</t>
  </si>
  <si>
    <t>EPL</t>
  </si>
  <si>
    <t>36-181-09-00</t>
  </si>
  <si>
    <t>Бейсболка 47 BRAND арт. BCWS-SUMVP12WBP Los Angeles Dodgers MLB (синий) {ry58}</t>
  </si>
  <si>
    <t>BCWS-SUMVP12WBP Los Angeles Dodgers MLB</t>
  </si>
  <si>
    <t>ry58</t>
  </si>
  <si>
    <t>36-180-09-00</t>
  </si>
  <si>
    <t>Бейсболка 47 BRAND арт. EPL-NSHOT04WBP Liverpool FC EPL (черный) {bkb}</t>
  </si>
  <si>
    <t>EPL-NSHOT04WBP Liverpool FC EPL</t>
  </si>
  <si>
    <t>36-179-09-00</t>
  </si>
  <si>
    <t>Бейсболка 47 BRAND арт. B-SRS02WBP Boston Red Sox MLB (черный) {bk}</t>
  </si>
  <si>
    <t>B-SRS02WBP Boston Red Sox MLB</t>
  </si>
  <si>
    <t>36-178-09-00</t>
  </si>
  <si>
    <t>Бейсболка 47 BRAND арт. B-SRS01WBP Atlanta Braves MLB (черный) {bka}</t>
  </si>
  <si>
    <t>B-SRS01WBP Atlanta Braves MLB</t>
  </si>
  <si>
    <t>36-177-51-00</t>
  </si>
  <si>
    <t>Бейсболка 47 BRAND арт. B-STMCS17WHV New York Yankees MLB (светло-серый) {cc}</t>
  </si>
  <si>
    <t>B-STMCS17WHV New York Yankees MLB</t>
  </si>
  <si>
    <t>36-176-51-00</t>
  </si>
  <si>
    <t>Бейсболка 47 BRAND арт. B-SCTTD02WHP Boston Red Sox MLB (светло-серый / синий) {cc}</t>
  </si>
  <si>
    <t>B-SCTTD02WHP Boston Red Sox MLB</t>
  </si>
  <si>
    <t>36-175-09-00</t>
  </si>
  <si>
    <t>Бейсболка 47 BRAND арт. B-PORTR12GWP Los Angeles Dodgers MLB (черный) {bka}</t>
  </si>
  <si>
    <t>B-PORTR12GWP Los Angeles Dodgers MLB</t>
  </si>
  <si>
    <t>36-174-80-00</t>
  </si>
  <si>
    <t>Бейсболка 47 BRAND арт. B-PLMTT12KHP Los Angeles Dodgers MLB (серый) {gy}</t>
  </si>
  <si>
    <t>B-PLMTT12KHP Los Angeles Dodgers MLB</t>
  </si>
  <si>
    <t>92% полиэстер - 8% спандекс</t>
  </si>
  <si>
    <t>36-173-09-00</t>
  </si>
  <si>
    <t>Бейсболка 47 BRAND арт. B-OSMOS17ZPV New York Yankees MLB (черный) {bk}</t>
  </si>
  <si>
    <t>B-OSMOS17ZPV New York Yankees MLB</t>
  </si>
  <si>
    <t>36-172-09-00</t>
  </si>
  <si>
    <t>Бейсболка 47 BRAND арт. B-OSMOS12ZPV Los Angeles Dodgers MLB (черный) {bka}</t>
  </si>
  <si>
    <t>B-OSMOS12ZPV Los Angeles Dodgers MLB</t>
  </si>
  <si>
    <t>36-171-16-00</t>
  </si>
  <si>
    <t>Бейсболка 47 BRAND арт. H-NSHOT10WBP Montreal Canadiens NHL (темно-синий) {lna}</t>
  </si>
  <si>
    <t>H-NSHOT10WBP Montreal Canadiens NHL</t>
  </si>
  <si>
    <t>Montreal Canadiens</t>
  </si>
  <si>
    <t>36-170-09-00</t>
  </si>
  <si>
    <t>Бейсболка 47 BRAND арт. H-NTRZN08OFV Los Angeles Kings NHL (черный) {bk}</t>
  </si>
  <si>
    <t>H-NTRZN08OFV Los Angeles Kings NHL</t>
  </si>
  <si>
    <t>94% полиэстер - 6% спандекс</t>
  </si>
  <si>
    <t>36-169-09-00</t>
  </si>
  <si>
    <t>Бейсболка 47 BRAND арт. B-MVPSP19WBP Philadelphia Phillies MLB (черный) {bk}</t>
  </si>
  <si>
    <t>B-MVPSP19WBP Philadelphia Phillies MLB</t>
  </si>
  <si>
    <t>36-168-09-00</t>
  </si>
  <si>
    <t>Бейсболка 47 BRAND арт. B-MVPSP06WBP Chicago White Sox MLB (черный) {bkb}</t>
  </si>
  <si>
    <t>B-MVPSP06WBP Chicago White Sox MLB</t>
  </si>
  <si>
    <t>36-167-09-00</t>
  </si>
  <si>
    <t>Бейсболка 47 BRAND арт. BCPTN-MVPSP06WBP Chicago White Sox MLB (черный) {bk36}</t>
  </si>
  <si>
    <t>BCPTN-MVPSP06WBP Chicago White Sox MLB</t>
  </si>
  <si>
    <t>bk36</t>
  </si>
  <si>
    <t>36-166-09-00</t>
  </si>
  <si>
    <t>Бейсболка 47 BRAND арт. H-MVPSP04WBP Chicago Blackhawks NHL (черный) {bka}</t>
  </si>
  <si>
    <t>H-MVPSP04WBP Chicago Blackhawks NHL</t>
  </si>
  <si>
    <t>Chicago Blackhawks</t>
  </si>
  <si>
    <t>36-165-09-00</t>
  </si>
  <si>
    <t>Бейсболка 47 BRAND арт. HVIN-MVP19WBV Vancouver Canucks NHL (черный) {bk85}</t>
  </si>
  <si>
    <t>HVIN-MVP19WBV Vancouver Canucks NHL</t>
  </si>
  <si>
    <t>Vancouver Canucks</t>
  </si>
  <si>
    <t>bk85</t>
  </si>
  <si>
    <t>36-164-09-00</t>
  </si>
  <si>
    <t>Бейсболка 47 BRAND арт. BCPTN-MVP30WBV Tampa Bay Rays MLB (черный) {bk98}</t>
  </si>
  <si>
    <t>BCPTN-MVP30WBV Tampa Bay Rays MLB</t>
  </si>
  <si>
    <t>Tampa Bay Rays</t>
  </si>
  <si>
    <t>36-163-09-00</t>
  </si>
  <si>
    <t>Бейсболка 47 BRAND арт. H-MVP13WBV New York Rangers NHL (черный) {bkb}</t>
  </si>
  <si>
    <t>H-MVP13WBV New York Rangers NHL</t>
  </si>
  <si>
    <t>New York Rangers</t>
  </si>
  <si>
    <t>36-162-16-00</t>
  </si>
  <si>
    <t>Бейсболка 47 BRAND арт. B-MVP13WBV Milwaukee Brewers MLB (темно-синий) {nye}</t>
  </si>
  <si>
    <t>B-MVP13WBV Milwaukee Brewers MLB</t>
  </si>
  <si>
    <t>Milwaukee Brewers</t>
  </si>
  <si>
    <t>nye</t>
  </si>
  <si>
    <t>36-161-09-00</t>
  </si>
  <si>
    <t>Бейсболка 47 BRAND арт. BCPTN-MVP06WBV Chicago White Sox MLB (черный) {bk36}</t>
  </si>
  <si>
    <t>BCPTN-MVP06WBV Chicago White Sox MLB</t>
  </si>
  <si>
    <t>36-160-51-00</t>
  </si>
  <si>
    <t>Бейсболка 47 BRAND арт. ITFL-MVP01WBV AS Roma ITFL (угольный) {cc}</t>
  </si>
  <si>
    <t>ITFL-MVP01WBV AS Roma ITFL</t>
  </si>
  <si>
    <t>ITFL</t>
  </si>
  <si>
    <t>As Roma</t>
  </si>
  <si>
    <t>36-160-16-00</t>
  </si>
  <si>
    <t>Бейсболка 47 BRAND арт. ITFL-MVP01WBV AS Roma ITFL (темно-синий) {nya}</t>
  </si>
  <si>
    <t>36-160-09-00</t>
  </si>
  <si>
    <t>Бейсболка 47 BRAND арт. ITFL-MVP01WBV AS Roma ITFL (черный) {bka}</t>
  </si>
  <si>
    <t>36-159-09-00</t>
  </si>
  <si>
    <t>Бейсболка 47 BRAND арт. H-MMNTM22ZPV San Jose Sharks NHL (черный) {bk}</t>
  </si>
  <si>
    <t>H-MMNTM22ZPV San Jose Sharks NHL</t>
  </si>
  <si>
    <t>36-158-09-00</t>
  </si>
  <si>
    <t>Бейсболка 47 BRAND арт. B-MMNTM06ZPV Chicago White Sox MLB (черный) {bk}</t>
  </si>
  <si>
    <t>B-MMNTM06ZPV Chicago White Sox MLB</t>
  </si>
  <si>
    <t>36-157-09-00</t>
  </si>
  <si>
    <t>Бейсболка 47 BRAND арт. EPL-KCKOF04WSE Liverpool FC EPL (черный) {bk}</t>
  </si>
  <si>
    <t>EPL-KCKOF04WSE Liverpool FC EPL</t>
  </si>
  <si>
    <t>85% акрил - 12% шерсть - 3% спандекс</t>
  </si>
  <si>
    <t>36-156-09-00</t>
  </si>
  <si>
    <t>Бейсболка 47 BRAND арт. EPL-ICE04GWS Liverpool FC EPL (черный) {bka}</t>
  </si>
  <si>
    <t>EPL-ICE04GWS Liverpool FC EPL</t>
  </si>
  <si>
    <t>36-155-11-00</t>
  </si>
  <si>
    <t>Бейсболка 47 BRAND арт. B-GRDMD09RCP Detroit Tigers MLB (зеленый) {xc}</t>
  </si>
  <si>
    <t>B-GRDMD09RCP Detroit Tigers MLB</t>
  </si>
  <si>
    <t>xc</t>
  </si>
  <si>
    <t>36-154-09-00</t>
  </si>
  <si>
    <t>Панама 47 BRAND арт. B-FLCBK17PFF New York Yankees MLB (черный) {bk}</t>
  </si>
  <si>
    <t>B-FLCBK17PFF New York Yankees MLB</t>
  </si>
  <si>
    <t>36-153-16-00</t>
  </si>
  <si>
    <t>Бейсболка 47 BRAND арт. B-EMERM17HVP New York Yankees MLB (темно-синий) {ny}</t>
  </si>
  <si>
    <t>B-EMERM17HVP New York Yankees MLB</t>
  </si>
  <si>
    <t>36-152-16-00</t>
  </si>
  <si>
    <t>Бейсболка 47 BRAND арт. B-EMERM02HVP Boston Red Sox MLB (темно-синий) {ny}</t>
  </si>
  <si>
    <t>B-EMERM02HVP Boston Red Sox MLB</t>
  </si>
  <si>
    <t>36-151-09-00</t>
  </si>
  <si>
    <t>Бейсболка 47 BRAND арт. H-DEFRO31WBV Vegas Golden Knights NHL (черный) {bka}</t>
  </si>
  <si>
    <t>H-DEFRO31WBV Vegas Golden Knights NHL</t>
  </si>
  <si>
    <t>36-150-51-00</t>
  </si>
  <si>
    <t>Бейсболка 47 BRAND арт. H-DEFRO15WBV Pittsburgh Penguins NHL (темно-серый) {ccb}</t>
  </si>
  <si>
    <t>H-DEFRO15WBV Pittsburgh Penguins NHL</t>
  </si>
  <si>
    <t>ccb</t>
  </si>
  <si>
    <t>36-149-09-00</t>
  </si>
  <si>
    <t>Бейсболка 47 BRAND арт. H-DEFRO30WBV Nashville Predators NHL (черный) {bk}</t>
  </si>
  <si>
    <t>H-DEFRO30WBV Nashville Predators NHL</t>
  </si>
  <si>
    <t>36-148-45-00</t>
  </si>
  <si>
    <t>Бейсболка 47 BRAND арт. HVIN-CLZRP20WBP Washington Capitals NHL (белый / красный) {ry75}</t>
  </si>
  <si>
    <t>HVIN-CLZRP20WBP Washington Capitals NHL</t>
  </si>
  <si>
    <t>ry75</t>
  </si>
  <si>
    <t>36-147-46-00</t>
  </si>
  <si>
    <t>Бейсболка 47 BRAND арт. BCPTN-CLZRP04WBP Los Angeles Angels MLB (белый / голубой) {ny97}</t>
  </si>
  <si>
    <t>BCPTN-CLZRP04WBP Los Angeles Angels MLB</t>
  </si>
  <si>
    <t>36-146-59-00</t>
  </si>
  <si>
    <t>Бейсболка 47 BRAND арт. BCPTN-CLZRP09WBP Detroit Tigers MLB (белый / оранжевый) {ny57}</t>
  </si>
  <si>
    <t>BCPTN-CLZRP09WBP Detroit Tigers MLB</t>
  </si>
  <si>
    <t>ny57</t>
  </si>
  <si>
    <t>36-145-16-00</t>
  </si>
  <si>
    <t>Бейсболка 47 BRAND арт. H-CLZOE20WBP Washington Capitals NHL (темно-синий) {ny}</t>
  </si>
  <si>
    <t>H-CLZOE20WBP Washington Capitals NHL</t>
  </si>
  <si>
    <t>36-144-09-00</t>
  </si>
  <si>
    <t>Бейсболка 47 BRAND арт. H-CLZOE31WBP Vegas Golden Knights NHL (черный) {bk}</t>
  </si>
  <si>
    <t>H-CLZOE31WBP Vegas Golden Knights NHL</t>
  </si>
  <si>
    <t>36-143-16-00</t>
  </si>
  <si>
    <t>Бейсболка 47 BRAND арт. H-CLZOE17WBP St Louis Blues NHL (темно-синий) {ny}</t>
  </si>
  <si>
    <t>H-CLZOE17WBP St Louis Blues NHL</t>
  </si>
  <si>
    <t>36-142-09-00</t>
  </si>
  <si>
    <t>Бейсболка 47 BRAND арт. BCPTN-CLZOE22WBP San Francisco Giants MLB (черный) {bk77}</t>
  </si>
  <si>
    <t>BCPTN-CLZOE22WBP San Francisco Giants MLB</t>
  </si>
  <si>
    <t>bk77</t>
  </si>
  <si>
    <t>36-141-09-00</t>
  </si>
  <si>
    <t>Бейсболка 47 BRAND арт. B-CLZOE20WBP Pittsburgh Pirates MLB (черный) {bkb}</t>
  </si>
  <si>
    <t>B-CLZOE20WBP Pittsburgh Pirates MLB</t>
  </si>
  <si>
    <t>36-140-09-00</t>
  </si>
  <si>
    <t>Бейсболка 47 BRAND арт. H-CLZOE15WBP Pittsburgh Penguins NHL (черный) {bka}</t>
  </si>
  <si>
    <t>H-CLZOE15WBP Pittsburgh Penguins NHL</t>
  </si>
  <si>
    <t>36-139-09-00</t>
  </si>
  <si>
    <t>Бейсболка 47 BRAND арт. H-CLZOE14WBP Philadelphia Flyers NHL (черный) {bk}</t>
  </si>
  <si>
    <t>H-CLZOE14WBP Philadelphia Flyers NHL</t>
  </si>
  <si>
    <t>36-138-16-00</t>
  </si>
  <si>
    <t>Бейсболка 47 BRAND арт. H-CLZOE30WBP Nashville Predators NHL (темно-синий) {ny}</t>
  </si>
  <si>
    <t>H-CLZOE30WBP Nashville Predators NHL</t>
  </si>
  <si>
    <t>36-137-16-00</t>
  </si>
  <si>
    <t>Бейсболка 47 BRAND арт. H-CLZOE10WBP Montreal Canadiens NHL (темно-синий) {ln}</t>
  </si>
  <si>
    <t>H-CLZOE10WBP Montreal Canadiens NHL</t>
  </si>
  <si>
    <t>ln</t>
  </si>
  <si>
    <t>36-136-09-00</t>
  </si>
  <si>
    <t>Бейсболка 47 BRAND арт. HVIN-CLZOE08WBP Los Angeles Kings NHL (черный) {bk88}</t>
  </si>
  <si>
    <t>HVIN-CLZOE08WBP Los Angeles Kings NHL</t>
  </si>
  <si>
    <t>bk88</t>
  </si>
  <si>
    <t>36-135-09-00</t>
  </si>
  <si>
    <t>Бейсболка 47 BRAND арт. H-CLZOE08WBP Los Angeles Kings NHL (черный) {bk}</t>
  </si>
  <si>
    <t>H-CLZOE08WBP Los Angeles Kings NHL</t>
  </si>
  <si>
    <t>36-134-72-00</t>
  </si>
  <si>
    <t>Бейсболка 47 BRAND арт. EPL-CLZOE04WBP Liverpool FC EPL (черный / красный) {bk}</t>
  </si>
  <si>
    <t>EPL-CLZOE04WBP Liverpool FC EPL</t>
  </si>
  <si>
    <t>36-134-09-00</t>
  </si>
  <si>
    <t>Бейсболка 47 BRAND арт. EPL-CLZOE04WBP Liverpool FC EPL (черный) {bkc}</t>
  </si>
  <si>
    <t>36-133-09-00</t>
  </si>
  <si>
    <t>Бейсболка 47 BRAND арт. B-CLZOE06WBP Chicago White Sox MLB (черный) {bk}</t>
  </si>
  <si>
    <t>B-CLZOE06WBP Chicago White Sox MLB</t>
  </si>
  <si>
    <t>36-132-09-00</t>
  </si>
  <si>
    <t>Бейсболка 47 BRAND арт. H-CLZOE07WBP Carolina Hurricanes NHL (черный) {bk}</t>
  </si>
  <si>
    <t>H-CLZOE07WBP Carolina Hurricanes NHL</t>
  </si>
  <si>
    <t>36-131-09-00</t>
  </si>
  <si>
    <t>Бейсболка 47 BRAND арт. H-CLZOE01WBP Boston Bruins NHL (черный) {bk}</t>
  </si>
  <si>
    <t>H-CLZOE01WBP Boston Bruins NHL</t>
  </si>
  <si>
    <t>36-130-09-00</t>
  </si>
  <si>
    <t>Бейсболка 47 BRAND арт. H-CLZOE21WBP Arizona Coyotes NHL (черный) {bk}</t>
  </si>
  <si>
    <t>H-CLZOE21WBP Arizona Coyotes NHL</t>
  </si>
  <si>
    <t>Arizona Coyotes</t>
  </si>
  <si>
    <t>36-129-09-00</t>
  </si>
  <si>
    <t>Бейсболка 47 BRAND арт. H-CLZOE25WBP Anaheim Ducks NHL (черный) {bkd}</t>
  </si>
  <si>
    <t>H-CLZOE25WBP Anaheim Ducks NHL</t>
  </si>
  <si>
    <t>36-128-16-00</t>
  </si>
  <si>
    <t>Бейсболка 47 BRAND арт. H-RGW20GWS Washington Capitals NHL (темно-синий) {nya}</t>
  </si>
  <si>
    <t>H-RGW20GWS Washington Capitals NHL</t>
  </si>
  <si>
    <t>36-127-09-00</t>
  </si>
  <si>
    <t>Бейсболка 47 BRAND арт. H-RGW31GWS Vegas Golden Knights NHL (черный) {bk}</t>
  </si>
  <si>
    <t>H-RGW31GWS Vegas Golden Knights NHL</t>
  </si>
  <si>
    <t>36-126-19-00</t>
  </si>
  <si>
    <t>Бейсболка 47 BRAND арт. H-RGW32GWS Seattle Kraken NHL (светло-синий) {tf}</t>
  </si>
  <si>
    <t>H-RGW32GWS Seattle Kraken NHL</t>
  </si>
  <si>
    <t>tf</t>
  </si>
  <si>
    <t>36-126-16-00</t>
  </si>
  <si>
    <t>Бейсболка 47 BRAND арт. H-RGW32GWS Seattle Kraken NHL (темно-синий) {ny}</t>
  </si>
  <si>
    <t>36-125-09-00</t>
  </si>
  <si>
    <t>Бейсболка 47 BRAND арт. H-RGW22GWS San Jose Sharks NHL (черный) {bk}</t>
  </si>
  <si>
    <t>H-RGW22GWS San Jose Sharks NHL</t>
  </si>
  <si>
    <t>36-124-09-00</t>
  </si>
  <si>
    <t>Бейсболка 47 BRAND арт. B-RGW22GWS San Francisco Giants MLB (черный) {bk}</t>
  </si>
  <si>
    <t>B-RGW22GWS San Francisco Giants MLB</t>
  </si>
  <si>
    <t>36-123-09-00</t>
  </si>
  <si>
    <t>Бейсболка 47 BRAND арт. H-RGW15GWS Pittsburgh Penguins NHL (черный) {bkb}</t>
  </si>
  <si>
    <t>H-RGW15GWS Pittsburgh Penguins NHL</t>
  </si>
  <si>
    <t>36-122-72-00</t>
  </si>
  <si>
    <t>Бейсболка 47 BRAND арт. EPL-RGW04GWS Liverpool FC EPL (черный / красный) {bk}</t>
  </si>
  <si>
    <t>EPL-RGW04GWS Liverpool FC EPL</t>
  </si>
  <si>
    <t>36-122-09-00</t>
  </si>
  <si>
    <t>Бейсболка 47 BRAND арт. EPL-RGW04GWS Liverpool FC EPL (черный) {bka}</t>
  </si>
  <si>
    <t>36-121-09-00</t>
  </si>
  <si>
    <t>Бейсболка 47 BRAND арт. B-RGW09GWSNL Detroit Tigers MLB (черный) {bk}</t>
  </si>
  <si>
    <t>B-RGW09GWSNL Detroit Tigers MLB</t>
  </si>
  <si>
    <t>36-120-09-00</t>
  </si>
  <si>
    <t>Бейсболка 47 BRAND арт. H-RGW05GWS Detroit Red Wings NHL (черный) {bk}</t>
  </si>
  <si>
    <t>H-RGW05GWS Detroit Red Wings NHL</t>
  </si>
  <si>
    <t>36-119-09-00</t>
  </si>
  <si>
    <t>Бейсболка 47 BRAND арт. B-RGW06GWSNL Chicago White Sox MLB (черный) {bkb}</t>
  </si>
  <si>
    <t>B-RGW06GWSNL Chicago White Sox MLB</t>
  </si>
  <si>
    <t>36-118-09-00</t>
  </si>
  <si>
    <t>Бейсболка 47 BRAND арт. B-RGW02GWSNL Boston Red Sox MLB (черный) {bkg}</t>
  </si>
  <si>
    <t>B-RGW02GWSNL Boston Red Sox MLB</t>
  </si>
  <si>
    <t>bkg</t>
  </si>
  <si>
    <t>36-117-09-00</t>
  </si>
  <si>
    <t>Бейсболка 47 BRAND арт. H-RGW01GWS Boston Bruins NHL (черный) {bk}</t>
  </si>
  <si>
    <t>H-RGW01GWS Boston Bruins NHL</t>
  </si>
  <si>
    <t>36-116-16-00</t>
  </si>
  <si>
    <t>Бейсболка 47 BRAND арт. B-RGW01GWS Atlanta Braves MLB (темно-синий) {ra}</t>
  </si>
  <si>
    <t>B-RGW01GWS Atlanta Braves MLB</t>
  </si>
  <si>
    <t>36-115-09-00</t>
  </si>
  <si>
    <t>Бейсболка 47 BRAND арт. H-NLRGW25GWS Anaheim Ducks NHL (черный) {bkc}</t>
  </si>
  <si>
    <t>H-NLRGW25GWS Anaheim Ducks NHL</t>
  </si>
  <si>
    <t>36-114-11-00</t>
  </si>
  <si>
    <t>Бейсболка 47 BRAND арт. B-CHLDP17WBP New York Yankees MLB (зеленый) {sw}</t>
  </si>
  <si>
    <t>B-CHLDP17WBP New York Yankees MLB</t>
  </si>
  <si>
    <t>sw</t>
  </si>
  <si>
    <t>36-113-09-00</t>
  </si>
  <si>
    <t>Бейсболка 47 BRAND арт. BCPTN-CHLKM12WBS Los Angeles Dodgers MLB (черный) {bk10}</t>
  </si>
  <si>
    <t>BCPTN-CHLKM12WBS Los Angeles Dodgers MLB</t>
  </si>
  <si>
    <t>bk10</t>
  </si>
  <si>
    <t>36-112-09-00</t>
  </si>
  <si>
    <t>Панама 47 BRAND арт. B-BKT17GWF New York Yankees MLB (черный) {bka}</t>
  </si>
  <si>
    <t>B-BKT17GWF New York Yankees MLB</t>
  </si>
  <si>
    <t>36-111-06-00</t>
  </si>
  <si>
    <t>Бейсболка 47 BRAND арт. H-BRANS19CTP Vancouver Canucks NHL (синий) {rya}</t>
  </si>
  <si>
    <t>H-BRANS19CTP Vancouver Canucks NHL</t>
  </si>
  <si>
    <t>rya</t>
  </si>
  <si>
    <t>36-110-16-00</t>
  </si>
  <si>
    <t>Бейсболка 47 BRAND арт. H-BRANS17CTP St Louis Blues NHL (темно-синий) {ny}</t>
  </si>
  <si>
    <t>H-BRANS17CTP St Louis Blues NHL</t>
  </si>
  <si>
    <t>36-109-73-00</t>
  </si>
  <si>
    <t>Бейсболка 47 BRAND арт. B-BRANS22CTP San Francisco Giants MLB (черный / белый) {bk}</t>
  </si>
  <si>
    <t>B-BRANS22CTP San Francisco Giants MLB</t>
  </si>
  <si>
    <t>36-108-09-00</t>
  </si>
  <si>
    <t>Бейсболка 47 BRAND арт. EPL-BRANS04CTP Liverpool FC EPL (черный) {bkb}</t>
  </si>
  <si>
    <t>EPL-BRANS04CTP Liverpool FC EPL</t>
  </si>
  <si>
    <t>36-101-83-00</t>
  </si>
  <si>
    <t>Бейсболка 47 BRAND арт. H-MVPSP25WBP Anaheim Ducks NHL (светло-желтый) {kh}</t>
  </si>
  <si>
    <t>kh</t>
  </si>
  <si>
    <t>36-101-73-00</t>
  </si>
  <si>
    <t>Бейсболка 47 BRAND арт. H-MVPSP25WBP Anaheim Ducks NHL (черный / белый) {bka}</t>
  </si>
  <si>
    <t>36-071-16-00</t>
  </si>
  <si>
    <t>Бейсболка 47 BRAND арт. H-CLZOE32WBP Seattle Kraken NHL (темно-синий) {ny}</t>
  </si>
  <si>
    <t>36-068-51-00</t>
  </si>
  <si>
    <t>Бейсболка 47 BRAND арт. EPL-MVP17WBV West Ham United FC EPL (темно-серый) {cc}</t>
  </si>
  <si>
    <t>36-068-18-00</t>
  </si>
  <si>
    <t>Бейсболка 47 BRAND арт. EPL-MVP17WBV West Ham United FC EPL (красный) {caa}</t>
  </si>
  <si>
    <t>36-067-49-00</t>
  </si>
  <si>
    <t>Бейсболка 47 BRAND арт. EPL-MVP04WBV Liverpool FC EPL (черный / черный) {bkb}</t>
  </si>
  <si>
    <t>36-067-10-00</t>
  </si>
  <si>
    <t>Бейсболка 47 BRAND арт. EPL-MVP04WBV Liverpool FC EPL (черный / серый) {bkd}</t>
  </si>
  <si>
    <t>36-057-80-00</t>
  </si>
  <si>
    <t>Бейсболка 47 BRAND арт. B-RGW12GWS Los Angeles Dodgers MLB (серый) {sm}</t>
  </si>
  <si>
    <t>sm</t>
  </si>
  <si>
    <t>36-048-06-00</t>
  </si>
  <si>
    <t>Бейсболка 47 BRAND арт. B-MVP26WBV Toronto Blue Jays MLB (синий) {ry}</t>
  </si>
  <si>
    <t>ry</t>
  </si>
  <si>
    <t>36-044-80-00</t>
  </si>
  <si>
    <t>Бейсболка 47 BRAND арт. B-MVP18WBV Oakland Athletics MLB (серый) {gy}</t>
  </si>
  <si>
    <t>36-041-16-00</t>
  </si>
  <si>
    <t>Бейсболка 47 BRAND арт. B-MVP15WBV Washington Nationals MLB (темно-синий) {nya}</t>
  </si>
  <si>
    <t>36-038-65-00</t>
  </si>
  <si>
    <t>Бейсболка 47 BRAND арт. B-MVP09WBV Detroit Tigers MLB (темно-синий / белый) {nye}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</si>
  <si>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</si>
  <si>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</si>
  <si>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</si>
  <si>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</si>
  <si>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</si>
  <si>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</si>
  <si>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</si>
  <si>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</si>
  <si>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</si>
  <si>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</si>
  <si>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</si>
  <si>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</si>
  <si>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</si>
  <si>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</si>
  <si>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</si>
  <si>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</si>
  <si>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</si>
  <si>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</si>
  <si>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</si>
  <si>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</si>
  <si>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</si>
  <si>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</si>
  <si>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</si>
  <si>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</si>
  <si>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</si>
  <si>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</si>
  <si>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</si>
  <si>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</si>
  <si>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</si>
  <si>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</si>
  <si>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</si>
  <si>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</si>
  <si>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</si>
  <si>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</si>
  <si>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</si>
  <si>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</si>
  <si>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</si>
  <si>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</si>
  <si>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</si>
  <si>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</si>
  <si>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</si>
  <si>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</si>
  <si>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</si>
  <si>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</si>
  <si>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</si>
  <si>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</si>
  <si>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</si>
  <si>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</si>
  <si>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</si>
  <si>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</si>
  <si>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</si>
  <si>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</si>
  <si>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</si>
  <si>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</si>
  <si>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Наименование</t>
  </si>
  <si>
    <t xml:space="preserve">Артикул </t>
  </si>
  <si>
    <t>Бейсболка NEW ERA арт. 11198850 New York Yankees MLB (черный) {blk}</t>
  </si>
  <si>
    <t>96-187-09</t>
  </si>
  <si>
    <t>Бейсболка NEW ERA арт. 12573358 (белый) {whi}</t>
  </si>
  <si>
    <t>96-087-17</t>
  </si>
  <si>
    <t>Кепка FREDRIKSON арт. 3125-620/21 (черный) {620/21}</t>
  </si>
  <si>
    <t>95-087-09</t>
  </si>
  <si>
    <t>Бейсболка HOOD арт. 100-MWL005-CA087-BK San Francisco II (черный / красный) {black}</t>
  </si>
  <si>
    <t>92-021-72</t>
  </si>
  <si>
    <t>Бейсболка GOORIN BROTHERS арт. 101-0484 (черный / белый) {whi}</t>
  </si>
  <si>
    <t>91-687-72</t>
  </si>
  <si>
    <t>Бейсболка GOORIN BROTHERS арт. 101-0484 (коралловый / белый) {cor}</t>
  </si>
  <si>
    <t>91-687-36</t>
  </si>
  <si>
    <t>Шапка GOORIN BROTHERS арт. 107-0196 (кремовый) {kha}</t>
  </si>
  <si>
    <t>91-587-36</t>
  </si>
  <si>
    <t>Шапка GOORIN BROTHERS арт. 107-0196 (розовый) {pin}</t>
  </si>
  <si>
    <t>91-587-34</t>
  </si>
  <si>
    <t>Шапка GOORIN BROTHERS арт. 107-0196 (серый) {gry}</t>
  </si>
  <si>
    <t>91-587-08</t>
  </si>
  <si>
    <t>Кепка GOORIN BROTHERS арт. 103-0575 (черный) {blk}</t>
  </si>
  <si>
    <t>91-487-09</t>
  </si>
  <si>
    <t>Кепка GOORIN BROTHERS арт. 103-0575 (серый) {gry}</t>
  </si>
  <si>
    <t>91-487-08</t>
  </si>
  <si>
    <t>Кепка GOORIN BROTHERS арт. 103-0422 (коралловый) {cor}</t>
  </si>
  <si>
    <t>91-387-34</t>
  </si>
  <si>
    <t>Кепка GOORIN BROTHERS арт. 103-0422 (серый) {blu}</t>
  </si>
  <si>
    <t>91-387-06</t>
  </si>
  <si>
    <t>Кепка GOORIN BROTHERS арт. 103-0422 (хаки) {kha}</t>
  </si>
  <si>
    <t>91-387-00</t>
  </si>
  <si>
    <t>Бейсболка GOORIN BROTHERS арт. 101-0050 (рыжий) {blk}</t>
  </si>
  <si>
    <t>91-187-13</t>
  </si>
  <si>
    <t>Кепка GOORIN BROTHERS арт. 603-9192 (коричневый) {bro}</t>
  </si>
  <si>
    <t>91-087-14</t>
  </si>
  <si>
    <t>Шляпа GOORIN BROTHERS арт. 105-6056 (коричневый) {mar}</t>
  </si>
  <si>
    <t>90-987-14</t>
  </si>
  <si>
    <t>Кепка GOORIN BROTHERS арт. 604-9655 (темно-синий) {nvy}</t>
  </si>
  <si>
    <t>90-387-16</t>
  </si>
  <si>
    <t>Кепка GOORIN BROTHERS арт. 604-9655 (серый) {gry}</t>
  </si>
  <si>
    <t>90-387-08</t>
  </si>
  <si>
    <t>Кепка GOORIN BROTHERS арт. 103-5575 (коричневый) {bro}</t>
  </si>
  <si>
    <t>90-287-14</t>
  </si>
  <si>
    <t>Шапка GOORIN BROTHERS арт. 406-4927 (серый) {gry}</t>
  </si>
  <si>
    <t>90-187-08</t>
  </si>
  <si>
    <t>Шляпа GOORIN BROTHERS арт. 100-5191 (серый) {gry}</t>
  </si>
  <si>
    <t>90-087-08</t>
  </si>
  <si>
    <t>Шляпа GOORIN BROTHERS арт. 100-5191 (темно-серый) {nvy}</t>
  </si>
  <si>
    <t>90-087-05</t>
  </si>
  <si>
    <t>Бейсболка CAPSLAB арт. CL/DC/TAG/1/BAT DC Comics Batman (черный) {black}</t>
  </si>
  <si>
    <t>88-287-09</t>
  </si>
  <si>
    <t>Бейсболка CAPSLAB арт. CL/LOO/1/SAM2 Looney Tunes Yosemite Sam (серый) {grey}</t>
  </si>
  <si>
    <t>88-187-08</t>
  </si>
  <si>
    <t>Бейсболка CAPSLAB арт. CL/DBZ3/1/KRI4 Dragon Ball Krillin (черный / рыжий) {black}</t>
  </si>
  <si>
    <t>88-087-09</t>
  </si>
  <si>
    <t>Шарф HERMAN арт. EDMOND 004 (темно-синий) {navy}</t>
  </si>
  <si>
    <t>81-087-16</t>
  </si>
  <si>
    <t>Шарф HERMAN арт. EDMOND 004 (черный) {black}</t>
  </si>
  <si>
    <t>81-087-09</t>
  </si>
  <si>
    <t>Шляпа HERMAN арт. MAC TARKIN (бежевый) {natural}</t>
  </si>
  <si>
    <t>80-987-02</t>
  </si>
  <si>
    <t>Шапка HERMAN арт. JUSTIN 8308 (красный) {red}</t>
  </si>
  <si>
    <t>80-887-18</t>
  </si>
  <si>
    <t>Шляпа HERMAN арт. QUEEN CRUISE (синий) {blue}</t>
  </si>
  <si>
    <t>80-787-06</t>
  </si>
  <si>
    <t>Кепка HERMAN арт. MARINS 007 (черный) {black}</t>
  </si>
  <si>
    <t>80-687-09</t>
  </si>
  <si>
    <t>Кепка HERMAN арт. MARINS 007 (синий) {blue}</t>
  </si>
  <si>
    <t>80-687-06</t>
  </si>
  <si>
    <t>Шарф HERMAN арт. MAGGY 8527 (темно-синий) {navy}</t>
  </si>
  <si>
    <t>80-587-16</t>
  </si>
  <si>
    <t>Кепка HERMAN арт. RANGE S1810 (черный) {black}</t>
  </si>
  <si>
    <t>80-387-09</t>
  </si>
  <si>
    <t>Берет HERMAN арт. LOUISE 016 (черный) {black}</t>
  </si>
  <si>
    <t>80-287-52</t>
  </si>
  <si>
    <t>Панама HERMAN арт. B-901 (разноцветный) {patchwork}</t>
  </si>
  <si>
    <t>80-187-35</t>
  </si>
  <si>
    <t>Панама HERMAN арт. DOLMEN 003 (темно-синий) {navy}</t>
  </si>
  <si>
    <t>80-087-16</t>
  </si>
  <si>
    <t>Бейсболка R MOUNTAIN арт. 034185 (белый) {white}</t>
  </si>
  <si>
    <t>77-287-17</t>
  </si>
  <si>
    <t>Бейсболка R MOUNTAIN арт. 034185 (темно-синий) {navy}</t>
  </si>
  <si>
    <t>77-287-16</t>
  </si>
  <si>
    <t>Бейсболка R MOUNTAIN арт. 034185 (черный) {black}</t>
  </si>
  <si>
    <t>77-287-09</t>
  </si>
  <si>
    <t>Бейсболка R MOUNTAIN арт. 031493 (оранжевый) {Peach}</t>
  </si>
  <si>
    <t>77-187-13</t>
  </si>
  <si>
    <t>Шляпа R MOUNTAIN арт. CLAPTON 013 (белый / черный) {white}</t>
  </si>
  <si>
    <t>77-087-48</t>
  </si>
  <si>
    <t>Шляпа R MOUNTAIN арт. CLAPTON 013 (голубой) {blue}</t>
  </si>
  <si>
    <t>77-087-19</t>
  </si>
  <si>
    <t>Шляпа R MOUNTAIN арт. CLAPTON 013 (белый) {white/white}</t>
  </si>
  <si>
    <t>77-087-17</t>
  </si>
  <si>
    <t>Шляпа R MOUNTAIN арт. CLAPTON 013 (черный) {black}</t>
  </si>
  <si>
    <t>77-087-09</t>
  </si>
  <si>
    <t>Шапка PIPOLAKI арт. 9214 DELIA (кремовый) {053}</t>
  </si>
  <si>
    <t>71-087-36</t>
  </si>
  <si>
    <t>Шапка PIPOLAKI арт. 9214 DELIA (серо-синий) {027}</t>
  </si>
  <si>
    <t>71-087-26</t>
  </si>
  <si>
    <t>Шапка PIPOLAKI арт. 9214 DELIA (черный) {010}</t>
  </si>
  <si>
    <t>71-087-09</t>
  </si>
  <si>
    <t>Шапка PIPOLAKI арт. 9214 DELIA (серый) {055}</t>
  </si>
  <si>
    <t>71-087-08</t>
  </si>
  <si>
    <t>Кепка CHRISTYS арт. JOSH csk100636 (серый) {grey}</t>
  </si>
  <si>
    <t>60-287-08</t>
  </si>
  <si>
    <t>Кепка CHRISTYS арт. JOSH csk100636 (синий) {blue}</t>
  </si>
  <si>
    <t>60-287-06</t>
  </si>
  <si>
    <t>Кепка CHRISTYS арт. JOSH csk100636 (оливковый) {khaki}</t>
  </si>
  <si>
    <t>60-287-03</t>
  </si>
  <si>
    <t>Кепка CHRISTYS арт. JOSH csk100636 (песочный) {camel}</t>
  </si>
  <si>
    <t>60-287-02</t>
  </si>
  <si>
    <t>Кепка CHRISTYS арт. BRETTON csk100552 (песочный) {sand}</t>
  </si>
  <si>
    <t>60-187-02</t>
  </si>
  <si>
    <t>Шляпа CHRISTYS арт. WITNEY cpn100327 (белый) {bleached}</t>
  </si>
  <si>
    <t>60-087-17</t>
  </si>
  <si>
    <t>Бейсболка MITCHELL NESS арт. HHSS3387-MNNYYPPPGYHT (светло-серый) {grey heather}</t>
  </si>
  <si>
    <t>58-164-01</t>
  </si>
  <si>
    <t>Бейсболка MITCHELL NESS арт. HHSS3387-MNNYYPPPBROW (коричневый) {brown}</t>
  </si>
  <si>
    <t>58-163-14</t>
  </si>
  <si>
    <t>Бейсболка MITCHELL NESS арт. HHSS3387-MNNYYPPPBLUE (синий) {blue}</t>
  </si>
  <si>
    <t>58-162-06</t>
  </si>
  <si>
    <t>Бейсболка MITCHELL NESS арт. HHSS3387-MNNYYPPPBLCK (черный) {black}</t>
  </si>
  <si>
    <t>58-161-09</t>
  </si>
  <si>
    <t>Бейсболка MITCHELL NESS арт. 6HSSMM19487-LALGREY Los Angeles Lakers NBA (серый) {grey}</t>
  </si>
  <si>
    <t>58-100-80</t>
  </si>
  <si>
    <t>Бейсболка MITCHELL NESS арт. 6HSSMM19487-CHOGREY Charlotte Hornets NBA (серый) {grey}</t>
  </si>
  <si>
    <t>58-099-80</t>
  </si>
  <si>
    <t>Бейсболка MITCHELL NESS арт. 6HSSMM19487-CBUGREY Chicago Bulls NBA (серый) {grey}</t>
  </si>
  <si>
    <t>58-098-80</t>
  </si>
  <si>
    <t>Бейсболка MITCHELL NESS арт. 6HSSMM19361-TRABLCK Toronto Raptors NBA (черный) {black}</t>
  </si>
  <si>
    <t>58-087-09</t>
  </si>
  <si>
    <t>Бейсболка DJINNS арт. HFT Cap Linen 2014 (темно-синий) {navy}</t>
  </si>
  <si>
    <t>50-087-16</t>
  </si>
  <si>
    <t>Бейсболка DJINNS арт. HFT Cap Linen 2014 (черный) {black}</t>
  </si>
  <si>
    <t>50-087-09</t>
  </si>
  <si>
    <t>Кепка GOORIN BROTHERS арт. 201-0912 (темно-синий) {nvy}</t>
  </si>
  <si>
    <t>42-987-16</t>
  </si>
  <si>
    <t>Кепка GOORIN BROTHERS арт. 102-0789 (черный) {blk}</t>
  </si>
  <si>
    <t>42-887-09</t>
  </si>
  <si>
    <t>Кепка GOORIN BROTHERS арт. 102-0789 (оливковый) {oli}</t>
  </si>
  <si>
    <t>42-887-03</t>
  </si>
  <si>
    <t>Бейсболка GOORIN BROTHERS арт. 101-0815 (голубой / серый) {blu}</t>
  </si>
  <si>
    <t>42-787-89</t>
  </si>
  <si>
    <t>Бейсболка GOORIN BROTHERS арт. 101-0815 (голубой) {blu}</t>
  </si>
  <si>
    <t>42-787-19</t>
  </si>
  <si>
    <t>Шляпа GOORIN BROTHERS арт. 100-0324 (черный) {blk}</t>
  </si>
  <si>
    <t>42-687-09</t>
  </si>
  <si>
    <t>Сумка GOORIN BROTHERS арт. 230-0180 (оливковый) {oli}</t>
  </si>
  <si>
    <t>42-487-03</t>
  </si>
  <si>
    <t>Кепка GOORIN BROTHERS арт. 104-0517 (черный) {blk}</t>
  </si>
  <si>
    <t>42-387-09</t>
  </si>
  <si>
    <t>Кепка GOORIN BROTHERS арт. MH5233 (желтый / коричневый) {tan}</t>
  </si>
  <si>
    <t>42-187-30</t>
  </si>
  <si>
    <t>Кепка GOORIN BROTHERS арт. MH5233 (красный) {Red}</t>
  </si>
  <si>
    <t>42-187-18</t>
  </si>
  <si>
    <t>Кепка GOORIN BROTHERS арт. MH5233 (коричневый) {bro}</t>
  </si>
  <si>
    <t>42-187-14</t>
  </si>
  <si>
    <t>Сумка GOORIN BROTHERS арт. B4738 (камуфляж) {camo}</t>
  </si>
  <si>
    <t>42-087-00</t>
  </si>
  <si>
    <t>Бейсболка 47 BRAND арт. BCWS-SUMVP20WBP Pittsburgh Pirates MLB (черный) {bk77}</t>
  </si>
  <si>
    <t>36-187-09</t>
  </si>
  <si>
    <t>36-087-16</t>
  </si>
  <si>
    <t>Панама BETMAR арт. B1975H BELL (серый) {light grey}</t>
  </si>
  <si>
    <t>31-287-08</t>
  </si>
  <si>
    <t>Шляпа BETMAR арт. B1796H DIXIE (черный) {black}</t>
  </si>
  <si>
    <t>31-187-09</t>
  </si>
  <si>
    <t>Шляпа BETMAR арт. B1796H DIXIE (синий) {denim mix}</t>
  </si>
  <si>
    <t>31-187-06</t>
  </si>
  <si>
    <t>Шляпа BETMAR арт. B3261 COCONUT RING SAFARI (темно-розовый) {fuchsia}</t>
  </si>
  <si>
    <t>31-087-84</t>
  </si>
  <si>
    <t>Шляпа BETMAR арт. B3261 COCONUT RING SAFARI (кремовый) {natural}</t>
  </si>
  <si>
    <t>31-087-36</t>
  </si>
  <si>
    <t>Шляпа BETMAR арт. B3261 COCONUT RING SAFARI (розовый) {light pink}</t>
  </si>
  <si>
    <t>31-087-34</t>
  </si>
  <si>
    <t>Шляпа BETMAR арт. B3261 COCONUT RING SAFARI (желтый) {sunshine}</t>
  </si>
  <si>
    <t>31-087-20</t>
  </si>
  <si>
    <t>Шляпа BETMAR арт. B3261 COCONUT RING SAFARI (белый) {white}</t>
  </si>
  <si>
    <t>31-087-17</t>
  </si>
  <si>
    <t>Шляпа BETMAR арт. B3261 COCONUT RING SAFARI (черный) {black}</t>
  </si>
  <si>
    <t>31-087-09</t>
  </si>
  <si>
    <t>Кепка BAILEY арт. 25553BH ABEL (зеленый) {green}</t>
  </si>
  <si>
    <t>21-787-11</t>
  </si>
  <si>
    <t>Кепка BAILEY арт. 90147BH GULICK (темно-синий) {dark denim stripe}</t>
  </si>
  <si>
    <t>21-687-16</t>
  </si>
  <si>
    <t>Шляпа BAILEY арт. 22791BH STANSFIELD (коньячный) {deep tan}</t>
  </si>
  <si>
    <t>21-587-90</t>
  </si>
  <si>
    <t>Шляпа BAILEY арт. 22791BH STANSFIELD (кремовый) {natural}</t>
  </si>
  <si>
    <t>21-587-36</t>
  </si>
  <si>
    <t>Шляпа BAILEY арт. 22791BH STANSFIELD (темно-синий) {dk. slate}</t>
  </si>
  <si>
    <t>21-587-16</t>
  </si>
  <si>
    <t>Шляпа BAILEY арт. 22791BH STANSFIELD (светло-коричневый) {latte}</t>
  </si>
  <si>
    <t>21-587-15</t>
  </si>
  <si>
    <t>Шляпа BAILEY арт. 22791BH STANSFIELD (коричневый) {brown}</t>
  </si>
  <si>
    <t>21-587-14</t>
  </si>
  <si>
    <t>Шляпа BAILEY арт. 22787BH GIGER (голубой) {blue surf plaid}</t>
  </si>
  <si>
    <t>21-487-19</t>
  </si>
  <si>
    <t>Шляпа BAILEY арт. 22787BH GIGER (коричневый) {brown plaid}</t>
  </si>
  <si>
    <t>21-487-14</t>
  </si>
  <si>
    <t>Шляпа BAILEY арт. 22787BH GIGER (синий) {breezy plaid}</t>
  </si>
  <si>
    <t>21-487-06</t>
  </si>
  <si>
    <t>Шляпа BAILEY арт. 22787BH Giger (бежевый) {tan plaid}</t>
  </si>
  <si>
    <t>21-487-02</t>
  </si>
  <si>
    <t>Шляпа BAILEY арт. 63266BH Wahler (бежевый) {natural}</t>
  </si>
  <si>
    <t>21-387-02</t>
  </si>
  <si>
    <t>Шляпа BAILEY арт. 13730BH ASHMORE (коричневый) {taupe}</t>
  </si>
  <si>
    <t>21-287-14</t>
  </si>
  <si>
    <t>Шляпа BAILEY арт. 13730BH ASHMORE (бордовый) {burgundy}</t>
  </si>
  <si>
    <t>21-287-12</t>
  </si>
  <si>
    <t>Шляпа BAILEY арт. 13730BH ASHMORE (черный) {black}</t>
  </si>
  <si>
    <t>21-287-09</t>
  </si>
  <si>
    <t>Шляпа BAILEY арт. W05LFK JOE EDER (светло-коричневый) {serpent}</t>
  </si>
  <si>
    <t>21-187-15</t>
  </si>
  <si>
    <t>Шляпа BAILEY арт. W05LFK JOE EDER (черный) {black}</t>
  </si>
  <si>
    <t>21-187-09</t>
  </si>
  <si>
    <t>Шляпа BAILEY арт. 63203 SUNTINO (черный) {blk}</t>
  </si>
  <si>
    <t>21-087-09</t>
  </si>
  <si>
    <t>Шляпа BAILEY арт. 63203 SUNTINO (синий) {mar}</t>
  </si>
  <si>
    <t>21-087-06</t>
  </si>
  <si>
    <t>Перчатки IGNITE арт. 223155 (фиолетовый) {Black}</t>
  </si>
  <si>
    <t>20-087-41</t>
  </si>
  <si>
    <t>Перчатки IGNITE арт. 223155 (коричневый) {Taupe}</t>
  </si>
  <si>
    <t>20-087-14</t>
  </si>
  <si>
    <t>Перчатки IGNITE арт. 223155 (синий) {Grey}</t>
  </si>
  <si>
    <t>20-087-06</t>
  </si>
  <si>
    <t>Кепка GOORIN BROTHERS арт. 104-4824 (белый) {whi}</t>
  </si>
  <si>
    <t>16-987-17</t>
  </si>
  <si>
    <t>Кепка GOORIN BROTHERS арт. 103-4093 (серо-синий) {blu}</t>
  </si>
  <si>
    <t>16-887-26</t>
  </si>
  <si>
    <t>Шапка GOORIN BROTHERS арт. 106-2618 (светло-коричневый) {tan}</t>
  </si>
  <si>
    <t>16-787-15</t>
  </si>
  <si>
    <t>Подставка GOORIN BROTHERS арт. 8919-50004 (коричневый) {bro}</t>
  </si>
  <si>
    <t>16-687-14</t>
  </si>
  <si>
    <t>Шляпа GOORIN BROTHERS арт. 100-2343 (бежевый) {tan}</t>
  </si>
  <si>
    <t>16-587-02</t>
  </si>
  <si>
    <t>Кепка GOORIN BROTHERS арт. 104-1904 (коричневый) {bro}</t>
  </si>
  <si>
    <t>16-487-14</t>
  </si>
  <si>
    <t>Кепка GOORIN BROTHERS арт. 104-1473 (бежевый) {tan}</t>
  </si>
  <si>
    <t>16-387-02</t>
  </si>
  <si>
    <t>Шарф GOORIN BROTHERS арт. 420-0971 (черный) {blk}</t>
  </si>
  <si>
    <t>16-287-09</t>
  </si>
  <si>
    <t>Кепка GOORIN BROTHERS арт. 104-1313 (светло-коричневый) {bro}</t>
  </si>
  <si>
    <t>16-187-15</t>
  </si>
  <si>
    <t>Кепка GOORIN BROTHERS арт. 403-4503 (хаки) {grn}</t>
  </si>
  <si>
    <t>16-087-56</t>
  </si>
  <si>
    <t>Бейсболка AMERICAN NEEDLE арт. 21016A-SAGNP Saguaro Trailhead NP (оранжевый) {oxide}</t>
  </si>
  <si>
    <t>06-387-13</t>
  </si>
  <si>
    <t>Бейсболка AMERICAN NEEDLE арт. 43910A-GNP Glacier National Park Iconic (голубой) {seafoam}</t>
  </si>
  <si>
    <t>06-287-19</t>
  </si>
  <si>
    <t>Бейсболка AMERICAN NEEDLE арт. 36672A-HAW Hartford Whalers New Raglan NHL (темно-синий) {navy}</t>
  </si>
  <si>
    <t>06-187-16</t>
  </si>
  <si>
    <t>Бейсболка AMERICAN NEEDLE арт. 44740A-DAU Daiei Unions Archive NLB (черный) {blk}</t>
  </si>
  <si>
    <t>06-087-09</t>
  </si>
  <si>
    <t>Панама KANGOL арт. K3451 Wool Casual (черный) {black}</t>
  </si>
  <si>
    <t>03-087-09</t>
  </si>
  <si>
    <t>Шапка STETSON арт. 8599368 BEANIE EAGLE (коричневый / оранжевый) {67}</t>
  </si>
  <si>
    <t>02-587-14</t>
  </si>
  <si>
    <t>Шапка STETSON арт. 8599368 BEANIE EAGLE (синий) {23}</t>
  </si>
  <si>
    <t>02-587-06</t>
  </si>
  <si>
    <t>Бейсболка STETSON арт. 7781116 BASEBALL CAP COTTON (темно-серый) {32}</t>
  </si>
  <si>
    <t>02-487-05</t>
  </si>
  <si>
    <t>Шапка STETSON арт. 8599345 BEANIE MERINO (красный) {8}</t>
  </si>
  <si>
    <t>02-387-18</t>
  </si>
  <si>
    <t>Шапка STETSON арт. 8599345 BEANIE MERINO (темно-синий) {2}</t>
  </si>
  <si>
    <t>02-387-16</t>
  </si>
  <si>
    <t>Шапка STETSON арт. 8599345 BEANIE MERINO (коричневый) {61}</t>
  </si>
  <si>
    <t>02-387-14</t>
  </si>
  <si>
    <t>Шапка STETSON арт. 8599345 BEANIE MERINO (черный) {1}</t>
  </si>
  <si>
    <t>02-387-09</t>
  </si>
  <si>
    <t>Шапка STETSON арт. 8599345 BEANIE MERINO (серый) {3}</t>
  </si>
  <si>
    <t>02-387-08</t>
  </si>
  <si>
    <t>Шапка STETSON арт. 8599345 BEANIE MERINO (синий) {22}</t>
  </si>
  <si>
    <t>02-387-06</t>
  </si>
  <si>
    <t>Шапка STETSON арт. 8599345 BEANIE MERINO (темно-серый) {33}</t>
  </si>
  <si>
    <t>02-387-05</t>
  </si>
  <si>
    <t>Шапка STETSON арт. 8599345 BEANIE MERINO (оливковый) {52}</t>
  </si>
  <si>
    <t>02-387-03</t>
  </si>
  <si>
    <t>Шапка STETSON арт. 8599324 BEANIE COTTON (темно-синий) {2}</t>
  </si>
  <si>
    <t>02-287-16</t>
  </si>
  <si>
    <t>Шапка STETSON арт. 8599324 BEANIE COTTON (черный) {1}</t>
  </si>
  <si>
    <t>02-287-09</t>
  </si>
  <si>
    <t>Шапка STETSON арт. 8599324 BEANIE COTTON (серый) {3}</t>
  </si>
  <si>
    <t>02-287-08</t>
  </si>
  <si>
    <t>Шляпа STETSON арт. 2938506 BOATER VINTAGE (бежевый) {7}</t>
  </si>
  <si>
    <t>02-187-02</t>
  </si>
  <si>
    <t>Кепка STETSON арт. 6380502 BELFAST WOOLRICH (светло-коричневый) {365}</t>
  </si>
  <si>
    <t>02-087-91</t>
  </si>
  <si>
    <t>Кепка STETSON арт. 6380502 BELFAST WOOLRICH (темно-коричневый) {368}</t>
  </si>
  <si>
    <t>02-087-66</t>
  </si>
  <si>
    <t>Кепка STETSON арт. 6380502 BELFAST WOOLRICH (светло-синий) {321}</t>
  </si>
  <si>
    <t>02-087-19</t>
  </si>
  <si>
    <t>Кепка STETSON арт. 6380502 BELFAST WOOLRICH (коричневый) {356}</t>
  </si>
  <si>
    <t>02-087-14</t>
  </si>
  <si>
    <t>Кепка STETSON арт. 6380502 BELFAST WOOLRICH (бордовый) {387}</t>
  </si>
  <si>
    <t>02-087-12</t>
  </si>
  <si>
    <t>Кепка STETSON арт. 6380502 BELFAST WOOLRICH (серый) {323}</t>
  </si>
  <si>
    <t>02-087-08</t>
  </si>
  <si>
    <t>Кепка STETSON арт. 6380502 BELFAST WOOLRICH (темно-зеленый) {351}</t>
  </si>
  <si>
    <t>02-087-07</t>
  </si>
  <si>
    <t>Кепка STETSON арт. 6380502 BELFAST WOOLRICH (темно-серый) {333}</t>
  </si>
  <si>
    <t>02-087-05</t>
  </si>
  <si>
    <t>asd</t>
  </si>
  <si>
    <t>87-001-</t>
  </si>
  <si>
    <t>Ais</t>
  </si>
  <si>
    <t>8 Fancy(s)</t>
  </si>
  <si>
    <t>8 Flaminia black-k</t>
  </si>
  <si>
    <t>802 Cavalese</t>
  </si>
  <si>
    <t>802 Fancy(v)</t>
  </si>
  <si>
    <t>802 Flan-К</t>
  </si>
  <si>
    <t>802 Prato ts</t>
  </si>
  <si>
    <t>803 Baltimore</t>
  </si>
  <si>
    <t>803 Cavalese</t>
  </si>
  <si>
    <t>803 Fancy(s)</t>
  </si>
  <si>
    <t>803 Prato ts</t>
  </si>
  <si>
    <t>803 Shetland(ss)</t>
  </si>
  <si>
    <t>803 ЧN</t>
  </si>
  <si>
    <t>804 Fancy(v)</t>
  </si>
  <si>
    <t>804 Flan-K</t>
  </si>
  <si>
    <t>804 Higuain</t>
  </si>
  <si>
    <t>809 Baltimore</t>
  </si>
  <si>
    <t>809 Fancy(s)</t>
  </si>
  <si>
    <t>Б18 Prato ts</t>
  </si>
  <si>
    <t>Р71 Fancy(s)</t>
  </si>
  <si>
    <t>Р81 Cavalese</t>
  </si>
  <si>
    <t>Р81 Shetland(g)</t>
  </si>
  <si>
    <t>48% шерсть - 20% полиэстер - 15% хлопок - 13% полиакрил - 4% полиамид</t>
  </si>
  <si>
    <t>75% Шерсть  - 20% полиамид - 5% Кашемир</t>
  </si>
  <si>
    <t>86% шерсть - 12% полиамид - 2% кашемир</t>
  </si>
  <si>
    <t>69% шерсть - 16% полиэстер - 10% полиамид - 5% Акрил</t>
  </si>
  <si>
    <t>88% Шерсть - 12% вискоза</t>
  </si>
  <si>
    <t>48% Шерсть - 20% полиэстер - 15% Хлопок - 13% Полиакрил - 4% полиамид</t>
  </si>
  <si>
    <t>39% Шерсть - 33% Акрил - 22% полиэстер - 6% полиамид</t>
  </si>
  <si>
    <t>61% Шерсть - 26% полиэстер - 8% Акрил - 5% полиамид</t>
  </si>
  <si>
    <t xml:space="preserve">39% Шерсть - 33% Акрил - 22% полиэстер - 6% полиамид </t>
  </si>
  <si>
    <t>61% Шерсть - 26% полиэстер - 8% акрил - 5% полиамид</t>
  </si>
  <si>
    <t>69% Шерсть - 16% полиэстер - 10% полиамид - 5% Акрил</t>
  </si>
  <si>
    <t>75% полиэстер - 25% Вискоза</t>
  </si>
  <si>
    <t>48% шерсть - 20% полиэстер - 15% Хлопок - 13% Полиакрил - 4% полиамид</t>
  </si>
  <si>
    <t>60% Шерсть - 17% полиамид - 13% Акрил - 5% Шелк - 5% полиэстер</t>
  </si>
  <si>
    <t>41% Полиакрил - 26% полиамид - 22% шерсть - 7% шерсть Альпаки - 4% Вискоза</t>
  </si>
  <si>
    <t>55% шерсть - 45% полиэстер</t>
  </si>
  <si>
    <t>39% шерсть - 33% Акрил - 22% полиэстер - 6% полиамид</t>
  </si>
  <si>
    <t>100% полиамид</t>
  </si>
  <si>
    <t>70% полиэстер - 30% Шерсть</t>
  </si>
  <si>
    <t>69% шерсть - 29% шёлк - 2% кашемир</t>
  </si>
  <si>
    <t>60% Шерсть - 20% полиамид - 15% Акрил - 5% полиэстер</t>
  </si>
  <si>
    <t>41% Полиакрил - 26% полиамид - 22% шерсть - 7% шерсть Альпаки - 4% вискоза</t>
  </si>
  <si>
    <t>серо-черный</t>
  </si>
  <si>
    <t>Р71 Nervi сер</t>
  </si>
  <si>
    <t>810 Tomar</t>
  </si>
  <si>
    <t>810 Ferrara-2</t>
  </si>
  <si>
    <t>809 Ferrara-2ts</t>
  </si>
  <si>
    <t>804 Ferrara-2K</t>
  </si>
  <si>
    <t>803 Tomar</t>
  </si>
  <si>
    <t>803 Shetland(v)</t>
  </si>
  <si>
    <t>802 Shetland(b)</t>
  </si>
  <si>
    <t>802 Shetland(ss)</t>
  </si>
  <si>
    <t>8 Michetti</t>
  </si>
  <si>
    <t>802 Foggini</t>
  </si>
  <si>
    <t>8(у) Tomar</t>
  </si>
  <si>
    <t>8 Pollini</t>
  </si>
  <si>
    <t>87-002-</t>
  </si>
  <si>
    <t>87-003-</t>
  </si>
  <si>
    <t>87-004-</t>
  </si>
  <si>
    <t>87-005-</t>
  </si>
  <si>
    <t>87-006-</t>
  </si>
  <si>
    <t>87-007-</t>
  </si>
  <si>
    <t>87-008-</t>
  </si>
  <si>
    <t>87-009-</t>
  </si>
  <si>
    <t>87-010-</t>
  </si>
  <si>
    <t>87-011-</t>
  </si>
  <si>
    <t>87-012-</t>
  </si>
  <si>
    <t>87-013-</t>
  </si>
  <si>
    <t>87-014-</t>
  </si>
  <si>
    <t>87-015-</t>
  </si>
  <si>
    <t>87-016-</t>
  </si>
  <si>
    <t>87-017-</t>
  </si>
  <si>
    <t>87-018-</t>
  </si>
  <si>
    <t>87-019-</t>
  </si>
  <si>
    <t>87-020-</t>
  </si>
  <si>
    <t>87-021-</t>
  </si>
  <si>
    <t>87-022-</t>
  </si>
  <si>
    <t>87-023-</t>
  </si>
  <si>
    <t>87-024-</t>
  </si>
  <si>
    <t>87-025-</t>
  </si>
  <si>
    <t>87-026-</t>
  </si>
  <si>
    <t>87-027-</t>
  </si>
  <si>
    <t>87-028-</t>
  </si>
  <si>
    <t>87-029-</t>
  </si>
  <si>
    <t>87-030-</t>
  </si>
  <si>
    <t>87-031-</t>
  </si>
  <si>
    <t>87-032-</t>
  </si>
  <si>
    <t>87-033-</t>
  </si>
  <si>
    <t>87-034-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</si>
</sst>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1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  <xf numFmtId="0" fontId="10" fillId="0" borderId="0"/>
  </cellStyleXfs>
  <cellXfs count="175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9" fillId="0" borderId="0" xfId="0" quotePrefix="1" applyFont="1" applyFill="1" applyAlignment="1" applyProtection="1">
      <alignment horizontal="center" vertical="center" wrapText="1"/>
      <protection locked="0"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3" fillId="17" borderId="26" xfId="40" applyNumberFormat="1" applyFont="1" applyFill="1" applyBorder="1" applyAlignment="1">
      <alignment horizontal="left" vertical="top"/>
    </xf>
    <xf numFmtId="0" fontId="11" fillId="17" borderId="26" xfId="40" applyNumberFormat="1" applyFont="1" applyFill="1" applyBorder="1" applyAlignment="1">
      <alignment horizontal="left" vertical="top"/>
    </xf>
    <xf numFmtId="12" fontId="6" fillId="5" borderId="27" xfId="0" applyNumberFormat="1" applyFont="1" applyFill="1" applyBorder="1" applyAlignment="1" applyProtection="1">
      <alignment horizontal="center" vertical="center" wrapText="1"/>
      <protection locked="0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41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Лист1" xfId="40" xr:uid="{A7A3AFC1-0C14-4BFF-96E3-36E4FD298C04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S1" zoomScale="65" zoomScaleNormal="65" workbookViewId="0">
      <pane ySplit="1" topLeftCell="A29" activePane="bottomLeft" state="frozen"/>
      <selection pane="bottomLeft" activeCell="AU31" sqref="AU31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9" style="106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2"/>
    <col min="12" max="12" width="9" style="120"/>
    <col min="13" max="13" width="9" style="107"/>
    <col min="14" max="15" width="6.7109375" style="107" customWidth="1"/>
    <col min="16" max="16" width="11.28515625" style="107" customWidth="1"/>
    <col min="17" max="17" width="13.7109375" style="122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6"/>
    <col min="47" max="47" width="9" style="106"/>
    <col min="48" max="48" width="16.5703125" style="112" bestFit="1" customWidth="1"/>
    <col min="49" max="49" width="9.7109375" style="112" customWidth="1"/>
    <col min="50" max="50" width="9" style="117" customWidth="1"/>
    <col min="51" max="51" width="9.85546875" style="112" customWidth="1"/>
    <col min="52" max="53" width="10" style="112" customWidth="1"/>
    <col min="54" max="54" width="14" style="118" bestFit="1" customWidth="1"/>
    <col min="55" max="55" width="16.5703125" style="118" customWidth="1"/>
    <col min="56" max="56" width="9" style="105"/>
    <col min="57" max="57" width="9" style="123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4" t="s">
        <v>462</v>
      </c>
      <c r="C1" s="125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6" t="s">
        <v>479</v>
      </c>
      <c r="L1" s="127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5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8" t="s">
        <v>820</v>
      </c>
      <c r="AK1" s="128" t="s">
        <v>821</v>
      </c>
      <c r="AL1" s="128" t="s">
        <v>822</v>
      </c>
      <c r="AM1" s="128" t="s">
        <v>823</v>
      </c>
      <c r="AN1" s="128" t="s">
        <v>824</v>
      </c>
      <c r="AO1" s="128" t="s">
        <v>825</v>
      </c>
      <c r="AP1" s="128" t="s">
        <v>826</v>
      </c>
      <c r="AQ1" s="128" t="s">
        <v>827</v>
      </c>
      <c r="AR1" s="128" t="s">
        <v>550</v>
      </c>
      <c r="AS1" s="128" t="s">
        <v>549</v>
      </c>
      <c r="AT1" s="103" t="s">
        <v>467</v>
      </c>
      <c r="AU1" s="125" t="s">
        <v>497</v>
      </c>
      <c r="AV1" s="103" t="s">
        <v>468</v>
      </c>
      <c r="AW1" s="103" t="s">
        <v>469</v>
      </c>
      <c r="AX1" s="129" t="s">
        <v>498</v>
      </c>
      <c r="AY1" s="103" t="s">
        <v>470</v>
      </c>
      <c r="AZ1" s="103" t="s">
        <v>471</v>
      </c>
      <c r="BA1" s="103" t="s">
        <v>472</v>
      </c>
      <c r="BB1" s="130" t="s">
        <v>499</v>
      </c>
      <c r="BC1" s="130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31" t="str">
        <f t="shared" ref="A2:A36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2"/>
      <c r="D2" s="106" t="str">
        <f>IF(A2&lt;&gt;"",_xlfn.XLOOKUP(C2,'1C'!W:W,'1C'!X:X,"",0),"")</f>
        <v/>
      </c>
      <c r="E2" s="114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4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3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4"/>
      <c r="L2" s="135" t="str">
        <f>IF(K2&lt;&gt;"",IFERROR(VLOOKUP(A2,'1C'!A:X,8,0),IFERROR(VLOOKUP(K2,Colors!D:E,2,0),"")),"")</f>
        <v/>
      </c>
      <c r="M2" s="136" t="str">
        <f>IF(K2&lt;&gt;"",_xlfn.XLOOKUP(A2,'1C'!A:A,'1C'!R:R,"",0),"")</f>
        <v/>
      </c>
      <c r="N2" s="136" t="str">
        <f>_xlfn.LET(_xlpm.RES,IF($A2&lt;&gt;"",_xlfn.XLOOKUP($A2,'1C'!$A:$A,'1C'!S:S,"",0),""),IF(_xlpm.RES=0,"",_xlpm.RES))</f>
        <v/>
      </c>
      <c r="O2" s="136" t="str">
        <f>_xlfn.LET(_xlpm.RES,IF($A2&lt;&gt;"",_xlfn.XLOOKUP($A2,'1C'!$A:$A,'1C'!T:T,"",0),""),IF(_xlpm.RES=0,"",_xlpm.RES))</f>
        <v/>
      </c>
      <c r="P2" s="136" t="str">
        <f>_xlfn.LET(_xlpm.RES,IF($A2&lt;&gt;"",_xlfn.XLOOKUP($A2,'1C'!$A:$A,'1C'!U:U,"",0),""),IF(_xlpm.RES=0,"",_xlpm.RES))</f>
        <v/>
      </c>
      <c r="Q2" s="137" t="str">
        <f>IF(A2&lt;&gt;"",_xlfn.XLOOKUP(A2,'1C'!A:A,'1C'!I:I,_xlfn.XLOOKUP(C2,'1C'!W:W,'1C'!I:I,"",0),0),"")</f>
        <v/>
      </c>
      <c r="R2" s="136" t="str">
        <f>IF(D2&lt;&gt;"",IFERROR(IF(VLOOKUP(D2,'1C'!D:D,1,0)&lt;&gt;"",1,0),""),"")</f>
        <v/>
      </c>
      <c r="S2" s="136" t="str">
        <f>_xlfn.LET(_xlpm.RES,IF(A2&lt;&gt;"",_xlfn.XLOOKUP(A2,'1C'!A:A,'1C'!N:N,_xlfn.XLOOKUP(C2,'1C'!W:W,'1C'!N:N,"",0),0),""),IF(_xlpm.RES=0,"",_xlpm.RES))</f>
        <v/>
      </c>
      <c r="T2" s="136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6"/>
      <c r="AQ2" s="136"/>
      <c r="AR2" s="136"/>
      <c r="AS2" s="136"/>
      <c r="AT2" s="114" t="str">
        <f t="shared" ref="AT2:AT36" si="1">IF(COUNTBLANK(V2:AS2)&lt;24,SUM(V2:AS2),"")</f>
        <v/>
      </c>
      <c r="AU2" s="131" t="str">
        <f>IF(A2&lt;&gt;"",_xlfn.XLOOKUP(_xlfn.XLOOKUP(A2,'1C'!A:A,'1C'!O:O,_xlfn.XLOOKUP(C2,'1C'!W:W,'1C'!O:O,"",0),0),Settings!N:N,Settings!O:O,"",0),"")</f>
        <v/>
      </c>
      <c r="AV2" s="114" t="str">
        <f t="shared" ref="AV2:AV36" ca="1" si="2">IF(AU2&lt;&gt;"",VLOOKUP(AU2,INDIRECT(SUBSTITUTE(IF(ISNUMBER(IFERROR(VALUE(LEFT(J2,1)),FALSE)),"_"&amp;J2,J2)," ","")&amp;"Manufactures"),3,0),"Требуется код страны")</f>
        <v>Требуется код страны</v>
      </c>
      <c r="AW2" s="114" t="str">
        <f t="shared" ref="AW2:AW36" ca="1" si="3">IF(AU2&lt;&gt;"",VLOOKUP(AU2,INDIRECT(SUBSTITUTE(IF(ISNUMBER(IFERROR(VALUE(LEFT(J2,1)),FALSE)),"_"&amp;J2,J2)," ","")&amp;"Manufactures"),2,0),"Требуется код страны")</f>
        <v>Требуется код страны</v>
      </c>
      <c r="AX2" s="138">
        <f t="shared" ref="AX2:AX36" si="4">0.05+0.05</f>
        <v>0.1</v>
      </c>
      <c r="AY2" s="114">
        <f t="shared" ref="AY2:AY36" si="5">IF(AX2&lt;&gt;"",AX2*1.5,"Требуется нетто")</f>
        <v>0.15000000000000002</v>
      </c>
      <c r="AZ2" s="114" t="str">
        <f t="shared" ref="AZ2:AZ36" si="6">+IF(AX2&lt;&gt;"",IFERROR(AT2*AX2,"Требуются кол-во и нетто"),"Требуются кол-во и нетто")</f>
        <v>Требуются кол-во и нетто</v>
      </c>
      <c r="BA2" s="114" t="str">
        <f t="shared" ref="BA2:BA36" si="7">IF(AY2&lt;&gt;"",IFERROR(AT2*AY2,"Требуются кол-во и брутто"),"Требуются кол-во и брутто")</f>
        <v>Требуются кол-во и брутто</v>
      </c>
      <c r="BB2" s="139"/>
      <c r="BC2" s="139" t="str">
        <f t="shared" ref="BC2:BC36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:BF36" si="9">IFERROR(IF(BE2,"-",IFERROR(IF(BD2&gt;0,0,1),"")),"")</f>
        <v/>
      </c>
      <c r="BG2" s="110"/>
    </row>
    <row r="3" spans="1:59" ht="98.1" customHeight="1">
      <c r="A3" s="112" t="str">
        <f t="shared" si="0"/>
        <v>8 Fancy(s)синий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87-001-06</v>
      </c>
      <c r="C3" s="113" t="s">
        <v>2161</v>
      </c>
      <c r="E3" s="112" t="str">
        <f>IF(F3&lt;&gt;"",IFERROR(VLOOKUP(F3,Категории!A:B,2,0),""),"Требуется категория")</f>
        <v>Кепки</v>
      </c>
      <c r="F3" s="106" t="s">
        <v>318</v>
      </c>
      <c r="G3" s="136" t="s">
        <v>2160</v>
      </c>
      <c r="H3" s="112" t="s">
        <v>388</v>
      </c>
      <c r="I3" s="115"/>
      <c r="J3" s="114" t="s">
        <v>2160</v>
      </c>
      <c r="K3" s="135" t="s">
        <v>71</v>
      </c>
      <c r="L3" s="147" t="s">
        <v>71</v>
      </c>
      <c r="M3" s="136"/>
      <c r="N3" s="136"/>
      <c r="O3" s="136"/>
      <c r="P3" s="136"/>
      <c r="Q3" s="137" t="s">
        <v>2182</v>
      </c>
      <c r="R3" s="136"/>
      <c r="S3" s="136"/>
      <c r="T3" s="107"/>
      <c r="U3" s="107" t="s">
        <v>382</v>
      </c>
      <c r="V3" s="107"/>
      <c r="Y3" s="107"/>
      <c r="Z3" s="106">
        <v>1</v>
      </c>
      <c r="AA3" s="107">
        <v>2</v>
      </c>
      <c r="AB3" s="106">
        <v>3</v>
      </c>
      <c r="AC3" s="107">
        <v>5</v>
      </c>
      <c r="AD3" s="106">
        <v>3</v>
      </c>
      <c r="AE3" s="107">
        <v>3</v>
      </c>
      <c r="AG3" s="107"/>
      <c r="AT3" s="114">
        <f t="shared" si="1"/>
        <v>17</v>
      </c>
      <c r="AU3" s="131" t="s">
        <v>565</v>
      </c>
      <c r="AV3" s="114" t="str">
        <f t="shared" ca="1" si="2"/>
        <v>ERR</v>
      </c>
      <c r="AW3" s="114" t="str">
        <f t="shared" ca="1" si="3"/>
        <v>Россия</v>
      </c>
      <c r="AX3" s="117">
        <f t="shared" si="4"/>
        <v>0.1</v>
      </c>
      <c r="AY3" s="112">
        <f t="shared" si="5"/>
        <v>0.15000000000000002</v>
      </c>
      <c r="AZ3" s="112">
        <f t="shared" si="6"/>
        <v>1.7000000000000002</v>
      </c>
      <c r="BA3" s="112">
        <f t="shared" si="7"/>
        <v>2.5500000000000003</v>
      </c>
      <c r="BB3" s="118">
        <v>1500</v>
      </c>
      <c r="BC3" s="146">
        <f t="shared" si="8"/>
        <v>25500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 t="shared" si="9"/>
        <v>-</v>
      </c>
    </row>
    <row r="4" spans="1:59" ht="98.1" customHeight="1">
      <c r="A4" s="112" t="str">
        <f t="shared" si="0"/>
        <v>8 Flaminia black-kчерный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87-002-09</v>
      </c>
      <c r="C4" s="113" t="s">
        <v>2162</v>
      </c>
      <c r="E4" s="112" t="str">
        <f>IF(F4&lt;&gt;"",IFERROR(VLOOKUP(F4,Категории!A:B,2,0),""),"Требуется категория")</f>
        <v>Кепки</v>
      </c>
      <c r="F4" s="106" t="s">
        <v>318</v>
      </c>
      <c r="G4" s="136" t="s">
        <v>2160</v>
      </c>
      <c r="H4" s="112" t="s">
        <v>388</v>
      </c>
      <c r="J4" s="114" t="s">
        <v>2160</v>
      </c>
      <c r="K4" s="119" t="s">
        <v>53</v>
      </c>
      <c r="L4" s="149" t="s">
        <v>53</v>
      </c>
      <c r="M4" s="136"/>
      <c r="N4" s="136"/>
      <c r="O4" s="136"/>
      <c r="P4" s="136"/>
      <c r="Q4" s="137" t="s">
        <v>2183</v>
      </c>
      <c r="R4" s="136"/>
      <c r="S4" s="136" t="s">
        <v>44</v>
      </c>
      <c r="T4" s="107"/>
      <c r="U4" s="107" t="s">
        <v>382</v>
      </c>
      <c r="V4" s="107"/>
      <c r="Y4" s="107"/>
      <c r="AA4" s="107">
        <v>1</v>
      </c>
      <c r="AB4" s="106">
        <v>2</v>
      </c>
      <c r="AC4" s="107">
        <v>1</v>
      </c>
      <c r="AD4" s="106">
        <v>1</v>
      </c>
      <c r="AE4" s="107"/>
      <c r="AG4" s="107"/>
      <c r="AT4" s="114">
        <f t="shared" si="1"/>
        <v>5</v>
      </c>
      <c r="AU4" s="131" t="s">
        <v>565</v>
      </c>
      <c r="AV4" s="114" t="str">
        <f t="shared" ca="1" si="2"/>
        <v>ERR</v>
      </c>
      <c r="AW4" s="112" t="str">
        <f t="shared" ca="1" si="3"/>
        <v>Россия</v>
      </c>
      <c r="AX4" s="117">
        <f t="shared" si="4"/>
        <v>0.1</v>
      </c>
      <c r="AY4" s="112">
        <f t="shared" si="5"/>
        <v>0.15000000000000002</v>
      </c>
      <c r="AZ4" s="112">
        <f t="shared" si="6"/>
        <v>0.5</v>
      </c>
      <c r="BA4" s="112">
        <f t="shared" si="7"/>
        <v>0.75000000000000011</v>
      </c>
      <c r="BB4" s="118">
        <v>1600</v>
      </c>
      <c r="BC4" s="146">
        <f t="shared" si="8"/>
        <v>8000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 t="shared" si="9"/>
        <v>-</v>
      </c>
    </row>
    <row r="5" spans="1:59" ht="98.1" customHeight="1">
      <c r="A5" s="112" t="str">
        <f t="shared" si="0"/>
        <v>8 Michettiхаки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87-003-56</v>
      </c>
      <c r="C5" s="113" t="s">
        <v>2214</v>
      </c>
      <c r="E5" s="112" t="str">
        <f>IF(F5&lt;&gt;"",IFERROR(VLOOKUP(F5,Категории!A:B,2,0),""),"Требуется категория")</f>
        <v>Кепки</v>
      </c>
      <c r="F5" s="106" t="s">
        <v>318</v>
      </c>
      <c r="G5" s="136" t="s">
        <v>2160</v>
      </c>
      <c r="H5" s="112" t="s">
        <v>388</v>
      </c>
      <c r="J5" s="114" t="s">
        <v>2160</v>
      </c>
      <c r="K5" s="119" t="s">
        <v>290</v>
      </c>
      <c r="L5" s="149" t="s">
        <v>290</v>
      </c>
      <c r="M5" s="136"/>
      <c r="N5" s="136"/>
      <c r="O5" s="136"/>
      <c r="P5" s="136"/>
      <c r="Q5" s="137" t="s">
        <v>2184</v>
      </c>
      <c r="R5" s="136"/>
      <c r="S5" s="136" t="s">
        <v>44</v>
      </c>
      <c r="T5" s="107"/>
      <c r="U5" s="107" t="s">
        <v>382</v>
      </c>
      <c r="V5" s="107"/>
      <c r="Y5" s="107"/>
      <c r="AA5" s="107">
        <v>1</v>
      </c>
      <c r="AB5" s="106">
        <v>1</v>
      </c>
      <c r="AC5" s="107">
        <v>2</v>
      </c>
      <c r="AE5" s="107">
        <v>1</v>
      </c>
      <c r="AG5" s="107"/>
      <c r="AT5" s="114">
        <f t="shared" si="1"/>
        <v>5</v>
      </c>
      <c r="AU5" s="131" t="s">
        <v>565</v>
      </c>
      <c r="AV5" s="114" t="str">
        <f t="shared" ca="1" si="2"/>
        <v>ERR</v>
      </c>
      <c r="AW5" s="112" t="str">
        <f t="shared" ca="1" si="3"/>
        <v>Россия</v>
      </c>
      <c r="AX5" s="117">
        <f t="shared" si="4"/>
        <v>0.1</v>
      </c>
      <c r="AY5" s="112">
        <f t="shared" si="5"/>
        <v>0.15000000000000002</v>
      </c>
      <c r="AZ5" s="112">
        <f t="shared" si="6"/>
        <v>0.5</v>
      </c>
      <c r="BA5" s="112">
        <f t="shared" si="7"/>
        <v>0.75000000000000011</v>
      </c>
      <c r="BB5" s="118">
        <v>2500</v>
      </c>
      <c r="BC5" s="146">
        <f t="shared" si="8"/>
        <v>12500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 t="shared" si="9"/>
        <v>-</v>
      </c>
    </row>
    <row r="6" spans="1:59" ht="98.1" customHeight="1">
      <c r="A6" s="112" t="str">
        <f t="shared" si="0"/>
        <v>8 Polliniсерый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87-004-80</v>
      </c>
      <c r="C6" s="121" t="s">
        <v>2217</v>
      </c>
      <c r="E6" s="112" t="str">
        <f>IF(F6&lt;&gt;"",IFERROR(VLOOKUP(F6,Категории!A:B,2,0),""),"Требуется категория")</f>
        <v>Кепки</v>
      </c>
      <c r="F6" s="106" t="s">
        <v>318</v>
      </c>
      <c r="G6" s="136" t="s">
        <v>2160</v>
      </c>
      <c r="H6" s="112" t="s">
        <v>388</v>
      </c>
      <c r="J6" s="114" t="s">
        <v>2160</v>
      </c>
      <c r="K6" s="120" t="s">
        <v>83</v>
      </c>
      <c r="L6" s="149" t="s">
        <v>83</v>
      </c>
      <c r="M6" s="136"/>
      <c r="N6" s="136"/>
      <c r="O6" s="136"/>
      <c r="P6" s="136"/>
      <c r="Q6" s="137" t="s">
        <v>2184</v>
      </c>
      <c r="R6" s="136"/>
      <c r="S6" s="136" t="s">
        <v>44</v>
      </c>
      <c r="T6" s="107"/>
      <c r="U6" s="107" t="s">
        <v>382</v>
      </c>
      <c r="V6" s="107"/>
      <c r="Y6" s="107"/>
      <c r="AA6" s="107">
        <v>1</v>
      </c>
      <c r="AB6" s="106">
        <v>2</v>
      </c>
      <c r="AC6" s="107">
        <v>2</v>
      </c>
      <c r="AE6" s="107">
        <v>1</v>
      </c>
      <c r="AG6" s="107"/>
      <c r="AT6" s="114">
        <f t="shared" si="1"/>
        <v>6</v>
      </c>
      <c r="AU6" s="131" t="s">
        <v>565</v>
      </c>
      <c r="AV6" s="114" t="str">
        <f t="shared" ca="1" si="2"/>
        <v>ERR</v>
      </c>
      <c r="AW6" s="112" t="str">
        <f t="shared" ca="1" si="3"/>
        <v>Россия</v>
      </c>
      <c r="AX6" s="117">
        <f t="shared" si="4"/>
        <v>0.1</v>
      </c>
      <c r="AY6" s="112">
        <f t="shared" si="5"/>
        <v>0.15000000000000002</v>
      </c>
      <c r="AZ6" s="112">
        <f t="shared" si="6"/>
        <v>0.60000000000000009</v>
      </c>
      <c r="BA6" s="112">
        <f t="shared" si="7"/>
        <v>0.90000000000000013</v>
      </c>
      <c r="BB6" s="118">
        <v>2500</v>
      </c>
      <c r="BC6" s="146">
        <f t="shared" si="8"/>
        <v>15000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 t="shared" si="9"/>
        <v>-</v>
      </c>
    </row>
    <row r="7" spans="1:59" ht="98.1" customHeight="1">
      <c r="A7" s="112" t="str">
        <f t="shared" si="0"/>
        <v>8(у) Tomarсерый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87-005-80</v>
      </c>
      <c r="C7" s="121" t="s">
        <v>2216</v>
      </c>
      <c r="E7" s="112" t="str">
        <f>IF(F7&lt;&gt;"",IFERROR(VLOOKUP(F7,Категории!A:B,2,0),""),"Требуется категория")</f>
        <v>Кепки</v>
      </c>
      <c r="F7" s="106" t="s">
        <v>318</v>
      </c>
      <c r="G7" s="136" t="s">
        <v>2160</v>
      </c>
      <c r="H7" s="112" t="s">
        <v>388</v>
      </c>
      <c r="J7" s="114" t="s">
        <v>2160</v>
      </c>
      <c r="K7" s="120" t="s">
        <v>83</v>
      </c>
      <c r="L7" s="149" t="s">
        <v>83</v>
      </c>
      <c r="M7" s="136"/>
      <c r="N7" s="136"/>
      <c r="O7" s="136"/>
      <c r="P7" s="136"/>
      <c r="Q7" s="137" t="s">
        <v>2185</v>
      </c>
      <c r="R7" s="136"/>
      <c r="S7" s="136" t="s">
        <v>44</v>
      </c>
      <c r="T7" s="107"/>
      <c r="U7" s="107" t="s">
        <v>382</v>
      </c>
      <c r="V7" s="107"/>
      <c r="Y7" s="107"/>
      <c r="AA7" s="107">
        <v>3</v>
      </c>
      <c r="AB7" s="106">
        <v>5</v>
      </c>
      <c r="AC7" s="107">
        <v>5</v>
      </c>
      <c r="AD7" s="106">
        <v>2</v>
      </c>
      <c r="AE7" s="107"/>
      <c r="AG7" s="107"/>
      <c r="AT7" s="114">
        <f t="shared" si="1"/>
        <v>15</v>
      </c>
      <c r="AU7" s="131" t="s">
        <v>565</v>
      </c>
      <c r="AV7" s="114" t="str">
        <f t="shared" ca="1" si="2"/>
        <v>ERR</v>
      </c>
      <c r="AW7" s="112" t="str">
        <f t="shared" ca="1" si="3"/>
        <v>Россия</v>
      </c>
      <c r="AX7" s="117">
        <f t="shared" si="4"/>
        <v>0.1</v>
      </c>
      <c r="AY7" s="112">
        <f t="shared" si="5"/>
        <v>0.15000000000000002</v>
      </c>
      <c r="AZ7" s="112">
        <f t="shared" si="6"/>
        <v>1.5</v>
      </c>
      <c r="BA7" s="112">
        <f t="shared" si="7"/>
        <v>2.2500000000000004</v>
      </c>
      <c r="BB7" s="118">
        <v>1000</v>
      </c>
      <c r="BC7" s="146">
        <f t="shared" si="8"/>
        <v>15000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1</v>
      </c>
      <c r="BF7" s="109" t="str">
        <f t="shared" si="9"/>
        <v>-</v>
      </c>
    </row>
    <row r="8" spans="1:59" ht="98.1" customHeight="1">
      <c r="A8" s="112" t="str">
        <f t="shared" si="0"/>
        <v>802 Cavaleseсиний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87-006-06</v>
      </c>
      <c r="C8" s="121" t="s">
        <v>2163</v>
      </c>
      <c r="E8" s="112" t="str">
        <f>IF(F8&lt;&gt;"",IFERROR(VLOOKUP(F8,Категории!A:B,2,0),""),"Требуется категория")</f>
        <v>Кепки</v>
      </c>
      <c r="F8" s="106" t="s">
        <v>318</v>
      </c>
      <c r="G8" s="136" t="s">
        <v>2160</v>
      </c>
      <c r="H8" s="112" t="s">
        <v>388</v>
      </c>
      <c r="J8" s="114" t="s">
        <v>2160</v>
      </c>
      <c r="K8" s="120" t="s">
        <v>71</v>
      </c>
      <c r="L8" s="149" t="s">
        <v>71</v>
      </c>
      <c r="M8" s="136"/>
      <c r="N8" s="136"/>
      <c r="O8" s="136"/>
      <c r="P8" s="136"/>
      <c r="Q8" s="137" t="s">
        <v>2186</v>
      </c>
      <c r="R8" s="136"/>
      <c r="S8" s="136" t="s">
        <v>44</v>
      </c>
      <c r="T8" s="107"/>
      <c r="U8" s="107" t="s">
        <v>382</v>
      </c>
      <c r="V8" s="107"/>
      <c r="Y8" s="107"/>
      <c r="AA8" s="107">
        <v>1</v>
      </c>
      <c r="AB8" s="106">
        <v>2</v>
      </c>
      <c r="AC8" s="107">
        <v>3</v>
      </c>
      <c r="AD8" s="106">
        <v>3</v>
      </c>
      <c r="AE8" s="107">
        <v>2</v>
      </c>
      <c r="AG8" s="107"/>
      <c r="AT8" s="114">
        <f t="shared" si="1"/>
        <v>11</v>
      </c>
      <c r="AU8" s="131" t="s">
        <v>565</v>
      </c>
      <c r="AV8" s="114" t="str">
        <f t="shared" ca="1" si="2"/>
        <v>ERR</v>
      </c>
      <c r="AW8" s="112" t="str">
        <f t="shared" ca="1" si="3"/>
        <v>Россия</v>
      </c>
      <c r="AX8" s="117">
        <f t="shared" si="4"/>
        <v>0.1</v>
      </c>
      <c r="AY8" s="112">
        <f t="shared" si="5"/>
        <v>0.15000000000000002</v>
      </c>
      <c r="AZ8" s="112">
        <f t="shared" si="6"/>
        <v>1.1000000000000001</v>
      </c>
      <c r="BA8" s="112">
        <f t="shared" si="7"/>
        <v>1.6500000000000004</v>
      </c>
      <c r="BB8" s="118">
        <v>1000</v>
      </c>
      <c r="BC8" s="146">
        <f t="shared" si="8"/>
        <v>11000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1</v>
      </c>
      <c r="BF8" s="109" t="str">
        <f t="shared" si="9"/>
        <v>-</v>
      </c>
    </row>
    <row r="9" spans="1:59" ht="98.1" customHeight="1">
      <c r="A9" s="112" t="str">
        <f t="shared" si="0"/>
        <v>802 Fancy(v)зеленый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87-007-11</v>
      </c>
      <c r="C9" s="121" t="s">
        <v>2164</v>
      </c>
      <c r="E9" s="112" t="str">
        <f>IF(F9&lt;&gt;"",IFERROR(VLOOKUP(F9,Категории!A:B,2,0),""),"Требуется категория")</f>
        <v>Кепки</v>
      </c>
      <c r="F9" s="106" t="s">
        <v>318</v>
      </c>
      <c r="G9" s="136" t="s">
        <v>2160</v>
      </c>
      <c r="H9" s="112" t="s">
        <v>388</v>
      </c>
      <c r="J9" s="114" t="s">
        <v>2160</v>
      </c>
      <c r="K9" s="120" t="s">
        <v>60</v>
      </c>
      <c r="L9" s="149" t="s">
        <v>60</v>
      </c>
      <c r="M9" s="136"/>
      <c r="N9" s="136"/>
      <c r="O9" s="136"/>
      <c r="P9" s="136"/>
      <c r="Q9" s="137" t="s">
        <v>2187</v>
      </c>
      <c r="R9" s="136"/>
      <c r="S9" s="136"/>
      <c r="T9" s="107"/>
      <c r="U9" s="107" t="s">
        <v>382</v>
      </c>
      <c r="V9" s="107"/>
      <c r="Y9" s="107"/>
      <c r="Z9" s="106">
        <v>1</v>
      </c>
      <c r="AA9" s="107">
        <v>2</v>
      </c>
      <c r="AB9" s="106">
        <v>3</v>
      </c>
      <c r="AC9" s="107">
        <v>5</v>
      </c>
      <c r="AD9" s="106">
        <v>1</v>
      </c>
      <c r="AE9" s="107">
        <v>1</v>
      </c>
      <c r="AG9" s="107"/>
      <c r="AT9" s="114">
        <f t="shared" si="1"/>
        <v>13</v>
      </c>
      <c r="AU9" s="131" t="s">
        <v>565</v>
      </c>
      <c r="AV9" s="114" t="str">
        <f t="shared" ca="1" si="2"/>
        <v>ERR</v>
      </c>
      <c r="AW9" s="112" t="str">
        <f t="shared" ca="1" si="3"/>
        <v>Россия</v>
      </c>
      <c r="AX9" s="117">
        <f t="shared" si="4"/>
        <v>0.1</v>
      </c>
      <c r="AY9" s="112">
        <f t="shared" si="5"/>
        <v>0.15000000000000002</v>
      </c>
      <c r="AZ9" s="112">
        <f t="shared" si="6"/>
        <v>1.3</v>
      </c>
      <c r="BA9" s="112">
        <f t="shared" si="7"/>
        <v>1.9500000000000002</v>
      </c>
      <c r="BB9" s="118">
        <v>1500</v>
      </c>
      <c r="BC9" s="146">
        <f t="shared" si="8"/>
        <v>19500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1</v>
      </c>
      <c r="BF9" s="109" t="str">
        <f t="shared" si="9"/>
        <v>-</v>
      </c>
    </row>
    <row r="10" spans="1:59" ht="98.1" customHeight="1">
      <c r="A10" s="112" t="str">
        <f t="shared" si="0"/>
        <v>802 Flan-Ксиний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87-008-06</v>
      </c>
      <c r="C10" s="121" t="s">
        <v>2165</v>
      </c>
      <c r="E10" s="112" t="str">
        <f>IF(F10&lt;&gt;"",IFERROR(VLOOKUP(F10,Категории!A:B,2,0),""),"Требуется категория")</f>
        <v>Кепки</v>
      </c>
      <c r="F10" s="106" t="s">
        <v>318</v>
      </c>
      <c r="G10" s="136" t="s">
        <v>2160</v>
      </c>
      <c r="H10" s="112" t="s">
        <v>388</v>
      </c>
      <c r="J10" s="114" t="s">
        <v>2160</v>
      </c>
      <c r="K10" s="120" t="s">
        <v>71</v>
      </c>
      <c r="L10" s="149" t="s">
        <v>71</v>
      </c>
      <c r="M10" s="136"/>
      <c r="N10" s="136"/>
      <c r="O10" s="136"/>
      <c r="P10" s="136"/>
      <c r="Q10" s="137" t="s">
        <v>2203</v>
      </c>
      <c r="R10" s="136"/>
      <c r="S10" s="136"/>
      <c r="T10" s="107"/>
      <c r="U10" s="107" t="s">
        <v>382</v>
      </c>
      <c r="V10" s="107"/>
      <c r="Y10" s="107"/>
      <c r="Z10" s="106">
        <v>1</v>
      </c>
      <c r="AA10" s="107">
        <v>2</v>
      </c>
      <c r="AB10" s="106">
        <v>3</v>
      </c>
      <c r="AC10" s="107">
        <v>5</v>
      </c>
      <c r="AD10" s="106">
        <v>2</v>
      </c>
      <c r="AE10" s="107">
        <v>2</v>
      </c>
      <c r="AG10" s="107"/>
      <c r="AT10" s="114">
        <f t="shared" si="1"/>
        <v>15</v>
      </c>
      <c r="AU10" s="131" t="s">
        <v>565</v>
      </c>
      <c r="AV10" s="114" t="str">
        <f t="shared" ca="1" si="2"/>
        <v>ERR</v>
      </c>
      <c r="AW10" s="112" t="str">
        <f t="shared" ca="1" si="3"/>
        <v>Россия</v>
      </c>
      <c r="AX10" s="117">
        <f t="shared" si="4"/>
        <v>0.1</v>
      </c>
      <c r="AY10" s="112">
        <f t="shared" si="5"/>
        <v>0.15000000000000002</v>
      </c>
      <c r="AZ10" s="112">
        <f t="shared" si="6"/>
        <v>1.5</v>
      </c>
      <c r="BA10" s="112">
        <f t="shared" si="7"/>
        <v>2.2500000000000004</v>
      </c>
      <c r="BB10" s="118">
        <v>1800</v>
      </c>
      <c r="BC10" s="146">
        <f t="shared" si="8"/>
        <v>27000</v>
      </c>
      <c r="BD10" s="105">
        <f>IF(A10&lt;&gt;"",IF(_xlfn.XLOOKUP(A10,'1C'!A:A,'1C'!A:A,0,0)&gt;0,1,0),"")</f>
        <v>0</v>
      </c>
      <c r="BE10" s="105">
        <f>IF(C10&lt;&gt;"",IF(_xlfn.XLOOKUP(TEXT(C10,"###"),'1C'!W:W,'1C'!D:D,0,0)&gt;0,0,1),"")</f>
        <v>1</v>
      </c>
      <c r="BF10" s="109" t="str">
        <f t="shared" si="9"/>
        <v>-</v>
      </c>
    </row>
    <row r="11" spans="1:59" ht="98.1" customHeight="1">
      <c r="A11" s="112" t="str">
        <f t="shared" si="0"/>
        <v>802 Fogginiтемно-коричневый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87-009-91</v>
      </c>
      <c r="C11" s="121" t="s">
        <v>2215</v>
      </c>
      <c r="E11" s="112" t="str">
        <f>IF(F11&lt;&gt;"",IFERROR(VLOOKUP(F11,Категории!A:B,2,0),""),"Требуется категория")</f>
        <v>Кепки</v>
      </c>
      <c r="F11" s="106" t="s">
        <v>318</v>
      </c>
      <c r="G11" s="136" t="s">
        <v>2160</v>
      </c>
      <c r="H11" s="112" t="s">
        <v>388</v>
      </c>
      <c r="J11" s="114" t="s">
        <v>2160</v>
      </c>
      <c r="K11" s="120" t="s">
        <v>271</v>
      </c>
      <c r="L11" s="149" t="s">
        <v>271</v>
      </c>
      <c r="M11" s="136"/>
      <c r="N11" s="136"/>
      <c r="O11" s="136"/>
      <c r="P11" s="136"/>
      <c r="Q11" s="137" t="s">
        <v>2201</v>
      </c>
      <c r="R11" s="136"/>
      <c r="S11" s="136" t="s">
        <v>44</v>
      </c>
      <c r="T11" s="107"/>
      <c r="U11" s="107" t="s">
        <v>382</v>
      </c>
      <c r="V11" s="107"/>
      <c r="Y11" s="107"/>
      <c r="AA11" s="107">
        <v>1</v>
      </c>
      <c r="AB11" s="106">
        <v>2</v>
      </c>
      <c r="AC11" s="107">
        <v>1</v>
      </c>
      <c r="AD11" s="106">
        <v>1</v>
      </c>
      <c r="AE11" s="107"/>
      <c r="AG11" s="107"/>
      <c r="AT11" s="114">
        <f t="shared" si="1"/>
        <v>5</v>
      </c>
      <c r="AU11" s="131" t="s">
        <v>565</v>
      </c>
      <c r="AV11" s="114" t="str">
        <f t="shared" ca="1" si="2"/>
        <v>ERR</v>
      </c>
      <c r="AW11" s="112" t="str">
        <f t="shared" ca="1" si="3"/>
        <v>Россия</v>
      </c>
      <c r="AX11" s="117">
        <f t="shared" si="4"/>
        <v>0.1</v>
      </c>
      <c r="AY11" s="112">
        <f t="shared" si="5"/>
        <v>0.15000000000000002</v>
      </c>
      <c r="AZ11" s="112">
        <f t="shared" si="6"/>
        <v>0.5</v>
      </c>
      <c r="BA11" s="112">
        <f t="shared" si="7"/>
        <v>0.75000000000000011</v>
      </c>
      <c r="BB11" s="118">
        <v>2500</v>
      </c>
      <c r="BC11" s="146">
        <f t="shared" si="8"/>
        <v>12500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1</v>
      </c>
      <c r="BF11" s="109" t="str">
        <f t="shared" si="9"/>
        <v>-</v>
      </c>
    </row>
    <row r="12" spans="1:59" ht="98.1" customHeight="1">
      <c r="A12" s="112" t="str">
        <f t="shared" si="0"/>
        <v>802 Prato tsтемно-серый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87-010-05</v>
      </c>
      <c r="C12" s="121" t="s">
        <v>2166</v>
      </c>
      <c r="E12" s="112" t="str">
        <f>IF(F12&lt;&gt;"",IFERROR(VLOOKUP(F12,Категории!A:B,2,0),""),"Требуется категория")</f>
        <v>Кепки</v>
      </c>
      <c r="F12" s="106" t="s">
        <v>318</v>
      </c>
      <c r="G12" s="136" t="s">
        <v>2160</v>
      </c>
      <c r="H12" s="112" t="s">
        <v>388</v>
      </c>
      <c r="J12" s="114" t="s">
        <v>2160</v>
      </c>
      <c r="K12" s="120" t="s">
        <v>277</v>
      </c>
      <c r="L12" s="149" t="s">
        <v>277</v>
      </c>
      <c r="M12" s="136"/>
      <c r="N12" s="136"/>
      <c r="O12" s="136"/>
      <c r="P12" s="136"/>
      <c r="Q12" s="137" t="s">
        <v>2188</v>
      </c>
      <c r="R12" s="136"/>
      <c r="S12" s="136"/>
      <c r="T12" s="107"/>
      <c r="U12" s="107" t="s">
        <v>382</v>
      </c>
      <c r="V12" s="107"/>
      <c r="Y12" s="107"/>
      <c r="AA12" s="107">
        <v>1</v>
      </c>
      <c r="AB12" s="106">
        <v>2</v>
      </c>
      <c r="AC12" s="107">
        <v>3</v>
      </c>
      <c r="AD12" s="106">
        <v>3</v>
      </c>
      <c r="AE12" s="107">
        <v>2</v>
      </c>
      <c r="AG12" s="107"/>
      <c r="AT12" s="114">
        <f t="shared" si="1"/>
        <v>11</v>
      </c>
      <c r="AU12" s="131" t="s">
        <v>565</v>
      </c>
      <c r="AV12" s="114" t="str">
        <f t="shared" ca="1" si="2"/>
        <v>ERR</v>
      </c>
      <c r="AW12" s="112" t="str">
        <f t="shared" ca="1" si="3"/>
        <v>Россия</v>
      </c>
      <c r="AX12" s="117">
        <f t="shared" si="4"/>
        <v>0.1</v>
      </c>
      <c r="AY12" s="112">
        <f t="shared" si="5"/>
        <v>0.15000000000000002</v>
      </c>
      <c r="AZ12" s="112">
        <f t="shared" si="6"/>
        <v>1.1000000000000001</v>
      </c>
      <c r="BA12" s="112">
        <f t="shared" si="7"/>
        <v>1.6500000000000004</v>
      </c>
      <c r="BB12" s="118">
        <v>1000</v>
      </c>
      <c r="BC12" s="146">
        <f t="shared" si="8"/>
        <v>11000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1</v>
      </c>
      <c r="BF12" s="109" t="str">
        <f t="shared" si="9"/>
        <v>-</v>
      </c>
    </row>
    <row r="13" spans="1:59" ht="98.1" customHeight="1">
      <c r="A13" s="112" t="str">
        <f t="shared" si="0"/>
        <v>802 Shetland(b)бежевый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87-011-02</v>
      </c>
      <c r="C13" s="121" t="s">
        <v>2212</v>
      </c>
      <c r="E13" s="112" t="str">
        <f>IF(F13&lt;&gt;"",IFERROR(VLOOKUP(F13,Категории!A:B,2,0),""),"Требуется категория")</f>
        <v>Кепки</v>
      </c>
      <c r="F13" s="106" t="s">
        <v>318</v>
      </c>
      <c r="G13" s="136" t="s">
        <v>2160</v>
      </c>
      <c r="H13" s="112" t="s">
        <v>388</v>
      </c>
      <c r="J13" s="114" t="s">
        <v>2160</v>
      </c>
      <c r="K13" s="120" t="s">
        <v>63</v>
      </c>
      <c r="L13" s="149" t="s">
        <v>63</v>
      </c>
      <c r="M13" s="136"/>
      <c r="N13" s="136"/>
      <c r="O13" s="136"/>
      <c r="P13" s="136"/>
      <c r="Q13" s="137" t="s">
        <v>2189</v>
      </c>
      <c r="R13" s="136"/>
      <c r="S13" s="136" t="s">
        <v>44</v>
      </c>
      <c r="T13" s="107"/>
      <c r="U13" s="107" t="s">
        <v>382</v>
      </c>
      <c r="V13" s="107"/>
      <c r="Y13" s="107"/>
      <c r="AA13" s="107">
        <v>1</v>
      </c>
      <c r="AB13" s="106">
        <v>2</v>
      </c>
      <c r="AC13" s="107">
        <v>3</v>
      </c>
      <c r="AD13" s="106">
        <v>3</v>
      </c>
      <c r="AE13" s="107">
        <v>2</v>
      </c>
      <c r="AG13" s="107"/>
      <c r="AT13" s="114">
        <f t="shared" si="1"/>
        <v>11</v>
      </c>
      <c r="AU13" s="131" t="s">
        <v>565</v>
      </c>
      <c r="AV13" s="114" t="str">
        <f t="shared" ca="1" si="2"/>
        <v>ERR</v>
      </c>
      <c r="AW13" s="112" t="str">
        <f t="shared" ca="1" si="3"/>
        <v>Россия</v>
      </c>
      <c r="AX13" s="117">
        <f t="shared" si="4"/>
        <v>0.1</v>
      </c>
      <c r="AY13" s="112">
        <f t="shared" si="5"/>
        <v>0.15000000000000002</v>
      </c>
      <c r="AZ13" s="112">
        <f t="shared" si="6"/>
        <v>1.1000000000000001</v>
      </c>
      <c r="BA13" s="112">
        <f t="shared" si="7"/>
        <v>1.6500000000000004</v>
      </c>
      <c r="BB13" s="118">
        <v>1500</v>
      </c>
      <c r="BC13" s="146">
        <f t="shared" si="8"/>
        <v>16500</v>
      </c>
      <c r="BD13" s="105">
        <f>IF(A13&lt;&gt;"",IF(_xlfn.XLOOKUP(A13,'1C'!A:A,'1C'!A:A,0,0)&gt;0,1,0),"")</f>
        <v>0</v>
      </c>
      <c r="BE13" s="105">
        <f>IF(C13&lt;&gt;"",IF(_xlfn.XLOOKUP(TEXT(C13,"###"),'1C'!W:W,'1C'!D:D,0,0)&gt;0,0,1),"")</f>
        <v>1</v>
      </c>
      <c r="BF13" s="109" t="str">
        <f t="shared" si="9"/>
        <v>-</v>
      </c>
    </row>
    <row r="14" spans="1:59" ht="98.1" customHeight="1">
      <c r="A14" s="112" t="str">
        <f t="shared" si="0"/>
        <v>802 Shetland(ss)синий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87-012-06</v>
      </c>
      <c r="C14" s="121" t="s">
        <v>2213</v>
      </c>
      <c r="E14" s="112" t="str">
        <f>IF(F14&lt;&gt;"",IFERROR(VLOOKUP(F14,Категории!A:B,2,0),""),"Требуется категория")</f>
        <v>Кепки</v>
      </c>
      <c r="F14" s="106" t="s">
        <v>318</v>
      </c>
      <c r="G14" s="136" t="s">
        <v>2160</v>
      </c>
      <c r="H14" s="112" t="s">
        <v>388</v>
      </c>
      <c r="J14" s="114" t="s">
        <v>2160</v>
      </c>
      <c r="K14" s="120" t="s">
        <v>71</v>
      </c>
      <c r="L14" s="149" t="s">
        <v>71</v>
      </c>
      <c r="M14" s="136"/>
      <c r="N14" s="136"/>
      <c r="O14" s="136"/>
      <c r="P14" s="136"/>
      <c r="Q14" s="137" t="s">
        <v>2189</v>
      </c>
      <c r="R14" s="136"/>
      <c r="S14" s="136" t="s">
        <v>44</v>
      </c>
      <c r="T14" s="107"/>
      <c r="U14" s="107" t="s">
        <v>382</v>
      </c>
      <c r="V14" s="107"/>
      <c r="Y14" s="107"/>
      <c r="AA14" s="107">
        <v>1</v>
      </c>
      <c r="AB14" s="106">
        <v>2</v>
      </c>
      <c r="AC14" s="107">
        <v>3</v>
      </c>
      <c r="AD14" s="106">
        <v>1</v>
      </c>
      <c r="AE14" s="107">
        <v>1</v>
      </c>
      <c r="AG14" s="107"/>
      <c r="AT14" s="114">
        <f t="shared" si="1"/>
        <v>8</v>
      </c>
      <c r="AU14" s="131" t="s">
        <v>565</v>
      </c>
      <c r="AV14" s="114" t="str">
        <f t="shared" ca="1" si="2"/>
        <v>ERR</v>
      </c>
      <c r="AW14" s="112" t="str">
        <f t="shared" ca="1" si="3"/>
        <v>Россия</v>
      </c>
      <c r="AX14" s="117">
        <f t="shared" si="4"/>
        <v>0.1</v>
      </c>
      <c r="AY14" s="112">
        <f t="shared" si="5"/>
        <v>0.15000000000000002</v>
      </c>
      <c r="AZ14" s="112">
        <f t="shared" si="6"/>
        <v>0.8</v>
      </c>
      <c r="BA14" s="112">
        <f t="shared" si="7"/>
        <v>1.2000000000000002</v>
      </c>
      <c r="BB14" s="118">
        <v>1500</v>
      </c>
      <c r="BC14" s="146">
        <f t="shared" si="8"/>
        <v>12000</v>
      </c>
      <c r="BD14" s="105">
        <f>IF(A14&lt;&gt;"",IF(_xlfn.XLOOKUP(A14,'1C'!A:A,'1C'!A:A,0,0)&gt;0,1,0),"")</f>
        <v>0</v>
      </c>
      <c r="BE14" s="105">
        <f>IF(C14&lt;&gt;"",IF(_xlfn.XLOOKUP(TEXT(C14,"###"),'1C'!W:W,'1C'!D:D,0,0)&gt;0,0,1),"")</f>
        <v>1</v>
      </c>
      <c r="BF14" s="109" t="str">
        <f t="shared" si="9"/>
        <v>-</v>
      </c>
    </row>
    <row r="15" spans="1:59" ht="98.1" customHeight="1">
      <c r="A15" s="112" t="str">
        <f t="shared" si="0"/>
        <v>803 Baltimoreсерый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87-013-80</v>
      </c>
      <c r="C15" s="121" t="s">
        <v>2167</v>
      </c>
      <c r="E15" s="112" t="str">
        <f>IF(F15&lt;&gt;"",IFERROR(VLOOKUP(F15,Категории!A:B,2,0),""),"Требуется категория")</f>
        <v>Кепки</v>
      </c>
      <c r="F15" s="106" t="s">
        <v>318</v>
      </c>
      <c r="G15" s="136" t="s">
        <v>2160</v>
      </c>
      <c r="H15" s="112" t="s">
        <v>388</v>
      </c>
      <c r="J15" s="114" t="s">
        <v>2160</v>
      </c>
      <c r="K15" s="120" t="s">
        <v>83</v>
      </c>
      <c r="L15" s="149" t="s">
        <v>83</v>
      </c>
      <c r="M15" s="136"/>
      <c r="N15" s="136"/>
      <c r="O15" s="136"/>
      <c r="P15" s="136"/>
      <c r="Q15" s="137" t="s">
        <v>2200</v>
      </c>
      <c r="R15" s="136"/>
      <c r="S15" s="136"/>
      <c r="T15" s="107"/>
      <c r="U15" s="107" t="s">
        <v>382</v>
      </c>
      <c r="V15" s="107"/>
      <c r="Y15" s="107"/>
      <c r="Z15" s="106">
        <v>1</v>
      </c>
      <c r="AA15" s="107">
        <v>3</v>
      </c>
      <c r="AB15" s="106">
        <v>5</v>
      </c>
      <c r="AC15" s="107">
        <v>8</v>
      </c>
      <c r="AD15" s="106">
        <v>1</v>
      </c>
      <c r="AE15" s="107">
        <v>1</v>
      </c>
      <c r="AG15" s="107"/>
      <c r="AT15" s="114">
        <f t="shared" si="1"/>
        <v>19</v>
      </c>
      <c r="AU15" s="131" t="s">
        <v>565</v>
      </c>
      <c r="AV15" s="114" t="str">
        <f t="shared" ca="1" si="2"/>
        <v>ERR</v>
      </c>
      <c r="AW15" s="112" t="str">
        <f t="shared" ca="1" si="3"/>
        <v>Россия</v>
      </c>
      <c r="AX15" s="117">
        <f t="shared" si="4"/>
        <v>0.1</v>
      </c>
      <c r="AY15" s="112">
        <f t="shared" si="5"/>
        <v>0.15000000000000002</v>
      </c>
      <c r="AZ15" s="112">
        <f t="shared" si="6"/>
        <v>1.9000000000000001</v>
      </c>
      <c r="BA15" s="112">
        <f t="shared" si="7"/>
        <v>2.8500000000000005</v>
      </c>
      <c r="BB15" s="118">
        <v>900</v>
      </c>
      <c r="BC15" s="146">
        <f t="shared" si="8"/>
        <v>17100</v>
      </c>
      <c r="BD15" s="105">
        <f>IF(A15&lt;&gt;"",IF(_xlfn.XLOOKUP(A15,'1C'!A:A,'1C'!A:A,0,0)&gt;0,1,0),"")</f>
        <v>0</v>
      </c>
      <c r="BE15" s="105">
        <f>IF(C15&lt;&gt;"",IF(_xlfn.XLOOKUP(TEXT(C15,"###"),'1C'!W:W,'1C'!D:D,0,0)&gt;0,0,1),"")</f>
        <v>1</v>
      </c>
      <c r="BF15" s="109" t="str">
        <f t="shared" si="9"/>
        <v>-</v>
      </c>
    </row>
    <row r="16" spans="1:59" ht="98.1" customHeight="1">
      <c r="A16" s="112" t="str">
        <f t="shared" si="0"/>
        <v>803 Cavaleseсиний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87-014-06</v>
      </c>
      <c r="C16" s="121" t="s">
        <v>2168</v>
      </c>
      <c r="E16" s="112" t="str">
        <f>IF(F16&lt;&gt;"",IFERROR(VLOOKUP(F16,Категории!A:B,2,0),""),"Требуется категория")</f>
        <v>Кепки</v>
      </c>
      <c r="F16" s="106" t="s">
        <v>318</v>
      </c>
      <c r="G16" s="136" t="s">
        <v>2160</v>
      </c>
      <c r="H16" s="112" t="s">
        <v>388</v>
      </c>
      <c r="J16" s="114" t="s">
        <v>2160</v>
      </c>
      <c r="K16" s="120" t="s">
        <v>71</v>
      </c>
      <c r="L16" s="149" t="s">
        <v>71</v>
      </c>
      <c r="M16" s="136"/>
      <c r="N16" s="136"/>
      <c r="O16" s="136"/>
      <c r="P16" s="136"/>
      <c r="Q16" s="137" t="s">
        <v>2186</v>
      </c>
      <c r="R16" s="136"/>
      <c r="S16" s="136" t="s">
        <v>44</v>
      </c>
      <c r="T16" s="107"/>
      <c r="U16" s="107" t="s">
        <v>382</v>
      </c>
      <c r="V16" s="107"/>
      <c r="Y16" s="107"/>
      <c r="AA16" s="107">
        <v>1</v>
      </c>
      <c r="AB16" s="106">
        <v>2</v>
      </c>
      <c r="AC16" s="107">
        <v>2</v>
      </c>
      <c r="AD16" s="106">
        <v>2</v>
      </c>
      <c r="AE16" s="107">
        <v>2</v>
      </c>
      <c r="AG16" s="107"/>
      <c r="AT16" s="114">
        <f t="shared" si="1"/>
        <v>9</v>
      </c>
      <c r="AU16" s="131" t="s">
        <v>565</v>
      </c>
      <c r="AV16" s="114" t="str">
        <f t="shared" ca="1" si="2"/>
        <v>ERR</v>
      </c>
      <c r="AW16" s="112" t="str">
        <f t="shared" ca="1" si="3"/>
        <v>Россия</v>
      </c>
      <c r="AX16" s="117">
        <f t="shared" si="4"/>
        <v>0.1</v>
      </c>
      <c r="AY16" s="112">
        <f t="shared" si="5"/>
        <v>0.15000000000000002</v>
      </c>
      <c r="AZ16" s="112">
        <f t="shared" si="6"/>
        <v>0.9</v>
      </c>
      <c r="BA16" s="112">
        <f t="shared" si="7"/>
        <v>1.35</v>
      </c>
      <c r="BB16" s="118">
        <v>1000</v>
      </c>
      <c r="BC16" s="146">
        <f t="shared" si="8"/>
        <v>9000</v>
      </c>
      <c r="BD16" s="105">
        <f>IF(A16&lt;&gt;"",IF(_xlfn.XLOOKUP(A16,'1C'!A:A,'1C'!A:A,0,0)&gt;0,1,0),"")</f>
        <v>0</v>
      </c>
      <c r="BE16" s="105">
        <f>IF(C16&lt;&gt;"",IF(_xlfn.XLOOKUP(TEXT(C16,"###"),'1C'!W:W,'1C'!D:D,0,0)&gt;0,0,1),"")</f>
        <v>1</v>
      </c>
      <c r="BF16" s="109" t="str">
        <f t="shared" si="9"/>
        <v>-</v>
      </c>
    </row>
    <row r="17" spans="1:58" ht="98.1" customHeight="1">
      <c r="A17" s="112" t="str">
        <f t="shared" si="0"/>
        <v>803 Fancy(s)синий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87-015-06</v>
      </c>
      <c r="C17" s="121" t="s">
        <v>2169</v>
      </c>
      <c r="E17" s="112" t="str">
        <f>IF(F17&lt;&gt;"",IFERROR(VLOOKUP(F17,Категории!A:B,2,0),""),"Требуется категория")</f>
        <v>Кепки</v>
      </c>
      <c r="F17" s="106" t="s">
        <v>318</v>
      </c>
      <c r="G17" s="136" t="s">
        <v>2160</v>
      </c>
      <c r="H17" s="112" t="s">
        <v>388</v>
      </c>
      <c r="J17" s="114" t="s">
        <v>2160</v>
      </c>
      <c r="K17" s="120" t="s">
        <v>71</v>
      </c>
      <c r="L17" s="149" t="s">
        <v>71</v>
      </c>
      <c r="M17" s="136"/>
      <c r="N17" s="136"/>
      <c r="O17" s="136"/>
      <c r="P17" s="136"/>
      <c r="Q17" s="137" t="s">
        <v>2187</v>
      </c>
      <c r="R17" s="136"/>
      <c r="S17" s="136"/>
      <c r="T17" s="107"/>
      <c r="U17" s="107" t="s">
        <v>382</v>
      </c>
      <c r="V17" s="107"/>
      <c r="Y17" s="107"/>
      <c r="Z17" s="106">
        <v>1</v>
      </c>
      <c r="AA17" s="107">
        <v>2</v>
      </c>
      <c r="AB17" s="106">
        <v>3</v>
      </c>
      <c r="AC17" s="107">
        <v>5</v>
      </c>
      <c r="AD17" s="106">
        <v>4</v>
      </c>
      <c r="AE17" s="107">
        <v>3</v>
      </c>
      <c r="AG17" s="107"/>
      <c r="AT17" s="114">
        <f t="shared" si="1"/>
        <v>18</v>
      </c>
      <c r="AU17" s="131" t="s">
        <v>565</v>
      </c>
      <c r="AV17" s="114" t="str">
        <f t="shared" ca="1" si="2"/>
        <v>ERR</v>
      </c>
      <c r="AW17" s="112" t="str">
        <f t="shared" ca="1" si="3"/>
        <v>Россия</v>
      </c>
      <c r="AX17" s="117">
        <f t="shared" si="4"/>
        <v>0.1</v>
      </c>
      <c r="AY17" s="112">
        <f t="shared" si="5"/>
        <v>0.15000000000000002</v>
      </c>
      <c r="AZ17" s="112">
        <f t="shared" si="6"/>
        <v>1.8</v>
      </c>
      <c r="BA17" s="112">
        <f t="shared" si="7"/>
        <v>2.7</v>
      </c>
      <c r="BB17" s="118">
        <v>1500</v>
      </c>
      <c r="BC17" s="146">
        <f t="shared" si="8"/>
        <v>27000</v>
      </c>
      <c r="BD17" s="105">
        <f>IF(A17&lt;&gt;"",IF(_xlfn.XLOOKUP(A17,'1C'!A:A,'1C'!A:A,0,0)&gt;0,1,0),"")</f>
        <v>0</v>
      </c>
      <c r="BE17" s="105">
        <f>IF(C17&lt;&gt;"",IF(_xlfn.XLOOKUP(TEXT(C17,"###"),'1C'!W:W,'1C'!D:D,0,0)&gt;0,0,1),"")</f>
        <v>1</v>
      </c>
      <c r="BF17" s="109" t="str">
        <f t="shared" si="9"/>
        <v>-</v>
      </c>
    </row>
    <row r="18" spans="1:58" ht="98.1" customHeight="1">
      <c r="A18" s="112" t="str">
        <f t="shared" si="0"/>
        <v>803 Prato tsтемно-серый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87-016-05</v>
      </c>
      <c r="C18" s="121" t="s">
        <v>2170</v>
      </c>
      <c r="E18" s="112" t="str">
        <f>IF(F18&lt;&gt;"",IFERROR(VLOOKUP(F18,Категории!A:B,2,0),""),"Требуется категория")</f>
        <v>Кепки</v>
      </c>
      <c r="F18" s="106" t="s">
        <v>318</v>
      </c>
      <c r="G18" s="136" t="s">
        <v>2160</v>
      </c>
      <c r="H18" s="112" t="s">
        <v>388</v>
      </c>
      <c r="J18" s="114" t="s">
        <v>2160</v>
      </c>
      <c r="K18" s="120" t="s">
        <v>277</v>
      </c>
      <c r="L18" s="149" t="s">
        <v>277</v>
      </c>
      <c r="M18" s="136"/>
      <c r="N18" s="136"/>
      <c r="O18" s="136"/>
      <c r="P18" s="136"/>
      <c r="Q18" s="137" t="s">
        <v>2190</v>
      </c>
      <c r="R18" s="136"/>
      <c r="S18" s="136"/>
      <c r="T18" s="107"/>
      <c r="U18" s="107" t="s">
        <v>382</v>
      </c>
      <c r="V18" s="107"/>
      <c r="Y18" s="107"/>
      <c r="AA18" s="107">
        <v>1</v>
      </c>
      <c r="AB18" s="106">
        <v>2</v>
      </c>
      <c r="AC18" s="107">
        <v>3</v>
      </c>
      <c r="AD18" s="106">
        <v>3</v>
      </c>
      <c r="AE18" s="107"/>
      <c r="AG18" s="107"/>
      <c r="AT18" s="114">
        <f t="shared" si="1"/>
        <v>9</v>
      </c>
      <c r="AU18" s="131" t="s">
        <v>565</v>
      </c>
      <c r="AV18" s="114" t="str">
        <f t="shared" ca="1" si="2"/>
        <v>ERR</v>
      </c>
      <c r="AW18" s="112" t="str">
        <f t="shared" ca="1" si="3"/>
        <v>Россия</v>
      </c>
      <c r="AX18" s="117">
        <f t="shared" si="4"/>
        <v>0.1</v>
      </c>
      <c r="AY18" s="112">
        <f t="shared" si="5"/>
        <v>0.15000000000000002</v>
      </c>
      <c r="AZ18" s="112">
        <f t="shared" si="6"/>
        <v>0.9</v>
      </c>
      <c r="BA18" s="112">
        <f t="shared" si="7"/>
        <v>1.35</v>
      </c>
      <c r="BB18" s="118">
        <v>1000</v>
      </c>
      <c r="BC18" s="146">
        <f t="shared" si="8"/>
        <v>9000</v>
      </c>
      <c r="BD18" s="105">
        <f>IF(A18&lt;&gt;"",IF(_xlfn.XLOOKUP(A18,'1C'!A:A,'1C'!A:A,0,0)&gt;0,1,0),"")</f>
        <v>0</v>
      </c>
      <c r="BE18" s="105">
        <f>IF(C18&lt;&gt;"",IF(_xlfn.XLOOKUP(TEXT(C18,"###"),'1C'!W:W,'1C'!D:D,0,0)&gt;0,0,1),"")</f>
        <v>1</v>
      </c>
      <c r="BF18" s="109" t="str">
        <f t="shared" si="9"/>
        <v>-</v>
      </c>
    </row>
    <row r="19" spans="1:58" ht="98.1" customHeight="1">
      <c r="A19" s="112" t="str">
        <f t="shared" si="0"/>
        <v>803 Shetland(ss)синий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87-017-06</v>
      </c>
      <c r="C19" s="121" t="s">
        <v>2171</v>
      </c>
      <c r="E19" s="112" t="str">
        <f>IF(F19&lt;&gt;"",IFERROR(VLOOKUP(F19,Категории!A:B,2,0),""),"Требуется категория")</f>
        <v>Кепки</v>
      </c>
      <c r="F19" s="106" t="s">
        <v>318</v>
      </c>
      <c r="G19" s="136" t="s">
        <v>2160</v>
      </c>
      <c r="H19" s="112" t="s">
        <v>388</v>
      </c>
      <c r="J19" s="114" t="s">
        <v>2160</v>
      </c>
      <c r="K19" s="120" t="s">
        <v>71</v>
      </c>
      <c r="L19" s="149" t="s">
        <v>71</v>
      </c>
      <c r="M19" s="136"/>
      <c r="N19" s="136"/>
      <c r="O19" s="136"/>
      <c r="P19" s="136"/>
      <c r="Q19" s="137" t="s">
        <v>2189</v>
      </c>
      <c r="R19" s="136"/>
      <c r="S19" s="136" t="s">
        <v>44</v>
      </c>
      <c r="T19" s="107"/>
      <c r="U19" s="107" t="s">
        <v>382</v>
      </c>
      <c r="V19" s="107"/>
      <c r="Y19" s="107"/>
      <c r="AA19" s="107">
        <v>1</v>
      </c>
      <c r="AB19" s="106">
        <v>2</v>
      </c>
      <c r="AC19" s="107">
        <v>3</v>
      </c>
      <c r="AD19" s="106">
        <v>1</v>
      </c>
      <c r="AE19" s="107"/>
      <c r="AG19" s="107"/>
      <c r="AT19" s="114">
        <f t="shared" si="1"/>
        <v>7</v>
      </c>
      <c r="AU19" s="131" t="s">
        <v>565</v>
      </c>
      <c r="AV19" s="114" t="str">
        <f t="shared" ca="1" si="2"/>
        <v>ERR</v>
      </c>
      <c r="AW19" s="112" t="str">
        <f t="shared" ca="1" si="3"/>
        <v>Россия</v>
      </c>
      <c r="AX19" s="117">
        <f t="shared" si="4"/>
        <v>0.1</v>
      </c>
      <c r="AY19" s="112">
        <f t="shared" si="5"/>
        <v>0.15000000000000002</v>
      </c>
      <c r="AZ19" s="112">
        <f t="shared" si="6"/>
        <v>0.70000000000000007</v>
      </c>
      <c r="BA19" s="112">
        <f t="shared" si="7"/>
        <v>1.0500000000000003</v>
      </c>
      <c r="BB19" s="118">
        <v>1500</v>
      </c>
      <c r="BC19" s="146">
        <f t="shared" si="8"/>
        <v>10500</v>
      </c>
      <c r="BD19" s="105">
        <f>IF(A19&lt;&gt;"",IF(_xlfn.XLOOKUP(A19,'1C'!A:A,'1C'!A:A,0,0)&gt;0,1,0),"")</f>
        <v>0</v>
      </c>
      <c r="BE19" s="105">
        <f>IF(C19&lt;&gt;"",IF(_xlfn.XLOOKUP(TEXT(C19,"###"),'1C'!W:W,'1C'!D:D,0,0)&gt;0,0,1),"")</f>
        <v>1</v>
      </c>
      <c r="BF19" s="109" t="str">
        <f t="shared" si="9"/>
        <v>-</v>
      </c>
    </row>
    <row r="20" spans="1:58" ht="98.1" customHeight="1">
      <c r="A20" s="112" t="str">
        <f t="shared" si="0"/>
        <v>803 Shetland(v)темно-зеленый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87-018-07</v>
      </c>
      <c r="C20" s="121" t="s">
        <v>2211</v>
      </c>
      <c r="E20" s="112" t="str">
        <f>IF(F20&lt;&gt;"",IFERROR(VLOOKUP(F20,Категории!A:B,2,0),""),"Требуется категория")</f>
        <v>Кепки</v>
      </c>
      <c r="F20" s="106" t="s">
        <v>318</v>
      </c>
      <c r="G20" s="136" t="s">
        <v>2160</v>
      </c>
      <c r="H20" s="112" t="s">
        <v>388</v>
      </c>
      <c r="J20" s="114" t="s">
        <v>2160</v>
      </c>
      <c r="K20" s="120" t="s">
        <v>269</v>
      </c>
      <c r="L20" s="149" t="s">
        <v>269</v>
      </c>
      <c r="M20" s="136"/>
      <c r="N20" s="136"/>
      <c r="O20" s="136"/>
      <c r="P20" s="136"/>
      <c r="Q20" s="137" t="s">
        <v>2191</v>
      </c>
      <c r="R20" s="136"/>
      <c r="S20" s="136" t="s">
        <v>44</v>
      </c>
      <c r="T20" s="107"/>
      <c r="U20" s="107" t="s">
        <v>382</v>
      </c>
      <c r="V20" s="107"/>
      <c r="Y20" s="107"/>
      <c r="AA20" s="107">
        <v>1</v>
      </c>
      <c r="AB20" s="106">
        <v>2</v>
      </c>
      <c r="AC20" s="107">
        <v>3</v>
      </c>
      <c r="AD20" s="106">
        <v>2</v>
      </c>
      <c r="AE20" s="107">
        <v>1</v>
      </c>
      <c r="AG20" s="107"/>
      <c r="AT20" s="114">
        <f t="shared" si="1"/>
        <v>9</v>
      </c>
      <c r="AU20" s="131" t="s">
        <v>565</v>
      </c>
      <c r="AV20" s="114" t="str">
        <f t="shared" ca="1" si="2"/>
        <v>ERR</v>
      </c>
      <c r="AW20" s="112" t="str">
        <f t="shared" ca="1" si="3"/>
        <v>Россия</v>
      </c>
      <c r="AX20" s="117">
        <f t="shared" si="4"/>
        <v>0.1</v>
      </c>
      <c r="AY20" s="112">
        <f t="shared" si="5"/>
        <v>0.15000000000000002</v>
      </c>
      <c r="AZ20" s="112">
        <f t="shared" si="6"/>
        <v>0.9</v>
      </c>
      <c r="BA20" s="112">
        <f t="shared" si="7"/>
        <v>1.35</v>
      </c>
      <c r="BB20" s="118">
        <v>1500</v>
      </c>
      <c r="BC20" s="146">
        <f t="shared" si="8"/>
        <v>13500</v>
      </c>
      <c r="BD20" s="105">
        <f>IF(A20&lt;&gt;"",IF(_xlfn.XLOOKUP(A20,'1C'!A:A,'1C'!A:A,0,0)&gt;0,1,0),"")</f>
        <v>0</v>
      </c>
      <c r="BE20" s="105">
        <f>IF(C20&lt;&gt;"",IF(_xlfn.XLOOKUP(TEXT(C20,"###"),'1C'!W:W,'1C'!D:D,0,0)&gt;0,0,1),"")</f>
        <v>1</v>
      </c>
      <c r="BF20" s="109" t="str">
        <f t="shared" si="9"/>
        <v>-</v>
      </c>
    </row>
    <row r="21" spans="1:58" ht="98.1" customHeight="1">
      <c r="A21" s="112" t="str">
        <f t="shared" si="0"/>
        <v>803 Tomarсерый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87-019-80</v>
      </c>
      <c r="C21" s="121" t="s">
        <v>2210</v>
      </c>
      <c r="E21" s="112" t="str">
        <f>IF(F21&lt;&gt;"",IFERROR(VLOOKUP(F21,Категории!A:B,2,0),""),"Требуется категория")</f>
        <v>Кепки</v>
      </c>
      <c r="F21" s="106" t="s">
        <v>318</v>
      </c>
      <c r="G21" s="136" t="s">
        <v>2160</v>
      </c>
      <c r="H21" s="112" t="s">
        <v>388</v>
      </c>
      <c r="J21" s="114" t="s">
        <v>2160</v>
      </c>
      <c r="K21" s="120" t="s">
        <v>83</v>
      </c>
      <c r="L21" s="149" t="s">
        <v>83</v>
      </c>
      <c r="M21" s="136"/>
      <c r="N21" s="136"/>
      <c r="O21" s="136"/>
      <c r="P21" s="136"/>
      <c r="Q21" s="137" t="s">
        <v>2192</v>
      </c>
      <c r="R21" s="136"/>
      <c r="S21" s="136" t="s">
        <v>44</v>
      </c>
      <c r="T21" s="107"/>
      <c r="U21" s="107" t="s">
        <v>382</v>
      </c>
      <c r="V21" s="107"/>
      <c r="Y21" s="107"/>
      <c r="Z21" s="106">
        <v>2</v>
      </c>
      <c r="AA21" s="107">
        <v>3</v>
      </c>
      <c r="AB21" s="106">
        <v>5</v>
      </c>
      <c r="AC21" s="107">
        <v>8</v>
      </c>
      <c r="AD21" s="106">
        <v>4</v>
      </c>
      <c r="AE21" s="107">
        <v>1</v>
      </c>
      <c r="AF21" s="106">
        <v>0</v>
      </c>
      <c r="AG21" s="107"/>
      <c r="AT21" s="114">
        <f t="shared" si="1"/>
        <v>23</v>
      </c>
      <c r="AU21" s="131" t="s">
        <v>565</v>
      </c>
      <c r="AV21" s="114" t="str">
        <f t="shared" ca="1" si="2"/>
        <v>ERR</v>
      </c>
      <c r="AW21" s="112" t="str">
        <f t="shared" ca="1" si="3"/>
        <v>Россия</v>
      </c>
      <c r="AX21" s="117">
        <f t="shared" si="4"/>
        <v>0.1</v>
      </c>
      <c r="AY21" s="112">
        <f t="shared" si="5"/>
        <v>0.15000000000000002</v>
      </c>
      <c r="AZ21" s="112">
        <f t="shared" si="6"/>
        <v>2.3000000000000003</v>
      </c>
      <c r="BA21" s="112">
        <f t="shared" si="7"/>
        <v>3.4500000000000006</v>
      </c>
      <c r="BB21" s="118">
        <v>1000</v>
      </c>
      <c r="BC21" s="146">
        <f t="shared" si="8"/>
        <v>23000</v>
      </c>
      <c r="BD21" s="105">
        <f>IF(A21&lt;&gt;"",IF(_xlfn.XLOOKUP(A21,'1C'!A:A,'1C'!A:A,0,0)&gt;0,1,0),"")</f>
        <v>0</v>
      </c>
      <c r="BE21" s="105">
        <f>IF(C21&lt;&gt;"",IF(_xlfn.XLOOKUP(TEXT(C21,"###"),'1C'!W:W,'1C'!D:D,0,0)&gt;0,0,1),"")</f>
        <v>1</v>
      </c>
      <c r="BF21" s="109" t="str">
        <f t="shared" si="9"/>
        <v>-</v>
      </c>
    </row>
    <row r="22" spans="1:58" ht="98.1" customHeight="1">
      <c r="A22" s="112" t="str">
        <f t="shared" si="0"/>
        <v>803 ЧNчерный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87-020-09</v>
      </c>
      <c r="C22" s="121" t="s">
        <v>2172</v>
      </c>
      <c r="E22" s="112" t="str">
        <f>IF(F22&lt;&gt;"",IFERROR(VLOOKUP(F22,Категории!A:B,2,0),""),"Требуется категория")</f>
        <v>Кепки</v>
      </c>
      <c r="F22" s="106" t="s">
        <v>318</v>
      </c>
      <c r="G22" s="136" t="s">
        <v>2160</v>
      </c>
      <c r="H22" s="112" t="s">
        <v>388</v>
      </c>
      <c r="J22" s="114" t="s">
        <v>2160</v>
      </c>
      <c r="K22" s="120" t="s">
        <v>53</v>
      </c>
      <c r="L22" s="149" t="s">
        <v>53</v>
      </c>
      <c r="M22" s="136"/>
      <c r="N22" s="136"/>
      <c r="O22" s="136"/>
      <c r="P22" s="136"/>
      <c r="Q22" s="137" t="s">
        <v>2193</v>
      </c>
      <c r="R22" s="136"/>
      <c r="S22" s="136"/>
      <c r="T22" s="107"/>
      <c r="U22" s="107" t="s">
        <v>382</v>
      </c>
      <c r="V22" s="107"/>
      <c r="Y22" s="107"/>
      <c r="AA22" s="107">
        <v>1</v>
      </c>
      <c r="AB22" s="106">
        <v>2</v>
      </c>
      <c r="AC22" s="107">
        <v>3</v>
      </c>
      <c r="AD22" s="106">
        <v>3</v>
      </c>
      <c r="AE22" s="107">
        <v>2</v>
      </c>
      <c r="AF22" s="106">
        <v>0</v>
      </c>
      <c r="AG22" s="107"/>
      <c r="AT22" s="114">
        <f t="shared" si="1"/>
        <v>11</v>
      </c>
      <c r="AU22" s="131" t="s">
        <v>565</v>
      </c>
      <c r="AV22" s="114" t="str">
        <f t="shared" ca="1" si="2"/>
        <v>ERR</v>
      </c>
      <c r="AW22" s="112" t="str">
        <f t="shared" ca="1" si="3"/>
        <v>Россия</v>
      </c>
      <c r="AX22" s="117">
        <f t="shared" si="4"/>
        <v>0.1</v>
      </c>
      <c r="AY22" s="112">
        <f t="shared" si="5"/>
        <v>0.15000000000000002</v>
      </c>
      <c r="AZ22" s="112">
        <f t="shared" si="6"/>
        <v>1.1000000000000001</v>
      </c>
      <c r="BA22" s="112">
        <f t="shared" si="7"/>
        <v>1.6500000000000004</v>
      </c>
      <c r="BB22" s="118">
        <v>850</v>
      </c>
      <c r="BC22" s="146">
        <f t="shared" si="8"/>
        <v>9350</v>
      </c>
      <c r="BD22" s="105">
        <f>IF(A22&lt;&gt;"",IF(_xlfn.XLOOKUP(A22,'1C'!A:A,'1C'!A:A,0,0)&gt;0,1,0),"")</f>
        <v>0</v>
      </c>
      <c r="BE22" s="105">
        <f>IF(C22&lt;&gt;"",IF(_xlfn.XLOOKUP(TEXT(C22,"###"),'1C'!W:W,'1C'!D:D,0,0)&gt;0,0,1),"")</f>
        <v>1</v>
      </c>
      <c r="BF22" s="109" t="str">
        <f t="shared" si="9"/>
        <v>-</v>
      </c>
    </row>
    <row r="23" spans="1:58" ht="98.1" customHeight="1">
      <c r="A23" s="112" t="str">
        <f t="shared" si="0"/>
        <v>804 Fancy(v)зеленый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87-021-11</v>
      </c>
      <c r="C23" s="121" t="s">
        <v>2173</v>
      </c>
      <c r="E23" s="112" t="str">
        <f>IF(F23&lt;&gt;"",IFERROR(VLOOKUP(F23,Категории!A:B,2,0),""),"Требуется категория")</f>
        <v>Кепки</v>
      </c>
      <c r="F23" s="106" t="s">
        <v>318</v>
      </c>
      <c r="G23" s="136" t="s">
        <v>2160</v>
      </c>
      <c r="H23" s="112" t="s">
        <v>388</v>
      </c>
      <c r="J23" s="114" t="s">
        <v>2160</v>
      </c>
      <c r="K23" s="120" t="s">
        <v>60</v>
      </c>
      <c r="L23" s="149" t="s">
        <v>60</v>
      </c>
      <c r="M23" s="136"/>
      <c r="N23" s="136"/>
      <c r="O23" s="136"/>
      <c r="P23" s="136"/>
      <c r="Q23" s="137" t="s">
        <v>2194</v>
      </c>
      <c r="R23" s="136"/>
      <c r="S23" s="136"/>
      <c r="T23" s="107"/>
      <c r="U23" s="107" t="s">
        <v>382</v>
      </c>
      <c r="V23" s="107"/>
      <c r="Y23" s="107"/>
      <c r="AA23" s="107">
        <v>1</v>
      </c>
      <c r="AB23" s="106">
        <v>2</v>
      </c>
      <c r="AC23" s="107">
        <v>3</v>
      </c>
      <c r="AD23" s="106">
        <v>3</v>
      </c>
      <c r="AE23" s="107">
        <v>2</v>
      </c>
      <c r="AG23" s="107"/>
      <c r="AT23" s="114">
        <f t="shared" si="1"/>
        <v>11</v>
      </c>
      <c r="AU23" s="131" t="s">
        <v>565</v>
      </c>
      <c r="AV23" s="114" t="str">
        <f t="shared" ca="1" si="2"/>
        <v>ERR</v>
      </c>
      <c r="AW23" s="112" t="str">
        <f t="shared" ca="1" si="3"/>
        <v>Россия</v>
      </c>
      <c r="AX23" s="117">
        <f t="shared" si="4"/>
        <v>0.1</v>
      </c>
      <c r="AY23" s="112">
        <f t="shared" si="5"/>
        <v>0.15000000000000002</v>
      </c>
      <c r="AZ23" s="112">
        <f t="shared" si="6"/>
        <v>1.1000000000000001</v>
      </c>
      <c r="BA23" s="112">
        <f t="shared" si="7"/>
        <v>1.6500000000000004</v>
      </c>
      <c r="BB23" s="118">
        <v>1500</v>
      </c>
      <c r="BC23" s="146">
        <f t="shared" si="8"/>
        <v>16500</v>
      </c>
      <c r="BD23" s="105">
        <f>IF(A23&lt;&gt;"",IF(_xlfn.XLOOKUP(A23,'1C'!A:A,'1C'!A:A,0,0)&gt;0,1,0),"")</f>
        <v>0</v>
      </c>
      <c r="BE23" s="105">
        <f>IF(C23&lt;&gt;"",IF(_xlfn.XLOOKUP(TEXT(C23,"###"),'1C'!W:W,'1C'!D:D,0,0)&gt;0,0,1),"")</f>
        <v>1</v>
      </c>
      <c r="BF23" s="109" t="str">
        <f t="shared" si="9"/>
        <v>-</v>
      </c>
    </row>
    <row r="24" spans="1:58" ht="98.1" customHeight="1">
      <c r="A24" s="112" t="str">
        <f t="shared" si="0"/>
        <v>804 Ferrara-2Kкоричневый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87-022-14</v>
      </c>
      <c r="C24" s="121" t="s">
        <v>2209</v>
      </c>
      <c r="E24" s="112" t="str">
        <f>IF(F24&lt;&gt;"",IFERROR(VLOOKUP(F24,Категории!A:B,2,0),""),"Требуется категория")</f>
        <v>Кепки</v>
      </c>
      <c r="F24" s="106" t="s">
        <v>318</v>
      </c>
      <c r="G24" s="136" t="s">
        <v>2160</v>
      </c>
      <c r="H24" s="112" t="s">
        <v>388</v>
      </c>
      <c r="J24" s="114" t="s">
        <v>2160</v>
      </c>
      <c r="K24" s="120" t="s">
        <v>86</v>
      </c>
      <c r="L24" s="149" t="s">
        <v>86</v>
      </c>
      <c r="M24" s="136"/>
      <c r="N24" s="136"/>
      <c r="O24" s="136"/>
      <c r="P24" s="136"/>
      <c r="Q24" s="137" t="s">
        <v>2195</v>
      </c>
      <c r="R24" s="136"/>
      <c r="S24" s="136" t="s">
        <v>44</v>
      </c>
      <c r="T24" s="107"/>
      <c r="U24" s="107" t="s">
        <v>382</v>
      </c>
      <c r="V24" s="107"/>
      <c r="Y24" s="107"/>
      <c r="AA24" s="107">
        <v>1</v>
      </c>
      <c r="AB24" s="106">
        <v>2</v>
      </c>
      <c r="AC24" s="107">
        <v>3</v>
      </c>
      <c r="AD24" s="106">
        <v>3</v>
      </c>
      <c r="AE24" s="107">
        <v>2</v>
      </c>
      <c r="AG24" s="107"/>
      <c r="AT24" s="114">
        <f t="shared" si="1"/>
        <v>11</v>
      </c>
      <c r="AU24" s="131" t="s">
        <v>565</v>
      </c>
      <c r="AV24" s="114" t="str">
        <f t="shared" ca="1" si="2"/>
        <v>ERR</v>
      </c>
      <c r="AW24" s="112" t="str">
        <f t="shared" ca="1" si="3"/>
        <v>Россия</v>
      </c>
      <c r="AX24" s="117">
        <f t="shared" si="4"/>
        <v>0.1</v>
      </c>
      <c r="AY24" s="112">
        <f t="shared" si="5"/>
        <v>0.15000000000000002</v>
      </c>
      <c r="AZ24" s="112">
        <f t="shared" si="6"/>
        <v>1.1000000000000001</v>
      </c>
      <c r="BA24" s="112">
        <f t="shared" si="7"/>
        <v>1.6500000000000004</v>
      </c>
      <c r="BB24" s="118">
        <v>1600</v>
      </c>
      <c r="BC24" s="146">
        <f t="shared" si="8"/>
        <v>17600</v>
      </c>
      <c r="BD24" s="105">
        <f>IF(A24&lt;&gt;"",IF(_xlfn.XLOOKUP(A24,'1C'!A:A,'1C'!A:A,0,0)&gt;0,1,0),"")</f>
        <v>0</v>
      </c>
      <c r="BE24" s="105">
        <f>IF(C24&lt;&gt;"",IF(_xlfn.XLOOKUP(TEXT(C24,"###"),'1C'!W:W,'1C'!D:D,0,0)&gt;0,0,1),"")</f>
        <v>1</v>
      </c>
      <c r="BF24" s="109" t="str">
        <f t="shared" si="9"/>
        <v>-</v>
      </c>
    </row>
    <row r="25" spans="1:58" ht="98.1" customHeight="1">
      <c r="A25" s="112" t="str">
        <f t="shared" si="0"/>
        <v>804 Flan-Kсиний</v>
      </c>
      <c r="B25" s="10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87-023-06</v>
      </c>
      <c r="C25" s="121" t="s">
        <v>2174</v>
      </c>
      <c r="E25" s="112" t="str">
        <f>IF(F25&lt;&gt;"",IFERROR(VLOOKUP(F25,Категории!A:B,2,0),""),"Требуется категория")</f>
        <v>Кепки</v>
      </c>
      <c r="F25" s="106" t="s">
        <v>318</v>
      </c>
      <c r="G25" s="136" t="s">
        <v>2160</v>
      </c>
      <c r="H25" s="112" t="s">
        <v>388</v>
      </c>
      <c r="J25" s="114" t="s">
        <v>2160</v>
      </c>
      <c r="K25" s="120" t="s">
        <v>71</v>
      </c>
      <c r="L25" s="149" t="s">
        <v>71</v>
      </c>
      <c r="M25" s="136"/>
      <c r="N25" s="136"/>
      <c r="O25" s="136"/>
      <c r="P25" s="136"/>
      <c r="Q25" s="137" t="s">
        <v>2196</v>
      </c>
      <c r="R25" s="136"/>
      <c r="S25" s="136"/>
      <c r="T25" s="107"/>
      <c r="U25" s="107" t="s">
        <v>382</v>
      </c>
      <c r="V25" s="107"/>
      <c r="Y25" s="107"/>
      <c r="AA25" s="107">
        <v>1</v>
      </c>
      <c r="AB25" s="106">
        <v>2</v>
      </c>
      <c r="AC25" s="107">
        <v>3</v>
      </c>
      <c r="AD25" s="106">
        <v>3</v>
      </c>
      <c r="AE25" s="107">
        <v>2</v>
      </c>
      <c r="AG25" s="107"/>
      <c r="AT25" s="114">
        <f t="shared" si="1"/>
        <v>11</v>
      </c>
      <c r="AU25" s="131" t="s">
        <v>565</v>
      </c>
      <c r="AV25" s="114" t="str">
        <f t="shared" ca="1" si="2"/>
        <v>ERR</v>
      </c>
      <c r="AW25" s="112" t="str">
        <f t="shared" ca="1" si="3"/>
        <v>Россия</v>
      </c>
      <c r="AX25" s="117">
        <f t="shared" si="4"/>
        <v>0.1</v>
      </c>
      <c r="AY25" s="112">
        <f t="shared" si="5"/>
        <v>0.15000000000000002</v>
      </c>
      <c r="AZ25" s="112">
        <f t="shared" si="6"/>
        <v>1.1000000000000001</v>
      </c>
      <c r="BA25" s="112">
        <f t="shared" si="7"/>
        <v>1.6500000000000004</v>
      </c>
      <c r="BB25" s="118">
        <v>1800</v>
      </c>
      <c r="BC25" s="146">
        <f t="shared" si="8"/>
        <v>19800</v>
      </c>
      <c r="BD25" s="105">
        <f>IF(A25&lt;&gt;"",IF(_xlfn.XLOOKUP(A25,'1C'!A:A,'1C'!A:A,0,0)&gt;0,1,0),"")</f>
        <v>0</v>
      </c>
      <c r="BE25" s="105">
        <f>IF(C25&lt;&gt;"",IF(_xlfn.XLOOKUP(TEXT(C25,"###"),'1C'!W:W,'1C'!D:D,0,0)&gt;0,0,1),"")</f>
        <v>1</v>
      </c>
      <c r="BF25" s="109" t="str">
        <f t="shared" si="9"/>
        <v>-</v>
      </c>
    </row>
    <row r="26" spans="1:58" ht="98.1" customHeight="1">
      <c r="A26" s="112" t="str">
        <f t="shared" si="0"/>
        <v>804 Higuainсеро-черный</v>
      </c>
      <c r="B26" s="10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87-024-05</v>
      </c>
      <c r="C26" s="121" t="s">
        <v>2175</v>
      </c>
      <c r="E26" s="112" t="str">
        <f>IF(F26&lt;&gt;"",IFERROR(VLOOKUP(F26,Категории!A:B,2,0),""),"Требуется категория")</f>
        <v>Кепки</v>
      </c>
      <c r="F26" s="106" t="s">
        <v>318</v>
      </c>
      <c r="G26" s="136" t="s">
        <v>2160</v>
      </c>
      <c r="H26" s="112" t="s">
        <v>388</v>
      </c>
      <c r="J26" s="114" t="s">
        <v>2160</v>
      </c>
      <c r="K26" s="120" t="s">
        <v>2204</v>
      </c>
      <c r="L26" s="149" t="s">
        <v>277</v>
      </c>
      <c r="M26" s="136"/>
      <c r="N26" s="136"/>
      <c r="O26" s="136"/>
      <c r="P26" s="136"/>
      <c r="Q26" s="137" t="s">
        <v>2197</v>
      </c>
      <c r="R26" s="136"/>
      <c r="S26" s="136" t="s">
        <v>44</v>
      </c>
      <c r="T26" s="107"/>
      <c r="U26" s="107" t="s">
        <v>382</v>
      </c>
      <c r="V26" s="107"/>
      <c r="Y26" s="107"/>
      <c r="AA26" s="107">
        <v>1</v>
      </c>
      <c r="AB26" s="106">
        <v>2</v>
      </c>
      <c r="AC26" s="107">
        <v>3</v>
      </c>
      <c r="AD26" s="106">
        <v>3</v>
      </c>
      <c r="AE26" s="107">
        <v>2</v>
      </c>
      <c r="AG26" s="107"/>
      <c r="AT26" s="114">
        <f t="shared" si="1"/>
        <v>11</v>
      </c>
      <c r="AU26" s="131" t="s">
        <v>565</v>
      </c>
      <c r="AV26" s="114" t="str">
        <f t="shared" ca="1" si="2"/>
        <v>ERR</v>
      </c>
      <c r="AW26" s="112" t="str">
        <f t="shared" ca="1" si="3"/>
        <v>Россия</v>
      </c>
      <c r="AX26" s="117">
        <f t="shared" si="4"/>
        <v>0.1</v>
      </c>
      <c r="AY26" s="112">
        <f t="shared" si="5"/>
        <v>0.15000000000000002</v>
      </c>
      <c r="AZ26" s="112">
        <f t="shared" si="6"/>
        <v>1.1000000000000001</v>
      </c>
      <c r="BA26" s="112">
        <f t="shared" si="7"/>
        <v>1.6500000000000004</v>
      </c>
      <c r="BB26" s="118">
        <v>1200</v>
      </c>
      <c r="BC26" s="146">
        <f t="shared" si="8"/>
        <v>13200</v>
      </c>
      <c r="BD26" s="105">
        <f>IF(A26&lt;&gt;"",IF(_xlfn.XLOOKUP(A26,'1C'!A:A,'1C'!A:A,0,0)&gt;0,1,0),"")</f>
        <v>0</v>
      </c>
      <c r="BE26" s="105">
        <f>IF(C26&lt;&gt;"",IF(_xlfn.XLOOKUP(TEXT(C26,"###"),'1C'!W:W,'1C'!D:D,0,0)&gt;0,0,1),"")</f>
        <v>1</v>
      </c>
      <c r="BF26" s="109" t="str">
        <f t="shared" si="9"/>
        <v>-</v>
      </c>
    </row>
    <row r="27" spans="1:58" ht="98.1" customHeight="1">
      <c r="A27" s="112" t="str">
        <f t="shared" si="0"/>
        <v>809 Baltimoreсерый</v>
      </c>
      <c r="B27" s="10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87-025-80</v>
      </c>
      <c r="C27" s="121" t="s">
        <v>2176</v>
      </c>
      <c r="E27" s="112" t="str">
        <f>IF(F27&lt;&gt;"",IFERROR(VLOOKUP(F27,Категории!A:B,2,0),""),"Требуется категория")</f>
        <v>Кепки</v>
      </c>
      <c r="F27" s="106" t="s">
        <v>318</v>
      </c>
      <c r="G27" s="136" t="s">
        <v>2160</v>
      </c>
      <c r="H27" s="112" t="s">
        <v>388</v>
      </c>
      <c r="J27" s="114" t="s">
        <v>2160</v>
      </c>
      <c r="K27" s="120" t="s">
        <v>83</v>
      </c>
      <c r="L27" s="149" t="s">
        <v>83</v>
      </c>
      <c r="M27" s="136"/>
      <c r="N27" s="136"/>
      <c r="O27" s="136"/>
      <c r="P27" s="136"/>
      <c r="Q27" s="137" t="s">
        <v>2200</v>
      </c>
      <c r="R27" s="136"/>
      <c r="S27" s="136"/>
      <c r="T27" s="107"/>
      <c r="U27" s="107" t="s">
        <v>382</v>
      </c>
      <c r="V27" s="107"/>
      <c r="Y27" s="107"/>
      <c r="AA27" s="107">
        <v>1</v>
      </c>
      <c r="AB27" s="106">
        <v>2</v>
      </c>
      <c r="AC27" s="107">
        <v>3</v>
      </c>
      <c r="AD27" s="106">
        <v>2</v>
      </c>
      <c r="AE27" s="107">
        <v>0</v>
      </c>
      <c r="AG27" s="107"/>
      <c r="AT27" s="114">
        <f t="shared" si="1"/>
        <v>8</v>
      </c>
      <c r="AU27" s="131" t="s">
        <v>565</v>
      </c>
      <c r="AV27" s="114" t="str">
        <f t="shared" ca="1" si="2"/>
        <v>ERR</v>
      </c>
      <c r="AW27" s="112" t="str">
        <f t="shared" ca="1" si="3"/>
        <v>Россия</v>
      </c>
      <c r="AX27" s="117">
        <f t="shared" si="4"/>
        <v>0.1</v>
      </c>
      <c r="AY27" s="112">
        <f t="shared" si="5"/>
        <v>0.15000000000000002</v>
      </c>
      <c r="AZ27" s="112">
        <f t="shared" si="6"/>
        <v>0.8</v>
      </c>
      <c r="BA27" s="112">
        <f t="shared" si="7"/>
        <v>1.2000000000000002</v>
      </c>
      <c r="BB27" s="118">
        <v>900</v>
      </c>
      <c r="BC27" s="146">
        <f t="shared" si="8"/>
        <v>7200</v>
      </c>
      <c r="BD27" s="105">
        <f>IF(A27&lt;&gt;"",IF(_xlfn.XLOOKUP(A27,'1C'!A:A,'1C'!A:A,0,0)&gt;0,1,0),"")</f>
        <v>0</v>
      </c>
      <c r="BE27" s="105">
        <f>IF(C27&lt;&gt;"",IF(_xlfn.XLOOKUP(TEXT(C27,"###"),'1C'!W:W,'1C'!D:D,0,0)&gt;0,0,1),"")</f>
        <v>1</v>
      </c>
      <c r="BF27" s="109" t="str">
        <f t="shared" si="9"/>
        <v>-</v>
      </c>
    </row>
    <row r="28" spans="1:58" ht="98.1" customHeight="1">
      <c r="A28" s="112" t="str">
        <f t="shared" si="0"/>
        <v>809 Fancy(s)синий</v>
      </c>
      <c r="B28" s="10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87-026-06</v>
      </c>
      <c r="C28" s="121" t="s">
        <v>2177</v>
      </c>
      <c r="E28" s="112" t="str">
        <f>IF(F28&lt;&gt;"",IFERROR(VLOOKUP(F28,Категории!A:B,2,0),""),"Требуется категория")</f>
        <v>Кепки</v>
      </c>
      <c r="F28" s="106" t="s">
        <v>318</v>
      </c>
      <c r="G28" s="136" t="s">
        <v>2160</v>
      </c>
      <c r="H28" s="112" t="s">
        <v>388</v>
      </c>
      <c r="J28" s="114" t="s">
        <v>2160</v>
      </c>
      <c r="K28" s="120" t="s">
        <v>71</v>
      </c>
      <c r="L28" s="149" t="s">
        <v>71</v>
      </c>
      <c r="M28" s="136"/>
      <c r="N28" s="136"/>
      <c r="O28" s="136"/>
      <c r="P28" s="136"/>
      <c r="Q28" s="137" t="s">
        <v>2187</v>
      </c>
      <c r="R28" s="136"/>
      <c r="S28" s="136"/>
      <c r="T28" s="107"/>
      <c r="U28" s="107" t="s">
        <v>382</v>
      </c>
      <c r="V28" s="107"/>
      <c r="Y28" s="107"/>
      <c r="AA28" s="107">
        <v>1</v>
      </c>
      <c r="AB28" s="106">
        <v>2</v>
      </c>
      <c r="AC28" s="107">
        <v>3</v>
      </c>
      <c r="AD28" s="106">
        <v>2</v>
      </c>
      <c r="AE28" s="107">
        <v>1</v>
      </c>
      <c r="AG28" s="107"/>
      <c r="AT28" s="114">
        <f t="shared" si="1"/>
        <v>9</v>
      </c>
      <c r="AU28" s="131" t="s">
        <v>565</v>
      </c>
      <c r="AV28" s="114" t="str">
        <f t="shared" ca="1" si="2"/>
        <v>ERR</v>
      </c>
      <c r="AW28" s="112" t="str">
        <f t="shared" ca="1" si="3"/>
        <v>Россия</v>
      </c>
      <c r="AX28" s="117">
        <f t="shared" si="4"/>
        <v>0.1</v>
      </c>
      <c r="AY28" s="112">
        <f t="shared" si="5"/>
        <v>0.15000000000000002</v>
      </c>
      <c r="AZ28" s="112">
        <f t="shared" si="6"/>
        <v>0.9</v>
      </c>
      <c r="BA28" s="112">
        <f t="shared" si="7"/>
        <v>1.35</v>
      </c>
      <c r="BB28" s="118">
        <v>1500</v>
      </c>
      <c r="BC28" s="146">
        <f t="shared" si="8"/>
        <v>13500</v>
      </c>
      <c r="BD28" s="105">
        <f>IF(A28&lt;&gt;"",IF(_xlfn.XLOOKUP(A28,'1C'!A:A,'1C'!A:A,0,0)&gt;0,1,0),"")</f>
        <v>0</v>
      </c>
      <c r="BE28" s="105">
        <f>IF(C28&lt;&gt;"",IF(_xlfn.XLOOKUP(TEXT(C28,"###"),'1C'!W:W,'1C'!D:D,0,0)&gt;0,0,1),"")</f>
        <v>1</v>
      </c>
      <c r="BF28" s="109" t="str">
        <f t="shared" si="9"/>
        <v>-</v>
      </c>
    </row>
    <row r="29" spans="1:58" ht="98.1" customHeight="1">
      <c r="A29" s="112" t="str">
        <f t="shared" si="0"/>
        <v>809 Ferrara-2tsтемно-серый</v>
      </c>
      <c r="B29" s="10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87-027-05</v>
      </c>
      <c r="C29" s="121" t="s">
        <v>2208</v>
      </c>
      <c r="E29" s="112" t="str">
        <f>IF(F29&lt;&gt;"",IFERROR(VLOOKUP(F29,Категории!A:B,2,0),""),"Требуется категория")</f>
        <v>Кепки</v>
      </c>
      <c r="F29" s="106" t="s">
        <v>318</v>
      </c>
      <c r="G29" s="136" t="s">
        <v>2160</v>
      </c>
      <c r="H29" s="112" t="s">
        <v>388</v>
      </c>
      <c r="J29" s="114" t="s">
        <v>2160</v>
      </c>
      <c r="K29" s="120" t="s">
        <v>277</v>
      </c>
      <c r="L29" s="149" t="s">
        <v>277</v>
      </c>
      <c r="M29" s="136"/>
      <c r="N29" s="136"/>
      <c r="O29" s="136"/>
      <c r="P29" s="136"/>
      <c r="Q29" s="137" t="s">
        <v>2202</v>
      </c>
      <c r="R29" s="136"/>
      <c r="S29" s="136" t="s">
        <v>44</v>
      </c>
      <c r="T29" s="107"/>
      <c r="U29" s="107" t="s">
        <v>382</v>
      </c>
      <c r="V29" s="107"/>
      <c r="Y29" s="107"/>
      <c r="AA29" s="107">
        <v>1</v>
      </c>
      <c r="AB29" s="106">
        <v>2</v>
      </c>
      <c r="AC29" s="107">
        <v>3</v>
      </c>
      <c r="AD29" s="106">
        <v>2</v>
      </c>
      <c r="AE29" s="107">
        <v>1</v>
      </c>
      <c r="AF29" s="106">
        <v>0</v>
      </c>
      <c r="AG29" s="107"/>
      <c r="AT29" s="114">
        <f t="shared" si="1"/>
        <v>9</v>
      </c>
      <c r="AU29" s="131" t="s">
        <v>565</v>
      </c>
      <c r="AV29" s="114" t="str">
        <f t="shared" ca="1" si="2"/>
        <v>ERR</v>
      </c>
      <c r="AW29" s="112" t="str">
        <f t="shared" ca="1" si="3"/>
        <v>Россия</v>
      </c>
      <c r="AX29" s="117">
        <f t="shared" si="4"/>
        <v>0.1</v>
      </c>
      <c r="AY29" s="112">
        <f t="shared" si="5"/>
        <v>0.15000000000000002</v>
      </c>
      <c r="AZ29" s="112">
        <f t="shared" si="6"/>
        <v>0.9</v>
      </c>
      <c r="BA29" s="112">
        <f t="shared" si="7"/>
        <v>1.35</v>
      </c>
      <c r="BB29" s="118">
        <v>1400</v>
      </c>
      <c r="BC29" s="146">
        <f t="shared" si="8"/>
        <v>12600</v>
      </c>
      <c r="BD29" s="105">
        <f>IF(A29&lt;&gt;"",IF(_xlfn.XLOOKUP(A29,'1C'!A:A,'1C'!A:A,0,0)&gt;0,1,0),"")</f>
        <v>0</v>
      </c>
      <c r="BE29" s="105">
        <f>IF(C29&lt;&gt;"",IF(_xlfn.XLOOKUP(TEXT(C29,"###"),'1C'!W:W,'1C'!D:D,0,0)&gt;0,0,1),"")</f>
        <v>1</v>
      </c>
      <c r="BF29" s="109" t="str">
        <f t="shared" si="9"/>
        <v>-</v>
      </c>
    </row>
    <row r="30" spans="1:58" ht="98.1" customHeight="1">
      <c r="A30" s="112" t="str">
        <f t="shared" si="0"/>
        <v>810 Ferrara-2серый</v>
      </c>
      <c r="B30" s="10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87-028-80</v>
      </c>
      <c r="C30" s="121" t="s">
        <v>2207</v>
      </c>
      <c r="E30" s="112" t="str">
        <f>IF(F30&lt;&gt;"",IFERROR(VLOOKUP(F30,Категории!A:B,2,0),""),"Требуется категория")</f>
        <v>Кепки</v>
      </c>
      <c r="F30" s="106" t="s">
        <v>318</v>
      </c>
      <c r="G30" s="136" t="s">
        <v>2160</v>
      </c>
      <c r="H30" s="112" t="s">
        <v>388</v>
      </c>
      <c r="J30" s="114" t="s">
        <v>2160</v>
      </c>
      <c r="K30" s="120" t="s">
        <v>83</v>
      </c>
      <c r="L30" s="149" t="s">
        <v>83</v>
      </c>
      <c r="M30" s="136"/>
      <c r="N30" s="136"/>
      <c r="O30" s="136"/>
      <c r="P30" s="136"/>
      <c r="Q30" s="137" t="s">
        <v>2195</v>
      </c>
      <c r="R30" s="136"/>
      <c r="S30" s="136" t="s">
        <v>44</v>
      </c>
      <c r="T30" s="107"/>
      <c r="U30" s="107" t="s">
        <v>382</v>
      </c>
      <c r="V30" s="107"/>
      <c r="Y30" s="107"/>
      <c r="AA30" s="107">
        <v>1</v>
      </c>
      <c r="AB30" s="106">
        <v>2</v>
      </c>
      <c r="AC30" s="107">
        <v>3</v>
      </c>
      <c r="AD30" s="106">
        <v>1</v>
      </c>
      <c r="AE30" s="107">
        <v>1</v>
      </c>
      <c r="AF30" s="106">
        <v>1</v>
      </c>
      <c r="AG30" s="107"/>
      <c r="AT30" s="114">
        <f t="shared" si="1"/>
        <v>9</v>
      </c>
      <c r="AU30" s="131" t="s">
        <v>565</v>
      </c>
      <c r="AV30" s="114" t="str">
        <f t="shared" ca="1" si="2"/>
        <v>ERR</v>
      </c>
      <c r="AW30" s="112" t="str">
        <f t="shared" ca="1" si="3"/>
        <v>Россия</v>
      </c>
      <c r="AX30" s="117">
        <f t="shared" si="4"/>
        <v>0.1</v>
      </c>
      <c r="AY30" s="112">
        <f t="shared" si="5"/>
        <v>0.15000000000000002</v>
      </c>
      <c r="AZ30" s="112">
        <f t="shared" si="6"/>
        <v>0.9</v>
      </c>
      <c r="BA30" s="112">
        <f t="shared" si="7"/>
        <v>1.35</v>
      </c>
      <c r="BB30" s="118">
        <v>1600</v>
      </c>
      <c r="BC30" s="146">
        <f t="shared" si="8"/>
        <v>14400</v>
      </c>
      <c r="BD30" s="105">
        <f>IF(A30&lt;&gt;"",IF(_xlfn.XLOOKUP(A30,'1C'!A:A,'1C'!A:A,0,0)&gt;0,1,0),"")</f>
        <v>0</v>
      </c>
      <c r="BE30" s="105">
        <f>IF(C30&lt;&gt;"",IF(_xlfn.XLOOKUP(TEXT(C30,"###"),'1C'!W:W,'1C'!D:D,0,0)&gt;0,0,1),"")</f>
        <v>1</v>
      </c>
      <c r="BF30" s="109" t="str">
        <f t="shared" si="9"/>
        <v>-</v>
      </c>
    </row>
    <row r="31" spans="1:58" ht="98.1" customHeight="1">
      <c r="A31" s="112" t="str">
        <f t="shared" si="0"/>
        <v>810 Tomarсерый</v>
      </c>
      <c r="B31" s="10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87-029-80</v>
      </c>
      <c r="C31" s="121" t="s">
        <v>2206</v>
      </c>
      <c r="E31" s="112" t="str">
        <f>IF(F31&lt;&gt;"",IFERROR(VLOOKUP(F31,Категории!A:B,2,0),""),"Требуется категория")</f>
        <v>Кепки</v>
      </c>
      <c r="F31" s="106" t="s">
        <v>318</v>
      </c>
      <c r="G31" s="136" t="s">
        <v>2160</v>
      </c>
      <c r="H31" s="112" t="s">
        <v>388</v>
      </c>
      <c r="J31" s="114" t="s">
        <v>2160</v>
      </c>
      <c r="K31" s="120" t="s">
        <v>83</v>
      </c>
      <c r="L31" s="149" t="s">
        <v>83</v>
      </c>
      <c r="M31" s="136"/>
      <c r="N31" s="136"/>
      <c r="O31" s="136"/>
      <c r="P31" s="136"/>
      <c r="Q31" s="137" t="s">
        <v>2192</v>
      </c>
      <c r="R31" s="136"/>
      <c r="S31" s="136" t="s">
        <v>44</v>
      </c>
      <c r="T31" s="107"/>
      <c r="U31" s="107" t="s">
        <v>382</v>
      </c>
      <c r="V31" s="107"/>
      <c r="Y31" s="107"/>
      <c r="Z31" s="106">
        <v>1</v>
      </c>
      <c r="AA31" s="107">
        <v>2</v>
      </c>
      <c r="AB31" s="106">
        <v>3</v>
      </c>
      <c r="AC31" s="107">
        <v>4</v>
      </c>
      <c r="AD31" s="106">
        <v>3</v>
      </c>
      <c r="AE31" s="107">
        <v>2</v>
      </c>
      <c r="AF31" s="106">
        <v>1</v>
      </c>
      <c r="AG31" s="107"/>
      <c r="AT31" s="114">
        <f t="shared" si="1"/>
        <v>16</v>
      </c>
      <c r="AU31" s="131" t="s">
        <v>565</v>
      </c>
      <c r="AV31" s="114" t="str">
        <f t="shared" ca="1" si="2"/>
        <v>ERR</v>
      </c>
      <c r="AW31" s="112" t="str">
        <f t="shared" ca="1" si="3"/>
        <v>Россия</v>
      </c>
      <c r="AX31" s="117">
        <f t="shared" si="4"/>
        <v>0.1</v>
      </c>
      <c r="AY31" s="112">
        <f t="shared" si="5"/>
        <v>0.15000000000000002</v>
      </c>
      <c r="AZ31" s="112">
        <f t="shared" si="6"/>
        <v>1.6</v>
      </c>
      <c r="BA31" s="112">
        <f t="shared" si="7"/>
        <v>2.4000000000000004</v>
      </c>
      <c r="BB31" s="118">
        <v>1000</v>
      </c>
      <c r="BC31" s="146">
        <f t="shared" si="8"/>
        <v>16000</v>
      </c>
      <c r="BD31" s="105">
        <f>IF(A31&lt;&gt;"",IF(_xlfn.XLOOKUP(A31,'1C'!A:A,'1C'!A:A,0,0)&gt;0,1,0),"")</f>
        <v>0</v>
      </c>
      <c r="BE31" s="105">
        <f>IF(C31&lt;&gt;"",IF(_xlfn.XLOOKUP(TEXT(C31,"###"),'1C'!W:W,'1C'!D:D,0,0)&gt;0,0,1),"")</f>
        <v>1</v>
      </c>
      <c r="BF31" s="109" t="str">
        <f t="shared" si="9"/>
        <v>-</v>
      </c>
    </row>
    <row r="32" spans="1:58" ht="98.1" customHeight="1">
      <c r="A32" s="112" t="str">
        <f t="shared" si="0"/>
        <v>Б18 Prato tsтемно-серый</v>
      </c>
      <c r="B32" s="10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87-030-05</v>
      </c>
      <c r="C32" s="121" t="s">
        <v>2178</v>
      </c>
      <c r="E32" s="112" t="str">
        <f>IF(F32&lt;&gt;"",IFERROR(VLOOKUP(F32,Категории!A:B,2,0),""),"Требуется категория")</f>
        <v>Бейсболки</v>
      </c>
      <c r="F32" s="106" t="s">
        <v>327</v>
      </c>
      <c r="G32" s="136" t="s">
        <v>2160</v>
      </c>
      <c r="H32" s="112" t="s">
        <v>388</v>
      </c>
      <c r="J32" s="114" t="s">
        <v>2160</v>
      </c>
      <c r="K32" s="120" t="s">
        <v>277</v>
      </c>
      <c r="L32" s="149" t="s">
        <v>277</v>
      </c>
      <c r="M32" s="136"/>
      <c r="N32" s="136"/>
      <c r="O32" s="136"/>
      <c r="P32" s="136"/>
      <c r="Q32" s="137" t="s">
        <v>2198</v>
      </c>
      <c r="R32" s="136"/>
      <c r="S32" s="136"/>
      <c r="T32" s="107"/>
      <c r="U32" s="107" t="s">
        <v>382</v>
      </c>
      <c r="V32" s="107"/>
      <c r="Y32" s="107"/>
      <c r="AA32" s="107"/>
      <c r="AB32" s="106">
        <v>1</v>
      </c>
      <c r="AC32" s="107">
        <v>2</v>
      </c>
      <c r="AD32" s="106">
        <v>2</v>
      </c>
      <c r="AE32" s="107">
        <v>1</v>
      </c>
      <c r="AG32" s="107"/>
      <c r="AT32" s="114">
        <f t="shared" si="1"/>
        <v>6</v>
      </c>
      <c r="AU32" s="131" t="s">
        <v>565</v>
      </c>
      <c r="AV32" s="114" t="str">
        <f t="shared" ca="1" si="2"/>
        <v>ERR</v>
      </c>
      <c r="AW32" s="112" t="str">
        <f t="shared" ca="1" si="3"/>
        <v>Россия</v>
      </c>
      <c r="AX32" s="117">
        <f t="shared" si="4"/>
        <v>0.1</v>
      </c>
      <c r="AY32" s="112">
        <f t="shared" si="5"/>
        <v>0.15000000000000002</v>
      </c>
      <c r="AZ32" s="112">
        <f t="shared" si="6"/>
        <v>0.60000000000000009</v>
      </c>
      <c r="BA32" s="112">
        <f t="shared" si="7"/>
        <v>0.90000000000000013</v>
      </c>
      <c r="BB32" s="118">
        <v>1000</v>
      </c>
      <c r="BC32" s="146">
        <f t="shared" si="8"/>
        <v>6000</v>
      </c>
      <c r="BD32" s="105">
        <f>IF(A32&lt;&gt;"",IF(_xlfn.XLOOKUP(A32,'1C'!A:A,'1C'!A:A,0,0)&gt;0,1,0),"")</f>
        <v>0</v>
      </c>
      <c r="BE32" s="105">
        <f>IF(C32&lt;&gt;"",IF(_xlfn.XLOOKUP(TEXT(C32,"###"),'1C'!W:W,'1C'!D:D,0,0)&gt;0,0,1),"")</f>
        <v>1</v>
      </c>
      <c r="BF32" s="109" t="str">
        <f t="shared" si="9"/>
        <v>-</v>
      </c>
    </row>
    <row r="33" spans="1:58" ht="98.1" customHeight="1">
      <c r="A33" s="112" t="str">
        <f t="shared" si="0"/>
        <v>Р71 Fancy(s)синий</v>
      </c>
      <c r="B33" s="10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87-031-06</v>
      </c>
      <c r="C33" s="121" t="s">
        <v>2179</v>
      </c>
      <c r="E33" s="112" t="str">
        <f>IF(F33&lt;&gt;"",IFERROR(VLOOKUP(F33,Категории!A:B,2,0),""),"Требуется категория")</f>
        <v>Кепки</v>
      </c>
      <c r="F33" s="106" t="s">
        <v>324</v>
      </c>
      <c r="G33" s="136" t="s">
        <v>2160</v>
      </c>
      <c r="H33" s="112" t="s">
        <v>388</v>
      </c>
      <c r="J33" s="114" t="s">
        <v>2160</v>
      </c>
      <c r="K33" s="120" t="s">
        <v>71</v>
      </c>
      <c r="L33" s="149" t="s">
        <v>71</v>
      </c>
      <c r="M33" s="136"/>
      <c r="N33" s="136"/>
      <c r="O33" s="136"/>
      <c r="P33" s="136"/>
      <c r="Q33" s="137" t="s">
        <v>2187</v>
      </c>
      <c r="R33" s="136"/>
      <c r="S33" s="136"/>
      <c r="T33" s="107"/>
      <c r="U33" s="107" t="s">
        <v>382</v>
      </c>
      <c r="V33" s="107"/>
      <c r="Y33" s="107"/>
      <c r="AA33" s="107">
        <v>1</v>
      </c>
      <c r="AB33" s="106">
        <v>2</v>
      </c>
      <c r="AC33" s="107">
        <v>3</v>
      </c>
      <c r="AD33" s="106">
        <v>2</v>
      </c>
      <c r="AE33" s="107">
        <v>1</v>
      </c>
      <c r="AF33" s="106">
        <v>0</v>
      </c>
      <c r="AG33" s="107"/>
      <c r="AT33" s="114">
        <f t="shared" si="1"/>
        <v>9</v>
      </c>
      <c r="AU33" s="131" t="s">
        <v>565</v>
      </c>
      <c r="AV33" s="114" t="str">
        <f t="shared" ca="1" si="2"/>
        <v>ERR</v>
      </c>
      <c r="AW33" s="112" t="str">
        <f t="shared" ca="1" si="3"/>
        <v>Россия</v>
      </c>
      <c r="AX33" s="117">
        <f t="shared" si="4"/>
        <v>0.1</v>
      </c>
      <c r="AY33" s="112">
        <f t="shared" si="5"/>
        <v>0.15000000000000002</v>
      </c>
      <c r="AZ33" s="112">
        <f t="shared" si="6"/>
        <v>0.9</v>
      </c>
      <c r="BA33" s="112">
        <f t="shared" si="7"/>
        <v>1.35</v>
      </c>
      <c r="BB33" s="118">
        <v>1500</v>
      </c>
      <c r="BC33" s="146">
        <f t="shared" si="8"/>
        <v>13500</v>
      </c>
      <c r="BD33" s="105">
        <f>IF(A33&lt;&gt;"",IF(_xlfn.XLOOKUP(A33,'1C'!A:A,'1C'!A:A,0,0)&gt;0,1,0),"")</f>
        <v>0</v>
      </c>
      <c r="BE33" s="105">
        <f>IF(C33&lt;&gt;"",IF(_xlfn.XLOOKUP(TEXT(C33,"###"),'1C'!W:W,'1C'!D:D,0,0)&gt;0,0,1),"")</f>
        <v>1</v>
      </c>
      <c r="BF33" s="109" t="str">
        <f t="shared" si="9"/>
        <v>-</v>
      </c>
    </row>
    <row r="34" spans="1:58" ht="98.1" customHeight="1">
      <c r="A34" s="112" t="str">
        <f t="shared" si="0"/>
        <v>Р71 Nervi серсерый</v>
      </c>
      <c r="B34" s="10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87-032-80</v>
      </c>
      <c r="C34" s="121" t="s">
        <v>2205</v>
      </c>
      <c r="E34" s="112" t="str">
        <f>IF(F34&lt;&gt;"",IFERROR(VLOOKUP(F34,Категории!A:B,2,0),""),"Требуется категория")</f>
        <v>Кепки</v>
      </c>
      <c r="F34" s="106" t="s">
        <v>324</v>
      </c>
      <c r="G34" s="136" t="s">
        <v>2160</v>
      </c>
      <c r="H34" s="112" t="s">
        <v>388</v>
      </c>
      <c r="J34" s="114" t="s">
        <v>2160</v>
      </c>
      <c r="K34" s="120" t="s">
        <v>83</v>
      </c>
      <c r="L34" s="149" t="s">
        <v>83</v>
      </c>
      <c r="M34" s="136"/>
      <c r="N34" s="136"/>
      <c r="O34" s="136"/>
      <c r="P34" s="136"/>
      <c r="Q34" s="137" t="s">
        <v>2199</v>
      </c>
      <c r="R34" s="136"/>
      <c r="S34" s="136"/>
      <c r="T34" s="107"/>
      <c r="U34" s="107" t="s">
        <v>382</v>
      </c>
      <c r="V34" s="107"/>
      <c r="Y34" s="107"/>
      <c r="AA34" s="107">
        <v>1</v>
      </c>
      <c r="AB34" s="106">
        <v>2</v>
      </c>
      <c r="AC34" s="107">
        <v>3</v>
      </c>
      <c r="AD34" s="106">
        <v>3</v>
      </c>
      <c r="AE34" s="107">
        <v>2</v>
      </c>
      <c r="AG34" s="107"/>
      <c r="AT34" s="114">
        <f t="shared" si="1"/>
        <v>11</v>
      </c>
      <c r="AU34" s="131" t="s">
        <v>565</v>
      </c>
      <c r="AV34" s="114" t="str">
        <f t="shared" ca="1" si="2"/>
        <v>ERR</v>
      </c>
      <c r="AW34" s="112" t="str">
        <f t="shared" ca="1" si="3"/>
        <v>Россия</v>
      </c>
      <c r="AX34" s="117">
        <f t="shared" si="4"/>
        <v>0.1</v>
      </c>
      <c r="AY34" s="112">
        <f t="shared" si="5"/>
        <v>0.15000000000000002</v>
      </c>
      <c r="AZ34" s="112">
        <f t="shared" si="6"/>
        <v>1.1000000000000001</v>
      </c>
      <c r="BA34" s="112">
        <f t="shared" si="7"/>
        <v>1.6500000000000004</v>
      </c>
      <c r="BB34" s="118">
        <v>900</v>
      </c>
      <c r="BC34" s="146">
        <f t="shared" si="8"/>
        <v>9900</v>
      </c>
      <c r="BD34" s="105">
        <f>IF(A34&lt;&gt;"",IF(_xlfn.XLOOKUP(A34,'1C'!A:A,'1C'!A:A,0,0)&gt;0,1,0),"")</f>
        <v>0</v>
      </c>
      <c r="BE34" s="105">
        <f>IF(C34&lt;&gt;"",IF(_xlfn.XLOOKUP(TEXT(C34,"###"),'1C'!W:W,'1C'!D:D,0,0)&gt;0,0,1),"")</f>
        <v>1</v>
      </c>
      <c r="BF34" s="109" t="str">
        <f t="shared" si="9"/>
        <v>-</v>
      </c>
    </row>
    <row r="35" spans="1:58" ht="98.1" customHeight="1">
      <c r="A35" s="112" t="str">
        <f t="shared" si="0"/>
        <v>Р81 Cavaleseсиний</v>
      </c>
      <c r="B35" s="10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87-033-06</v>
      </c>
      <c r="C35" s="121" t="s">
        <v>2180</v>
      </c>
      <c r="E35" s="112" t="str">
        <f>IF(F35&lt;&gt;"",IFERROR(VLOOKUP(F35,Категории!A:B,2,0),""),"Требуется категория")</f>
        <v>Кепки</v>
      </c>
      <c r="F35" s="106" t="s">
        <v>324</v>
      </c>
      <c r="G35" s="136" t="s">
        <v>2160</v>
      </c>
      <c r="H35" s="112" t="s">
        <v>388</v>
      </c>
      <c r="J35" s="114" t="s">
        <v>2160</v>
      </c>
      <c r="K35" s="120" t="s">
        <v>71</v>
      </c>
      <c r="L35" s="149" t="s">
        <v>71</v>
      </c>
      <c r="M35" s="136"/>
      <c r="N35" s="136"/>
      <c r="O35" s="136"/>
      <c r="P35" s="136"/>
      <c r="Q35" s="137" t="s">
        <v>2186</v>
      </c>
      <c r="R35" s="136"/>
      <c r="S35" s="136" t="s">
        <v>44</v>
      </c>
      <c r="T35" s="107"/>
      <c r="U35" s="107" t="s">
        <v>382</v>
      </c>
      <c r="V35" s="107"/>
      <c r="Y35" s="107"/>
      <c r="AA35" s="107">
        <v>1</v>
      </c>
      <c r="AB35" s="106">
        <v>2</v>
      </c>
      <c r="AC35" s="107">
        <v>3</v>
      </c>
      <c r="AD35" s="106">
        <v>3</v>
      </c>
      <c r="AE35" s="107">
        <v>2</v>
      </c>
      <c r="AG35" s="107"/>
      <c r="AT35" s="114">
        <f t="shared" si="1"/>
        <v>11</v>
      </c>
      <c r="AU35" s="131" t="s">
        <v>565</v>
      </c>
      <c r="AV35" s="114" t="str">
        <f t="shared" ca="1" si="2"/>
        <v>ERR</v>
      </c>
      <c r="AW35" s="112" t="str">
        <f t="shared" ca="1" si="3"/>
        <v>Россия</v>
      </c>
      <c r="AX35" s="117">
        <f t="shared" si="4"/>
        <v>0.1</v>
      </c>
      <c r="AY35" s="112">
        <f t="shared" si="5"/>
        <v>0.15000000000000002</v>
      </c>
      <c r="AZ35" s="112">
        <f t="shared" si="6"/>
        <v>1.1000000000000001</v>
      </c>
      <c r="BA35" s="112">
        <f t="shared" si="7"/>
        <v>1.6500000000000004</v>
      </c>
      <c r="BB35" s="118">
        <v>1000</v>
      </c>
      <c r="BC35" s="146">
        <f t="shared" si="8"/>
        <v>11000</v>
      </c>
      <c r="BD35" s="105">
        <f>IF(A35&lt;&gt;"",IF(_xlfn.XLOOKUP(A35,'1C'!A:A,'1C'!A:A,0,0)&gt;0,1,0),"")</f>
        <v>0</v>
      </c>
      <c r="BE35" s="105">
        <f>IF(C35&lt;&gt;"",IF(_xlfn.XLOOKUP(TEXT(C35,"###"),'1C'!W:W,'1C'!D:D,0,0)&gt;0,0,1),"")</f>
        <v>1</v>
      </c>
      <c r="BF35" s="109" t="str">
        <f t="shared" si="9"/>
        <v>-</v>
      </c>
    </row>
    <row r="36" spans="1:58" ht="98.1" customHeight="1">
      <c r="A36" s="112" t="str">
        <f t="shared" si="0"/>
        <v>Р81 Shetland(g)голубой</v>
      </c>
      <c r="B36" s="10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87-034-19</v>
      </c>
      <c r="C36" s="121" t="s">
        <v>2181</v>
      </c>
      <c r="E36" s="112" t="str">
        <f>IF(F36&lt;&gt;"",IFERROR(VLOOKUP(F36,Категории!A:B,2,0),""),"Требуется категория")</f>
        <v>Кепки</v>
      </c>
      <c r="F36" s="106" t="s">
        <v>324</v>
      </c>
      <c r="G36" s="136" t="s">
        <v>2160</v>
      </c>
      <c r="H36" s="112" t="s">
        <v>388</v>
      </c>
      <c r="J36" s="114" t="s">
        <v>2160</v>
      </c>
      <c r="K36" s="120" t="s">
        <v>91</v>
      </c>
      <c r="L36" s="149" t="s">
        <v>91</v>
      </c>
      <c r="M36" s="136"/>
      <c r="N36" s="136"/>
      <c r="O36" s="136"/>
      <c r="P36" s="136"/>
      <c r="Q36" s="137" t="s">
        <v>2189</v>
      </c>
      <c r="R36" s="136"/>
      <c r="S36" s="136" t="s">
        <v>44</v>
      </c>
      <c r="T36" s="107"/>
      <c r="U36" s="107" t="s">
        <v>382</v>
      </c>
      <c r="V36" s="107"/>
      <c r="Y36" s="107"/>
      <c r="AA36" s="107">
        <v>1</v>
      </c>
      <c r="AB36" s="106">
        <v>2</v>
      </c>
      <c r="AC36" s="107">
        <v>3</v>
      </c>
      <c r="AD36" s="106">
        <v>1</v>
      </c>
      <c r="AE36" s="107">
        <v>2</v>
      </c>
      <c r="AG36" s="107"/>
      <c r="AT36" s="116">
        <f t="shared" si="1"/>
        <v>9</v>
      </c>
      <c r="AU36" s="131" t="s">
        <v>565</v>
      </c>
      <c r="AV36" s="114" t="str">
        <f t="shared" ca="1" si="2"/>
        <v>ERR</v>
      </c>
      <c r="AW36" s="112" t="str">
        <f t="shared" ca="1" si="3"/>
        <v>Россия</v>
      </c>
      <c r="AX36" s="117">
        <f t="shared" si="4"/>
        <v>0.1</v>
      </c>
      <c r="AY36" s="112">
        <f t="shared" si="5"/>
        <v>0.15000000000000002</v>
      </c>
      <c r="AZ36" s="112">
        <f t="shared" si="6"/>
        <v>0.9</v>
      </c>
      <c r="BA36" s="112">
        <f t="shared" si="7"/>
        <v>1.35</v>
      </c>
      <c r="BB36" s="118">
        <v>1500</v>
      </c>
      <c r="BC36" s="146">
        <f t="shared" si="8"/>
        <v>13500</v>
      </c>
      <c r="BD36" s="105">
        <f>IF(A36&lt;&gt;"",IF(_xlfn.XLOOKUP(A36,'1C'!A:A,'1C'!A:A,0,0)&gt;0,1,0),"")</f>
        <v>0</v>
      </c>
      <c r="BE36" s="105">
        <f>IF(C36&lt;&gt;"",IF(_xlfn.XLOOKUP(TEXT(C36,"###"),'1C'!W:W,'1C'!D:D,0,0)&gt;0,0,1),"")</f>
        <v>1</v>
      </c>
      <c r="BF36" s="109" t="str">
        <f t="shared" si="9"/>
        <v>-</v>
      </c>
    </row>
    <row r="37" spans="1:58" ht="98.1" customHeight="1">
      <c r="C37" s="121" t="s">
        <v>47</v>
      </c>
      <c r="G37" s="114"/>
      <c r="M37" s="136"/>
      <c r="N37" s="136"/>
      <c r="O37" s="136"/>
      <c r="P37" s="136"/>
      <c r="Q37" s="137"/>
      <c r="R37" s="136"/>
      <c r="S37" s="136"/>
      <c r="T37" s="107"/>
      <c r="U37" s="107"/>
      <c r="V37" s="107"/>
      <c r="Y37" s="107"/>
      <c r="AA37" s="107"/>
      <c r="AC37" s="107"/>
      <c r="AE37" s="107"/>
      <c r="AG37" s="107"/>
      <c r="AU37" s="131"/>
      <c r="AV37" s="114"/>
      <c r="BE37" s="108"/>
      <c r="BF37" s="109"/>
    </row>
    <row r="38" spans="1:58" ht="98.1" customHeight="1">
      <c r="C38" s="121"/>
      <c r="G38" s="114"/>
      <c r="M38" s="136"/>
      <c r="N38" s="136"/>
      <c r="O38" s="136"/>
      <c r="P38" s="136"/>
      <c r="Q38" s="137"/>
      <c r="R38" s="136"/>
      <c r="S38" s="136"/>
      <c r="T38" s="107"/>
      <c r="U38" s="107"/>
      <c r="V38" s="107"/>
      <c r="Y38" s="107"/>
      <c r="AA38" s="107"/>
      <c r="AC38" s="107"/>
      <c r="AE38" s="107"/>
      <c r="AG38" s="107"/>
      <c r="AU38" s="131"/>
      <c r="AV38" s="114"/>
      <c r="BE38" s="108"/>
      <c r="BF38" s="109"/>
    </row>
    <row r="39" spans="1:58" ht="98.1" customHeight="1">
      <c r="C39" s="121"/>
      <c r="G39" s="114"/>
      <c r="M39" s="136"/>
      <c r="N39" s="136"/>
      <c r="O39" s="136"/>
      <c r="P39" s="136"/>
      <c r="Q39" s="137"/>
      <c r="R39" s="136"/>
      <c r="S39" s="136"/>
      <c r="T39" s="107"/>
      <c r="U39" s="107"/>
      <c r="V39" s="107"/>
      <c r="Y39" s="107"/>
      <c r="AA39" s="107"/>
      <c r="AC39" s="107"/>
      <c r="AE39" s="107"/>
      <c r="AG39" s="107"/>
      <c r="AU39" s="131"/>
      <c r="AV39" s="114"/>
      <c r="BE39" s="108"/>
      <c r="BF39" s="109"/>
    </row>
    <row r="40" spans="1:58" ht="98.1" customHeight="1">
      <c r="C40" s="121"/>
      <c r="G40" s="114"/>
      <c r="M40" s="136"/>
      <c r="N40" s="136"/>
      <c r="O40" s="136"/>
      <c r="P40" s="136"/>
      <c r="Q40" s="137"/>
      <c r="R40" s="136"/>
      <c r="S40" s="136"/>
      <c r="T40" s="107"/>
      <c r="U40" s="107"/>
      <c r="V40" s="107"/>
      <c r="Y40" s="107"/>
      <c r="AA40" s="107"/>
      <c r="AC40" s="107"/>
      <c r="AE40" s="107"/>
      <c r="AG40" s="107"/>
      <c r="AU40" s="131"/>
      <c r="AV40" s="114"/>
      <c r="BE40" s="108"/>
      <c r="BF40" s="109"/>
    </row>
    <row r="41" spans="1:58" ht="98.1" customHeight="1">
      <c r="C41" s="121"/>
      <c r="G41" s="114"/>
      <c r="L41" s="135"/>
      <c r="M41" s="136"/>
      <c r="N41" s="136"/>
      <c r="O41" s="136"/>
      <c r="P41" s="136"/>
      <c r="Q41" s="137"/>
      <c r="R41" s="136"/>
      <c r="S41" s="136"/>
      <c r="T41" s="107"/>
      <c r="U41" s="107"/>
      <c r="V41" s="107"/>
      <c r="Y41" s="107"/>
      <c r="AA41" s="107"/>
      <c r="AC41" s="107"/>
      <c r="AE41" s="107"/>
      <c r="AG41" s="107"/>
      <c r="AU41" s="131"/>
      <c r="AV41" s="114"/>
      <c r="BE41" s="108"/>
      <c r="BF41" s="109"/>
    </row>
    <row r="42" spans="1:58" ht="98.1" customHeight="1">
      <c r="C42" s="121"/>
      <c r="G42" s="114"/>
      <c r="M42" s="136"/>
      <c r="N42" s="136"/>
      <c r="O42" s="136"/>
      <c r="P42" s="136"/>
      <c r="Q42" s="137"/>
      <c r="R42" s="136"/>
      <c r="S42" s="136"/>
      <c r="T42" s="107"/>
      <c r="U42" s="107"/>
      <c r="V42" s="107"/>
      <c r="Y42" s="107"/>
      <c r="AA42" s="107"/>
      <c r="AC42" s="107"/>
      <c r="AE42" s="107"/>
      <c r="AG42" s="107"/>
      <c r="AU42" s="131"/>
      <c r="AV42" s="114"/>
      <c r="BE42" s="108"/>
      <c r="BF42" s="109"/>
    </row>
    <row r="43" spans="1:58" ht="98.1" customHeight="1">
      <c r="C43" s="121"/>
      <c r="G43" s="114"/>
      <c r="M43" s="136"/>
      <c r="N43" s="136"/>
      <c r="O43" s="136"/>
      <c r="P43" s="136"/>
      <c r="Q43" s="137"/>
      <c r="R43" s="136"/>
      <c r="S43" s="136"/>
      <c r="T43" s="107"/>
      <c r="U43" s="107"/>
      <c r="V43" s="107"/>
      <c r="Y43" s="107"/>
      <c r="AA43" s="107"/>
      <c r="AC43" s="107"/>
      <c r="AE43" s="107"/>
      <c r="AG43" s="107"/>
      <c r="AU43" s="131"/>
      <c r="AV43" s="114"/>
      <c r="BE43" s="108"/>
      <c r="BF43" s="109"/>
    </row>
    <row r="44" spans="1:58" ht="98.1" customHeight="1">
      <c r="C44" s="121"/>
      <c r="G44" s="114"/>
      <c r="L44" s="135"/>
      <c r="M44" s="136"/>
      <c r="N44" s="136"/>
      <c r="O44" s="136"/>
      <c r="P44" s="136"/>
      <c r="Q44" s="137"/>
      <c r="R44" s="136"/>
      <c r="S44" s="136"/>
      <c r="T44" s="107"/>
      <c r="U44" s="107"/>
      <c r="V44" s="107"/>
      <c r="Y44" s="107"/>
      <c r="AA44" s="107"/>
      <c r="AC44" s="107"/>
      <c r="AE44" s="107"/>
      <c r="AG44" s="107"/>
      <c r="AU44" s="131"/>
      <c r="AV44" s="114"/>
      <c r="BE44" s="108"/>
      <c r="BF44" s="109"/>
    </row>
    <row r="45" spans="1:58" ht="98.1" customHeight="1">
      <c r="C45" s="121"/>
      <c r="G45" s="114"/>
      <c r="M45" s="136"/>
      <c r="N45" s="136"/>
      <c r="O45" s="136"/>
      <c r="P45" s="136"/>
      <c r="Q45" s="137"/>
      <c r="R45" s="136"/>
      <c r="S45" s="136"/>
      <c r="T45" s="107"/>
      <c r="U45" s="107"/>
      <c r="V45" s="107"/>
      <c r="Y45" s="107"/>
      <c r="AA45" s="107"/>
      <c r="AC45" s="107"/>
      <c r="AE45" s="107"/>
      <c r="AG45" s="107"/>
      <c r="AU45" s="131"/>
      <c r="AV45" s="114"/>
      <c r="BE45" s="108"/>
      <c r="BF45" s="109"/>
    </row>
    <row r="46" spans="1:58" ht="98.1" customHeight="1">
      <c r="C46" s="121"/>
      <c r="G46" s="114"/>
      <c r="L46" s="135"/>
      <c r="M46" s="136"/>
      <c r="N46" s="136"/>
      <c r="O46" s="136"/>
      <c r="P46" s="136"/>
      <c r="Q46" s="137"/>
      <c r="R46" s="136"/>
      <c r="S46" s="136"/>
      <c r="T46" s="107"/>
      <c r="U46" s="107"/>
      <c r="V46" s="107"/>
      <c r="Y46" s="107"/>
      <c r="AA46" s="107"/>
      <c r="AC46" s="107"/>
      <c r="AE46" s="107"/>
      <c r="AG46" s="107"/>
      <c r="AU46" s="131"/>
      <c r="AV46" s="114"/>
      <c r="BE46" s="108"/>
      <c r="BF46" s="109"/>
    </row>
    <row r="47" spans="1:58" ht="98.1" customHeight="1">
      <c r="C47" s="121"/>
      <c r="G47" s="114"/>
      <c r="L47" s="135"/>
      <c r="M47" s="136"/>
      <c r="N47" s="136"/>
      <c r="O47" s="136"/>
      <c r="P47" s="136"/>
      <c r="Q47" s="137"/>
      <c r="R47" s="136"/>
      <c r="S47" s="136"/>
      <c r="T47" s="107"/>
      <c r="U47" s="107"/>
      <c r="V47" s="107"/>
      <c r="Y47" s="107"/>
      <c r="AA47" s="107"/>
      <c r="AC47" s="107"/>
      <c r="AE47" s="107"/>
      <c r="AG47" s="107"/>
      <c r="AU47" s="131"/>
      <c r="AV47" s="114"/>
      <c r="BE47" s="108"/>
      <c r="BF47" s="109"/>
    </row>
    <row r="48" spans="1:58" ht="98.1" customHeight="1">
      <c r="C48" s="121"/>
      <c r="G48" s="114"/>
      <c r="L48" s="135"/>
      <c r="M48" s="136"/>
      <c r="N48" s="136"/>
      <c r="O48" s="136"/>
      <c r="P48" s="136"/>
      <c r="Q48" s="137"/>
      <c r="R48" s="136"/>
      <c r="S48" s="136"/>
      <c r="T48" s="107"/>
      <c r="U48" s="107"/>
      <c r="V48" s="107"/>
      <c r="Y48" s="107"/>
      <c r="AA48" s="107"/>
      <c r="AC48" s="107"/>
      <c r="AE48" s="107"/>
      <c r="AG48" s="107"/>
      <c r="AU48" s="131"/>
      <c r="AV48" s="114"/>
      <c r="BE48" s="108"/>
      <c r="BF48" s="109"/>
    </row>
    <row r="49" spans="3:58" ht="98.1" customHeight="1">
      <c r="C49" s="121"/>
      <c r="G49" s="114"/>
      <c r="L49" s="135"/>
      <c r="M49" s="136"/>
      <c r="N49" s="136"/>
      <c r="O49" s="136"/>
      <c r="P49" s="136"/>
      <c r="Q49" s="137"/>
      <c r="R49" s="136"/>
      <c r="S49" s="136"/>
      <c r="T49" s="107"/>
      <c r="U49" s="107"/>
      <c r="V49" s="107"/>
      <c r="Y49" s="107"/>
      <c r="AA49" s="107"/>
      <c r="AC49" s="107"/>
      <c r="AE49" s="107"/>
      <c r="AG49" s="107"/>
      <c r="AU49" s="131"/>
      <c r="AV49" s="114"/>
      <c r="BE49" s="108"/>
      <c r="BF49" s="109"/>
    </row>
    <row r="50" spans="3:58" ht="98.1" customHeight="1">
      <c r="C50" s="121"/>
      <c r="G50" s="114"/>
      <c r="M50" s="136"/>
      <c r="N50" s="136"/>
      <c r="O50" s="136"/>
      <c r="P50" s="136"/>
      <c r="Q50" s="137"/>
      <c r="R50" s="136"/>
      <c r="S50" s="136"/>
      <c r="T50" s="107"/>
      <c r="U50" s="107"/>
      <c r="V50" s="107"/>
      <c r="Y50" s="107"/>
      <c r="AA50" s="107"/>
      <c r="AC50" s="107"/>
      <c r="AE50" s="107"/>
      <c r="AG50" s="107"/>
      <c r="AU50" s="131"/>
      <c r="AV50" s="114"/>
      <c r="BE50" s="108"/>
      <c r="BF50" s="109"/>
    </row>
    <row r="51" spans="3:58" ht="98.1" customHeight="1">
      <c r="C51" s="121"/>
      <c r="G51" s="114"/>
      <c r="M51" s="136"/>
      <c r="N51" s="136"/>
      <c r="O51" s="136"/>
      <c r="P51" s="136"/>
      <c r="Q51" s="137"/>
      <c r="R51" s="136"/>
      <c r="S51" s="136"/>
      <c r="T51" s="107"/>
      <c r="U51" s="107"/>
      <c r="V51" s="107"/>
      <c r="Y51" s="107"/>
      <c r="AA51" s="107"/>
      <c r="AC51" s="107"/>
      <c r="AE51" s="107"/>
      <c r="AG51" s="107"/>
      <c r="AU51" s="131"/>
      <c r="AV51" s="114"/>
      <c r="BE51" s="108"/>
      <c r="BF51" s="109"/>
    </row>
    <row r="52" spans="3:58" ht="98.1" customHeight="1">
      <c r="C52" s="121"/>
      <c r="G52" s="114"/>
      <c r="M52" s="136"/>
      <c r="N52" s="136"/>
      <c r="O52" s="136"/>
      <c r="P52" s="136"/>
      <c r="Q52" s="137"/>
      <c r="R52" s="136"/>
      <c r="S52" s="136"/>
      <c r="T52" s="107"/>
      <c r="U52" s="107"/>
      <c r="V52" s="107"/>
      <c r="Y52" s="107"/>
      <c r="AA52" s="107"/>
      <c r="AC52" s="107"/>
      <c r="AE52" s="107"/>
      <c r="AG52" s="107"/>
      <c r="AU52" s="131"/>
      <c r="AV52" s="114"/>
      <c r="BE52" s="108"/>
      <c r="BF52" s="109"/>
    </row>
    <row r="53" spans="3:58" ht="98.1" customHeight="1">
      <c r="C53" s="121"/>
      <c r="G53" s="114"/>
      <c r="M53" s="131"/>
      <c r="N53" s="136"/>
      <c r="O53" s="136"/>
      <c r="P53" s="136"/>
      <c r="Q53" s="137"/>
      <c r="R53" s="136"/>
      <c r="S53" s="136"/>
      <c r="T53" s="107"/>
      <c r="U53" s="107"/>
      <c r="V53" s="107"/>
      <c r="Y53" s="107"/>
      <c r="AA53" s="107"/>
      <c r="AC53" s="107"/>
      <c r="AE53" s="107"/>
      <c r="AG53" s="107"/>
      <c r="AU53" s="131"/>
      <c r="AV53" s="114"/>
      <c r="BE53" s="108"/>
      <c r="BF53" s="109"/>
    </row>
    <row r="54" spans="3:58" ht="98.1" customHeight="1">
      <c r="C54" s="121"/>
      <c r="G54" s="114"/>
      <c r="M54" s="131"/>
      <c r="N54" s="136"/>
      <c r="O54" s="136"/>
      <c r="P54" s="136"/>
      <c r="Q54" s="137"/>
      <c r="R54" s="136"/>
      <c r="S54" s="136"/>
      <c r="T54" s="107"/>
      <c r="U54" s="107"/>
      <c r="V54" s="107"/>
      <c r="Y54" s="107"/>
      <c r="AA54" s="107"/>
      <c r="AC54" s="107"/>
      <c r="AE54" s="107"/>
      <c r="AG54" s="107"/>
      <c r="AU54" s="131"/>
      <c r="AV54" s="114"/>
      <c r="BE54" s="108"/>
      <c r="BF54" s="109"/>
    </row>
    <row r="55" spans="3:58" ht="98.1" customHeight="1">
      <c r="C55" s="121"/>
      <c r="G55" s="114"/>
      <c r="L55" s="135"/>
      <c r="M55" s="131"/>
      <c r="N55" s="136"/>
      <c r="O55" s="136"/>
      <c r="P55" s="136"/>
      <c r="Q55" s="137"/>
      <c r="R55" s="136"/>
      <c r="S55" s="136"/>
      <c r="T55" s="107"/>
      <c r="U55" s="107"/>
      <c r="V55" s="107"/>
      <c r="Y55" s="107"/>
      <c r="AA55" s="107"/>
      <c r="AC55" s="107"/>
      <c r="AE55" s="107"/>
      <c r="AG55" s="107"/>
      <c r="AU55" s="131"/>
      <c r="AV55" s="114"/>
      <c r="BE55" s="108"/>
      <c r="BF55" s="109"/>
    </row>
    <row r="56" spans="3:58" ht="98.1" customHeight="1">
      <c r="C56" s="121"/>
      <c r="G56" s="114"/>
      <c r="L56" s="135"/>
      <c r="M56" s="131"/>
      <c r="N56" s="136"/>
      <c r="O56" s="136"/>
      <c r="P56" s="136"/>
      <c r="Q56" s="137"/>
      <c r="R56" s="136"/>
      <c r="S56" s="136"/>
      <c r="T56" s="107"/>
      <c r="U56" s="107"/>
      <c r="V56" s="107"/>
      <c r="Y56" s="107"/>
      <c r="AA56" s="107"/>
      <c r="AC56" s="107"/>
      <c r="AE56" s="107"/>
      <c r="AG56" s="107"/>
      <c r="AU56" s="131"/>
      <c r="AV56" s="114"/>
      <c r="BE56" s="108"/>
      <c r="BF56" s="109"/>
    </row>
    <row r="57" spans="3:58" ht="98.1" customHeight="1">
      <c r="C57" s="121"/>
      <c r="G57" s="114"/>
      <c r="L57" s="135"/>
      <c r="M57" s="131"/>
      <c r="N57" s="136"/>
      <c r="O57" s="136"/>
      <c r="P57" s="136"/>
      <c r="Q57" s="137"/>
      <c r="R57" s="136"/>
      <c r="S57" s="136"/>
      <c r="T57" s="107"/>
      <c r="U57" s="107"/>
      <c r="V57" s="107"/>
      <c r="Y57" s="107"/>
      <c r="AA57" s="107"/>
      <c r="AC57" s="107"/>
      <c r="AE57" s="107"/>
      <c r="AG57" s="107"/>
      <c r="AU57" s="131"/>
      <c r="AV57" s="114"/>
      <c r="BE57" s="108"/>
      <c r="BF57" s="109"/>
    </row>
    <row r="58" spans="3:58" ht="98.1" customHeight="1">
      <c r="C58" s="121"/>
      <c r="G58" s="114"/>
      <c r="L58" s="135"/>
      <c r="M58" s="131"/>
      <c r="N58" s="136"/>
      <c r="O58" s="136"/>
      <c r="P58" s="136"/>
      <c r="Q58" s="137"/>
      <c r="R58" s="136"/>
      <c r="S58" s="136"/>
      <c r="T58" s="107"/>
      <c r="U58" s="107"/>
      <c r="V58" s="107"/>
      <c r="Y58" s="107"/>
      <c r="AA58" s="107"/>
      <c r="AC58" s="107"/>
      <c r="AE58" s="107"/>
      <c r="AG58" s="107"/>
      <c r="AU58" s="131"/>
      <c r="AV58" s="114"/>
      <c r="BE58" s="108"/>
      <c r="BF58" s="109"/>
    </row>
    <row r="59" spans="3:58" ht="98.1" customHeight="1">
      <c r="C59" s="121"/>
      <c r="G59" s="114"/>
      <c r="L59" s="135"/>
      <c r="M59" s="131"/>
      <c r="N59" s="136"/>
      <c r="O59" s="136"/>
      <c r="P59" s="136"/>
      <c r="Q59" s="137"/>
      <c r="R59" s="136"/>
      <c r="S59" s="136"/>
      <c r="T59" s="107"/>
      <c r="U59" s="107"/>
      <c r="V59" s="107"/>
      <c r="Y59" s="107"/>
      <c r="AA59" s="107"/>
      <c r="AC59" s="107"/>
      <c r="AE59" s="107"/>
      <c r="AG59" s="107"/>
      <c r="AU59" s="131"/>
      <c r="AV59" s="114"/>
      <c r="BE59" s="108"/>
      <c r="BF59" s="109"/>
    </row>
    <row r="60" spans="3:58" ht="98.1" customHeight="1">
      <c r="C60" s="121"/>
      <c r="G60" s="114"/>
      <c r="M60" s="131"/>
      <c r="N60" s="136"/>
      <c r="O60" s="136"/>
      <c r="P60" s="136"/>
      <c r="Q60" s="137"/>
      <c r="R60" s="136"/>
      <c r="S60" s="136"/>
      <c r="T60" s="107"/>
      <c r="U60" s="107"/>
      <c r="V60" s="107"/>
      <c r="Y60" s="107"/>
      <c r="AA60" s="107"/>
      <c r="AC60" s="107"/>
      <c r="AE60" s="107"/>
      <c r="AG60" s="107"/>
      <c r="AU60" s="131"/>
      <c r="AV60" s="114"/>
      <c r="BE60" s="108"/>
      <c r="BF60" s="109"/>
    </row>
    <row r="61" spans="3:58" ht="98.1" customHeight="1">
      <c r="C61" s="121"/>
      <c r="G61" s="114"/>
      <c r="M61" s="131"/>
      <c r="N61" s="136"/>
      <c r="O61" s="136"/>
      <c r="P61" s="136"/>
      <c r="Q61" s="137"/>
      <c r="R61" s="136"/>
      <c r="S61" s="136"/>
      <c r="T61" s="107"/>
      <c r="U61" s="107"/>
      <c r="V61" s="107"/>
      <c r="Y61" s="107"/>
      <c r="AA61" s="107"/>
      <c r="AC61" s="107"/>
      <c r="AE61" s="107"/>
      <c r="AG61" s="107"/>
      <c r="AU61" s="131"/>
      <c r="AV61" s="114"/>
      <c r="BE61" s="108"/>
      <c r="BF61" s="109"/>
    </row>
    <row r="62" spans="3:58" ht="98.1" customHeight="1">
      <c r="C62" s="121"/>
      <c r="G62" s="114"/>
      <c r="M62" s="131"/>
      <c r="N62" s="136"/>
      <c r="O62" s="136"/>
      <c r="P62" s="136"/>
      <c r="Q62" s="137"/>
      <c r="R62" s="136"/>
      <c r="S62" s="136"/>
      <c r="T62" s="107"/>
      <c r="U62" s="107"/>
      <c r="V62" s="107"/>
      <c r="Y62" s="107"/>
      <c r="AA62" s="107"/>
      <c r="AC62" s="107"/>
      <c r="AE62" s="107"/>
      <c r="AG62" s="107"/>
      <c r="AU62" s="131"/>
      <c r="AV62" s="114"/>
      <c r="BE62" s="108"/>
      <c r="BF62" s="109"/>
    </row>
    <row r="63" spans="3:58" ht="98.1" customHeight="1">
      <c r="C63" s="121"/>
      <c r="G63" s="114"/>
      <c r="M63" s="131"/>
      <c r="N63" s="136"/>
      <c r="O63" s="136"/>
      <c r="P63" s="136"/>
      <c r="Q63" s="137"/>
      <c r="R63" s="136"/>
      <c r="S63" s="136"/>
      <c r="T63" s="107"/>
      <c r="U63" s="107"/>
      <c r="V63" s="107"/>
      <c r="Y63" s="107"/>
      <c r="AA63" s="107"/>
      <c r="AC63" s="107"/>
      <c r="AE63" s="107"/>
      <c r="AG63" s="107"/>
      <c r="AU63" s="131"/>
      <c r="AV63" s="114"/>
      <c r="BE63" s="108"/>
      <c r="BF63" s="109"/>
    </row>
    <row r="64" spans="3:58" ht="98.1" customHeight="1">
      <c r="C64" s="121"/>
      <c r="G64" s="114"/>
      <c r="M64" s="131"/>
      <c r="N64" s="136"/>
      <c r="O64" s="136"/>
      <c r="P64" s="136"/>
      <c r="Q64" s="137"/>
      <c r="R64" s="136"/>
      <c r="S64" s="136"/>
      <c r="T64" s="107"/>
      <c r="U64" s="107"/>
      <c r="V64" s="107"/>
      <c r="Y64" s="107"/>
      <c r="AA64" s="107"/>
      <c r="AC64" s="107"/>
      <c r="AE64" s="107"/>
      <c r="AG64" s="107"/>
      <c r="AU64" s="131"/>
      <c r="AV64" s="114"/>
      <c r="BE64" s="108"/>
      <c r="BF64" s="109"/>
    </row>
    <row r="65" spans="3:58" ht="98.1" customHeight="1">
      <c r="C65" s="121"/>
      <c r="G65" s="114"/>
      <c r="L65" s="135"/>
      <c r="M65" s="131"/>
      <c r="N65" s="136"/>
      <c r="O65" s="136"/>
      <c r="P65" s="136"/>
      <c r="Q65" s="137"/>
      <c r="R65" s="136"/>
      <c r="S65" s="136"/>
      <c r="T65" s="107"/>
      <c r="U65" s="107"/>
      <c r="V65" s="107"/>
      <c r="Y65" s="107"/>
      <c r="AA65" s="107"/>
      <c r="AC65" s="107"/>
      <c r="AE65" s="107"/>
      <c r="AG65" s="107"/>
      <c r="AU65" s="131"/>
      <c r="AV65" s="114"/>
      <c r="BE65" s="108"/>
      <c r="BF65" s="109"/>
    </row>
    <row r="66" spans="3:58" ht="98.1" customHeight="1">
      <c r="C66" s="121"/>
      <c r="G66" s="114"/>
      <c r="L66" s="135"/>
      <c r="M66" s="131"/>
      <c r="N66" s="136"/>
      <c r="O66" s="136"/>
      <c r="P66" s="136"/>
      <c r="Q66" s="137"/>
      <c r="R66" s="136"/>
      <c r="S66" s="136"/>
      <c r="T66" s="107"/>
      <c r="U66" s="107"/>
      <c r="V66" s="107"/>
      <c r="Y66" s="107"/>
      <c r="AA66" s="107"/>
      <c r="AC66" s="107"/>
      <c r="AE66" s="107"/>
      <c r="AG66" s="107"/>
      <c r="AU66" s="131"/>
      <c r="AV66" s="114"/>
      <c r="BE66" s="108"/>
      <c r="BF66" s="109"/>
    </row>
    <row r="67" spans="3:58" ht="98.1" customHeight="1">
      <c r="C67" s="121"/>
      <c r="G67" s="114"/>
      <c r="L67" s="135"/>
      <c r="M67" s="131"/>
      <c r="N67" s="136"/>
      <c r="O67" s="136"/>
      <c r="P67" s="136"/>
      <c r="Q67" s="137"/>
      <c r="R67" s="136"/>
      <c r="S67" s="136"/>
      <c r="T67" s="107"/>
      <c r="U67" s="107"/>
      <c r="V67" s="107"/>
      <c r="Y67" s="107"/>
      <c r="AA67" s="107"/>
      <c r="AC67" s="107"/>
      <c r="AE67" s="107"/>
      <c r="AG67" s="107"/>
      <c r="AU67" s="131"/>
      <c r="AV67" s="114"/>
      <c r="BE67" s="108"/>
      <c r="BF67" s="109"/>
    </row>
    <row r="68" spans="3:58" ht="98.1" customHeight="1">
      <c r="C68" s="121"/>
      <c r="G68" s="114"/>
      <c r="L68" s="135"/>
      <c r="M68" s="131"/>
      <c r="N68" s="136"/>
      <c r="O68" s="136"/>
      <c r="P68" s="136"/>
      <c r="Q68" s="137"/>
      <c r="R68" s="136"/>
      <c r="S68" s="136"/>
      <c r="T68" s="107"/>
      <c r="U68" s="107"/>
      <c r="V68" s="107"/>
      <c r="Y68" s="107"/>
      <c r="AA68" s="107"/>
      <c r="AC68" s="107"/>
      <c r="AE68" s="107"/>
      <c r="AG68" s="107"/>
      <c r="AU68" s="131"/>
      <c r="AV68" s="114"/>
      <c r="BE68" s="108"/>
      <c r="BF68" s="109"/>
    </row>
    <row r="69" spans="3:58" ht="98.1" customHeight="1">
      <c r="C69" s="121"/>
      <c r="G69" s="114"/>
      <c r="L69" s="135"/>
      <c r="M69" s="131"/>
      <c r="N69" s="136"/>
      <c r="O69" s="136"/>
      <c r="P69" s="136"/>
      <c r="Q69" s="137"/>
      <c r="R69" s="136"/>
      <c r="S69" s="136"/>
      <c r="T69" s="107"/>
      <c r="U69" s="107"/>
      <c r="V69" s="107"/>
      <c r="Y69" s="107"/>
      <c r="AA69" s="107"/>
      <c r="AC69" s="107"/>
      <c r="AE69" s="107"/>
      <c r="AG69" s="107"/>
      <c r="AU69" s="131"/>
      <c r="AV69" s="114"/>
      <c r="BE69" s="108"/>
      <c r="BF69" s="109"/>
    </row>
    <row r="70" spans="3:58" ht="98.1" customHeight="1">
      <c r="C70" s="121"/>
      <c r="G70" s="114"/>
      <c r="L70" s="135"/>
      <c r="M70" s="131"/>
      <c r="N70" s="136"/>
      <c r="O70" s="136"/>
      <c r="P70" s="136"/>
      <c r="Q70" s="137"/>
      <c r="R70" s="136"/>
      <c r="S70" s="136"/>
      <c r="T70" s="107"/>
      <c r="U70" s="107"/>
      <c r="V70" s="107"/>
      <c r="Y70" s="107"/>
      <c r="AA70" s="107"/>
      <c r="AC70" s="107"/>
      <c r="AE70" s="107"/>
      <c r="AG70" s="107"/>
      <c r="AU70" s="131"/>
      <c r="AV70" s="114"/>
      <c r="BE70" s="108"/>
      <c r="BF70" s="109"/>
    </row>
    <row r="71" spans="3:58" ht="98.1" customHeight="1">
      <c r="C71" s="121"/>
      <c r="G71" s="114"/>
      <c r="L71" s="135"/>
      <c r="M71" s="131"/>
      <c r="N71" s="136"/>
      <c r="O71" s="136"/>
      <c r="P71" s="136"/>
      <c r="Q71" s="137"/>
      <c r="R71" s="136"/>
      <c r="S71" s="136"/>
      <c r="T71" s="107"/>
      <c r="U71" s="107"/>
      <c r="V71" s="107"/>
      <c r="Y71" s="107"/>
      <c r="AA71" s="107"/>
      <c r="AC71" s="107"/>
      <c r="AE71" s="107"/>
      <c r="AG71" s="107"/>
      <c r="AU71" s="131"/>
      <c r="AV71" s="114"/>
      <c r="BE71" s="108"/>
      <c r="BF71" s="109"/>
    </row>
    <row r="72" spans="3:58" ht="98.1" customHeight="1">
      <c r="C72" s="121"/>
      <c r="G72" s="114"/>
      <c r="M72" s="131"/>
      <c r="N72" s="136"/>
      <c r="O72" s="136"/>
      <c r="P72" s="136"/>
      <c r="Q72" s="137"/>
      <c r="R72" s="136"/>
      <c r="S72" s="136"/>
      <c r="T72" s="107"/>
      <c r="U72" s="107"/>
      <c r="V72" s="107"/>
      <c r="Y72" s="107"/>
      <c r="AA72" s="107"/>
      <c r="AC72" s="107"/>
      <c r="AE72" s="107"/>
      <c r="AG72" s="107"/>
      <c r="AU72" s="131"/>
      <c r="AV72" s="114"/>
      <c r="BE72" s="108"/>
      <c r="BF72" s="109"/>
    </row>
    <row r="73" spans="3:58" ht="98.1" customHeight="1">
      <c r="C73" s="121"/>
      <c r="G73" s="114"/>
      <c r="M73" s="131"/>
      <c r="N73" s="136"/>
      <c r="O73" s="136"/>
      <c r="P73" s="136"/>
      <c r="Q73" s="137"/>
      <c r="R73" s="136"/>
      <c r="S73" s="136"/>
      <c r="T73" s="107"/>
      <c r="U73" s="107"/>
      <c r="V73" s="107"/>
      <c r="Y73" s="107"/>
      <c r="AA73" s="107"/>
      <c r="AC73" s="107"/>
      <c r="AE73" s="107"/>
      <c r="AG73" s="107"/>
      <c r="AU73" s="131"/>
      <c r="AV73" s="114"/>
      <c r="BE73" s="108"/>
      <c r="BF73" s="109"/>
    </row>
    <row r="74" spans="3:58" ht="98.1" customHeight="1">
      <c r="C74" s="121"/>
      <c r="G74" s="114"/>
      <c r="M74" s="131"/>
      <c r="N74" s="136"/>
      <c r="O74" s="136"/>
      <c r="P74" s="136"/>
      <c r="Q74" s="137"/>
      <c r="R74" s="136"/>
      <c r="S74" s="136"/>
      <c r="T74" s="107"/>
      <c r="U74" s="107"/>
      <c r="V74" s="107"/>
      <c r="Y74" s="107"/>
      <c r="AA74" s="107"/>
      <c r="AC74" s="107"/>
      <c r="AE74" s="107"/>
      <c r="AG74" s="107"/>
      <c r="AU74" s="131"/>
      <c r="AV74" s="114"/>
      <c r="BE74" s="108"/>
      <c r="BF74" s="109"/>
    </row>
    <row r="75" spans="3:58" ht="98.1" customHeight="1">
      <c r="C75" s="121"/>
      <c r="G75" s="114"/>
      <c r="M75" s="131"/>
      <c r="N75" s="136"/>
      <c r="O75" s="136"/>
      <c r="P75" s="136"/>
      <c r="Q75" s="137"/>
      <c r="R75" s="136"/>
      <c r="S75" s="136"/>
      <c r="T75" s="107"/>
      <c r="U75" s="107"/>
      <c r="V75" s="107"/>
      <c r="Y75" s="107"/>
      <c r="AA75" s="107"/>
      <c r="AC75" s="107"/>
      <c r="AE75" s="107"/>
      <c r="AG75" s="107"/>
      <c r="AU75" s="131"/>
      <c r="AV75" s="114"/>
      <c r="BE75" s="108"/>
      <c r="BF75" s="109"/>
    </row>
    <row r="76" spans="3:58" ht="98.1" customHeight="1">
      <c r="C76" s="121"/>
      <c r="G76" s="114"/>
      <c r="M76" s="131"/>
      <c r="N76" s="136"/>
      <c r="O76" s="136"/>
      <c r="P76" s="136"/>
      <c r="Q76" s="137"/>
      <c r="R76" s="136"/>
      <c r="S76" s="136"/>
      <c r="T76" s="107"/>
      <c r="U76" s="107"/>
      <c r="V76" s="107"/>
      <c r="Y76" s="107"/>
      <c r="AA76" s="107"/>
      <c r="AC76" s="107"/>
      <c r="AE76" s="107"/>
      <c r="AG76" s="107"/>
      <c r="AU76" s="131"/>
      <c r="AV76" s="114"/>
      <c r="BE76" s="108"/>
      <c r="BF76" s="109"/>
    </row>
    <row r="77" spans="3:58" ht="98.1" customHeight="1">
      <c r="C77" s="121"/>
      <c r="G77" s="114"/>
      <c r="L77" s="135"/>
      <c r="M77" s="131"/>
      <c r="N77" s="136"/>
      <c r="O77" s="136"/>
      <c r="P77" s="136"/>
      <c r="Q77" s="137"/>
      <c r="R77" s="136"/>
      <c r="S77" s="136"/>
      <c r="T77" s="107"/>
      <c r="U77" s="107"/>
      <c r="V77" s="107"/>
      <c r="Y77" s="107"/>
      <c r="AA77" s="107"/>
      <c r="AC77" s="107"/>
      <c r="AE77" s="107"/>
      <c r="AG77" s="107"/>
      <c r="AU77" s="131"/>
      <c r="AV77" s="114"/>
      <c r="BE77" s="108"/>
      <c r="BF77" s="109"/>
    </row>
    <row r="78" spans="3:58" ht="98.1" customHeight="1">
      <c r="C78" s="121"/>
      <c r="G78" s="114"/>
      <c r="M78" s="131"/>
      <c r="N78" s="136"/>
      <c r="O78" s="136"/>
      <c r="P78" s="136"/>
      <c r="Q78" s="137"/>
      <c r="R78" s="136"/>
      <c r="S78" s="136"/>
      <c r="T78" s="107"/>
      <c r="U78" s="107"/>
      <c r="V78" s="107"/>
      <c r="Y78" s="107"/>
      <c r="AA78" s="107"/>
      <c r="AC78" s="107"/>
      <c r="AE78" s="107"/>
      <c r="AG78" s="107"/>
      <c r="AU78" s="131"/>
      <c r="AV78" s="114"/>
      <c r="BE78" s="108"/>
      <c r="BF78" s="109"/>
    </row>
    <row r="79" spans="3:58" ht="98.1" customHeight="1">
      <c r="C79" s="121"/>
      <c r="G79" s="114"/>
      <c r="M79" s="131"/>
      <c r="N79" s="136"/>
      <c r="O79" s="136"/>
      <c r="P79" s="136"/>
      <c r="Q79" s="137"/>
      <c r="R79" s="136"/>
      <c r="S79" s="136"/>
      <c r="T79" s="107"/>
      <c r="U79" s="107"/>
      <c r="V79" s="107"/>
      <c r="Y79" s="107"/>
      <c r="AA79" s="107"/>
      <c r="AC79" s="107"/>
      <c r="AE79" s="107"/>
      <c r="AG79" s="107"/>
      <c r="AU79" s="131"/>
      <c r="AV79" s="114"/>
      <c r="BE79" s="108"/>
      <c r="BF79" s="109"/>
    </row>
    <row r="80" spans="3:58" ht="98.1" customHeight="1">
      <c r="C80" s="121"/>
      <c r="G80" s="114"/>
      <c r="M80" s="131"/>
      <c r="N80" s="136"/>
      <c r="O80" s="136"/>
      <c r="P80" s="136"/>
      <c r="Q80" s="137"/>
      <c r="R80" s="136"/>
      <c r="S80" s="136"/>
      <c r="T80" s="107"/>
      <c r="U80" s="107"/>
      <c r="V80" s="107"/>
      <c r="Y80" s="107"/>
      <c r="AA80" s="107"/>
      <c r="AC80" s="107"/>
      <c r="AE80" s="107"/>
      <c r="AG80" s="107"/>
      <c r="AU80" s="131"/>
      <c r="AV80" s="114"/>
      <c r="BE80" s="108"/>
      <c r="BF80" s="109"/>
    </row>
    <row r="81" spans="3:58" ht="98.1" customHeight="1">
      <c r="C81" s="121"/>
      <c r="G81" s="114"/>
      <c r="M81" s="131"/>
      <c r="N81" s="136"/>
      <c r="O81" s="136"/>
      <c r="P81" s="136"/>
      <c r="Q81" s="137"/>
      <c r="R81" s="136"/>
      <c r="S81" s="136"/>
      <c r="T81" s="107"/>
      <c r="U81" s="107"/>
      <c r="V81" s="107"/>
      <c r="Y81" s="107"/>
      <c r="AA81" s="107"/>
      <c r="AC81" s="107"/>
      <c r="AE81" s="107"/>
      <c r="AG81" s="107"/>
      <c r="AU81" s="131"/>
      <c r="AV81" s="114"/>
      <c r="BE81" s="108"/>
      <c r="BF81" s="109"/>
    </row>
    <row r="82" spans="3:58" ht="98.1" customHeight="1">
      <c r="C82" s="121"/>
      <c r="G82" s="114"/>
      <c r="M82" s="131"/>
      <c r="N82" s="136"/>
      <c r="O82" s="136"/>
      <c r="P82" s="136"/>
      <c r="Q82" s="137"/>
      <c r="R82" s="136"/>
      <c r="S82" s="136"/>
      <c r="T82" s="107"/>
      <c r="U82" s="107"/>
      <c r="V82" s="107"/>
      <c r="Y82" s="107"/>
      <c r="AA82" s="107"/>
      <c r="AC82" s="107"/>
      <c r="AE82" s="107"/>
      <c r="AG82" s="107"/>
      <c r="AU82" s="131"/>
      <c r="AV82" s="114"/>
      <c r="BE82" s="108"/>
      <c r="BF82" s="109"/>
    </row>
    <row r="83" spans="3:58" ht="98.1" customHeight="1">
      <c r="C83" s="121"/>
      <c r="G83" s="114"/>
      <c r="M83" s="131"/>
      <c r="N83" s="136"/>
      <c r="O83" s="136"/>
      <c r="P83" s="136"/>
      <c r="Q83" s="137"/>
      <c r="R83" s="136"/>
      <c r="S83" s="136"/>
      <c r="T83" s="107"/>
      <c r="U83" s="107"/>
      <c r="V83" s="107"/>
      <c r="Y83" s="107"/>
      <c r="AA83" s="107"/>
      <c r="AC83" s="107"/>
      <c r="AE83" s="107"/>
      <c r="AG83" s="107"/>
      <c r="AU83" s="131"/>
      <c r="AV83" s="114"/>
      <c r="BE83" s="108"/>
      <c r="BF83" s="109"/>
    </row>
    <row r="84" spans="3:58" ht="98.1" customHeight="1">
      <c r="C84" s="121"/>
      <c r="G84" s="114"/>
      <c r="M84" s="131"/>
      <c r="N84" s="136"/>
      <c r="O84" s="136"/>
      <c r="P84" s="136"/>
      <c r="Q84" s="137"/>
      <c r="R84" s="136"/>
      <c r="S84" s="136"/>
      <c r="T84" s="107"/>
      <c r="AU84" s="131"/>
      <c r="AV84" s="114"/>
      <c r="BE84" s="108"/>
    </row>
    <row r="85" spans="3:58" ht="98.1" customHeight="1">
      <c r="C85" s="121"/>
      <c r="G85" s="114"/>
      <c r="M85" s="131"/>
      <c r="N85" s="136"/>
      <c r="O85" s="136"/>
      <c r="P85" s="136"/>
      <c r="Q85" s="137"/>
      <c r="R85" s="136"/>
      <c r="S85" s="136"/>
      <c r="T85" s="107"/>
      <c r="AU85" s="131"/>
      <c r="AV85" s="114"/>
      <c r="BE85" s="108"/>
    </row>
    <row r="86" spans="3:58" ht="98.1" customHeight="1">
      <c r="C86" s="121"/>
      <c r="G86" s="114"/>
      <c r="L86" s="135"/>
      <c r="M86" s="131"/>
      <c r="N86" s="136"/>
      <c r="O86" s="136"/>
      <c r="P86" s="136"/>
      <c r="Q86" s="137"/>
      <c r="R86" s="136"/>
      <c r="S86" s="136"/>
      <c r="T86" s="107"/>
      <c r="U86" s="107"/>
      <c r="AU86" s="131"/>
      <c r="AV86" s="114"/>
      <c r="BE86" s="108"/>
    </row>
    <row r="87" spans="3:58" ht="98.1" customHeight="1">
      <c r="C87" s="121"/>
      <c r="G87" s="114"/>
      <c r="M87" s="131"/>
      <c r="N87" s="136"/>
      <c r="O87" s="136"/>
      <c r="P87" s="136"/>
      <c r="Q87" s="137"/>
      <c r="R87" s="136"/>
      <c r="S87" s="136"/>
      <c r="T87" s="107"/>
      <c r="AU87" s="131"/>
      <c r="AV87" s="114"/>
      <c r="BE87" s="108"/>
    </row>
    <row r="88" spans="3:58" ht="98.1" customHeight="1">
      <c r="C88" s="121"/>
      <c r="G88" s="114"/>
      <c r="M88" s="131"/>
      <c r="N88" s="136"/>
      <c r="O88" s="136"/>
      <c r="P88" s="136"/>
      <c r="Q88" s="137"/>
      <c r="R88" s="136"/>
      <c r="S88" s="136"/>
      <c r="T88" s="107"/>
      <c r="AU88" s="131"/>
      <c r="AV88" s="114"/>
      <c r="BE88" s="108"/>
    </row>
    <row r="89" spans="3:58" ht="98.1" customHeight="1">
      <c r="C89" s="121"/>
      <c r="G89" s="114"/>
      <c r="M89" s="131"/>
      <c r="N89" s="136"/>
      <c r="O89" s="136"/>
      <c r="P89" s="136"/>
      <c r="Q89" s="137"/>
      <c r="R89" s="136"/>
      <c r="S89" s="136"/>
      <c r="T89" s="107"/>
      <c r="AV89" s="114"/>
      <c r="BE89" s="108"/>
    </row>
    <row r="90" spans="3:58" ht="98.1" customHeight="1">
      <c r="G90" s="114"/>
      <c r="M90" s="131"/>
      <c r="N90" s="136"/>
      <c r="O90" s="136"/>
      <c r="P90" s="136"/>
      <c r="Q90" s="137"/>
      <c r="R90" s="136"/>
      <c r="S90" s="136"/>
      <c r="T90" s="107"/>
      <c r="AV90" s="114"/>
      <c r="BE90" s="108"/>
    </row>
    <row r="91" spans="3:58" ht="98.1" customHeight="1">
      <c r="G91" s="114"/>
      <c r="M91" s="131"/>
      <c r="N91" s="136"/>
      <c r="O91" s="136"/>
      <c r="P91" s="136"/>
      <c r="Q91" s="137"/>
      <c r="R91" s="136"/>
      <c r="S91" s="136"/>
      <c r="T91" s="107"/>
      <c r="AV91" s="114"/>
      <c r="BE91" s="108"/>
    </row>
    <row r="92" spans="3:58" ht="98.1" customHeight="1">
      <c r="G92" s="114"/>
      <c r="M92" s="131"/>
      <c r="N92" s="136"/>
      <c r="O92" s="136"/>
      <c r="P92" s="136"/>
      <c r="Q92" s="137"/>
      <c r="R92" s="136"/>
      <c r="S92" s="136"/>
      <c r="T92" s="107"/>
      <c r="AV92" s="114"/>
      <c r="BE92" s="108"/>
    </row>
    <row r="93" spans="3:58" ht="98.1" customHeight="1">
      <c r="G93" s="114"/>
      <c r="L93" s="135"/>
      <c r="M93" s="131"/>
      <c r="N93" s="136"/>
      <c r="O93" s="136"/>
      <c r="P93" s="136"/>
      <c r="Q93" s="137"/>
      <c r="R93" s="136"/>
      <c r="S93" s="136"/>
      <c r="T93" s="107"/>
      <c r="U93" s="107"/>
      <c r="AV93" s="114"/>
      <c r="BE93" s="108"/>
    </row>
    <row r="94" spans="3:58" ht="98.1" customHeight="1">
      <c r="G94" s="114"/>
      <c r="M94" s="131"/>
      <c r="N94" s="136"/>
      <c r="O94" s="136"/>
      <c r="P94" s="136"/>
      <c r="Q94" s="137"/>
      <c r="R94" s="136"/>
      <c r="S94" s="136"/>
      <c r="T94" s="107"/>
      <c r="AV94" s="114"/>
      <c r="BE94" s="108"/>
    </row>
    <row r="95" spans="3:58" ht="98.1" customHeight="1">
      <c r="G95" s="114"/>
      <c r="L95" s="135"/>
      <c r="M95" s="131"/>
      <c r="N95" s="136"/>
      <c r="O95" s="136"/>
      <c r="P95" s="136"/>
      <c r="Q95" s="137"/>
      <c r="R95" s="136"/>
      <c r="S95" s="136"/>
      <c r="T95" s="107"/>
      <c r="U95" s="107"/>
      <c r="AV95" s="114"/>
      <c r="BE95" s="108"/>
    </row>
    <row r="96" spans="3:58" ht="98.1" customHeight="1">
      <c r="G96" s="114"/>
      <c r="M96" s="131"/>
      <c r="N96" s="136"/>
      <c r="O96" s="136"/>
      <c r="P96" s="136"/>
      <c r="Q96" s="137"/>
      <c r="R96" s="136"/>
      <c r="S96" s="136"/>
      <c r="T96" s="107"/>
      <c r="AV96" s="114"/>
      <c r="BE96" s="108"/>
    </row>
    <row r="97" spans="7:57" ht="98.1" customHeight="1">
      <c r="G97" s="114"/>
      <c r="M97" s="131"/>
      <c r="N97" s="136"/>
      <c r="O97" s="136"/>
      <c r="P97" s="136"/>
      <c r="Q97" s="137"/>
      <c r="R97" s="136"/>
      <c r="S97" s="136"/>
      <c r="T97" s="107"/>
      <c r="AV97" s="114"/>
      <c r="BE97" s="108"/>
    </row>
    <row r="98" spans="7:57" ht="98.1" customHeight="1">
      <c r="G98" s="114"/>
      <c r="L98" s="135"/>
      <c r="M98" s="131"/>
      <c r="N98" s="136"/>
      <c r="O98" s="136"/>
      <c r="P98" s="136"/>
      <c r="Q98" s="136"/>
      <c r="R98" s="136"/>
      <c r="S98" s="136"/>
      <c r="T98" s="107"/>
      <c r="U98" s="107"/>
      <c r="AV98" s="114"/>
      <c r="BE98" s="108"/>
    </row>
    <row r="99" spans="7:57" ht="98.1" customHeight="1">
      <c r="G99" s="114"/>
      <c r="L99" s="135"/>
      <c r="M99" s="131"/>
      <c r="N99" s="136"/>
      <c r="O99" s="136"/>
      <c r="P99" s="136"/>
      <c r="Q99" s="136"/>
      <c r="R99" s="136"/>
      <c r="S99" s="136"/>
      <c r="T99" s="107"/>
      <c r="U99" s="107"/>
      <c r="AV99" s="114"/>
      <c r="BE99" s="108"/>
    </row>
    <row r="100" spans="7:57" ht="98.1" customHeight="1">
      <c r="G100" s="114"/>
      <c r="M100" s="131"/>
      <c r="N100" s="136"/>
      <c r="O100" s="136"/>
      <c r="P100" s="136"/>
      <c r="R100" s="136"/>
      <c r="S100" s="136"/>
      <c r="T100" s="107"/>
      <c r="AV100" s="114"/>
      <c r="BE100" s="108"/>
    </row>
    <row r="101" spans="7:57" ht="98.1" customHeight="1">
      <c r="G101" s="114"/>
      <c r="L101" s="135"/>
      <c r="M101" s="131"/>
      <c r="N101" s="136"/>
      <c r="O101" s="136"/>
      <c r="P101" s="136"/>
      <c r="Q101" s="137"/>
      <c r="R101" s="136"/>
      <c r="S101" s="136"/>
      <c r="T101" s="107"/>
      <c r="AV101" s="114"/>
      <c r="BE101" s="108"/>
    </row>
    <row r="102" spans="7:57" ht="98.1" customHeight="1">
      <c r="G102" s="114"/>
      <c r="L102" s="135"/>
      <c r="M102" s="131"/>
      <c r="N102" s="136"/>
      <c r="O102" s="136"/>
      <c r="P102" s="136"/>
      <c r="Q102" s="136"/>
      <c r="R102" s="136"/>
      <c r="S102" s="136"/>
      <c r="T102" s="107"/>
      <c r="U102" s="107"/>
      <c r="AV102" s="114"/>
      <c r="BE102" s="108"/>
    </row>
    <row r="103" spans="7:57" ht="98.1" customHeight="1">
      <c r="G103" s="114"/>
      <c r="L103" s="135"/>
      <c r="M103" s="131"/>
      <c r="N103" s="136"/>
      <c r="O103" s="136"/>
      <c r="P103" s="136"/>
      <c r="Q103" s="137"/>
      <c r="R103" s="136"/>
      <c r="S103" s="136"/>
      <c r="T103" s="107"/>
      <c r="U103" s="107"/>
      <c r="AV103" s="114"/>
      <c r="BE103" s="108"/>
    </row>
    <row r="104" spans="7:57" ht="98.1" customHeight="1">
      <c r="G104" s="114"/>
      <c r="M104" s="131"/>
      <c r="N104" s="136"/>
      <c r="O104" s="136"/>
      <c r="P104" s="136"/>
      <c r="R104" s="136"/>
      <c r="S104" s="136"/>
      <c r="T104" s="107"/>
      <c r="AV104" s="114"/>
      <c r="BE104" s="108"/>
    </row>
    <row r="105" spans="7:57" ht="98.1" customHeight="1">
      <c r="G105" s="114"/>
      <c r="M105" s="131"/>
      <c r="N105" s="136"/>
      <c r="O105" s="136"/>
      <c r="P105" s="136"/>
      <c r="Q105" s="137"/>
      <c r="R105" s="136"/>
      <c r="S105" s="136"/>
      <c r="T105" s="107"/>
      <c r="AV105" s="114"/>
      <c r="BE105" s="108"/>
    </row>
    <row r="106" spans="7:57" ht="98.1" customHeight="1">
      <c r="G106" s="114"/>
      <c r="L106" s="135"/>
      <c r="M106" s="131"/>
      <c r="N106" s="136"/>
      <c r="O106" s="136"/>
      <c r="P106" s="136"/>
      <c r="Q106" s="137"/>
      <c r="R106" s="136"/>
      <c r="S106" s="136"/>
      <c r="T106" s="107"/>
      <c r="U106" s="107"/>
      <c r="AV106" s="114"/>
      <c r="BE106" s="108"/>
    </row>
    <row r="107" spans="7:57" ht="98.1" customHeight="1">
      <c r="G107" s="114"/>
      <c r="L107" s="135"/>
      <c r="M107" s="131"/>
      <c r="N107" s="136"/>
      <c r="O107" s="136"/>
      <c r="P107" s="136"/>
      <c r="Q107" s="137"/>
      <c r="R107" s="136"/>
      <c r="S107" s="136"/>
      <c r="T107" s="107"/>
      <c r="U107" s="107"/>
      <c r="AV107" s="114"/>
      <c r="BE107" s="108"/>
    </row>
    <row r="108" spans="7:57" ht="98.1" customHeight="1">
      <c r="G108" s="114"/>
      <c r="L108" s="135"/>
      <c r="M108" s="131"/>
      <c r="N108" s="136"/>
      <c r="O108" s="136"/>
      <c r="P108" s="136"/>
      <c r="Q108" s="137"/>
      <c r="R108" s="136"/>
      <c r="S108" s="136"/>
      <c r="T108" s="107"/>
      <c r="U108" s="107"/>
      <c r="AV108" s="114"/>
      <c r="BE108" s="108"/>
    </row>
    <row r="109" spans="7:57" ht="98.1" customHeight="1">
      <c r="G109" s="114"/>
      <c r="L109" s="135"/>
      <c r="M109" s="131"/>
      <c r="N109" s="136"/>
      <c r="O109" s="136"/>
      <c r="P109" s="136"/>
      <c r="Q109" s="137"/>
      <c r="R109" s="136"/>
      <c r="S109" s="136"/>
      <c r="T109" s="107"/>
      <c r="U109" s="107"/>
      <c r="AV109" s="114"/>
      <c r="BE109" s="108"/>
    </row>
    <row r="110" spans="7:57" ht="98.1" customHeight="1">
      <c r="G110" s="114"/>
      <c r="L110" s="135"/>
      <c r="M110" s="131"/>
      <c r="N110" s="136"/>
      <c r="O110" s="136"/>
      <c r="P110" s="136"/>
      <c r="Q110" s="137"/>
      <c r="R110" s="136"/>
      <c r="S110" s="136"/>
      <c r="T110" s="107"/>
      <c r="U110" s="107"/>
      <c r="AV110" s="114"/>
      <c r="BE110" s="108"/>
    </row>
    <row r="111" spans="7:57" ht="98.1" customHeight="1">
      <c r="G111" s="114"/>
      <c r="L111" s="135"/>
      <c r="M111" s="131"/>
      <c r="N111" s="136"/>
      <c r="O111" s="136"/>
      <c r="P111" s="136"/>
      <c r="Q111" s="137"/>
      <c r="R111" s="136"/>
      <c r="S111" s="136"/>
      <c r="T111" s="107"/>
      <c r="U111" s="107"/>
      <c r="AV111" s="114"/>
      <c r="BE111" s="108"/>
    </row>
    <row r="112" spans="7:57" ht="98.1" customHeight="1">
      <c r="G112" s="114"/>
      <c r="M112" s="131"/>
      <c r="N112" s="136"/>
      <c r="O112" s="136"/>
      <c r="P112" s="136"/>
      <c r="Q112" s="137"/>
      <c r="R112" s="136"/>
      <c r="S112" s="136"/>
      <c r="T112" s="107"/>
      <c r="AV112" s="114"/>
      <c r="BE112" s="108"/>
    </row>
    <row r="113" spans="7:57" ht="98.1" customHeight="1">
      <c r="G113" s="114"/>
      <c r="M113" s="131"/>
      <c r="N113" s="136"/>
      <c r="O113" s="136"/>
      <c r="P113" s="136"/>
      <c r="Q113" s="137"/>
      <c r="R113" s="136"/>
      <c r="S113" s="136"/>
      <c r="T113" s="107"/>
      <c r="AV113" s="114"/>
      <c r="BE113" s="108"/>
    </row>
    <row r="114" spans="7:57" ht="98.1" customHeight="1">
      <c r="G114" s="114"/>
      <c r="L114" s="135"/>
      <c r="M114" s="131"/>
      <c r="N114" s="136"/>
      <c r="O114" s="136"/>
      <c r="P114" s="136"/>
      <c r="Q114" s="137"/>
      <c r="R114" s="136"/>
      <c r="S114" s="136"/>
      <c r="T114" s="107"/>
      <c r="U114" s="107"/>
      <c r="AV114" s="114"/>
      <c r="BE114" s="108"/>
    </row>
    <row r="115" spans="7:57" ht="98.1" customHeight="1">
      <c r="G115" s="114"/>
      <c r="L115" s="135"/>
      <c r="M115" s="131"/>
      <c r="N115" s="136"/>
      <c r="O115" s="136"/>
      <c r="P115" s="136"/>
      <c r="Q115" s="137"/>
      <c r="R115" s="136"/>
      <c r="S115" s="136"/>
      <c r="T115" s="107"/>
      <c r="U115" s="107"/>
      <c r="AV115" s="114"/>
      <c r="BE115" s="108"/>
    </row>
    <row r="116" spans="7:57" ht="98.1" customHeight="1">
      <c r="G116" s="114"/>
      <c r="L116" s="135"/>
      <c r="M116" s="131"/>
      <c r="N116" s="136"/>
      <c r="O116" s="136"/>
      <c r="P116" s="136"/>
      <c r="Q116" s="137"/>
      <c r="R116" s="136"/>
      <c r="S116" s="136"/>
      <c r="T116" s="107"/>
      <c r="U116" s="107"/>
      <c r="AV116" s="114"/>
      <c r="BE116" s="108"/>
    </row>
    <row r="117" spans="7:57" ht="98.1" customHeight="1">
      <c r="G117" s="114"/>
      <c r="L117" s="135"/>
      <c r="M117" s="131"/>
      <c r="N117" s="136"/>
      <c r="O117" s="136"/>
      <c r="P117" s="136"/>
      <c r="Q117" s="137"/>
      <c r="R117" s="136"/>
      <c r="S117" s="136"/>
      <c r="T117" s="107"/>
      <c r="U117" s="107"/>
      <c r="AV117" s="114"/>
      <c r="BE117" s="108"/>
    </row>
    <row r="118" spans="7:57" ht="98.1" customHeight="1">
      <c r="G118" s="114"/>
      <c r="M118" s="131"/>
      <c r="N118" s="136"/>
      <c r="O118" s="136"/>
      <c r="P118" s="136"/>
      <c r="Q118" s="137"/>
      <c r="R118" s="136"/>
      <c r="S118" s="136"/>
      <c r="T118" s="107"/>
      <c r="AV118" s="114"/>
      <c r="BE118" s="108"/>
    </row>
    <row r="119" spans="7:57" ht="98.1" customHeight="1">
      <c r="G119" s="114"/>
      <c r="M119" s="131"/>
      <c r="N119" s="136"/>
      <c r="O119" s="136"/>
      <c r="P119" s="136"/>
      <c r="Q119" s="137"/>
      <c r="R119" s="136"/>
      <c r="S119" s="136"/>
      <c r="T119" s="107"/>
      <c r="AV119" s="114"/>
      <c r="BE119" s="108"/>
    </row>
    <row r="120" spans="7:57" ht="98.1" customHeight="1">
      <c r="G120" s="114"/>
      <c r="M120" s="131"/>
      <c r="N120" s="136"/>
      <c r="O120" s="136"/>
      <c r="P120" s="136"/>
      <c r="Q120" s="137"/>
      <c r="R120" s="136"/>
      <c r="S120" s="136"/>
      <c r="T120" s="107"/>
      <c r="AV120" s="114"/>
      <c r="BE120" s="108"/>
    </row>
    <row r="121" spans="7:57" ht="98.1" customHeight="1">
      <c r="G121" s="114"/>
      <c r="M121" s="131"/>
      <c r="N121" s="136"/>
      <c r="O121" s="136"/>
      <c r="P121" s="136"/>
      <c r="Q121" s="137"/>
      <c r="R121" s="136"/>
      <c r="S121" s="136"/>
      <c r="T121" s="107"/>
      <c r="AV121" s="114"/>
      <c r="BE121" s="108"/>
    </row>
    <row r="122" spans="7:57" ht="98.1" customHeight="1">
      <c r="G122" s="114"/>
      <c r="M122" s="131"/>
      <c r="N122" s="136"/>
      <c r="O122" s="136"/>
      <c r="P122" s="136"/>
      <c r="Q122" s="137"/>
      <c r="R122" s="136"/>
      <c r="S122" s="136"/>
      <c r="T122" s="107"/>
      <c r="AV122" s="114"/>
      <c r="BE122" s="108"/>
    </row>
    <row r="123" spans="7:57" ht="98.1" customHeight="1">
      <c r="G123" s="114"/>
      <c r="M123" s="131"/>
      <c r="N123" s="136"/>
      <c r="O123" s="136"/>
      <c r="P123" s="136"/>
      <c r="Q123" s="137"/>
      <c r="R123" s="136"/>
      <c r="S123" s="136"/>
      <c r="T123" s="107"/>
      <c r="AV123" s="114"/>
      <c r="BE123" s="108"/>
    </row>
    <row r="124" spans="7:57" ht="98.1" customHeight="1">
      <c r="G124" s="114"/>
      <c r="M124" s="131"/>
      <c r="N124" s="136"/>
      <c r="O124" s="136"/>
      <c r="P124" s="136"/>
      <c r="Q124" s="137"/>
      <c r="R124" s="136"/>
      <c r="S124" s="136"/>
      <c r="T124" s="107"/>
      <c r="AV124" s="114"/>
      <c r="BE124" s="108"/>
    </row>
    <row r="125" spans="7:57" ht="98.1" customHeight="1">
      <c r="G125" s="114"/>
      <c r="M125" s="131"/>
      <c r="N125" s="136"/>
      <c r="O125" s="136"/>
      <c r="P125" s="136"/>
      <c r="Q125" s="137"/>
      <c r="R125" s="136"/>
      <c r="S125" s="136"/>
      <c r="T125" s="107"/>
      <c r="AV125" s="114"/>
      <c r="BE125" s="108"/>
    </row>
    <row r="126" spans="7:57" ht="98.1" customHeight="1">
      <c r="G126" s="114"/>
      <c r="L126" s="135"/>
      <c r="M126" s="131"/>
      <c r="N126" s="136"/>
      <c r="O126" s="136"/>
      <c r="P126" s="136"/>
      <c r="Q126" s="137"/>
      <c r="R126" s="136"/>
      <c r="S126" s="136"/>
      <c r="T126" s="107"/>
      <c r="U126" s="107"/>
      <c r="AV126" s="114"/>
      <c r="BE126" s="108"/>
    </row>
    <row r="127" spans="7:57" ht="98.1" customHeight="1">
      <c r="G127" s="114"/>
      <c r="M127" s="131"/>
      <c r="N127" s="136"/>
      <c r="O127" s="136"/>
      <c r="P127" s="136"/>
      <c r="Q127" s="137"/>
      <c r="R127" s="136"/>
      <c r="S127" s="136"/>
      <c r="T127" s="107"/>
      <c r="AV127" s="114"/>
      <c r="BE127" s="108"/>
    </row>
    <row r="128" spans="7:57" ht="98.1" customHeight="1">
      <c r="G128" s="114"/>
      <c r="L128" s="135"/>
      <c r="M128" s="131"/>
      <c r="N128" s="136"/>
      <c r="O128" s="136"/>
      <c r="P128" s="136"/>
      <c r="Q128" s="137"/>
      <c r="R128" s="136"/>
      <c r="S128" s="136"/>
      <c r="T128" s="107"/>
      <c r="U128" s="107"/>
      <c r="AV128" s="114"/>
      <c r="BE128" s="108"/>
    </row>
    <row r="129" spans="7:57" ht="98.1" customHeight="1">
      <c r="G129" s="114"/>
      <c r="M129" s="131"/>
      <c r="N129" s="136"/>
      <c r="O129" s="136"/>
      <c r="P129" s="136"/>
      <c r="Q129" s="137"/>
      <c r="R129" s="136"/>
      <c r="S129" s="136"/>
      <c r="T129" s="107"/>
      <c r="AV129" s="114"/>
      <c r="BE129" s="108"/>
    </row>
    <row r="130" spans="7:57" ht="98.1" customHeight="1">
      <c r="G130" s="114"/>
      <c r="M130" s="131"/>
      <c r="N130" s="136"/>
      <c r="O130" s="136"/>
      <c r="P130" s="136"/>
      <c r="Q130" s="137"/>
      <c r="R130" s="136"/>
      <c r="S130" s="136"/>
      <c r="T130" s="107"/>
      <c r="AV130" s="114"/>
      <c r="BE130" s="108"/>
    </row>
    <row r="131" spans="7:57" ht="98.1" customHeight="1">
      <c r="G131" s="114"/>
      <c r="M131" s="131"/>
      <c r="N131" s="136"/>
      <c r="O131" s="136"/>
      <c r="P131" s="136"/>
      <c r="Q131" s="137"/>
      <c r="R131" s="136"/>
      <c r="S131" s="136"/>
      <c r="T131" s="107"/>
      <c r="AV131" s="114"/>
      <c r="BE131" s="108"/>
    </row>
    <row r="132" spans="7:57" ht="98.1" customHeight="1">
      <c r="G132" s="114"/>
      <c r="M132" s="131"/>
      <c r="N132" s="136"/>
      <c r="O132" s="136"/>
      <c r="P132" s="136"/>
      <c r="Q132" s="137"/>
      <c r="R132" s="136"/>
      <c r="S132" s="136"/>
      <c r="T132" s="107"/>
      <c r="AV132" s="114"/>
      <c r="BE132" s="108"/>
    </row>
    <row r="133" spans="7:57" ht="98.1" customHeight="1">
      <c r="G133" s="114"/>
      <c r="M133" s="131"/>
      <c r="N133" s="136"/>
      <c r="O133" s="136"/>
      <c r="P133" s="136"/>
      <c r="Q133" s="137"/>
      <c r="R133" s="136"/>
      <c r="S133" s="136"/>
      <c r="T133" s="107"/>
      <c r="AV133" s="114"/>
      <c r="BE133" s="108"/>
    </row>
    <row r="134" spans="7:57" ht="98.1" customHeight="1">
      <c r="G134" s="114"/>
      <c r="M134" s="131"/>
      <c r="N134" s="136"/>
      <c r="O134" s="136"/>
      <c r="P134" s="136"/>
      <c r="Q134" s="137"/>
      <c r="R134" s="136"/>
      <c r="S134" s="136"/>
      <c r="T134" s="107"/>
      <c r="AV134" s="114"/>
      <c r="BE134" s="108"/>
    </row>
    <row r="135" spans="7:57" ht="98.1" customHeight="1">
      <c r="G135" s="114"/>
      <c r="L135" s="135"/>
      <c r="M135" s="131"/>
      <c r="N135" s="136"/>
      <c r="O135" s="136"/>
      <c r="P135" s="136"/>
      <c r="Q135" s="137"/>
      <c r="R135" s="136"/>
      <c r="S135" s="136"/>
      <c r="T135" s="107"/>
      <c r="U135" s="107"/>
      <c r="AV135" s="114"/>
      <c r="BE135" s="108"/>
    </row>
    <row r="136" spans="7:57" ht="98.1" customHeight="1">
      <c r="G136" s="114"/>
      <c r="L136" s="135"/>
      <c r="M136" s="131"/>
      <c r="N136" s="136"/>
      <c r="O136" s="136"/>
      <c r="P136" s="136"/>
      <c r="Q136" s="137"/>
      <c r="R136" s="136"/>
      <c r="S136" s="136"/>
      <c r="T136" s="107"/>
      <c r="U136" s="107"/>
      <c r="AV136" s="114"/>
      <c r="BE136" s="108"/>
    </row>
    <row r="137" spans="7:57" ht="98.1" customHeight="1">
      <c r="G137" s="114"/>
      <c r="L137" s="135"/>
      <c r="M137" s="131"/>
      <c r="N137" s="136"/>
      <c r="O137" s="136"/>
      <c r="P137" s="136"/>
      <c r="Q137" s="136"/>
      <c r="R137" s="136"/>
      <c r="S137" s="136"/>
      <c r="T137" s="107"/>
      <c r="U137" s="107"/>
      <c r="AV137" s="114"/>
      <c r="BE137" s="108"/>
    </row>
    <row r="138" spans="7:57" ht="98.1" customHeight="1">
      <c r="G138" s="114"/>
      <c r="M138" s="131"/>
      <c r="N138" s="136"/>
      <c r="O138" s="136"/>
      <c r="P138" s="136"/>
      <c r="Q138" s="137"/>
      <c r="R138" s="136"/>
      <c r="S138" s="136"/>
      <c r="T138" s="107"/>
      <c r="AV138" s="114"/>
      <c r="BE138" s="108"/>
    </row>
    <row r="139" spans="7:57" ht="98.1" customHeight="1">
      <c r="G139" s="114"/>
      <c r="L139" s="135"/>
      <c r="M139" s="131"/>
      <c r="N139" s="136"/>
      <c r="O139" s="136"/>
      <c r="P139" s="136"/>
      <c r="Q139" s="137"/>
      <c r="R139" s="136"/>
      <c r="S139" s="136"/>
      <c r="T139" s="107"/>
      <c r="U139" s="107"/>
      <c r="AV139" s="114"/>
      <c r="BE139" s="108"/>
    </row>
    <row r="140" spans="7:57" ht="98.1" customHeight="1">
      <c r="G140" s="114"/>
      <c r="L140" s="135"/>
      <c r="M140" s="131"/>
      <c r="N140" s="136"/>
      <c r="O140" s="136"/>
      <c r="P140" s="136"/>
      <c r="Q140" s="137"/>
      <c r="R140" s="136"/>
      <c r="S140" s="136"/>
      <c r="T140" s="107"/>
      <c r="U140" s="107"/>
      <c r="AV140" s="114"/>
      <c r="BE140" s="108"/>
    </row>
    <row r="141" spans="7:57" ht="98.1" customHeight="1">
      <c r="G141" s="114"/>
      <c r="M141" s="131"/>
      <c r="N141" s="136"/>
      <c r="O141" s="136"/>
      <c r="P141" s="136"/>
      <c r="Q141" s="137"/>
      <c r="R141" s="136"/>
      <c r="S141" s="136"/>
      <c r="T141" s="107"/>
      <c r="AV141" s="114"/>
      <c r="BE141" s="108"/>
    </row>
    <row r="142" spans="7:57" ht="98.1" customHeight="1">
      <c r="G142" s="114"/>
      <c r="M142" s="131"/>
      <c r="N142" s="136"/>
      <c r="O142" s="136"/>
      <c r="P142" s="136"/>
      <c r="Q142" s="137"/>
      <c r="R142" s="136"/>
      <c r="S142" s="136"/>
      <c r="T142" s="107"/>
      <c r="AV142" s="114"/>
      <c r="BE142" s="108"/>
    </row>
    <row r="143" spans="7:57" ht="98.1" customHeight="1">
      <c r="G143" s="114"/>
      <c r="M143" s="131"/>
      <c r="N143" s="136"/>
      <c r="O143" s="136"/>
      <c r="P143" s="136"/>
      <c r="Q143" s="137"/>
      <c r="R143" s="136"/>
      <c r="S143" s="136"/>
      <c r="T143" s="107"/>
      <c r="AV143" s="114"/>
      <c r="BE143" s="108"/>
    </row>
    <row r="144" spans="7:57" ht="98.1" customHeight="1">
      <c r="M144" s="131"/>
      <c r="N144" s="136"/>
      <c r="O144" s="136"/>
      <c r="P144" s="136"/>
      <c r="Q144" s="137"/>
      <c r="R144" s="136"/>
      <c r="S144" s="136"/>
      <c r="AV144" s="114"/>
      <c r="BE144" s="108"/>
    </row>
    <row r="145" spans="13:57" ht="98.1" customHeight="1">
      <c r="M145" s="131"/>
      <c r="N145" s="136"/>
      <c r="O145" s="136"/>
      <c r="P145" s="136"/>
      <c r="Q145" s="137"/>
      <c r="R145" s="136"/>
      <c r="S145" s="136"/>
      <c r="AV145" s="114"/>
      <c r="BE145" s="108"/>
    </row>
    <row r="146" spans="13:57" ht="98.1" customHeight="1">
      <c r="M146" s="131"/>
      <c r="N146" s="136"/>
      <c r="O146" s="136"/>
      <c r="P146" s="136"/>
      <c r="Q146" s="137"/>
      <c r="R146" s="136"/>
      <c r="S146" s="136"/>
      <c r="AV146" s="114"/>
      <c r="BE146" s="108"/>
    </row>
    <row r="147" spans="13:57" ht="98.1" customHeight="1">
      <c r="M147" s="131"/>
      <c r="N147" s="136"/>
      <c r="O147" s="136"/>
      <c r="P147" s="136"/>
      <c r="Q147" s="137"/>
      <c r="R147" s="136"/>
      <c r="S147" s="136"/>
      <c r="AV147" s="114"/>
      <c r="BE147" s="108"/>
    </row>
    <row r="148" spans="13:57" ht="98.1" customHeight="1">
      <c r="M148" s="131"/>
      <c r="N148" s="136"/>
      <c r="O148" s="136"/>
      <c r="P148" s="136"/>
      <c r="Q148" s="137"/>
      <c r="R148" s="136"/>
      <c r="S148" s="136"/>
      <c r="AV148" s="114"/>
      <c r="BE148" s="108"/>
    </row>
    <row r="149" spans="13:57" ht="98.1" customHeight="1">
      <c r="M149" s="131"/>
      <c r="N149" s="136"/>
      <c r="O149" s="136"/>
      <c r="P149" s="136"/>
      <c r="Q149" s="137"/>
      <c r="R149" s="136"/>
      <c r="S149" s="136"/>
      <c r="AV149" s="114"/>
      <c r="BE149" s="108"/>
    </row>
    <row r="150" spans="13:57" ht="98.1" customHeight="1">
      <c r="M150" s="131"/>
      <c r="N150" s="136"/>
      <c r="O150" s="136"/>
      <c r="P150" s="136"/>
      <c r="Q150" s="137"/>
      <c r="R150" s="136"/>
      <c r="S150" s="136"/>
      <c r="AV150" s="114"/>
      <c r="BE150" s="108"/>
    </row>
    <row r="151" spans="13:57" ht="98.1" customHeight="1">
      <c r="M151" s="131"/>
      <c r="N151" s="136"/>
      <c r="O151" s="136"/>
      <c r="P151" s="136"/>
      <c r="Q151" s="137"/>
      <c r="R151" s="136"/>
      <c r="S151" s="136"/>
      <c r="AV151" s="114"/>
      <c r="BE151" s="108"/>
    </row>
    <row r="152" spans="13:57" ht="98.1" customHeight="1">
      <c r="M152" s="131"/>
      <c r="N152" s="136"/>
      <c r="O152" s="136"/>
      <c r="P152" s="136"/>
      <c r="Q152" s="137"/>
      <c r="R152" s="136"/>
      <c r="S152" s="136"/>
      <c r="AV152" s="114"/>
      <c r="BE152" s="108"/>
    </row>
    <row r="153" spans="13:57" ht="98.1" customHeight="1">
      <c r="M153" s="131"/>
      <c r="N153" s="136"/>
      <c r="O153" s="136"/>
      <c r="P153" s="136"/>
      <c r="Q153" s="137"/>
      <c r="R153" s="136"/>
      <c r="S153" s="136"/>
      <c r="AV153" s="114"/>
      <c r="BE153" s="108"/>
    </row>
    <row r="154" spans="13:57" ht="98.1" customHeight="1">
      <c r="N154" s="136"/>
      <c r="O154" s="136"/>
      <c r="P154" s="136"/>
      <c r="Q154" s="137"/>
      <c r="S154" s="136"/>
      <c r="AV154" s="114"/>
      <c r="BE154" s="108"/>
    </row>
    <row r="155" spans="13:57" ht="98.1" customHeight="1">
      <c r="N155" s="136"/>
      <c r="O155" s="136"/>
      <c r="P155" s="136"/>
      <c r="Q155" s="137"/>
      <c r="S155" s="136"/>
      <c r="AV155" s="114"/>
      <c r="BE155" s="108"/>
    </row>
    <row r="156" spans="13:57" ht="98.1" customHeight="1">
      <c r="N156" s="136"/>
      <c r="O156" s="136"/>
      <c r="P156" s="136"/>
      <c r="Q156" s="137"/>
      <c r="S156" s="136"/>
      <c r="AV156" s="114"/>
      <c r="BE156" s="108"/>
    </row>
    <row r="157" spans="13:57" ht="98.1" customHeight="1">
      <c r="N157" s="136"/>
      <c r="O157" s="136"/>
      <c r="P157" s="136"/>
      <c r="Q157" s="137"/>
      <c r="S157" s="136"/>
      <c r="AV157" s="114"/>
      <c r="BE157" s="108"/>
    </row>
    <row r="158" spans="13:57" ht="98.1" customHeight="1">
      <c r="N158" s="136"/>
      <c r="O158" s="136"/>
      <c r="P158" s="136"/>
      <c r="Q158" s="137"/>
      <c r="S158" s="136"/>
      <c r="AV158" s="114"/>
      <c r="BE158" s="108"/>
    </row>
    <row r="159" spans="13:57" ht="98.1" customHeight="1">
      <c r="N159" s="136"/>
      <c r="O159" s="136"/>
      <c r="P159" s="136"/>
      <c r="S159" s="136"/>
      <c r="AV159" s="114"/>
      <c r="BE159" s="108"/>
    </row>
    <row r="160" spans="13:57" ht="98.1" customHeight="1">
      <c r="N160" s="136"/>
      <c r="O160" s="136"/>
      <c r="P160" s="136"/>
      <c r="S160" s="136"/>
      <c r="AV160" s="114"/>
      <c r="BE160" s="108"/>
    </row>
    <row r="161" spans="14:57" ht="98.1" customHeight="1">
      <c r="N161" s="136"/>
      <c r="O161" s="136"/>
      <c r="P161" s="136"/>
      <c r="S161" s="136"/>
      <c r="AV161" s="114"/>
      <c r="BE161" s="108"/>
    </row>
    <row r="162" spans="14:57" ht="98.1" customHeight="1">
      <c r="N162" s="136"/>
      <c r="O162" s="136"/>
      <c r="P162" s="136"/>
      <c r="S162" s="136"/>
      <c r="AV162" s="114"/>
      <c r="BE162" s="108"/>
    </row>
    <row r="163" spans="14:57" ht="98.1" customHeight="1">
      <c r="N163" s="136"/>
      <c r="O163" s="136"/>
      <c r="P163" s="136"/>
      <c r="Q163" s="137"/>
      <c r="S163" s="136"/>
      <c r="AV163" s="114"/>
      <c r="BE163" s="108"/>
    </row>
    <row r="164" spans="14:57" ht="98.1" customHeight="1">
      <c r="N164" s="136"/>
      <c r="O164" s="136"/>
      <c r="P164" s="136"/>
      <c r="Q164" s="137"/>
      <c r="S164" s="136"/>
      <c r="AV164" s="114"/>
      <c r="BE164" s="108"/>
    </row>
    <row r="165" spans="14:57" ht="98.1" customHeight="1">
      <c r="N165" s="136"/>
      <c r="O165" s="136"/>
      <c r="P165" s="136"/>
      <c r="Q165" s="137"/>
      <c r="S165" s="136"/>
      <c r="AV165" s="114"/>
      <c r="BE165" s="108"/>
    </row>
    <row r="166" spans="14:57" ht="98.1" customHeight="1">
      <c r="N166" s="136"/>
      <c r="O166" s="136"/>
      <c r="P166" s="136"/>
      <c r="S166" s="136"/>
      <c r="AV166" s="114"/>
      <c r="BE166" s="108"/>
    </row>
    <row r="167" spans="14:57" ht="98.1" customHeight="1">
      <c r="N167" s="136"/>
      <c r="O167" s="136"/>
      <c r="P167" s="136"/>
      <c r="Q167" s="137"/>
      <c r="S167" s="136"/>
      <c r="AV167" s="114"/>
      <c r="BE167" s="108"/>
    </row>
    <row r="168" spans="14:57" ht="98.1" customHeight="1">
      <c r="N168" s="136"/>
      <c r="O168" s="136"/>
      <c r="P168" s="136"/>
      <c r="Q168" s="137"/>
      <c r="S168" s="136"/>
      <c r="AV168" s="114"/>
      <c r="BE168" s="108"/>
    </row>
    <row r="169" spans="14:57" ht="98.1" customHeight="1">
      <c r="N169" s="136"/>
      <c r="O169" s="136"/>
      <c r="P169" s="136"/>
      <c r="Q169" s="137"/>
      <c r="S169" s="136"/>
      <c r="AV169" s="114"/>
      <c r="BE169" s="108"/>
    </row>
    <row r="170" spans="14:57" ht="98.1" customHeight="1">
      <c r="N170" s="136"/>
      <c r="O170" s="136"/>
      <c r="P170" s="136"/>
      <c r="S170" s="136"/>
      <c r="AV170" s="114"/>
      <c r="BE170" s="108"/>
    </row>
    <row r="171" spans="14:57" ht="98.1" customHeight="1">
      <c r="N171" s="136"/>
      <c r="O171" s="136"/>
      <c r="P171" s="136"/>
      <c r="Q171" s="137"/>
      <c r="S171" s="136"/>
      <c r="AV171" s="114"/>
      <c r="BE171" s="108"/>
    </row>
    <row r="172" spans="14:57" ht="98.1" customHeight="1">
      <c r="N172" s="136"/>
      <c r="O172" s="136"/>
      <c r="P172" s="136"/>
      <c r="Q172" s="137"/>
      <c r="S172" s="136"/>
      <c r="AV172" s="114"/>
      <c r="BE172" s="108"/>
    </row>
    <row r="173" spans="14:57" ht="98.1" customHeight="1">
      <c r="N173" s="136"/>
      <c r="O173" s="136"/>
      <c r="P173" s="136"/>
      <c r="Q173" s="137"/>
      <c r="S173" s="136"/>
      <c r="AV173" s="114"/>
      <c r="BE173" s="108"/>
    </row>
    <row r="174" spans="14:57" ht="98.1" customHeight="1">
      <c r="N174" s="136"/>
      <c r="O174" s="136"/>
      <c r="P174" s="136"/>
      <c r="Q174" s="137"/>
      <c r="S174" s="136"/>
      <c r="AV174" s="114"/>
      <c r="BE174" s="108"/>
    </row>
    <row r="175" spans="14:57" ht="98.1" customHeight="1">
      <c r="N175" s="136"/>
      <c r="O175" s="136"/>
      <c r="P175" s="136"/>
      <c r="Q175" s="137"/>
      <c r="S175" s="136"/>
      <c r="AV175" s="114"/>
      <c r="BE175" s="108"/>
    </row>
    <row r="176" spans="14:57" ht="98.1" customHeight="1">
      <c r="N176" s="136"/>
      <c r="O176" s="136"/>
      <c r="P176" s="136"/>
      <c r="Q176" s="137"/>
      <c r="S176" s="136"/>
      <c r="AV176" s="114"/>
      <c r="BE176" s="108"/>
    </row>
    <row r="177" spans="14:57" ht="98.1" customHeight="1">
      <c r="N177" s="136"/>
      <c r="O177" s="136"/>
      <c r="P177" s="136"/>
      <c r="Q177" s="137"/>
      <c r="S177" s="136"/>
      <c r="AV177" s="114"/>
      <c r="BE177" s="108"/>
    </row>
    <row r="178" spans="14:57" ht="98.1" customHeight="1">
      <c r="N178" s="136"/>
      <c r="O178" s="136"/>
      <c r="P178" s="136"/>
      <c r="Q178" s="137"/>
      <c r="S178" s="136"/>
      <c r="AV178" s="114"/>
      <c r="BE178" s="108"/>
    </row>
    <row r="179" spans="14:57" ht="98.1" customHeight="1">
      <c r="N179" s="136"/>
      <c r="O179" s="136"/>
      <c r="P179" s="136"/>
      <c r="Q179" s="137"/>
      <c r="S179" s="136"/>
      <c r="AV179" s="114"/>
      <c r="BE179" s="108"/>
    </row>
    <row r="180" spans="14:57" ht="98.1" customHeight="1">
      <c r="N180" s="136"/>
      <c r="O180" s="136"/>
      <c r="P180" s="136"/>
      <c r="Q180" s="137"/>
      <c r="S180" s="136"/>
      <c r="AV180" s="114"/>
      <c r="BE180" s="108"/>
    </row>
    <row r="181" spans="14:57" ht="98.1" customHeight="1">
      <c r="N181" s="136"/>
      <c r="O181" s="136"/>
      <c r="P181" s="136"/>
      <c r="Q181" s="137"/>
      <c r="S181" s="136"/>
      <c r="AV181" s="114"/>
      <c r="BE181" s="108"/>
    </row>
    <row r="182" spans="14:57" ht="98.1" customHeight="1">
      <c r="N182" s="136"/>
      <c r="O182" s="136"/>
      <c r="P182" s="136"/>
      <c r="Q182" s="137"/>
      <c r="S182" s="136"/>
      <c r="AV182" s="114"/>
      <c r="BE182" s="108"/>
    </row>
    <row r="183" spans="14:57" ht="98.1" customHeight="1">
      <c r="N183" s="136"/>
      <c r="O183" s="136"/>
      <c r="P183" s="136"/>
      <c r="Q183" s="137"/>
      <c r="S183" s="136"/>
      <c r="AV183" s="114"/>
      <c r="BE183" s="108"/>
    </row>
    <row r="184" spans="14:57" ht="98.1" customHeight="1">
      <c r="N184" s="136"/>
      <c r="O184" s="136"/>
      <c r="P184" s="136"/>
      <c r="Q184" s="137"/>
      <c r="S184" s="136"/>
      <c r="AV184" s="114"/>
      <c r="BE184" s="108"/>
    </row>
    <row r="185" spans="14:57" ht="98.1" customHeight="1">
      <c r="N185" s="136"/>
      <c r="O185" s="136"/>
      <c r="P185" s="136"/>
      <c r="Q185" s="137"/>
      <c r="S185" s="136"/>
      <c r="AV185" s="114"/>
      <c r="BE185" s="108"/>
    </row>
    <row r="186" spans="14:57" ht="98.1" customHeight="1">
      <c r="N186" s="136"/>
      <c r="O186" s="136"/>
      <c r="P186" s="136"/>
      <c r="Q186" s="137"/>
      <c r="S186" s="136"/>
      <c r="AV186" s="114"/>
      <c r="BE186" s="108"/>
    </row>
    <row r="187" spans="14:57" ht="98.1" customHeight="1">
      <c r="N187" s="136"/>
      <c r="O187" s="136"/>
      <c r="P187" s="136"/>
      <c r="Q187" s="137"/>
      <c r="S187" s="136"/>
      <c r="AV187" s="114"/>
      <c r="BE187" s="108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A3:H3 M3:O52 N3:O187 B3:B187 A1:O2 J3:M3 A4:O356 P1:BD356">
    <cfRule type="expression" dxfId="25" priority="16">
      <formula>IF(УФ_Переключатель=1,IFERROR(TEXT(RIGHT(A1,255),"###"),TRUE))</formula>
    </cfRule>
  </conditionalFormatting>
  <conditionalFormatting sqref="A3:H3 M3:O52 N3:O187 B3:B187 A1:O2 J3:M3 A4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3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54" bestFit="1" customWidth="1"/>
    <col min="2" max="2" width="15.28515625" style="154" bestFit="1" customWidth="1"/>
    <col min="3" max="3" width="37" style="154" bestFit="1" customWidth="1"/>
    <col min="4" max="16384" width="9.140625" style="155"/>
  </cols>
  <sheetData>
    <row r="1" spans="1:5" s="153" customFormat="1" ht="15.75">
      <c r="A1" s="150" t="s">
        <v>1805</v>
      </c>
      <c r="B1" s="150" t="s">
        <v>474</v>
      </c>
      <c r="C1" s="150" t="s">
        <v>1806</v>
      </c>
      <c r="D1" s="151" t="s">
        <v>1807</v>
      </c>
      <c r="E1" s="152">
        <v>0</v>
      </c>
    </row>
    <row r="2" spans="1:5">
      <c r="A2" s="154" t="s">
        <v>1808</v>
      </c>
      <c r="B2" s="154" t="s">
        <v>1809</v>
      </c>
      <c r="C2" s="154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54" t="s">
        <v>1808</v>
      </c>
      <c r="B3" s="154" t="s">
        <v>1809</v>
      </c>
      <c r="C3" s="154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54" t="s">
        <v>1810</v>
      </c>
      <c r="B4" s="154" t="s">
        <v>1811</v>
      </c>
      <c r="C4" s="154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54" t="s">
        <v>1812</v>
      </c>
      <c r="B5" s="154" t="s">
        <v>1811</v>
      </c>
      <c r="C5" s="154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54" t="s">
        <v>1813</v>
      </c>
      <c r="B6" s="154" t="s">
        <v>1814</v>
      </c>
      <c r="C6" s="154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54" t="s">
        <v>1815</v>
      </c>
      <c r="B7" s="154" t="s">
        <v>1816</v>
      </c>
      <c r="C7" s="154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54" t="s">
        <v>1815</v>
      </c>
      <c r="B8" s="154" t="s">
        <v>1816</v>
      </c>
      <c r="C8" s="154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54" t="s">
        <v>1817</v>
      </c>
      <c r="B9" s="154" t="s">
        <v>1818</v>
      </c>
      <c r="C9" s="154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54" t="s">
        <v>1819</v>
      </c>
      <c r="B10" s="154" t="s">
        <v>1818</v>
      </c>
      <c r="C10" s="154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54" t="s">
        <v>1820</v>
      </c>
      <c r="B11" s="154" t="s">
        <v>1821</v>
      </c>
      <c r="C11" s="154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54" t="s">
        <v>1822</v>
      </c>
      <c r="B12" s="154" t="s">
        <v>1823</v>
      </c>
      <c r="C12" s="154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54" t="s">
        <v>1824</v>
      </c>
      <c r="B13" s="154" t="s">
        <v>1825</v>
      </c>
      <c r="C13" s="154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54" t="s">
        <v>1826</v>
      </c>
      <c r="B14" s="154" t="s">
        <v>1827</v>
      </c>
      <c r="C14" s="154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54" t="s">
        <v>1826</v>
      </c>
      <c r="B15" s="154" t="s">
        <v>1827</v>
      </c>
      <c r="C15" s="154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54" t="s">
        <v>1826</v>
      </c>
      <c r="B16" s="154" t="s">
        <v>1827</v>
      </c>
      <c r="C16" s="154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54" t="s">
        <v>1828</v>
      </c>
      <c r="B17" s="154" t="s">
        <v>1827</v>
      </c>
      <c r="C17" s="154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54" t="s">
        <v>1828</v>
      </c>
      <c r="B18" s="154" t="s">
        <v>1827</v>
      </c>
      <c r="C18" s="154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54" t="s">
        <v>1829</v>
      </c>
      <c r="B19" s="154" t="s">
        <v>1827</v>
      </c>
      <c r="C19" s="154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54" t="s">
        <v>1829</v>
      </c>
      <c r="B20" s="154" t="s">
        <v>1827</v>
      </c>
      <c r="C20" s="154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54" t="s">
        <v>1829</v>
      </c>
      <c r="B21" s="154" t="s">
        <v>1827</v>
      </c>
      <c r="C21" s="154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54" t="s">
        <v>1829</v>
      </c>
      <c r="B22" s="154" t="s">
        <v>1827</v>
      </c>
      <c r="C22" s="154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54" t="s">
        <v>1830</v>
      </c>
      <c r="B23" s="154" t="s">
        <v>1831</v>
      </c>
      <c r="C23" s="154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54" t="s">
        <v>1830</v>
      </c>
      <c r="B24" s="154" t="s">
        <v>1831</v>
      </c>
      <c r="C24" s="154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54" t="s">
        <v>1832</v>
      </c>
      <c r="B25" s="154" t="s">
        <v>1831</v>
      </c>
      <c r="C25" s="154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54" t="s">
        <v>1832</v>
      </c>
      <c r="B26" s="154" t="s">
        <v>1831</v>
      </c>
      <c r="C26" s="154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54" t="s">
        <v>1830</v>
      </c>
      <c r="B27" s="154" t="s">
        <v>1831</v>
      </c>
      <c r="C27" s="154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54" t="s">
        <v>1830</v>
      </c>
      <c r="B28" s="154" t="s">
        <v>1831</v>
      </c>
      <c r="C28" s="154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54" t="s">
        <v>1830</v>
      </c>
      <c r="B29" s="154" t="s">
        <v>1831</v>
      </c>
      <c r="C29" s="154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54" t="s">
        <v>1833</v>
      </c>
      <c r="B30" s="154" t="s">
        <v>1834</v>
      </c>
      <c r="C30" s="154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54" t="s">
        <v>1833</v>
      </c>
      <c r="B31" s="154" t="s">
        <v>1834</v>
      </c>
      <c r="C31" s="154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54" t="s">
        <v>1835</v>
      </c>
      <c r="B32" s="154" t="s">
        <v>1836</v>
      </c>
      <c r="C32" s="154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54" t="s">
        <v>1835</v>
      </c>
      <c r="B33" s="154" t="s">
        <v>1836</v>
      </c>
      <c r="C33" s="154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54" t="s">
        <v>1835</v>
      </c>
      <c r="B34" s="154" t="s">
        <v>1836</v>
      </c>
      <c r="C34" s="154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54" t="s">
        <v>1835</v>
      </c>
      <c r="B35" s="154" t="s">
        <v>1836</v>
      </c>
      <c r="C35" s="154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54" t="s">
        <v>1835</v>
      </c>
      <c r="B36" s="154" t="s">
        <v>1836</v>
      </c>
      <c r="C36" s="154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54" t="s">
        <v>1837</v>
      </c>
      <c r="B37" s="154" t="s">
        <v>1838</v>
      </c>
      <c r="C37" s="154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54" t="s">
        <v>1837</v>
      </c>
      <c r="B38" s="154" t="s">
        <v>1838</v>
      </c>
      <c r="C38" s="154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54" t="s">
        <v>1837</v>
      </c>
      <c r="B39" s="154" t="s">
        <v>1838</v>
      </c>
      <c r="C39" s="154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54" t="s">
        <v>1839</v>
      </c>
      <c r="B40" s="154" t="s">
        <v>1840</v>
      </c>
      <c r="C40" s="154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54" t="s">
        <v>1839</v>
      </c>
      <c r="B41" s="154" t="s">
        <v>1840</v>
      </c>
      <c r="C41" s="154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54" t="s">
        <v>1841</v>
      </c>
      <c r="B42" s="154" t="s">
        <v>1840</v>
      </c>
      <c r="C42" s="154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54" t="s">
        <v>1841</v>
      </c>
      <c r="B43" s="154" t="s">
        <v>1840</v>
      </c>
      <c r="C43" s="154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54" t="s">
        <v>1842</v>
      </c>
      <c r="B44" s="154" t="s">
        <v>1843</v>
      </c>
      <c r="C44" s="154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54" t="s">
        <v>1842</v>
      </c>
      <c r="B45" s="154" t="s">
        <v>1843</v>
      </c>
      <c r="C45" s="154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54" t="s">
        <v>1842</v>
      </c>
      <c r="B46" s="154" t="s">
        <v>1843</v>
      </c>
      <c r="C46" s="154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54" t="s">
        <v>1844</v>
      </c>
      <c r="B47" s="154" t="s">
        <v>1843</v>
      </c>
      <c r="C47" s="154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54" t="s">
        <v>1844</v>
      </c>
      <c r="B48" s="154" t="s">
        <v>1843</v>
      </c>
      <c r="C48" s="154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54" t="s">
        <v>1845</v>
      </c>
      <c r="B49" s="154" t="s">
        <v>1846</v>
      </c>
      <c r="C49" s="154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54" t="s">
        <v>1845</v>
      </c>
      <c r="B50" s="154" t="s">
        <v>1846</v>
      </c>
      <c r="C50" s="154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54" t="s">
        <v>1847</v>
      </c>
      <c r="B51" s="154" t="s">
        <v>1848</v>
      </c>
      <c r="C51" s="154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54" t="s">
        <v>1849</v>
      </c>
      <c r="B52" s="154" t="s">
        <v>1850</v>
      </c>
      <c r="C52" s="154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54" t="s">
        <v>1851</v>
      </c>
      <c r="B53" s="154" t="s">
        <v>1852</v>
      </c>
      <c r="C53" s="154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54" t="s">
        <v>1853</v>
      </c>
      <c r="B54" s="154" t="s">
        <v>1854</v>
      </c>
      <c r="C54" s="154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54" t="s">
        <v>1855</v>
      </c>
      <c r="B55" s="154" t="s">
        <v>1856</v>
      </c>
      <c r="C55" s="154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54" t="s">
        <v>1857</v>
      </c>
      <c r="B56" s="154" t="s">
        <v>1858</v>
      </c>
      <c r="C56" s="154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54" t="s">
        <v>1857</v>
      </c>
      <c r="B57" s="154" t="s">
        <v>1858</v>
      </c>
      <c r="C57" s="154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30"/>
  <sheetViews>
    <sheetView topLeftCell="B13" workbookViewId="0">
      <selection activeCell="L30" sqref="L3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2" t="s">
        <v>453</v>
      </c>
      <c r="C1" s="163"/>
      <c r="D1" s="163"/>
      <c r="E1" s="164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65" t="s">
        <v>466</v>
      </c>
      <c r="C5" s="165"/>
      <c r="D5" s="165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66"/>
      <c r="C6" s="167"/>
      <c r="D6" s="167"/>
      <c r="E6" s="168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62" t="s">
        <v>543</v>
      </c>
      <c r="C8" s="163"/>
      <c r="D8" s="163"/>
      <c r="E8" s="164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9" t="s">
        <v>572</v>
      </c>
      <c r="C9" s="170"/>
      <c r="D9" s="171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9"/>
      <c r="C17" s="160"/>
      <c r="D17" s="160"/>
      <c r="E17" s="161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884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886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887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888</v>
      </c>
      <c r="N24" s="41" t="s">
        <v>541</v>
      </c>
      <c r="O24" s="41" t="s">
        <v>571</v>
      </c>
    </row>
    <row r="25" spans="2:17" ht="22.15" customHeight="1">
      <c r="L25" s="41" t="s">
        <v>889</v>
      </c>
      <c r="N25" s="41" t="s">
        <v>538</v>
      </c>
      <c r="O25" s="41" t="s">
        <v>589</v>
      </c>
    </row>
    <row r="26" spans="2:17" ht="22.15" customHeight="1">
      <c r="L26" s="41" t="s">
        <v>891</v>
      </c>
      <c r="N26" s="41" t="s">
        <v>542</v>
      </c>
      <c r="O26" s="41" t="s">
        <v>438</v>
      </c>
    </row>
    <row r="27" spans="2:17" ht="22.15" customHeight="1">
      <c r="L27" s="41" t="s">
        <v>907</v>
      </c>
    </row>
    <row r="28" spans="2:17" ht="22.15" customHeight="1">
      <c r="L28" s="41" t="s">
        <v>890</v>
      </c>
    </row>
    <row r="29" spans="2:17" ht="22.15" customHeight="1">
      <c r="L29" s="158" t="s">
        <v>2160</v>
      </c>
    </row>
    <row r="30" spans="2:17" ht="22.15" customHeight="1">
      <c r="L30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40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40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40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898</v>
      </c>
      <c r="C38" s="140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899</v>
      </c>
      <c r="C39" s="140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900</v>
      </c>
      <c r="C40" s="140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901</v>
      </c>
      <c r="C41" s="140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902</v>
      </c>
      <c r="C42" s="140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903</v>
      </c>
      <c r="C43" s="140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904</v>
      </c>
      <c r="C44" s="140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905</v>
      </c>
      <c r="C45" s="140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906</v>
      </c>
      <c r="C46" s="140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868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869</v>
      </c>
      <c r="B831" s="80" t="s">
        <v>598</v>
      </c>
    </row>
    <row r="832" spans="1:2">
      <c r="A832" s="79" t="s">
        <v>870</v>
      </c>
      <c r="B832" s="80" t="s">
        <v>605</v>
      </c>
    </row>
    <row r="833" spans="1:2">
      <c r="A833" s="79" t="s">
        <v>871</v>
      </c>
      <c r="B833" s="80" t="s">
        <v>604</v>
      </c>
    </row>
    <row r="834" spans="1:2">
      <c r="A834" s="79" t="s">
        <v>872</v>
      </c>
      <c r="B834" s="80" t="s">
        <v>603</v>
      </c>
    </row>
    <row r="835" spans="1:2">
      <c r="A835" s="79" t="s">
        <v>873</v>
      </c>
      <c r="B835" s="80" t="s">
        <v>602</v>
      </c>
    </row>
    <row r="836" spans="1:2">
      <c r="A836" s="79" t="s">
        <v>874</v>
      </c>
      <c r="B836" s="80" t="s">
        <v>598</v>
      </c>
    </row>
    <row r="837" spans="1:2">
      <c r="A837" s="79" t="s">
        <v>875</v>
      </c>
      <c r="B837" s="80" t="s">
        <v>600</v>
      </c>
    </row>
    <row r="838" spans="1:2">
      <c r="A838" s="79" t="s">
        <v>876</v>
      </c>
      <c r="B838" s="80" t="s">
        <v>599</v>
      </c>
    </row>
    <row r="839" spans="1:2">
      <c r="A839" s="79" t="s">
        <v>877</v>
      </c>
      <c r="B839" s="80" t="s">
        <v>638</v>
      </c>
    </row>
    <row r="840" spans="1:2">
      <c r="A840" s="79" t="s">
        <v>878</v>
      </c>
      <c r="B840" s="80" t="s">
        <v>779</v>
      </c>
    </row>
    <row r="841" spans="1:2">
      <c r="A841" s="79" t="s">
        <v>879</v>
      </c>
      <c r="B841" s="80" t="s">
        <v>661</v>
      </c>
    </row>
    <row r="842" spans="1:2">
      <c r="A842" s="79" t="s">
        <v>880</v>
      </c>
      <c r="B842" s="80" t="s">
        <v>686</v>
      </c>
    </row>
    <row r="843" spans="1:2">
      <c r="A843" s="79" t="s">
        <v>881</v>
      </c>
      <c r="B843" s="80" t="s">
        <v>644</v>
      </c>
    </row>
    <row r="844" spans="1:2">
      <c r="A844" s="79" t="s">
        <v>882</v>
      </c>
      <c r="B844" s="80" t="s">
        <v>764</v>
      </c>
    </row>
    <row r="845" spans="1:2">
      <c r="A845" s="79" t="s">
        <v>883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B13" sqref="A13:B21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K793"/>
  <sheetViews>
    <sheetView topLeftCell="CS1" zoomScale="70" zoomScaleNormal="70" workbookViewId="0">
      <pane ySplit="1" topLeftCell="A2" activePane="bottomLeft" state="frozen"/>
      <selection pane="bottomLeft" activeCell="DA9" sqref="DA9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12" width="12.42578125" style="29"/>
    <col min="113" max="113" width="19" style="36" customWidth="1"/>
    <col min="114" max="114" width="25.7109375" style="37" customWidth="1"/>
    <col min="115" max="115" width="18.140625" style="36" customWidth="1"/>
    <col min="116" max="16384" width="12.42578125" style="29"/>
  </cols>
  <sheetData>
    <row r="1" spans="1:115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884</v>
      </c>
      <c r="CE1" s="28"/>
      <c r="CG1" s="30"/>
      <c r="CH1" s="25" t="s">
        <v>886</v>
      </c>
      <c r="CI1" s="28"/>
      <c r="CK1" s="30"/>
      <c r="CL1" s="25" t="s">
        <v>887</v>
      </c>
      <c r="CM1" s="28"/>
      <c r="CO1" s="30"/>
      <c r="CP1" s="25" t="s">
        <v>889</v>
      </c>
      <c r="CQ1" s="28"/>
      <c r="CS1" s="30"/>
      <c r="CT1" s="25" t="s">
        <v>891</v>
      </c>
      <c r="CU1" s="28"/>
      <c r="CW1" s="30"/>
      <c r="CX1" s="25" t="s">
        <v>888</v>
      </c>
      <c r="CY1" s="28"/>
      <c r="DA1" s="30"/>
      <c r="DB1" s="25" t="s">
        <v>890</v>
      </c>
      <c r="DC1" s="28"/>
      <c r="DE1" s="30"/>
      <c r="DF1" s="25" t="s">
        <v>907</v>
      </c>
      <c r="DG1" s="28"/>
      <c r="DI1" s="30"/>
      <c r="DJ1" s="25" t="s">
        <v>2160</v>
      </c>
      <c r="DK1" s="28"/>
    </row>
    <row r="2" spans="1:115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  <c r="DI2" s="31" t="s">
        <v>49</v>
      </c>
      <c r="DJ2" s="31" t="s">
        <v>421</v>
      </c>
      <c r="DK2" s="31" t="s">
        <v>422</v>
      </c>
    </row>
    <row r="3" spans="1:115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892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885</v>
      </c>
      <c r="CG3" s="32" t="s">
        <v>571</v>
      </c>
      <c r="CH3" s="33" t="s">
        <v>541</v>
      </c>
      <c r="CI3" s="33" t="s">
        <v>892</v>
      </c>
      <c r="CK3" s="32" t="s">
        <v>423</v>
      </c>
      <c r="CL3" s="33" t="s">
        <v>386</v>
      </c>
      <c r="CM3" s="33" t="s">
        <v>892</v>
      </c>
      <c r="CO3" s="32" t="s">
        <v>423</v>
      </c>
      <c r="CP3" s="33" t="s">
        <v>893</v>
      </c>
      <c r="CQ3" s="33" t="s">
        <v>892</v>
      </c>
      <c r="CS3" s="32" t="s">
        <v>895</v>
      </c>
      <c r="CT3" s="33" t="s">
        <v>896</v>
      </c>
      <c r="CU3" s="33" t="s">
        <v>892</v>
      </c>
      <c r="CW3" s="32" t="s">
        <v>423</v>
      </c>
      <c r="CX3" s="33" t="s">
        <v>893</v>
      </c>
      <c r="CY3" s="33" t="s">
        <v>892</v>
      </c>
      <c r="DA3" s="32" t="s">
        <v>423</v>
      </c>
      <c r="DB3" s="33" t="s">
        <v>893</v>
      </c>
      <c r="DC3" s="33" t="s">
        <v>892</v>
      </c>
      <c r="DE3" s="32" t="s">
        <v>423</v>
      </c>
      <c r="DF3" s="33" t="s">
        <v>893</v>
      </c>
      <c r="DG3" s="33" t="s">
        <v>892</v>
      </c>
      <c r="DI3" s="32" t="s">
        <v>565</v>
      </c>
      <c r="DJ3" s="33" t="s">
        <v>537</v>
      </c>
      <c r="DK3" s="33" t="s">
        <v>892</v>
      </c>
    </row>
    <row r="4" spans="1:115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892</v>
      </c>
      <c r="CK4" s="32"/>
      <c r="CL4" s="33"/>
      <c r="CM4" s="33"/>
      <c r="CO4" s="32" t="s">
        <v>560</v>
      </c>
      <c r="CP4" s="33" t="s">
        <v>894</v>
      </c>
      <c r="CQ4" s="33" t="s">
        <v>892</v>
      </c>
      <c r="CS4" s="32" t="s">
        <v>571</v>
      </c>
      <c r="CT4" s="33" t="s">
        <v>897</v>
      </c>
      <c r="CU4" s="33" t="s">
        <v>892</v>
      </c>
      <c r="CW4" s="32"/>
      <c r="CX4" s="33"/>
      <c r="CY4" s="33"/>
      <c r="DA4" s="32" t="s">
        <v>560</v>
      </c>
      <c r="DB4" s="33" t="s">
        <v>894</v>
      </c>
      <c r="DC4" s="33" t="s">
        <v>892</v>
      </c>
      <c r="DE4" s="32" t="s">
        <v>571</v>
      </c>
      <c r="DF4" s="33" t="s">
        <v>897</v>
      </c>
      <c r="DG4" s="33" t="s">
        <v>892</v>
      </c>
      <c r="DI4" s="32"/>
      <c r="DJ4" s="33"/>
      <c r="DK4" s="33"/>
    </row>
    <row r="5" spans="1:115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893</v>
      </c>
      <c r="CU5" s="33" t="s">
        <v>892</v>
      </c>
      <c r="CW5" s="32"/>
      <c r="CX5" s="33"/>
      <c r="CY5" s="33"/>
      <c r="DA5" s="32"/>
      <c r="DB5" s="33"/>
      <c r="DC5" s="33"/>
      <c r="DE5" s="32"/>
      <c r="DF5" s="33"/>
      <c r="DG5" s="33"/>
      <c r="DI5" s="32"/>
      <c r="DJ5" s="33"/>
      <c r="DK5" s="33"/>
    </row>
    <row r="6" spans="1:115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  <c r="DI6" s="32"/>
      <c r="DJ6" s="33"/>
      <c r="DK6" s="33"/>
    </row>
    <row r="7" spans="1:115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  <c r="DI7" s="32"/>
      <c r="DJ7" s="33"/>
      <c r="DK7" s="33"/>
    </row>
    <row r="8" spans="1:115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  <c r="DI8" s="32"/>
      <c r="DJ8" s="33"/>
      <c r="DK8" s="33"/>
    </row>
    <row r="9" spans="1:115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  <c r="DI9" s="32"/>
      <c r="DJ9" s="33"/>
      <c r="DK9" s="33"/>
    </row>
    <row r="10" spans="1:115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  <c r="DI10" s="32"/>
      <c r="DJ10" s="33"/>
      <c r="DK10" s="33"/>
    </row>
    <row r="11" spans="1:115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  <c r="DI11" s="32"/>
      <c r="DJ11" s="33"/>
      <c r="DK11" s="33"/>
    </row>
    <row r="12" spans="1:115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  <c r="DI12" s="29"/>
      <c r="DJ12" s="34"/>
      <c r="DK12" s="29"/>
    </row>
    <row r="13" spans="1:115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  <c r="DI13" s="29"/>
      <c r="DJ13" s="34"/>
      <c r="DK13" s="29"/>
    </row>
    <row r="14" spans="1:115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  <c r="DI14" s="29"/>
      <c r="DJ14" s="34"/>
      <c r="DK14" s="29"/>
    </row>
    <row r="15" spans="1:115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  <c r="DI15" s="29"/>
      <c r="DJ15" s="34"/>
      <c r="DK15" s="29"/>
    </row>
    <row r="16" spans="1:115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  <c r="DI16" s="29"/>
      <c r="DJ16" s="34"/>
      <c r="DK16" s="29"/>
    </row>
    <row r="17" spans="2:114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  <c r="DJ17" s="34"/>
    </row>
    <row r="18" spans="2:114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  <c r="DJ18" s="34"/>
    </row>
    <row r="19" spans="2:114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  <c r="DJ19" s="34"/>
    </row>
    <row r="20" spans="2:114" s="29" customFormat="1" ht="105.75" customHeight="1" thickBot="1">
      <c r="B20" s="172" t="s">
        <v>556</v>
      </c>
      <c r="C20" s="173"/>
      <c r="D20" s="173"/>
      <c r="E20" s="173"/>
      <c r="F20" s="173"/>
      <c r="G20" s="173"/>
      <c r="H20" s="173"/>
      <c r="I20" s="173"/>
      <c r="J20" s="174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  <c r="DJ20" s="34"/>
    </row>
    <row r="21" spans="2:114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  <c r="DJ21" s="34"/>
    </row>
    <row r="22" spans="2:114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  <c r="DJ22" s="34"/>
    </row>
    <row r="23" spans="2:114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  <c r="DJ23" s="34"/>
    </row>
    <row r="24" spans="2:114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  <c r="DJ24" s="34"/>
    </row>
    <row r="25" spans="2:114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  <c r="DJ25" s="34"/>
    </row>
    <row r="26" spans="2:114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  <c r="DJ26" s="34"/>
    </row>
    <row r="27" spans="2:114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  <c r="DJ27" s="34"/>
    </row>
    <row r="28" spans="2:114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  <c r="DJ28" s="34"/>
    </row>
    <row r="29" spans="2:114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  <c r="DJ29" s="34"/>
    </row>
    <row r="30" spans="2:114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  <c r="DJ30" s="34"/>
    </row>
    <row r="31" spans="2:114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  <c r="DJ31" s="34"/>
    </row>
    <row r="32" spans="2:114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  <c r="DJ32" s="34"/>
    </row>
    <row r="33" spans="2:114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  <c r="DJ33" s="34"/>
    </row>
    <row r="34" spans="2:114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  <c r="DJ34" s="34"/>
    </row>
    <row r="35" spans="2:114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  <c r="DJ35" s="34"/>
    </row>
    <row r="36" spans="2:114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  <c r="DJ36" s="34"/>
    </row>
    <row r="37" spans="2:114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  <c r="DJ37" s="34"/>
    </row>
    <row r="38" spans="2:114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  <c r="DJ38" s="34"/>
    </row>
    <row r="39" spans="2:114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  <c r="DJ39" s="34"/>
    </row>
    <row r="40" spans="2:114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  <c r="DJ40" s="34"/>
    </row>
    <row r="41" spans="2:114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  <c r="DJ41" s="34"/>
    </row>
    <row r="42" spans="2:114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  <c r="DJ42" s="34"/>
    </row>
    <row r="43" spans="2:114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  <c r="DJ43" s="34"/>
    </row>
    <row r="44" spans="2:114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  <c r="DJ44" s="34"/>
    </row>
    <row r="45" spans="2:114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  <c r="DJ45" s="34"/>
    </row>
    <row r="46" spans="2:114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  <c r="DJ46" s="34"/>
    </row>
    <row r="47" spans="2:114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  <c r="DJ47" s="34"/>
    </row>
    <row r="48" spans="2:114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  <c r="DJ48" s="34"/>
    </row>
    <row r="49" spans="2:114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  <c r="DJ49" s="34"/>
    </row>
    <row r="50" spans="2:114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  <c r="DJ50" s="34"/>
    </row>
    <row r="51" spans="2:114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  <c r="DJ51" s="34"/>
    </row>
    <row r="52" spans="2:114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  <c r="DJ52" s="34"/>
    </row>
    <row r="53" spans="2:114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  <c r="DJ53" s="34"/>
    </row>
    <row r="54" spans="2:114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  <c r="DJ54" s="34"/>
    </row>
    <row r="55" spans="2:114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  <c r="DJ55" s="34"/>
    </row>
    <row r="56" spans="2:114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  <c r="DJ56" s="34"/>
    </row>
    <row r="57" spans="2:114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  <c r="DJ57" s="34"/>
    </row>
    <row r="58" spans="2:114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  <c r="DJ58" s="34"/>
    </row>
    <row r="59" spans="2:114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  <c r="DJ59" s="34"/>
    </row>
    <row r="60" spans="2:114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  <c r="DJ60" s="34"/>
    </row>
    <row r="61" spans="2:114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  <c r="DJ61" s="34"/>
    </row>
    <row r="62" spans="2:114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  <c r="DJ62" s="34"/>
    </row>
    <row r="63" spans="2:114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  <c r="DJ63" s="34"/>
    </row>
    <row r="64" spans="2:114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  <c r="DJ64" s="34"/>
    </row>
    <row r="65" spans="2:114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  <c r="DJ65" s="34"/>
    </row>
    <row r="66" spans="2:114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  <c r="DJ66" s="34"/>
    </row>
    <row r="67" spans="2:114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  <c r="DJ67" s="34"/>
    </row>
    <row r="68" spans="2:114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  <c r="DJ68" s="34"/>
    </row>
    <row r="69" spans="2:114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  <c r="DJ69" s="34"/>
    </row>
    <row r="70" spans="2:114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  <c r="DJ70" s="34"/>
    </row>
    <row r="71" spans="2:114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  <c r="DJ71" s="34"/>
    </row>
    <row r="72" spans="2:114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  <c r="DJ72" s="34"/>
    </row>
    <row r="73" spans="2:114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  <c r="DJ73" s="34"/>
    </row>
    <row r="74" spans="2:114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  <c r="DJ74" s="34"/>
    </row>
    <row r="75" spans="2:114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  <c r="DJ75" s="34"/>
    </row>
    <row r="76" spans="2:114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  <c r="DJ76" s="34"/>
    </row>
    <row r="77" spans="2:114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  <c r="DJ77" s="34"/>
    </row>
    <row r="78" spans="2:114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  <c r="DJ78" s="34"/>
    </row>
    <row r="79" spans="2:114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  <c r="DJ79" s="34"/>
    </row>
    <row r="80" spans="2:114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  <c r="DJ80" s="34"/>
    </row>
    <row r="81" spans="2:114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  <c r="DJ81" s="34"/>
    </row>
    <row r="82" spans="2:114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  <c r="DJ82" s="34"/>
    </row>
    <row r="83" spans="2:114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  <c r="DJ83" s="34"/>
    </row>
    <row r="84" spans="2:114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  <c r="DJ84" s="34"/>
    </row>
    <row r="85" spans="2:114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  <c r="DJ85" s="34"/>
    </row>
    <row r="86" spans="2:114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  <c r="DJ86" s="34"/>
    </row>
    <row r="87" spans="2:114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  <c r="DJ87" s="34"/>
    </row>
    <row r="88" spans="2:114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  <c r="DJ88" s="34"/>
    </row>
    <row r="89" spans="2:114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  <c r="DJ89" s="34"/>
    </row>
    <row r="90" spans="2:114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  <c r="DJ90" s="34"/>
    </row>
    <row r="91" spans="2:114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  <c r="DJ91" s="34"/>
    </row>
    <row r="92" spans="2:114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  <c r="DJ92" s="34"/>
    </row>
    <row r="93" spans="2:114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  <c r="DJ93" s="34"/>
    </row>
    <row r="94" spans="2:114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  <c r="DJ94" s="34"/>
    </row>
    <row r="95" spans="2:114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  <c r="DJ95" s="34"/>
    </row>
    <row r="96" spans="2:114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  <c r="DJ96" s="34"/>
    </row>
    <row r="97" spans="2:114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  <c r="DJ97" s="34"/>
    </row>
    <row r="98" spans="2:114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  <c r="DJ98" s="34"/>
    </row>
    <row r="99" spans="2:114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  <c r="DJ99" s="34"/>
    </row>
    <row r="100" spans="2:114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  <c r="DJ100" s="34"/>
    </row>
    <row r="101" spans="2:114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  <c r="DJ101" s="34"/>
    </row>
    <row r="102" spans="2:114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  <c r="DJ102" s="34"/>
    </row>
    <row r="103" spans="2:114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  <c r="DJ103" s="34"/>
    </row>
    <row r="104" spans="2:114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  <c r="DJ104" s="34"/>
    </row>
    <row r="105" spans="2:114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  <c r="DJ105" s="34"/>
    </row>
    <row r="106" spans="2:114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  <c r="DJ106" s="34"/>
    </row>
    <row r="107" spans="2:114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  <c r="DJ107" s="34"/>
    </row>
    <row r="108" spans="2:114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  <c r="DJ108" s="34"/>
    </row>
    <row r="109" spans="2:114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  <c r="DJ109" s="34"/>
    </row>
    <row r="110" spans="2:114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  <c r="DJ110" s="34"/>
    </row>
    <row r="111" spans="2:114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  <c r="DJ111" s="34"/>
    </row>
    <row r="112" spans="2:114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  <c r="DJ112" s="34"/>
    </row>
    <row r="113" spans="2:114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  <c r="DJ113" s="34"/>
    </row>
    <row r="114" spans="2:114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  <c r="DJ114" s="34"/>
    </row>
    <row r="115" spans="2:114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  <c r="DJ115" s="34"/>
    </row>
    <row r="116" spans="2:114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  <c r="DJ116" s="34"/>
    </row>
    <row r="117" spans="2:114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  <c r="DJ117" s="34"/>
    </row>
    <row r="118" spans="2:114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  <c r="DJ118" s="34"/>
    </row>
    <row r="119" spans="2:114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  <c r="DJ119" s="34"/>
    </row>
    <row r="120" spans="2:114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  <c r="DJ120" s="34"/>
    </row>
    <row r="121" spans="2:114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  <c r="DJ121" s="34"/>
    </row>
    <row r="122" spans="2:114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  <c r="DJ122" s="34"/>
    </row>
    <row r="123" spans="2:114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  <c r="DJ123" s="34"/>
    </row>
    <row r="124" spans="2:114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  <c r="DJ124" s="34"/>
    </row>
    <row r="125" spans="2:114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  <c r="DJ125" s="34"/>
    </row>
    <row r="126" spans="2:114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  <c r="DJ126" s="34"/>
    </row>
    <row r="127" spans="2:114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  <c r="DJ127" s="34"/>
    </row>
    <row r="128" spans="2:114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  <c r="DJ128" s="34"/>
    </row>
    <row r="129" spans="2:114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  <c r="DJ129" s="34"/>
    </row>
    <row r="130" spans="2:114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  <c r="DJ130" s="34"/>
    </row>
    <row r="131" spans="2:114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  <c r="DJ131" s="34"/>
    </row>
    <row r="132" spans="2:114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  <c r="DJ132" s="34"/>
    </row>
    <row r="133" spans="2:114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  <c r="DJ133" s="34"/>
    </row>
    <row r="134" spans="2:114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  <c r="DJ134" s="34"/>
    </row>
    <row r="135" spans="2:114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  <c r="DJ135" s="34"/>
    </row>
    <row r="136" spans="2:114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  <c r="DJ136" s="34"/>
    </row>
    <row r="137" spans="2:114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  <c r="DJ137" s="34"/>
    </row>
    <row r="138" spans="2:114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  <c r="DJ138" s="34"/>
    </row>
    <row r="139" spans="2:114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  <c r="DJ139" s="34"/>
    </row>
    <row r="140" spans="2:114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  <c r="DJ140" s="34"/>
    </row>
    <row r="141" spans="2:114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  <c r="DJ141" s="34"/>
    </row>
    <row r="142" spans="2:114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  <c r="DJ142" s="34"/>
    </row>
    <row r="143" spans="2:114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  <c r="DJ143" s="34"/>
    </row>
    <row r="144" spans="2:114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  <c r="DJ144" s="34"/>
    </row>
    <row r="145" spans="2:114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  <c r="DJ145" s="34"/>
    </row>
    <row r="146" spans="2:114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  <c r="DJ146" s="34"/>
    </row>
    <row r="147" spans="2:114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  <c r="DJ147" s="34"/>
    </row>
    <row r="148" spans="2:114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  <c r="DJ148" s="34"/>
    </row>
    <row r="149" spans="2:114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  <c r="DJ149" s="34"/>
    </row>
    <row r="150" spans="2:114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  <c r="DJ150" s="34"/>
    </row>
    <row r="151" spans="2:114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  <c r="DJ151" s="34"/>
    </row>
    <row r="152" spans="2:114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  <c r="DJ152" s="34"/>
    </row>
    <row r="153" spans="2:114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  <c r="DJ153" s="34"/>
    </row>
    <row r="154" spans="2:114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  <c r="DJ154" s="34"/>
    </row>
    <row r="155" spans="2:114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  <c r="DJ155" s="34"/>
    </row>
    <row r="156" spans="2:114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  <c r="DJ156" s="34"/>
    </row>
    <row r="157" spans="2:114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  <c r="DJ157" s="34"/>
    </row>
    <row r="158" spans="2:114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  <c r="DJ158" s="34"/>
    </row>
    <row r="159" spans="2:114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  <c r="DJ159" s="34"/>
    </row>
    <row r="160" spans="2:114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  <c r="DJ160" s="34"/>
    </row>
    <row r="161" spans="2:114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  <c r="DJ161" s="34"/>
    </row>
    <row r="162" spans="2:114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  <c r="DJ162" s="34"/>
    </row>
    <row r="163" spans="2:114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  <c r="DJ163" s="34"/>
    </row>
    <row r="164" spans="2:114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  <c r="DJ164" s="34"/>
    </row>
    <row r="165" spans="2:114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  <c r="DJ165" s="34"/>
    </row>
    <row r="166" spans="2:114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  <c r="DJ166" s="34"/>
    </row>
    <row r="167" spans="2:114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  <c r="DJ167" s="34"/>
    </row>
    <row r="168" spans="2:114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  <c r="DJ168" s="34"/>
    </row>
    <row r="169" spans="2:114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  <c r="DJ169" s="34"/>
    </row>
    <row r="170" spans="2:114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  <c r="DJ170" s="34"/>
    </row>
    <row r="171" spans="2:114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  <c r="DJ171" s="34"/>
    </row>
    <row r="172" spans="2:114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  <c r="DJ172" s="34"/>
    </row>
    <row r="173" spans="2:114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  <c r="DJ173" s="34"/>
    </row>
    <row r="174" spans="2:114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  <c r="DJ174" s="34"/>
    </row>
    <row r="175" spans="2:114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  <c r="DJ175" s="34"/>
    </row>
    <row r="176" spans="2:114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  <c r="DJ176" s="34"/>
    </row>
    <row r="177" spans="2:114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  <c r="DJ177" s="34"/>
    </row>
    <row r="178" spans="2:114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  <c r="DJ178" s="34"/>
    </row>
    <row r="179" spans="2:114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  <c r="DJ179" s="34"/>
    </row>
    <row r="180" spans="2:114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  <c r="DJ180" s="34"/>
    </row>
    <row r="181" spans="2:114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  <c r="DJ181" s="34"/>
    </row>
    <row r="182" spans="2:114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  <c r="DJ182" s="34"/>
    </row>
    <row r="183" spans="2:114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  <c r="DJ183" s="34"/>
    </row>
    <row r="184" spans="2:114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  <c r="DJ184" s="34"/>
    </row>
    <row r="185" spans="2:114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  <c r="DJ185" s="34"/>
    </row>
    <row r="186" spans="2:114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  <c r="DJ186" s="34"/>
    </row>
    <row r="187" spans="2:114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  <c r="DJ187" s="34"/>
    </row>
    <row r="188" spans="2:114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  <c r="DJ188" s="34"/>
    </row>
    <row r="189" spans="2:114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  <c r="DJ189" s="34"/>
    </row>
    <row r="190" spans="2:114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  <c r="DJ190" s="34"/>
    </row>
    <row r="191" spans="2:114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  <c r="DJ191" s="34"/>
    </row>
    <row r="192" spans="2:114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  <c r="DJ192" s="34"/>
    </row>
    <row r="193" spans="2:114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  <c r="DJ193" s="34"/>
    </row>
    <row r="194" spans="2:114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  <c r="DJ194" s="34"/>
    </row>
    <row r="195" spans="2:114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  <c r="DJ195" s="34"/>
    </row>
    <row r="196" spans="2:114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  <c r="DJ196" s="34"/>
    </row>
    <row r="197" spans="2:114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  <c r="DJ197" s="34"/>
    </row>
    <row r="198" spans="2:114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  <c r="DJ198" s="34"/>
    </row>
    <row r="199" spans="2:114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  <c r="DJ199" s="34"/>
    </row>
    <row r="200" spans="2:114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  <c r="DJ200" s="34"/>
    </row>
    <row r="201" spans="2:114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  <c r="DJ201" s="34"/>
    </row>
    <row r="202" spans="2:114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  <c r="DJ202" s="34"/>
    </row>
    <row r="203" spans="2:114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  <c r="DJ203" s="34"/>
    </row>
    <row r="204" spans="2:114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  <c r="DJ204" s="34"/>
    </row>
    <row r="205" spans="2:114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  <c r="DJ205" s="34"/>
    </row>
    <row r="206" spans="2:114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  <c r="DJ206" s="34"/>
    </row>
    <row r="207" spans="2:114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  <c r="DJ207" s="34"/>
    </row>
    <row r="208" spans="2:114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  <c r="DJ208" s="34"/>
    </row>
    <row r="209" spans="2:114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  <c r="DJ209" s="34"/>
    </row>
    <row r="210" spans="2:114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  <c r="DJ210" s="34"/>
    </row>
    <row r="211" spans="2:114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  <c r="DJ211" s="34"/>
    </row>
    <row r="212" spans="2:114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  <c r="DJ212" s="34"/>
    </row>
    <row r="213" spans="2:114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  <c r="DJ213" s="34"/>
    </row>
    <row r="214" spans="2:114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  <c r="DJ214" s="34"/>
    </row>
    <row r="215" spans="2:114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  <c r="DJ215" s="34"/>
    </row>
    <row r="216" spans="2:114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  <c r="DJ216" s="34"/>
    </row>
    <row r="217" spans="2:114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  <c r="DJ217" s="34"/>
    </row>
    <row r="218" spans="2:114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  <c r="DJ218" s="34"/>
    </row>
    <row r="219" spans="2:114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  <c r="DJ219" s="34"/>
    </row>
    <row r="220" spans="2:114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  <c r="DJ220" s="34"/>
    </row>
    <row r="221" spans="2:114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  <c r="DJ221" s="34"/>
    </row>
    <row r="222" spans="2:114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  <c r="DJ222" s="34"/>
    </row>
    <row r="223" spans="2:114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  <c r="DJ223" s="34"/>
    </row>
    <row r="224" spans="2:114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  <c r="DJ224" s="34"/>
    </row>
    <row r="225" spans="2:114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  <c r="DJ225" s="34"/>
    </row>
    <row r="226" spans="2:114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  <c r="DJ226" s="34"/>
    </row>
    <row r="227" spans="2:114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  <c r="DJ227" s="34"/>
    </row>
    <row r="228" spans="2:114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  <c r="DJ228" s="34"/>
    </row>
    <row r="229" spans="2:114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  <c r="DJ229" s="34"/>
    </row>
    <row r="230" spans="2:114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  <c r="DJ230" s="34"/>
    </row>
    <row r="231" spans="2:114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  <c r="DJ231" s="34"/>
    </row>
    <row r="232" spans="2:114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  <c r="DJ232" s="34"/>
    </row>
    <row r="233" spans="2:114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  <c r="DJ233" s="34"/>
    </row>
    <row r="234" spans="2:114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  <c r="DJ234" s="34"/>
    </row>
    <row r="235" spans="2:114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  <c r="DJ235" s="34"/>
    </row>
    <row r="236" spans="2:114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  <c r="DJ236" s="34"/>
    </row>
    <row r="237" spans="2:114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  <c r="DJ237" s="34"/>
    </row>
    <row r="238" spans="2:114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  <c r="DJ238" s="34"/>
    </row>
    <row r="239" spans="2:114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  <c r="DJ239" s="34"/>
    </row>
    <row r="240" spans="2:114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  <c r="DJ240" s="34"/>
    </row>
    <row r="241" spans="2:114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  <c r="DJ241" s="34"/>
    </row>
    <row r="242" spans="2:114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  <c r="DJ242" s="34"/>
    </row>
    <row r="243" spans="2:114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  <c r="DJ243" s="34"/>
    </row>
    <row r="244" spans="2:114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  <c r="DJ244" s="34"/>
    </row>
    <row r="245" spans="2:114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  <c r="DJ245" s="34"/>
    </row>
    <row r="246" spans="2:114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  <c r="DJ246" s="34"/>
    </row>
    <row r="247" spans="2:114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  <c r="DJ247" s="34"/>
    </row>
    <row r="248" spans="2:114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  <c r="DJ248" s="34"/>
    </row>
    <row r="249" spans="2:114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  <c r="DJ249" s="34"/>
    </row>
    <row r="250" spans="2:114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  <c r="DJ250" s="34"/>
    </row>
    <row r="251" spans="2:114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  <c r="DJ251" s="34"/>
    </row>
    <row r="252" spans="2:114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  <c r="DJ252" s="34"/>
    </row>
    <row r="253" spans="2:114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  <c r="DJ253" s="34"/>
    </row>
    <row r="254" spans="2:114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  <c r="DJ254" s="34"/>
    </row>
    <row r="255" spans="2:114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  <c r="DJ255" s="34"/>
    </row>
    <row r="256" spans="2:114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  <c r="DJ256" s="34"/>
    </row>
    <row r="257" spans="2:114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  <c r="DJ257" s="34"/>
    </row>
    <row r="258" spans="2:114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  <c r="DJ258" s="34"/>
    </row>
    <row r="259" spans="2:114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  <c r="DJ259" s="34"/>
    </row>
    <row r="260" spans="2:114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  <c r="DJ260" s="34"/>
    </row>
    <row r="261" spans="2:114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  <c r="DJ261" s="34"/>
    </row>
    <row r="262" spans="2:114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  <c r="DJ262" s="34"/>
    </row>
    <row r="263" spans="2:114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  <c r="DJ263" s="34"/>
    </row>
    <row r="264" spans="2:114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  <c r="DJ264" s="34"/>
    </row>
    <row r="265" spans="2:114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  <c r="DJ265" s="34"/>
    </row>
    <row r="266" spans="2:114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  <c r="DJ266" s="34"/>
    </row>
    <row r="267" spans="2:114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  <c r="DJ267" s="34"/>
    </row>
    <row r="268" spans="2:114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  <c r="DJ268" s="34"/>
    </row>
    <row r="269" spans="2:114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  <c r="DJ269" s="34"/>
    </row>
    <row r="270" spans="2:114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  <c r="DJ270" s="34"/>
    </row>
    <row r="271" spans="2:114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  <c r="DJ271" s="34"/>
    </row>
    <row r="272" spans="2:114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  <c r="DJ272" s="34"/>
    </row>
    <row r="273" spans="2:114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  <c r="DJ273" s="34"/>
    </row>
    <row r="274" spans="2:114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  <c r="DJ274" s="34"/>
    </row>
    <row r="275" spans="2:114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  <c r="DJ275" s="34"/>
    </row>
    <row r="276" spans="2:114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  <c r="DJ276" s="34"/>
    </row>
    <row r="277" spans="2:114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  <c r="DJ277" s="34"/>
    </row>
    <row r="278" spans="2:114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  <c r="DJ278" s="34"/>
    </row>
    <row r="279" spans="2:114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  <c r="DJ279" s="34"/>
    </row>
    <row r="280" spans="2:114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  <c r="DJ280" s="34"/>
    </row>
    <row r="281" spans="2:114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  <c r="DJ281" s="34"/>
    </row>
    <row r="282" spans="2:114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  <c r="DJ282" s="34"/>
    </row>
    <row r="283" spans="2:114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  <c r="DJ283" s="34"/>
    </row>
    <row r="284" spans="2:114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  <c r="DJ284" s="34"/>
    </row>
    <row r="285" spans="2:114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  <c r="DJ285" s="34"/>
    </row>
    <row r="286" spans="2:114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  <c r="DJ286" s="34"/>
    </row>
    <row r="287" spans="2:114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  <c r="DJ287" s="34"/>
    </row>
    <row r="288" spans="2:114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  <c r="DJ288" s="34"/>
    </row>
    <row r="289" spans="2:114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  <c r="DJ289" s="34"/>
    </row>
    <row r="290" spans="2:114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  <c r="DJ290" s="34"/>
    </row>
    <row r="291" spans="2:114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  <c r="DJ291" s="34"/>
    </row>
    <row r="292" spans="2:114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  <c r="DJ292" s="34"/>
    </row>
    <row r="293" spans="2:114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  <c r="DJ293" s="34"/>
    </row>
    <row r="294" spans="2:114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  <c r="DJ294" s="34"/>
    </row>
    <row r="295" spans="2:114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  <c r="DJ295" s="34"/>
    </row>
    <row r="296" spans="2:114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  <c r="DJ296" s="34"/>
    </row>
    <row r="297" spans="2:114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  <c r="DJ297" s="34"/>
    </row>
    <row r="298" spans="2:114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  <c r="DJ298" s="34"/>
    </row>
    <row r="299" spans="2:114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  <c r="DJ299" s="34"/>
    </row>
    <row r="300" spans="2:114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  <c r="DJ300" s="34"/>
    </row>
    <row r="301" spans="2:114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  <c r="DJ301" s="34"/>
    </row>
    <row r="302" spans="2:114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  <c r="DJ302" s="34"/>
    </row>
    <row r="303" spans="2:114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  <c r="DJ303" s="34"/>
    </row>
    <row r="304" spans="2:114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  <c r="DJ304" s="34"/>
    </row>
    <row r="305" spans="2:114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  <c r="DJ305" s="34"/>
    </row>
    <row r="306" spans="2:114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  <c r="DJ306" s="34"/>
    </row>
    <row r="307" spans="2:114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  <c r="DJ307" s="34"/>
    </row>
    <row r="308" spans="2:114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  <c r="DJ308" s="34"/>
    </row>
    <row r="309" spans="2:114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  <c r="DJ309" s="34"/>
    </row>
    <row r="310" spans="2:114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  <c r="DJ310" s="34"/>
    </row>
    <row r="311" spans="2:114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  <c r="DJ311" s="34"/>
    </row>
    <row r="312" spans="2:114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  <c r="DJ312" s="34"/>
    </row>
    <row r="313" spans="2:114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  <c r="DJ313" s="34"/>
    </row>
    <row r="314" spans="2:114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  <c r="DJ314" s="34"/>
    </row>
    <row r="315" spans="2:114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  <c r="DJ315" s="34"/>
    </row>
    <row r="316" spans="2:114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  <c r="DJ316" s="34"/>
    </row>
    <row r="317" spans="2:114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  <c r="DJ317" s="34"/>
    </row>
    <row r="318" spans="2:114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  <c r="DJ318" s="34"/>
    </row>
    <row r="319" spans="2:114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  <c r="DJ319" s="34"/>
    </row>
    <row r="320" spans="2:114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  <c r="DJ320" s="34"/>
    </row>
    <row r="321" spans="2:114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  <c r="DJ321" s="34"/>
    </row>
    <row r="322" spans="2:114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  <c r="DJ322" s="34"/>
    </row>
    <row r="323" spans="2:114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  <c r="DJ323" s="34"/>
    </row>
    <row r="324" spans="2:114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  <c r="DJ324" s="34"/>
    </row>
    <row r="325" spans="2:114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  <c r="DJ325" s="34"/>
    </row>
    <row r="326" spans="2:114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  <c r="DJ326" s="34"/>
    </row>
    <row r="327" spans="2:114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  <c r="DJ327" s="34"/>
    </row>
    <row r="328" spans="2:114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  <c r="DJ328" s="34"/>
    </row>
    <row r="329" spans="2:114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  <c r="DJ329" s="34"/>
    </row>
    <row r="330" spans="2:114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  <c r="DJ330" s="34"/>
    </row>
    <row r="331" spans="2:114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  <c r="DJ331" s="34"/>
    </row>
    <row r="332" spans="2:114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  <c r="DJ332" s="34"/>
    </row>
    <row r="333" spans="2:114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  <c r="DJ333" s="34"/>
    </row>
    <row r="334" spans="2:114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  <c r="DJ334" s="34"/>
    </row>
    <row r="335" spans="2:114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  <c r="DJ335" s="34"/>
    </row>
    <row r="336" spans="2:114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  <c r="DJ336" s="34"/>
    </row>
    <row r="337" spans="2:114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  <c r="DJ337" s="34"/>
    </row>
    <row r="338" spans="2:114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  <c r="DJ338" s="34"/>
    </row>
    <row r="339" spans="2:114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  <c r="DJ339" s="34"/>
    </row>
    <row r="340" spans="2:114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  <c r="DJ340" s="34"/>
    </row>
    <row r="341" spans="2:114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  <c r="DJ341" s="34"/>
    </row>
    <row r="342" spans="2:114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  <c r="DJ342" s="34"/>
    </row>
    <row r="343" spans="2:114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  <c r="DJ343" s="34"/>
    </row>
    <row r="344" spans="2:114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  <c r="DJ344" s="34"/>
    </row>
    <row r="345" spans="2:114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  <c r="DJ345" s="34"/>
    </row>
    <row r="346" spans="2:114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  <c r="DJ346" s="34"/>
    </row>
    <row r="347" spans="2:114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  <c r="DJ347" s="34"/>
    </row>
    <row r="348" spans="2:114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  <c r="DJ348" s="34"/>
    </row>
    <row r="349" spans="2:114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  <c r="DJ349" s="34"/>
    </row>
    <row r="350" spans="2:114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  <c r="DJ350" s="34"/>
    </row>
    <row r="351" spans="2:114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  <c r="DJ351" s="34"/>
    </row>
    <row r="352" spans="2:114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  <c r="DJ352" s="34"/>
    </row>
    <row r="353" spans="2:114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  <c r="DJ353" s="34"/>
    </row>
    <row r="354" spans="2:114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  <c r="DJ354" s="34"/>
    </row>
    <row r="355" spans="2:114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  <c r="DJ355" s="34"/>
    </row>
    <row r="356" spans="2:114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  <c r="DJ356" s="34"/>
    </row>
    <row r="357" spans="2:114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  <c r="DJ357" s="34"/>
    </row>
    <row r="358" spans="2:114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  <c r="DJ358" s="34"/>
    </row>
    <row r="359" spans="2:114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  <c r="DJ359" s="34"/>
    </row>
    <row r="360" spans="2:114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  <c r="DJ360" s="34"/>
    </row>
    <row r="361" spans="2:114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  <c r="DJ361" s="34"/>
    </row>
    <row r="362" spans="2:114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  <c r="DJ362" s="34"/>
    </row>
    <row r="363" spans="2:114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  <c r="DJ363" s="34"/>
    </row>
    <row r="364" spans="2:114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  <c r="DJ364" s="34"/>
    </row>
    <row r="365" spans="2:114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  <c r="DJ365" s="34"/>
    </row>
    <row r="366" spans="2:114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  <c r="DJ366" s="34"/>
    </row>
    <row r="367" spans="2:114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  <c r="DJ367" s="34"/>
    </row>
    <row r="368" spans="2:114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  <c r="DJ368" s="34"/>
    </row>
    <row r="369" spans="2:114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  <c r="DJ369" s="34"/>
    </row>
    <row r="370" spans="2:114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  <c r="DJ370" s="34"/>
    </row>
    <row r="371" spans="2:114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  <c r="DJ371" s="34"/>
    </row>
    <row r="372" spans="2:114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  <c r="DJ372" s="34"/>
    </row>
    <row r="373" spans="2:114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  <c r="DJ373" s="34"/>
    </row>
    <row r="374" spans="2:114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  <c r="DJ374" s="34"/>
    </row>
    <row r="375" spans="2:114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  <c r="DJ375" s="34"/>
    </row>
    <row r="376" spans="2:114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  <c r="DJ376" s="34"/>
    </row>
    <row r="377" spans="2:114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  <c r="DJ377" s="34"/>
    </row>
    <row r="378" spans="2:114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  <c r="DJ378" s="34"/>
    </row>
    <row r="379" spans="2:114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  <c r="DJ379" s="34"/>
    </row>
    <row r="380" spans="2:114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  <c r="DJ380" s="34"/>
    </row>
    <row r="381" spans="2:114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  <c r="DJ381" s="34"/>
    </row>
    <row r="382" spans="2:114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  <c r="DJ382" s="34"/>
    </row>
    <row r="383" spans="2:114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  <c r="DJ383" s="34"/>
    </row>
    <row r="384" spans="2:114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  <c r="DJ384" s="34"/>
    </row>
    <row r="385" spans="2:114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  <c r="DJ385" s="34"/>
    </row>
    <row r="386" spans="2:114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  <c r="DJ386" s="34"/>
    </row>
    <row r="387" spans="2:114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  <c r="DJ387" s="34"/>
    </row>
    <row r="388" spans="2:114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  <c r="DJ388" s="34"/>
    </row>
    <row r="389" spans="2:114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  <c r="DJ389" s="34"/>
    </row>
    <row r="390" spans="2:114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  <c r="DJ390" s="34"/>
    </row>
    <row r="391" spans="2:114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  <c r="DJ391" s="34"/>
    </row>
    <row r="392" spans="2:114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  <c r="DJ392" s="34"/>
    </row>
    <row r="393" spans="2:114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  <c r="DJ393" s="34"/>
    </row>
    <row r="394" spans="2:114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  <c r="DJ394" s="34"/>
    </row>
    <row r="395" spans="2:114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  <c r="DJ395" s="34"/>
    </row>
    <row r="396" spans="2:114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  <c r="DJ396" s="34"/>
    </row>
    <row r="397" spans="2:114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  <c r="DJ397" s="34"/>
    </row>
    <row r="398" spans="2:114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  <c r="DJ398" s="34"/>
    </row>
    <row r="399" spans="2:114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  <c r="DJ399" s="34"/>
    </row>
    <row r="400" spans="2:114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  <c r="DJ400" s="34"/>
    </row>
    <row r="401" spans="2:114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  <c r="DJ401" s="34"/>
    </row>
    <row r="402" spans="2:114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  <c r="DJ402" s="34"/>
    </row>
    <row r="403" spans="2:114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  <c r="DJ403" s="34"/>
    </row>
    <row r="404" spans="2:114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  <c r="DJ404" s="34"/>
    </row>
    <row r="405" spans="2:114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  <c r="DJ405" s="34"/>
    </row>
    <row r="406" spans="2:114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  <c r="DJ406" s="34"/>
    </row>
    <row r="407" spans="2:114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  <c r="DJ407" s="34"/>
    </row>
    <row r="408" spans="2:114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  <c r="DJ408" s="34"/>
    </row>
    <row r="409" spans="2:114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  <c r="DJ409" s="34"/>
    </row>
    <row r="410" spans="2:114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  <c r="DJ410" s="34"/>
    </row>
    <row r="411" spans="2:114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  <c r="DJ411" s="34"/>
    </row>
    <row r="412" spans="2:114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  <c r="DJ412" s="34"/>
    </row>
    <row r="413" spans="2:114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  <c r="DJ413" s="34"/>
    </row>
    <row r="414" spans="2:114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  <c r="DJ414" s="34"/>
    </row>
    <row r="415" spans="2:114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  <c r="DJ415" s="34"/>
    </row>
    <row r="416" spans="2:114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  <c r="DJ416" s="34"/>
    </row>
    <row r="417" spans="2:114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  <c r="DJ417" s="34"/>
    </row>
    <row r="418" spans="2:114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  <c r="DJ418" s="34"/>
    </row>
    <row r="419" spans="2:114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  <c r="DJ419" s="34"/>
    </row>
    <row r="420" spans="2:114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  <c r="DJ420" s="34"/>
    </row>
    <row r="421" spans="2:114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  <c r="DJ421" s="34"/>
    </row>
    <row r="422" spans="2:114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  <c r="DJ422" s="34"/>
    </row>
    <row r="423" spans="2:114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  <c r="DJ423" s="34"/>
    </row>
    <row r="424" spans="2:114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  <c r="DJ424" s="34"/>
    </row>
    <row r="425" spans="2:114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  <c r="DJ425" s="34"/>
    </row>
    <row r="426" spans="2:114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  <c r="DJ426" s="34"/>
    </row>
    <row r="427" spans="2:114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  <c r="DJ427" s="34"/>
    </row>
    <row r="428" spans="2:114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  <c r="DJ428" s="34"/>
    </row>
    <row r="429" spans="2:114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  <c r="DJ429" s="34"/>
    </row>
    <row r="430" spans="2:114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  <c r="DJ430" s="34"/>
    </row>
    <row r="431" spans="2:114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  <c r="DJ431" s="34"/>
    </row>
    <row r="432" spans="2:114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  <c r="DJ432" s="34"/>
    </row>
    <row r="433" spans="2:114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  <c r="DJ433" s="34"/>
    </row>
    <row r="434" spans="2:114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  <c r="DJ434" s="34"/>
    </row>
    <row r="435" spans="2:114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  <c r="DJ435" s="34"/>
    </row>
    <row r="436" spans="2:114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  <c r="DJ436" s="34"/>
    </row>
    <row r="437" spans="2:114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  <c r="DJ437" s="34"/>
    </row>
    <row r="438" spans="2:114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  <c r="DJ438" s="34"/>
    </row>
    <row r="439" spans="2:114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  <c r="DJ439" s="34"/>
    </row>
    <row r="440" spans="2:114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  <c r="DJ440" s="34"/>
    </row>
    <row r="441" spans="2:114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  <c r="DJ441" s="34"/>
    </row>
    <row r="442" spans="2:114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  <c r="DJ442" s="34"/>
    </row>
    <row r="443" spans="2:114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  <c r="DJ443" s="34"/>
    </row>
    <row r="444" spans="2:114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  <c r="DJ444" s="34"/>
    </row>
    <row r="445" spans="2:114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  <c r="DJ445" s="34"/>
    </row>
    <row r="446" spans="2:114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  <c r="DJ446" s="34"/>
    </row>
    <row r="447" spans="2:114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  <c r="DJ447" s="34"/>
    </row>
    <row r="448" spans="2:114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  <c r="DJ448" s="34"/>
    </row>
    <row r="449" spans="2:114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  <c r="DJ449" s="34"/>
    </row>
    <row r="450" spans="2:114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  <c r="DJ450" s="34"/>
    </row>
    <row r="451" spans="2:114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  <c r="DJ451" s="34"/>
    </row>
    <row r="452" spans="2:114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  <c r="DJ452" s="34"/>
    </row>
    <row r="453" spans="2:114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  <c r="DJ453" s="34"/>
    </row>
    <row r="454" spans="2:114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  <c r="DJ454" s="34"/>
    </row>
    <row r="455" spans="2:114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  <c r="DJ455" s="34"/>
    </row>
    <row r="456" spans="2:114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  <c r="DJ456" s="34"/>
    </row>
    <row r="457" spans="2:114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  <c r="DJ457" s="34"/>
    </row>
    <row r="458" spans="2:114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  <c r="DJ458" s="34"/>
    </row>
    <row r="459" spans="2:114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  <c r="DJ459" s="34"/>
    </row>
    <row r="460" spans="2:114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  <c r="DJ460" s="34"/>
    </row>
    <row r="461" spans="2:114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  <c r="DJ461" s="34"/>
    </row>
    <row r="462" spans="2:114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  <c r="DJ462" s="34"/>
    </row>
    <row r="463" spans="2:114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  <c r="DJ463" s="34"/>
    </row>
    <row r="464" spans="2:114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  <c r="DJ464" s="34"/>
    </row>
    <row r="465" spans="2:114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  <c r="DJ465" s="34"/>
    </row>
    <row r="466" spans="2:114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  <c r="DJ466" s="34"/>
    </row>
    <row r="467" spans="2:114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  <c r="DJ467" s="34"/>
    </row>
    <row r="468" spans="2:114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  <c r="DJ468" s="34"/>
    </row>
    <row r="469" spans="2:114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  <c r="DJ469" s="34"/>
    </row>
    <row r="470" spans="2:114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  <c r="DJ470" s="34"/>
    </row>
    <row r="471" spans="2:114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  <c r="DJ471" s="34"/>
    </row>
    <row r="472" spans="2:114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  <c r="DJ472" s="34"/>
    </row>
    <row r="473" spans="2:114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  <c r="DJ473" s="34"/>
    </row>
    <row r="474" spans="2:114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  <c r="DJ474" s="34"/>
    </row>
    <row r="475" spans="2:114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  <c r="DJ475" s="34"/>
    </row>
    <row r="476" spans="2:114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  <c r="DJ476" s="34"/>
    </row>
    <row r="477" spans="2:114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  <c r="DJ477" s="34"/>
    </row>
    <row r="478" spans="2:114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  <c r="DJ478" s="34"/>
    </row>
    <row r="479" spans="2:114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  <c r="DJ479" s="34"/>
    </row>
    <row r="480" spans="2:114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  <c r="DJ480" s="34"/>
    </row>
    <row r="481" spans="2:114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  <c r="DJ481" s="34"/>
    </row>
    <row r="482" spans="2:114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  <c r="DJ482" s="34"/>
    </row>
    <row r="483" spans="2:114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  <c r="DJ483" s="34"/>
    </row>
    <row r="484" spans="2:114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  <c r="DJ484" s="34"/>
    </row>
    <row r="485" spans="2:114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  <c r="DJ485" s="34"/>
    </row>
    <row r="486" spans="2:114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  <c r="DJ486" s="34"/>
    </row>
    <row r="487" spans="2:114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  <c r="DJ487" s="34"/>
    </row>
    <row r="488" spans="2:114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  <c r="DJ488" s="34"/>
    </row>
    <row r="489" spans="2:114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  <c r="DJ489" s="34"/>
    </row>
    <row r="490" spans="2:114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  <c r="DJ490" s="34"/>
    </row>
    <row r="491" spans="2:114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  <c r="DJ491" s="34"/>
    </row>
    <row r="492" spans="2:114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  <c r="DJ492" s="34"/>
    </row>
    <row r="493" spans="2:114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  <c r="DJ493" s="34"/>
    </row>
    <row r="494" spans="2:114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  <c r="DJ494" s="34"/>
    </row>
    <row r="495" spans="2:114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  <c r="DJ495" s="34"/>
    </row>
    <row r="496" spans="2:114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  <c r="DJ496" s="34"/>
    </row>
    <row r="497" spans="2:114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  <c r="DJ497" s="34"/>
    </row>
    <row r="498" spans="2:114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  <c r="DJ498" s="34"/>
    </row>
    <row r="499" spans="2:114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  <c r="DJ499" s="34"/>
    </row>
    <row r="500" spans="2:114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  <c r="DJ500" s="34"/>
    </row>
    <row r="501" spans="2:114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  <c r="DJ501" s="34"/>
    </row>
    <row r="502" spans="2:114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  <c r="DJ502" s="34"/>
    </row>
    <row r="503" spans="2:114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  <c r="DJ503" s="34"/>
    </row>
    <row r="504" spans="2:114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  <c r="DJ504" s="34"/>
    </row>
    <row r="505" spans="2:114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  <c r="DJ505" s="34"/>
    </row>
    <row r="506" spans="2:114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  <c r="DJ506" s="34"/>
    </row>
    <row r="507" spans="2:114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  <c r="DJ507" s="34"/>
    </row>
    <row r="508" spans="2:114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  <c r="DJ508" s="34"/>
    </row>
    <row r="509" spans="2:114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  <c r="DJ509" s="34"/>
    </row>
    <row r="510" spans="2:114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  <c r="DJ510" s="34"/>
    </row>
    <row r="511" spans="2:114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  <c r="DJ511" s="34"/>
    </row>
    <row r="512" spans="2:114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  <c r="DJ512" s="34"/>
    </row>
    <row r="513" spans="2:114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  <c r="DJ513" s="34"/>
    </row>
    <row r="514" spans="2:114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  <c r="DJ514" s="34"/>
    </row>
    <row r="515" spans="2:114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  <c r="DJ515" s="34"/>
    </row>
    <row r="516" spans="2:114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  <c r="DJ516" s="34"/>
    </row>
    <row r="517" spans="2:114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  <c r="DJ517" s="34"/>
    </row>
    <row r="518" spans="2:114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  <c r="DJ518" s="34"/>
    </row>
    <row r="519" spans="2:114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  <c r="DJ519" s="34"/>
    </row>
    <row r="520" spans="2:114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  <c r="DJ520" s="34"/>
    </row>
    <row r="521" spans="2:114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  <c r="DJ521" s="34"/>
    </row>
    <row r="522" spans="2:114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  <c r="DJ522" s="34"/>
    </row>
    <row r="523" spans="2:114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  <c r="DJ523" s="34"/>
    </row>
    <row r="524" spans="2:114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  <c r="DJ524" s="34"/>
    </row>
    <row r="525" spans="2:114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  <c r="DJ525" s="34"/>
    </row>
    <row r="526" spans="2:114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  <c r="DJ526" s="34"/>
    </row>
    <row r="527" spans="2:114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  <c r="DJ527" s="34"/>
    </row>
    <row r="528" spans="2:114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  <c r="DJ528" s="34"/>
    </row>
    <row r="529" spans="2:114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  <c r="DJ529" s="34"/>
    </row>
    <row r="530" spans="2:114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  <c r="DJ530" s="34"/>
    </row>
    <row r="531" spans="2:114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  <c r="DJ531" s="34"/>
    </row>
    <row r="532" spans="2:114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  <c r="DJ532" s="34"/>
    </row>
    <row r="533" spans="2:114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  <c r="DJ533" s="34"/>
    </row>
    <row r="534" spans="2:114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  <c r="DJ534" s="34"/>
    </row>
    <row r="535" spans="2:114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  <c r="DJ535" s="34"/>
    </row>
    <row r="536" spans="2:114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  <c r="DJ536" s="34"/>
    </row>
    <row r="537" spans="2:114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  <c r="DJ537" s="34"/>
    </row>
    <row r="538" spans="2:114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  <c r="DJ538" s="34"/>
    </row>
    <row r="539" spans="2:114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  <c r="DJ539" s="34"/>
    </row>
    <row r="540" spans="2:114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  <c r="DJ540" s="34"/>
    </row>
    <row r="541" spans="2:114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  <c r="DJ541" s="34"/>
    </row>
    <row r="542" spans="2:114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  <c r="DJ542" s="34"/>
    </row>
    <row r="543" spans="2:114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  <c r="DJ543" s="34"/>
    </row>
    <row r="544" spans="2:114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  <c r="DJ544" s="34"/>
    </row>
    <row r="545" spans="2:114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  <c r="DJ545" s="34"/>
    </row>
    <row r="546" spans="2:114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  <c r="DJ546" s="34"/>
    </row>
    <row r="547" spans="2:114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  <c r="DJ547" s="34"/>
    </row>
    <row r="548" spans="2:114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  <c r="DJ548" s="34"/>
    </row>
    <row r="549" spans="2:114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  <c r="DJ549" s="34"/>
    </row>
    <row r="550" spans="2:114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  <c r="DJ550" s="34"/>
    </row>
    <row r="551" spans="2:114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  <c r="DJ551" s="34"/>
    </row>
    <row r="552" spans="2:114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  <c r="DJ552" s="34"/>
    </row>
    <row r="553" spans="2:114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  <c r="DJ553" s="34"/>
    </row>
    <row r="554" spans="2:114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  <c r="DJ554" s="34"/>
    </row>
    <row r="555" spans="2:114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  <c r="DJ555" s="34"/>
    </row>
    <row r="556" spans="2:114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  <c r="DJ556" s="34"/>
    </row>
    <row r="557" spans="2:114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  <c r="DJ557" s="34"/>
    </row>
    <row r="558" spans="2:114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  <c r="DJ558" s="34"/>
    </row>
    <row r="559" spans="2:114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  <c r="DJ559" s="34"/>
    </row>
    <row r="560" spans="2:114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  <c r="DJ560" s="34"/>
    </row>
    <row r="561" spans="2:114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  <c r="DJ561" s="34"/>
    </row>
    <row r="562" spans="2:114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  <c r="DJ562" s="34"/>
    </row>
    <row r="563" spans="2:114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  <c r="DJ563" s="34"/>
    </row>
    <row r="564" spans="2:114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  <c r="DJ564" s="34"/>
    </row>
    <row r="565" spans="2:114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  <c r="DJ565" s="34"/>
    </row>
    <row r="566" spans="2:114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  <c r="DJ566" s="34"/>
    </row>
    <row r="567" spans="2:114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  <c r="DJ567" s="34"/>
    </row>
    <row r="568" spans="2:114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  <c r="DJ568" s="34"/>
    </row>
    <row r="569" spans="2:114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  <c r="DJ569" s="34"/>
    </row>
    <row r="570" spans="2:114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  <c r="DJ570" s="34"/>
    </row>
    <row r="571" spans="2:114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  <c r="DJ571" s="34"/>
    </row>
    <row r="572" spans="2:114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  <c r="DJ572" s="34"/>
    </row>
    <row r="573" spans="2:114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  <c r="DJ573" s="34"/>
    </row>
    <row r="574" spans="2:114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  <c r="DJ574" s="34"/>
    </row>
    <row r="575" spans="2:114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  <c r="DJ575" s="34"/>
    </row>
    <row r="576" spans="2:114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  <c r="DJ576" s="34"/>
    </row>
    <row r="577" spans="2:114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  <c r="DJ577" s="34"/>
    </row>
    <row r="578" spans="2:114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  <c r="DJ578" s="34"/>
    </row>
    <row r="579" spans="2:114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  <c r="DJ579" s="34"/>
    </row>
    <row r="580" spans="2:114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  <c r="DJ580" s="34"/>
    </row>
    <row r="581" spans="2:114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  <c r="DJ581" s="34"/>
    </row>
    <row r="582" spans="2:114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  <c r="DJ582" s="34"/>
    </row>
    <row r="583" spans="2:114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  <c r="DJ583" s="34"/>
    </row>
    <row r="584" spans="2:114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  <c r="DJ584" s="34"/>
    </row>
    <row r="585" spans="2:114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  <c r="DJ585" s="34"/>
    </row>
    <row r="586" spans="2:114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  <c r="DJ586" s="34"/>
    </row>
    <row r="587" spans="2:114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  <c r="DJ587" s="34"/>
    </row>
    <row r="588" spans="2:114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  <c r="DJ588" s="34"/>
    </row>
    <row r="589" spans="2:114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  <c r="DJ589" s="34"/>
    </row>
    <row r="590" spans="2:114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  <c r="DJ590" s="34"/>
    </row>
    <row r="591" spans="2:114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  <c r="DJ591" s="34"/>
    </row>
    <row r="592" spans="2:114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  <c r="DJ592" s="34"/>
    </row>
    <row r="593" spans="2:114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  <c r="DJ593" s="34"/>
    </row>
    <row r="594" spans="2:114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  <c r="DJ594" s="34"/>
    </row>
    <row r="595" spans="2:114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  <c r="DJ595" s="34"/>
    </row>
    <row r="596" spans="2:114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  <c r="DJ596" s="34"/>
    </row>
    <row r="597" spans="2:114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  <c r="DJ597" s="34"/>
    </row>
    <row r="598" spans="2:114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  <c r="DJ598" s="34"/>
    </row>
    <row r="599" spans="2:114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  <c r="DJ599" s="34"/>
    </row>
    <row r="600" spans="2:114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  <c r="DJ600" s="34"/>
    </row>
    <row r="601" spans="2:114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  <c r="DJ601" s="34"/>
    </row>
    <row r="602" spans="2:114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  <c r="DJ602" s="34"/>
    </row>
    <row r="603" spans="2:114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  <c r="DJ603" s="34"/>
    </row>
    <row r="604" spans="2:114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  <c r="DJ604" s="34"/>
    </row>
    <row r="605" spans="2:114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  <c r="DJ605" s="34"/>
    </row>
    <row r="606" spans="2:114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  <c r="DJ606" s="34"/>
    </row>
    <row r="607" spans="2:114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  <c r="DJ607" s="34"/>
    </row>
    <row r="608" spans="2:114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  <c r="DJ608" s="34"/>
    </row>
    <row r="609" spans="2:114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  <c r="DJ609" s="34"/>
    </row>
    <row r="610" spans="2:114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  <c r="DJ610" s="34"/>
    </row>
    <row r="611" spans="2:114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  <c r="DJ611" s="34"/>
    </row>
    <row r="612" spans="2:114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  <c r="DJ612" s="34"/>
    </row>
    <row r="613" spans="2:114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  <c r="DJ613" s="34"/>
    </row>
    <row r="614" spans="2:114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  <c r="DJ614" s="34"/>
    </row>
    <row r="615" spans="2:114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  <c r="DJ615" s="34"/>
    </row>
    <row r="616" spans="2:114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  <c r="DJ616" s="34"/>
    </row>
    <row r="617" spans="2:114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  <c r="DJ617" s="34"/>
    </row>
    <row r="618" spans="2:114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  <c r="DJ618" s="34"/>
    </row>
    <row r="619" spans="2:114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  <c r="DJ619" s="34"/>
    </row>
    <row r="620" spans="2:114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  <c r="DJ620" s="34"/>
    </row>
    <row r="621" spans="2:114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  <c r="DJ621" s="34"/>
    </row>
    <row r="622" spans="2:114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  <c r="DJ622" s="34"/>
    </row>
    <row r="623" spans="2:114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  <c r="DJ623" s="34"/>
    </row>
    <row r="624" spans="2:114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  <c r="DJ624" s="34"/>
    </row>
    <row r="625" spans="2:114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  <c r="DJ625" s="34"/>
    </row>
    <row r="626" spans="2:114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  <c r="DJ626" s="34"/>
    </row>
    <row r="627" spans="2:114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  <c r="DJ627" s="34"/>
    </row>
    <row r="628" spans="2:114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  <c r="DJ628" s="34"/>
    </row>
    <row r="629" spans="2:114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  <c r="DJ629" s="34"/>
    </row>
    <row r="630" spans="2:114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  <c r="DJ630" s="34"/>
    </row>
    <row r="631" spans="2:114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  <c r="DJ631" s="34"/>
    </row>
    <row r="632" spans="2:114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  <c r="DJ632" s="34"/>
    </row>
    <row r="633" spans="2:114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  <c r="DJ633" s="34"/>
    </row>
    <row r="634" spans="2:114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  <c r="DJ634" s="34"/>
    </row>
    <row r="635" spans="2:114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  <c r="DJ635" s="34"/>
    </row>
    <row r="636" spans="2:114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  <c r="DJ636" s="34"/>
    </row>
    <row r="637" spans="2:114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  <c r="DJ637" s="34"/>
    </row>
    <row r="638" spans="2:114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  <c r="DJ638" s="34"/>
    </row>
    <row r="639" spans="2:114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  <c r="DJ639" s="34"/>
    </row>
    <row r="640" spans="2:114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  <c r="DJ640" s="34"/>
    </row>
    <row r="641" spans="2:114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  <c r="DJ641" s="34"/>
    </row>
    <row r="642" spans="2:114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  <c r="DJ642" s="34"/>
    </row>
    <row r="643" spans="2:114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  <c r="DJ643" s="34"/>
    </row>
    <row r="644" spans="2:114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  <c r="DJ644" s="34"/>
    </row>
    <row r="645" spans="2:114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  <c r="DJ645" s="34"/>
    </row>
    <row r="646" spans="2:114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  <c r="DJ646" s="34"/>
    </row>
    <row r="647" spans="2:114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  <c r="DJ647" s="34"/>
    </row>
    <row r="648" spans="2:114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  <c r="DJ648" s="34"/>
    </row>
    <row r="649" spans="2:114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  <c r="DJ649" s="34"/>
    </row>
    <row r="650" spans="2:114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  <c r="DJ650" s="34"/>
    </row>
    <row r="651" spans="2:114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  <c r="DJ651" s="34"/>
    </row>
    <row r="652" spans="2:114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  <c r="DJ652" s="34"/>
    </row>
    <row r="653" spans="2:114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  <c r="DJ653" s="34"/>
    </row>
    <row r="654" spans="2:114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  <c r="DJ654" s="34"/>
    </row>
    <row r="655" spans="2:114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  <c r="DJ655" s="34"/>
    </row>
    <row r="656" spans="2:114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  <c r="DJ656" s="34"/>
    </row>
    <row r="657" spans="2:114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  <c r="DJ657" s="34"/>
    </row>
    <row r="658" spans="2:114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  <c r="DJ658" s="34"/>
    </row>
    <row r="659" spans="2:114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  <c r="DJ659" s="34"/>
    </row>
    <row r="660" spans="2:114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  <c r="DJ660" s="34"/>
    </row>
    <row r="661" spans="2:114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  <c r="DJ661" s="34"/>
    </row>
    <row r="662" spans="2:114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  <c r="DJ662" s="34"/>
    </row>
    <row r="663" spans="2:114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  <c r="DJ663" s="34"/>
    </row>
    <row r="664" spans="2:114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  <c r="DJ664" s="34"/>
    </row>
    <row r="665" spans="2:114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  <c r="DJ665" s="34"/>
    </row>
    <row r="666" spans="2:114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  <c r="DJ666" s="34"/>
    </row>
    <row r="667" spans="2:114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  <c r="DJ667" s="34"/>
    </row>
    <row r="668" spans="2:114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  <c r="DJ668" s="34"/>
    </row>
    <row r="669" spans="2:114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  <c r="DJ669" s="34"/>
    </row>
    <row r="670" spans="2:114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  <c r="DJ670" s="34"/>
    </row>
    <row r="671" spans="2:114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  <c r="DJ671" s="34"/>
    </row>
    <row r="672" spans="2:114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  <c r="DJ672" s="34"/>
    </row>
    <row r="673" spans="2:114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  <c r="DJ673" s="34"/>
    </row>
    <row r="674" spans="2:114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  <c r="DJ674" s="34"/>
    </row>
    <row r="675" spans="2:114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  <c r="DJ675" s="34"/>
    </row>
    <row r="676" spans="2:114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  <c r="DJ676" s="34"/>
    </row>
    <row r="677" spans="2:114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  <c r="DJ677" s="34"/>
    </row>
    <row r="678" spans="2:114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  <c r="DJ678" s="34"/>
    </row>
    <row r="679" spans="2:114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  <c r="DJ679" s="34"/>
    </row>
    <row r="680" spans="2:114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  <c r="DJ680" s="34"/>
    </row>
    <row r="681" spans="2:114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  <c r="DJ681" s="34"/>
    </row>
    <row r="682" spans="2:114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  <c r="DJ682" s="34"/>
    </row>
    <row r="683" spans="2:114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  <c r="DJ683" s="34"/>
    </row>
    <row r="684" spans="2:114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  <c r="DJ684" s="34"/>
    </row>
    <row r="685" spans="2:114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  <c r="DJ685" s="34"/>
    </row>
    <row r="686" spans="2:114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  <c r="DJ686" s="34"/>
    </row>
    <row r="687" spans="2:114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  <c r="DJ687" s="34"/>
    </row>
    <row r="688" spans="2:114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  <c r="DJ688" s="34"/>
    </row>
    <row r="689" spans="2:114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  <c r="DJ689" s="34"/>
    </row>
    <row r="690" spans="2:114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  <c r="DJ690" s="34"/>
    </row>
    <row r="691" spans="2:114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  <c r="DJ691" s="34"/>
    </row>
    <row r="692" spans="2:114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  <c r="DJ692" s="34"/>
    </row>
    <row r="693" spans="2:114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  <c r="DJ693" s="34"/>
    </row>
    <row r="694" spans="2:114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  <c r="DJ694" s="34"/>
    </row>
    <row r="695" spans="2:114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  <c r="DJ695" s="34"/>
    </row>
    <row r="696" spans="2:114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  <c r="DJ696" s="34"/>
    </row>
    <row r="697" spans="2:114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  <c r="DJ697" s="34"/>
    </row>
    <row r="698" spans="2:114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  <c r="DJ698" s="34"/>
    </row>
    <row r="699" spans="2:114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  <c r="DJ699" s="34"/>
    </row>
    <row r="700" spans="2:114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  <c r="DJ700" s="34"/>
    </row>
    <row r="701" spans="2:114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  <c r="DJ701" s="34"/>
    </row>
    <row r="702" spans="2:114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  <c r="DJ702" s="34"/>
    </row>
    <row r="703" spans="2:114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  <c r="DJ703" s="34"/>
    </row>
    <row r="704" spans="2:114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  <c r="DJ704" s="34"/>
    </row>
    <row r="705" spans="2:114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  <c r="DJ705" s="34"/>
    </row>
    <row r="706" spans="2:114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  <c r="DJ706" s="34"/>
    </row>
    <row r="707" spans="2:114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  <c r="DJ707" s="34"/>
    </row>
    <row r="708" spans="2:114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  <c r="DJ708" s="34"/>
    </row>
    <row r="709" spans="2:114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  <c r="DJ709" s="34"/>
    </row>
    <row r="710" spans="2:114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  <c r="DJ710" s="34"/>
    </row>
    <row r="711" spans="2:114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  <c r="DJ711" s="34"/>
    </row>
    <row r="712" spans="2:114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  <c r="DJ712" s="34"/>
    </row>
    <row r="713" spans="2:114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  <c r="DJ713" s="34"/>
    </row>
    <row r="714" spans="2:114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  <c r="DJ714" s="34"/>
    </row>
    <row r="715" spans="2:114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  <c r="DJ715" s="34"/>
    </row>
    <row r="716" spans="2:114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  <c r="DJ716" s="34"/>
    </row>
    <row r="717" spans="2:114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  <c r="DJ717" s="34"/>
    </row>
    <row r="718" spans="2:114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  <c r="DJ718" s="34"/>
    </row>
    <row r="719" spans="2:114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  <c r="DJ719" s="34"/>
    </row>
    <row r="720" spans="2:114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  <c r="DJ720" s="34"/>
    </row>
    <row r="721" spans="2:114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  <c r="DJ721" s="34"/>
    </row>
    <row r="722" spans="2:114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  <c r="DJ722" s="34"/>
    </row>
    <row r="723" spans="2:114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  <c r="DJ723" s="34"/>
    </row>
    <row r="724" spans="2:114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  <c r="DJ724" s="34"/>
    </row>
    <row r="725" spans="2:114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  <c r="DJ725" s="34"/>
    </row>
    <row r="726" spans="2:114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  <c r="DJ726" s="34"/>
    </row>
    <row r="727" spans="2:114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  <c r="DJ727" s="34"/>
    </row>
    <row r="728" spans="2:114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  <c r="DJ728" s="34"/>
    </row>
    <row r="729" spans="2:114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  <c r="DJ729" s="34"/>
    </row>
    <row r="730" spans="2:114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  <c r="DJ730" s="34"/>
    </row>
    <row r="731" spans="2:114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  <c r="DJ731" s="34"/>
    </row>
    <row r="732" spans="2:114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  <c r="DJ732" s="34"/>
    </row>
    <row r="733" spans="2:114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  <c r="DJ733" s="34"/>
    </row>
    <row r="734" spans="2:114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  <c r="DJ734" s="34"/>
    </row>
    <row r="735" spans="2:114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  <c r="DJ735" s="34"/>
    </row>
    <row r="736" spans="2:114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  <c r="DJ736" s="34"/>
    </row>
    <row r="737" spans="2:114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  <c r="DJ737" s="34"/>
    </row>
    <row r="738" spans="2:114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  <c r="DJ738" s="34"/>
    </row>
    <row r="739" spans="2:114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  <c r="DJ739" s="34"/>
    </row>
    <row r="740" spans="2:114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  <c r="DJ740" s="34"/>
    </row>
    <row r="741" spans="2:114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  <c r="DJ741" s="34"/>
    </row>
    <row r="742" spans="2:114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  <c r="DJ742" s="34"/>
    </row>
    <row r="743" spans="2:114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  <c r="DJ743" s="34"/>
    </row>
    <row r="744" spans="2:114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  <c r="DJ744" s="34"/>
    </row>
    <row r="745" spans="2:114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  <c r="DJ745" s="34"/>
    </row>
    <row r="746" spans="2:114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  <c r="DJ746" s="34"/>
    </row>
    <row r="747" spans="2:114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  <c r="DJ747" s="34"/>
    </row>
    <row r="748" spans="2:114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  <c r="DJ748" s="34"/>
    </row>
    <row r="749" spans="2:114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  <c r="DJ749" s="34"/>
    </row>
    <row r="750" spans="2:114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  <c r="DJ750" s="34"/>
    </row>
    <row r="751" spans="2:114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  <c r="DJ751" s="34"/>
    </row>
    <row r="752" spans="2:114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  <c r="DJ752" s="34"/>
    </row>
    <row r="753" spans="2:114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  <c r="DJ753" s="34"/>
    </row>
    <row r="754" spans="2:114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  <c r="DJ754" s="34"/>
    </row>
    <row r="755" spans="2:114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  <c r="DJ755" s="34"/>
    </row>
    <row r="756" spans="2:114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  <c r="DJ756" s="34"/>
    </row>
    <row r="757" spans="2:114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  <c r="DJ757" s="34"/>
    </row>
    <row r="758" spans="2:114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  <c r="DJ758" s="34"/>
    </row>
    <row r="759" spans="2:114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  <c r="DJ759" s="34"/>
    </row>
    <row r="760" spans="2:114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  <c r="DJ760" s="34"/>
    </row>
    <row r="761" spans="2:114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  <c r="DJ761" s="34"/>
    </row>
    <row r="762" spans="2:114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  <c r="DJ762" s="34"/>
    </row>
    <row r="763" spans="2:114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  <c r="DJ763" s="34"/>
    </row>
    <row r="764" spans="2:114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  <c r="DJ764" s="34"/>
    </row>
    <row r="765" spans="2:114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  <c r="DJ765" s="34"/>
    </row>
    <row r="766" spans="2:114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  <c r="DJ766" s="34"/>
    </row>
    <row r="767" spans="2:114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  <c r="DJ767" s="34"/>
    </row>
    <row r="768" spans="2:114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  <c r="DJ768" s="34"/>
    </row>
    <row r="769" spans="2:114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  <c r="DJ769" s="34"/>
    </row>
    <row r="770" spans="2:114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  <c r="DJ770" s="34"/>
    </row>
    <row r="771" spans="2:114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  <c r="DJ771" s="34"/>
    </row>
    <row r="772" spans="2:114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  <c r="DJ772" s="34"/>
    </row>
    <row r="773" spans="2:114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  <c r="DJ773" s="34"/>
    </row>
    <row r="774" spans="2:114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  <c r="DJ774" s="34"/>
    </row>
    <row r="775" spans="2:114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  <c r="DJ775" s="34"/>
    </row>
    <row r="776" spans="2:114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  <c r="DJ776" s="34"/>
    </row>
    <row r="777" spans="2:114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  <c r="DJ777" s="34"/>
    </row>
    <row r="778" spans="2:114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  <c r="DJ778" s="34"/>
    </row>
    <row r="779" spans="2:114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  <c r="DJ779" s="34"/>
    </row>
    <row r="780" spans="2:114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  <c r="DJ780" s="34"/>
    </row>
    <row r="781" spans="2:114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  <c r="DJ781" s="34"/>
    </row>
    <row r="782" spans="2:114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  <c r="DJ782" s="34"/>
    </row>
    <row r="783" spans="2:114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  <c r="DJ783" s="34"/>
    </row>
    <row r="784" spans="2:114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  <c r="DJ784" s="34"/>
    </row>
    <row r="785" spans="2:114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  <c r="DJ785" s="34"/>
    </row>
    <row r="786" spans="2:114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  <c r="DJ786" s="34"/>
    </row>
    <row r="787" spans="2:114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  <c r="DJ787" s="34"/>
    </row>
    <row r="788" spans="2:114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  <c r="DJ788" s="34"/>
    </row>
    <row r="789" spans="2:114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  <c r="DJ789" s="34"/>
    </row>
    <row r="790" spans="2:114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  <c r="DJ790" s="34"/>
    </row>
    <row r="791" spans="2:114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  <c r="DJ791" s="34"/>
    </row>
    <row r="792" spans="2:114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  <c r="DJ792" s="34"/>
    </row>
    <row r="793" spans="2:114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  <c r="DJ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topLeftCell="M1" workbookViewId="0">
      <pane ySplit="1" topLeftCell="A2" activePane="bottomLeft" state="frozen"/>
      <selection pane="bottomLeft" activeCell="Y28" sqref="N21:Y28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4" t="s">
        <v>368</v>
      </c>
      <c r="F1" s="145" t="s">
        <v>369</v>
      </c>
      <c r="G1" s="148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2159</v>
      </c>
      <c r="AB1" s="56" t="s">
        <v>557</v>
      </c>
      <c r="AC1" s="54">
        <f>MAX(AC2:AC10000)</f>
        <v>87</v>
      </c>
      <c r="AD1" s="54"/>
      <c r="AE1" s="54" t="str">
        <f>RIGHT(TEXT(MAX(AE2:AE10000),"###"),3)</f>
        <v>034</v>
      </c>
      <c r="AF1" s="55" t="str">
        <f>RIGHT("000"&amp;AC1,2)&amp;"-"&amp;RIGHT("000"&amp;AE1,3)</f>
        <v>87-034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87-035-</v>
      </c>
      <c r="AI1" s="57" t="s">
        <v>582</v>
      </c>
      <c r="AJ1" s="97" t="s">
        <v>2160</v>
      </c>
      <c r="AK1" s="57" t="s">
        <v>852</v>
      </c>
      <c r="AL1" s="98">
        <v>0</v>
      </c>
    </row>
    <row r="2" spans="1:38">
      <c r="A2" s="60" t="str">
        <f>IF(G2&amp;Q2&lt;&gt;"",W2&amp;Q2,"")</f>
        <v>8 Fancy(s)</v>
      </c>
      <c r="B2" s="60" t="str">
        <f>IF(C2&lt;&gt;"",LEFT(C2,9),"")</f>
        <v>87-001-</v>
      </c>
      <c r="C2" s="72" t="s">
        <v>2159</v>
      </c>
      <c r="G2" s="73" t="s">
        <v>2161</v>
      </c>
      <c r="V2" s="60" t="str">
        <f>W2&amp;H2</f>
        <v>8 Fancy(s)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8 Fancy(s)</v>
      </c>
      <c r="X2" s="60" t="str">
        <f>IF(A2&lt;&gt;"",IFERROR(IF(FIND(" ",G2)&gt;=1,MID(G2,FIND(" ",G2)+1,LEN(G2)),""),""),"")</f>
        <v>Fancy(s)</v>
      </c>
      <c r="AC2" s="51">
        <f>IFERROR(VALUE(MID($C2,1,2)),0)</f>
        <v>87</v>
      </c>
      <c r="AD2" s="44">
        <f t="shared" ref="AD2:AD66" si="1">IFERROR(VALUE(MID($C2,4,3)),0)</f>
        <v>1</v>
      </c>
      <c r="AE2" s="51">
        <f>VALUE(RIGHT("00"&amp;AC2,2)&amp;RIGHT("000"&amp;AD2,3))</f>
        <v>87001</v>
      </c>
    </row>
    <row r="3" spans="1:38">
      <c r="A3" s="60" t="str">
        <f t="shared" ref="A3:A66" si="2">IF(G3&amp;Q3&lt;&gt;"",W3&amp;Q3,"")</f>
        <v>8 Flaminia black-k</v>
      </c>
      <c r="B3" s="60" t="str">
        <f t="shared" ref="B3:B66" si="3">IF(C3&lt;&gt;"",LEFT(C3,9),"")</f>
        <v>87-002-</v>
      </c>
      <c r="C3" s="72" t="s">
        <v>2218</v>
      </c>
      <c r="G3" s="73" t="s">
        <v>2162</v>
      </c>
      <c r="V3" s="60" t="str">
        <f t="shared" ref="V3:V66" si="4">W3&amp;H3</f>
        <v>8 Flaminia black-k</v>
      </c>
      <c r="W3" s="60" t="str">
        <f t="shared" si="0"/>
        <v>8 Flaminia black-k</v>
      </c>
      <c r="X3" s="60" t="str">
        <f t="shared" ref="X3:X66" si="5">IF(A3&lt;&gt;"",IFERROR(IF(FIND(" ",G3)&gt;=1,MID(G3,FIND(" ",G3)+1,LEN(G3)),""),""),"")</f>
        <v>Flaminia black-k</v>
      </c>
      <c r="AC3" s="51">
        <f t="shared" ref="AC3:AC66" si="6">IFERROR(VALUE(MID($C3,1,2)),0)</f>
        <v>87</v>
      </c>
      <c r="AD3" s="44">
        <f t="shared" si="1"/>
        <v>2</v>
      </c>
      <c r="AE3" s="51">
        <f t="shared" ref="AE3:AE66" si="7">VALUE(RIGHT("00"&amp;AC3,2)&amp;RIGHT("000"&amp;AD3,3))</f>
        <v>87002</v>
      </c>
    </row>
    <row r="4" spans="1:38">
      <c r="A4" s="60" t="str">
        <f t="shared" si="2"/>
        <v>8 Michetti</v>
      </c>
      <c r="B4" s="60" t="str">
        <f t="shared" si="3"/>
        <v>87-003-</v>
      </c>
      <c r="C4" s="72" t="s">
        <v>2219</v>
      </c>
      <c r="G4" s="73" t="s">
        <v>2214</v>
      </c>
      <c r="V4" s="60" t="str">
        <f t="shared" si="4"/>
        <v>8 Michetti</v>
      </c>
      <c r="W4" s="60" t="str">
        <f t="shared" si="0"/>
        <v>8 Michetti</v>
      </c>
      <c r="X4" s="60" t="str">
        <f t="shared" si="5"/>
        <v>Michetti</v>
      </c>
      <c r="AC4" s="51">
        <f t="shared" si="6"/>
        <v>87</v>
      </c>
      <c r="AD4" s="44">
        <f t="shared" si="1"/>
        <v>3</v>
      </c>
      <c r="AE4" s="51">
        <f t="shared" si="7"/>
        <v>87003</v>
      </c>
    </row>
    <row r="5" spans="1:38">
      <c r="A5" s="60" t="str">
        <f t="shared" si="2"/>
        <v>8 Pollini</v>
      </c>
      <c r="B5" s="60" t="str">
        <f t="shared" si="3"/>
        <v>87-004-</v>
      </c>
      <c r="C5" s="72" t="s">
        <v>2220</v>
      </c>
      <c r="G5" s="73" t="s">
        <v>2217</v>
      </c>
      <c r="V5" s="60" t="str">
        <f t="shared" si="4"/>
        <v>8 Pollini</v>
      </c>
      <c r="W5" s="60" t="str">
        <f t="shared" si="0"/>
        <v>8 Pollini</v>
      </c>
      <c r="X5" s="60" t="str">
        <f t="shared" si="5"/>
        <v>Pollini</v>
      </c>
      <c r="AC5" s="51">
        <f t="shared" si="6"/>
        <v>87</v>
      </c>
      <c r="AD5" s="44">
        <f t="shared" si="1"/>
        <v>4</v>
      </c>
      <c r="AE5" s="51">
        <f t="shared" si="7"/>
        <v>87004</v>
      </c>
    </row>
    <row r="6" spans="1:38">
      <c r="A6" s="60" t="str">
        <f t="shared" si="2"/>
        <v>8(у) Tomar</v>
      </c>
      <c r="B6" s="60" t="str">
        <f t="shared" si="3"/>
        <v>87-005-</v>
      </c>
      <c r="C6" s="72" t="s">
        <v>2221</v>
      </c>
      <c r="G6" s="73" t="s">
        <v>2216</v>
      </c>
      <c r="V6" s="60" t="str">
        <f t="shared" si="4"/>
        <v>8(у) Tomar</v>
      </c>
      <c r="W6" s="60" t="str">
        <f t="shared" si="0"/>
        <v>8(у) Tomar</v>
      </c>
      <c r="X6" s="60" t="str">
        <f t="shared" si="5"/>
        <v>Tomar</v>
      </c>
      <c r="AC6" s="51">
        <f t="shared" si="6"/>
        <v>87</v>
      </c>
      <c r="AD6" s="44">
        <f t="shared" si="1"/>
        <v>5</v>
      </c>
      <c r="AE6" s="51">
        <f t="shared" si="7"/>
        <v>87005</v>
      </c>
    </row>
    <row r="7" spans="1:38">
      <c r="A7" s="60" t="str">
        <f t="shared" si="2"/>
        <v>802 Cavalese</v>
      </c>
      <c r="B7" s="60" t="str">
        <f t="shared" si="3"/>
        <v>87-006-</v>
      </c>
      <c r="C7" s="72" t="s">
        <v>2222</v>
      </c>
      <c r="G7" s="73" t="s">
        <v>2163</v>
      </c>
      <c r="V7" s="60" t="str">
        <f t="shared" si="4"/>
        <v>802 Cavalese</v>
      </c>
      <c r="W7" s="60" t="str">
        <f t="shared" si="0"/>
        <v>802 Cavalese</v>
      </c>
      <c r="X7" s="60" t="str">
        <f t="shared" si="5"/>
        <v>Cavalese</v>
      </c>
      <c r="AC7" s="51">
        <f t="shared" si="6"/>
        <v>87</v>
      </c>
      <c r="AD7" s="44">
        <f t="shared" si="1"/>
        <v>6</v>
      </c>
      <c r="AE7" s="51">
        <f t="shared" si="7"/>
        <v>87006</v>
      </c>
    </row>
    <row r="8" spans="1:38">
      <c r="A8" s="60" t="str">
        <f t="shared" si="2"/>
        <v>802 Fancy(v)</v>
      </c>
      <c r="B8" s="60" t="str">
        <f t="shared" si="3"/>
        <v>87-007-</v>
      </c>
      <c r="C8" s="72" t="s">
        <v>2223</v>
      </c>
      <c r="G8" s="73" t="s">
        <v>2164</v>
      </c>
      <c r="V8" s="60" t="str">
        <f t="shared" si="4"/>
        <v>802 Fancy(v)</v>
      </c>
      <c r="W8" s="60" t="str">
        <f t="shared" si="0"/>
        <v>802 Fancy(v)</v>
      </c>
      <c r="X8" s="60" t="str">
        <f t="shared" si="5"/>
        <v>Fancy(v)</v>
      </c>
      <c r="AC8" s="51">
        <f t="shared" si="6"/>
        <v>87</v>
      </c>
      <c r="AD8" s="44">
        <f t="shared" si="1"/>
        <v>7</v>
      </c>
      <c r="AE8" s="51">
        <f t="shared" si="7"/>
        <v>87007</v>
      </c>
    </row>
    <row r="9" spans="1:38">
      <c r="A9" s="60" t="str">
        <f t="shared" si="2"/>
        <v>802 Flan-К</v>
      </c>
      <c r="B9" s="60" t="str">
        <f t="shared" si="3"/>
        <v>87-008-</v>
      </c>
      <c r="C9" s="72" t="s">
        <v>2224</v>
      </c>
      <c r="G9" s="73" t="s">
        <v>2165</v>
      </c>
      <c r="V9" s="60" t="str">
        <f t="shared" si="4"/>
        <v>802 Flan-К</v>
      </c>
      <c r="W9" s="60" t="str">
        <f t="shared" si="0"/>
        <v>802 Flan-К</v>
      </c>
      <c r="X9" s="60" t="str">
        <f t="shared" si="5"/>
        <v>Flan-К</v>
      </c>
      <c r="AC9" s="51">
        <f t="shared" si="6"/>
        <v>87</v>
      </c>
      <c r="AD9" s="44">
        <f t="shared" si="1"/>
        <v>8</v>
      </c>
      <c r="AE9" s="51">
        <f t="shared" si="7"/>
        <v>87008</v>
      </c>
    </row>
    <row r="10" spans="1:38">
      <c r="A10" s="60" t="str">
        <f t="shared" si="2"/>
        <v>802 Foggini</v>
      </c>
      <c r="B10" s="60" t="str">
        <f t="shared" si="3"/>
        <v>87-009-</v>
      </c>
      <c r="C10" s="72" t="s">
        <v>2225</v>
      </c>
      <c r="G10" s="73" t="s">
        <v>2215</v>
      </c>
      <c r="V10" s="60" t="str">
        <f t="shared" si="4"/>
        <v>802 Foggini</v>
      </c>
      <c r="W10" s="60" t="str">
        <f t="shared" si="0"/>
        <v>802 Foggini</v>
      </c>
      <c r="X10" s="60" t="str">
        <f t="shared" si="5"/>
        <v>Foggini</v>
      </c>
      <c r="AC10" s="51">
        <f t="shared" si="6"/>
        <v>87</v>
      </c>
      <c r="AD10" s="44">
        <f t="shared" si="1"/>
        <v>9</v>
      </c>
      <c r="AE10" s="51">
        <f t="shared" si="7"/>
        <v>87009</v>
      </c>
    </row>
    <row r="11" spans="1:38">
      <c r="A11" s="60" t="str">
        <f t="shared" si="2"/>
        <v>802 Prato ts</v>
      </c>
      <c r="B11" s="60" t="str">
        <f t="shared" si="3"/>
        <v>87-010-</v>
      </c>
      <c r="C11" s="72" t="s">
        <v>2226</v>
      </c>
      <c r="G11" s="73" t="s">
        <v>2166</v>
      </c>
      <c r="V11" s="60" t="str">
        <f t="shared" si="4"/>
        <v>802 Prato ts</v>
      </c>
      <c r="W11" s="60" t="str">
        <f t="shared" si="0"/>
        <v>802 Prato ts</v>
      </c>
      <c r="X11" s="60" t="str">
        <f t="shared" si="5"/>
        <v>Prato ts</v>
      </c>
      <c r="AC11" s="51">
        <f t="shared" si="6"/>
        <v>87</v>
      </c>
      <c r="AD11" s="44">
        <f t="shared" si="1"/>
        <v>10</v>
      </c>
      <c r="AE11" s="51">
        <f t="shared" si="7"/>
        <v>87010</v>
      </c>
    </row>
    <row r="12" spans="1:38">
      <c r="A12" s="60" t="str">
        <f t="shared" si="2"/>
        <v>802 Shetland(b)</v>
      </c>
      <c r="B12" s="60" t="str">
        <f t="shared" si="3"/>
        <v>87-011-</v>
      </c>
      <c r="C12" s="72" t="s">
        <v>2227</v>
      </c>
      <c r="G12" s="73" t="s">
        <v>2212</v>
      </c>
      <c r="V12" s="60" t="str">
        <f t="shared" si="4"/>
        <v>802 Shetland(b)</v>
      </c>
      <c r="W12" s="60" t="str">
        <f t="shared" si="0"/>
        <v>802 Shetland(b)</v>
      </c>
      <c r="X12" s="60" t="str">
        <f t="shared" si="5"/>
        <v>Shetland(b)</v>
      </c>
      <c r="AC12" s="51">
        <f t="shared" si="6"/>
        <v>87</v>
      </c>
      <c r="AD12" s="44">
        <f t="shared" si="1"/>
        <v>11</v>
      </c>
      <c r="AE12" s="51">
        <f t="shared" si="7"/>
        <v>87011</v>
      </c>
    </row>
    <row r="13" spans="1:38">
      <c r="A13" s="60" t="str">
        <f t="shared" si="2"/>
        <v>802 Shetland(ss)</v>
      </c>
      <c r="B13" s="60" t="str">
        <f t="shared" si="3"/>
        <v>87-012-</v>
      </c>
      <c r="C13" s="72" t="s">
        <v>2228</v>
      </c>
      <c r="G13" s="73" t="s">
        <v>2213</v>
      </c>
      <c r="V13" s="60" t="str">
        <f t="shared" si="4"/>
        <v>802 Shetland(ss)</v>
      </c>
      <c r="W13" s="60" t="str">
        <f t="shared" si="0"/>
        <v>802 Shetland(ss)</v>
      </c>
      <c r="X13" s="60" t="str">
        <f t="shared" si="5"/>
        <v>Shetland(ss)</v>
      </c>
      <c r="AC13" s="51">
        <f t="shared" si="6"/>
        <v>87</v>
      </c>
      <c r="AD13" s="44">
        <f t="shared" si="1"/>
        <v>12</v>
      </c>
      <c r="AE13" s="51">
        <f t="shared" si="7"/>
        <v>87012</v>
      </c>
    </row>
    <row r="14" spans="1:38">
      <c r="A14" s="60" t="str">
        <f t="shared" si="2"/>
        <v>803 Baltimore</v>
      </c>
      <c r="B14" s="60" t="str">
        <f t="shared" si="3"/>
        <v>87-013-</v>
      </c>
      <c r="C14" s="72" t="s">
        <v>2229</v>
      </c>
      <c r="G14" s="73" t="s">
        <v>2167</v>
      </c>
      <c r="V14" s="60" t="str">
        <f t="shared" si="4"/>
        <v>803 Baltimore</v>
      </c>
      <c r="W14" s="60" t="str">
        <f t="shared" si="0"/>
        <v>803 Baltimore</v>
      </c>
      <c r="X14" s="60" t="str">
        <f t="shared" si="5"/>
        <v>Baltimore</v>
      </c>
      <c r="AC14" s="51">
        <f t="shared" si="6"/>
        <v>87</v>
      </c>
      <c r="AD14" s="44">
        <f t="shared" si="1"/>
        <v>13</v>
      </c>
      <c r="AE14" s="51">
        <f t="shared" si="7"/>
        <v>87013</v>
      </c>
    </row>
    <row r="15" spans="1:38">
      <c r="A15" s="60" t="str">
        <f t="shared" si="2"/>
        <v>803 Cavalese</v>
      </c>
      <c r="B15" s="60" t="str">
        <f t="shared" si="3"/>
        <v>87-014-</v>
      </c>
      <c r="C15" s="72" t="s">
        <v>2230</v>
      </c>
      <c r="G15" s="73" t="s">
        <v>2168</v>
      </c>
      <c r="V15" s="60" t="str">
        <f t="shared" si="4"/>
        <v>803 Cavalese</v>
      </c>
      <c r="W15" s="60" t="str">
        <f t="shared" si="0"/>
        <v>803 Cavalese</v>
      </c>
      <c r="X15" s="60" t="str">
        <f t="shared" si="5"/>
        <v>Cavalese</v>
      </c>
      <c r="AC15" s="51">
        <f t="shared" si="6"/>
        <v>87</v>
      </c>
      <c r="AD15" s="44">
        <f t="shared" si="1"/>
        <v>14</v>
      </c>
      <c r="AE15" s="51">
        <f t="shared" si="7"/>
        <v>87014</v>
      </c>
    </row>
    <row r="16" spans="1:38">
      <c r="A16" s="60" t="str">
        <f t="shared" si="2"/>
        <v>803 Fancy(s)</v>
      </c>
      <c r="B16" s="60" t="str">
        <f t="shared" si="3"/>
        <v>87-015-</v>
      </c>
      <c r="C16" s="72" t="s">
        <v>2231</v>
      </c>
      <c r="G16" s="73" t="s">
        <v>2169</v>
      </c>
      <c r="V16" s="60" t="str">
        <f t="shared" si="4"/>
        <v>803 Fancy(s)</v>
      </c>
      <c r="W16" s="60" t="str">
        <f t="shared" si="0"/>
        <v>803 Fancy(s)</v>
      </c>
      <c r="X16" s="60" t="str">
        <f t="shared" si="5"/>
        <v>Fancy(s)</v>
      </c>
      <c r="AC16" s="51">
        <f t="shared" si="6"/>
        <v>87</v>
      </c>
      <c r="AD16" s="44">
        <f t="shared" si="1"/>
        <v>15</v>
      </c>
      <c r="AE16" s="51">
        <f t="shared" si="7"/>
        <v>87015</v>
      </c>
    </row>
    <row r="17" spans="1:31">
      <c r="A17" s="60" t="str">
        <f t="shared" si="2"/>
        <v>803 Prato ts</v>
      </c>
      <c r="B17" s="60" t="str">
        <f t="shared" si="3"/>
        <v>87-016-</v>
      </c>
      <c r="C17" s="72" t="s">
        <v>2232</v>
      </c>
      <c r="G17" s="73" t="s">
        <v>2170</v>
      </c>
      <c r="V17" s="60" t="str">
        <f t="shared" si="4"/>
        <v>803 Prato ts</v>
      </c>
      <c r="W17" s="60" t="str">
        <f t="shared" si="0"/>
        <v>803 Prato ts</v>
      </c>
      <c r="X17" s="60" t="str">
        <f t="shared" si="5"/>
        <v>Prato ts</v>
      </c>
      <c r="AC17" s="51">
        <f t="shared" si="6"/>
        <v>87</v>
      </c>
      <c r="AD17" s="44">
        <f t="shared" si="1"/>
        <v>16</v>
      </c>
      <c r="AE17" s="51">
        <f t="shared" si="7"/>
        <v>87016</v>
      </c>
    </row>
    <row r="18" spans="1:31">
      <c r="A18" s="60" t="str">
        <f t="shared" si="2"/>
        <v>803 Shetland(ss)</v>
      </c>
      <c r="B18" s="60" t="str">
        <f t="shared" si="3"/>
        <v>87-017-</v>
      </c>
      <c r="C18" s="72" t="s">
        <v>2233</v>
      </c>
      <c r="G18" s="73" t="s">
        <v>2171</v>
      </c>
      <c r="V18" s="60" t="str">
        <f t="shared" si="4"/>
        <v>803 Shetland(ss)</v>
      </c>
      <c r="W18" s="60" t="str">
        <f t="shared" si="0"/>
        <v>803 Shetland(ss)</v>
      </c>
      <c r="X18" s="60" t="str">
        <f t="shared" si="5"/>
        <v>Shetland(ss)</v>
      </c>
      <c r="AC18" s="51">
        <f t="shared" si="6"/>
        <v>87</v>
      </c>
      <c r="AD18" s="44">
        <f t="shared" si="1"/>
        <v>17</v>
      </c>
      <c r="AE18" s="51">
        <f t="shared" si="7"/>
        <v>87017</v>
      </c>
    </row>
    <row r="19" spans="1:31">
      <c r="A19" s="60" t="str">
        <f t="shared" si="2"/>
        <v>803 Shetland(v)</v>
      </c>
      <c r="B19" s="60" t="str">
        <f t="shared" si="3"/>
        <v>87-018-</v>
      </c>
      <c r="C19" s="72" t="s">
        <v>2234</v>
      </c>
      <c r="G19" s="73" t="s">
        <v>2211</v>
      </c>
      <c r="V19" s="60" t="str">
        <f t="shared" si="4"/>
        <v>803 Shetland(v)</v>
      </c>
      <c r="W19" s="60" t="str">
        <f t="shared" si="0"/>
        <v>803 Shetland(v)</v>
      </c>
      <c r="X19" s="60" t="str">
        <f t="shared" si="5"/>
        <v>Shetland(v)</v>
      </c>
      <c r="AC19" s="51">
        <f t="shared" si="6"/>
        <v>87</v>
      </c>
      <c r="AD19" s="44">
        <f t="shared" si="1"/>
        <v>18</v>
      </c>
      <c r="AE19" s="51">
        <f t="shared" si="7"/>
        <v>87018</v>
      </c>
    </row>
    <row r="20" spans="1:31">
      <c r="A20" s="60" t="str">
        <f t="shared" si="2"/>
        <v>803 Tomar</v>
      </c>
      <c r="B20" s="60" t="str">
        <f t="shared" si="3"/>
        <v>87-019-</v>
      </c>
      <c r="C20" s="72" t="s">
        <v>2235</v>
      </c>
      <c r="G20" s="73" t="s">
        <v>2210</v>
      </c>
      <c r="V20" s="60" t="str">
        <f t="shared" si="4"/>
        <v>803 Tomar</v>
      </c>
      <c r="W20" s="60" t="str">
        <f t="shared" si="0"/>
        <v>803 Tomar</v>
      </c>
      <c r="X20" s="60" t="str">
        <f t="shared" si="5"/>
        <v>Tomar</v>
      </c>
      <c r="AC20" s="51">
        <f t="shared" si="6"/>
        <v>87</v>
      </c>
      <c r="AD20" s="44">
        <f t="shared" si="1"/>
        <v>19</v>
      </c>
      <c r="AE20" s="51">
        <f t="shared" si="7"/>
        <v>87019</v>
      </c>
    </row>
    <row r="21" spans="1:31">
      <c r="A21" s="60" t="str">
        <f t="shared" si="2"/>
        <v>803 ЧN</v>
      </c>
      <c r="B21" s="60" t="str">
        <f t="shared" si="3"/>
        <v>87-020-</v>
      </c>
      <c r="C21" s="72" t="s">
        <v>2236</v>
      </c>
      <c r="G21" s="73" t="s">
        <v>2172</v>
      </c>
      <c r="V21" s="60" t="str">
        <f t="shared" si="4"/>
        <v>803 ЧN</v>
      </c>
      <c r="W21" s="60" t="str">
        <f t="shared" si="0"/>
        <v>803 ЧN</v>
      </c>
      <c r="X21" s="60" t="str">
        <f t="shared" si="5"/>
        <v>ЧN</v>
      </c>
      <c r="AC21" s="51">
        <f t="shared" si="6"/>
        <v>87</v>
      </c>
      <c r="AD21" s="44">
        <f t="shared" si="1"/>
        <v>20</v>
      </c>
      <c r="AE21" s="51">
        <f t="shared" si="7"/>
        <v>87020</v>
      </c>
    </row>
    <row r="22" spans="1:31">
      <c r="A22" s="60" t="str">
        <f t="shared" si="2"/>
        <v>804 Fancy(v)</v>
      </c>
      <c r="B22" s="60" t="str">
        <f t="shared" si="3"/>
        <v>87-021-</v>
      </c>
      <c r="C22" s="72" t="s">
        <v>2237</v>
      </c>
      <c r="G22" s="73" t="s">
        <v>2173</v>
      </c>
      <c r="V22" s="60" t="str">
        <f t="shared" si="4"/>
        <v>804 Fancy(v)</v>
      </c>
      <c r="W22" s="60" t="str">
        <f t="shared" si="0"/>
        <v>804 Fancy(v)</v>
      </c>
      <c r="X22" s="60" t="str">
        <f t="shared" si="5"/>
        <v>Fancy(v)</v>
      </c>
      <c r="AC22" s="51">
        <f t="shared" si="6"/>
        <v>87</v>
      </c>
      <c r="AD22" s="44">
        <f t="shared" si="1"/>
        <v>21</v>
      </c>
      <c r="AE22" s="51">
        <f t="shared" si="7"/>
        <v>87021</v>
      </c>
    </row>
    <row r="23" spans="1:31">
      <c r="A23" s="60" t="str">
        <f t="shared" si="2"/>
        <v>804 Ferrara-2K</v>
      </c>
      <c r="B23" s="60" t="str">
        <f t="shared" si="3"/>
        <v>87-022-</v>
      </c>
      <c r="C23" s="72" t="s">
        <v>2238</v>
      </c>
      <c r="G23" s="73" t="s">
        <v>2209</v>
      </c>
      <c r="V23" s="60" t="str">
        <f t="shared" si="4"/>
        <v>804 Ferrara-2K</v>
      </c>
      <c r="W23" s="60" t="str">
        <f t="shared" si="0"/>
        <v>804 Ferrara-2K</v>
      </c>
      <c r="X23" s="60" t="str">
        <f t="shared" si="5"/>
        <v>Ferrara-2K</v>
      </c>
      <c r="AC23" s="51">
        <f t="shared" si="6"/>
        <v>87</v>
      </c>
      <c r="AD23" s="44">
        <f t="shared" si="1"/>
        <v>22</v>
      </c>
      <c r="AE23" s="51">
        <f t="shared" si="7"/>
        <v>87022</v>
      </c>
    </row>
    <row r="24" spans="1:31">
      <c r="A24" s="60" t="str">
        <f t="shared" si="2"/>
        <v>804 Flan-K</v>
      </c>
      <c r="B24" s="60" t="str">
        <f t="shared" si="3"/>
        <v>87-023-</v>
      </c>
      <c r="C24" s="72" t="s">
        <v>2239</v>
      </c>
      <c r="G24" s="73" t="s">
        <v>2174</v>
      </c>
      <c r="V24" s="60" t="str">
        <f t="shared" si="4"/>
        <v>804 Flan-K</v>
      </c>
      <c r="W24" s="60" t="str">
        <f t="shared" si="0"/>
        <v>804 Flan-K</v>
      </c>
      <c r="X24" s="60" t="str">
        <f t="shared" si="5"/>
        <v>Flan-K</v>
      </c>
      <c r="AC24" s="51">
        <f t="shared" si="6"/>
        <v>87</v>
      </c>
      <c r="AD24" s="44">
        <f t="shared" si="1"/>
        <v>23</v>
      </c>
      <c r="AE24" s="51">
        <f t="shared" si="7"/>
        <v>87023</v>
      </c>
    </row>
    <row r="25" spans="1:31">
      <c r="A25" s="60" t="str">
        <f t="shared" si="2"/>
        <v>804 Higuain</v>
      </c>
      <c r="B25" s="60" t="str">
        <f t="shared" si="3"/>
        <v>87-024-</v>
      </c>
      <c r="C25" s="72" t="s">
        <v>2240</v>
      </c>
      <c r="G25" s="73" t="s">
        <v>2175</v>
      </c>
      <c r="V25" s="60" t="str">
        <f t="shared" si="4"/>
        <v>804 Higuain</v>
      </c>
      <c r="W25" s="60" t="str">
        <f t="shared" si="0"/>
        <v>804 Higuain</v>
      </c>
      <c r="X25" s="60" t="str">
        <f t="shared" si="5"/>
        <v>Higuain</v>
      </c>
      <c r="AC25" s="51">
        <f t="shared" si="6"/>
        <v>87</v>
      </c>
      <c r="AD25" s="44">
        <f t="shared" si="1"/>
        <v>24</v>
      </c>
      <c r="AE25" s="51">
        <f t="shared" si="7"/>
        <v>87024</v>
      </c>
    </row>
    <row r="26" spans="1:31">
      <c r="A26" s="60" t="str">
        <f t="shared" si="2"/>
        <v>809 Baltimore</v>
      </c>
      <c r="B26" s="60" t="str">
        <f t="shared" si="3"/>
        <v>87-025-</v>
      </c>
      <c r="C26" s="72" t="s">
        <v>2241</v>
      </c>
      <c r="G26" s="73" t="s">
        <v>2176</v>
      </c>
      <c r="V26" s="60" t="str">
        <f t="shared" si="4"/>
        <v>809 Baltimore</v>
      </c>
      <c r="W26" s="60" t="str">
        <f t="shared" si="0"/>
        <v>809 Baltimore</v>
      </c>
      <c r="X26" s="60" t="str">
        <f t="shared" si="5"/>
        <v>Baltimore</v>
      </c>
      <c r="AC26" s="51">
        <f t="shared" si="6"/>
        <v>87</v>
      </c>
      <c r="AD26" s="44">
        <f t="shared" si="1"/>
        <v>25</v>
      </c>
      <c r="AE26" s="51">
        <f t="shared" si="7"/>
        <v>87025</v>
      </c>
    </row>
    <row r="27" spans="1:31">
      <c r="A27" s="60" t="str">
        <f t="shared" si="2"/>
        <v>809 Fancy(s)</v>
      </c>
      <c r="B27" s="60" t="str">
        <f t="shared" si="3"/>
        <v>87-026-</v>
      </c>
      <c r="C27" s="72" t="s">
        <v>2242</v>
      </c>
      <c r="G27" s="73" t="s">
        <v>2177</v>
      </c>
      <c r="V27" s="60" t="str">
        <f t="shared" si="4"/>
        <v>809 Fancy(s)</v>
      </c>
      <c r="W27" s="60" t="str">
        <f t="shared" si="0"/>
        <v>809 Fancy(s)</v>
      </c>
      <c r="X27" s="60" t="str">
        <f t="shared" si="5"/>
        <v>Fancy(s)</v>
      </c>
      <c r="AC27" s="51">
        <f t="shared" si="6"/>
        <v>87</v>
      </c>
      <c r="AD27" s="44">
        <f t="shared" si="1"/>
        <v>26</v>
      </c>
      <c r="AE27" s="51">
        <f t="shared" si="7"/>
        <v>87026</v>
      </c>
    </row>
    <row r="28" spans="1:31">
      <c r="A28" s="60" t="str">
        <f t="shared" si="2"/>
        <v>809 Ferrara-2ts</v>
      </c>
      <c r="B28" s="60" t="str">
        <f t="shared" si="3"/>
        <v>87-027-</v>
      </c>
      <c r="C28" s="72" t="s">
        <v>2243</v>
      </c>
      <c r="G28" s="73" t="s">
        <v>2208</v>
      </c>
      <c r="V28" s="60" t="str">
        <f t="shared" si="4"/>
        <v>809 Ferrara-2ts</v>
      </c>
      <c r="W28" s="60" t="str">
        <f t="shared" si="0"/>
        <v>809 Ferrara-2ts</v>
      </c>
      <c r="X28" s="60" t="str">
        <f t="shared" si="5"/>
        <v>Ferrara-2ts</v>
      </c>
      <c r="AC28" s="51">
        <f t="shared" si="6"/>
        <v>87</v>
      </c>
      <c r="AD28" s="44">
        <f t="shared" si="1"/>
        <v>27</v>
      </c>
      <c r="AE28" s="51">
        <f t="shared" si="7"/>
        <v>87027</v>
      </c>
    </row>
    <row r="29" spans="1:31">
      <c r="A29" s="60" t="str">
        <f t="shared" si="2"/>
        <v>810 Ferrara-2</v>
      </c>
      <c r="B29" s="60" t="str">
        <f t="shared" si="3"/>
        <v>87-028-</v>
      </c>
      <c r="C29" s="72" t="s">
        <v>2244</v>
      </c>
      <c r="G29" s="73" t="s">
        <v>2207</v>
      </c>
      <c r="V29" s="60" t="str">
        <f t="shared" si="4"/>
        <v>810 Ferrara-2</v>
      </c>
      <c r="W29" s="60" t="str">
        <f t="shared" si="0"/>
        <v>810 Ferrara-2</v>
      </c>
      <c r="X29" s="60" t="str">
        <f t="shared" si="5"/>
        <v>Ferrara-2</v>
      </c>
      <c r="AC29" s="51">
        <f t="shared" si="6"/>
        <v>87</v>
      </c>
      <c r="AD29" s="44">
        <f t="shared" si="1"/>
        <v>28</v>
      </c>
      <c r="AE29" s="51">
        <f t="shared" si="7"/>
        <v>87028</v>
      </c>
    </row>
    <row r="30" spans="1:31">
      <c r="A30" s="60" t="str">
        <f t="shared" si="2"/>
        <v>810 Tomar</v>
      </c>
      <c r="B30" s="60" t="str">
        <f t="shared" si="3"/>
        <v>87-029-</v>
      </c>
      <c r="C30" s="72" t="s">
        <v>2245</v>
      </c>
      <c r="G30" s="73" t="s">
        <v>2206</v>
      </c>
      <c r="V30" s="60" t="str">
        <f t="shared" si="4"/>
        <v>810 Tomar</v>
      </c>
      <c r="W30" s="60" t="str">
        <f t="shared" si="0"/>
        <v>810 Tomar</v>
      </c>
      <c r="X30" s="60" t="str">
        <f t="shared" si="5"/>
        <v>Tomar</v>
      </c>
      <c r="AC30" s="51">
        <f t="shared" si="6"/>
        <v>87</v>
      </c>
      <c r="AD30" s="44">
        <f t="shared" si="1"/>
        <v>29</v>
      </c>
      <c r="AE30" s="51">
        <f t="shared" si="7"/>
        <v>87029</v>
      </c>
    </row>
    <row r="31" spans="1:31">
      <c r="A31" s="60" t="str">
        <f t="shared" si="2"/>
        <v>Б18 Prato ts</v>
      </c>
      <c r="B31" s="60" t="str">
        <f t="shared" si="3"/>
        <v>87-030-</v>
      </c>
      <c r="C31" s="72" t="s">
        <v>2246</v>
      </c>
      <c r="G31" s="73" t="s">
        <v>2178</v>
      </c>
      <c r="V31" s="60" t="str">
        <f t="shared" si="4"/>
        <v>Б18 Prato ts</v>
      </c>
      <c r="W31" s="60" t="str">
        <f t="shared" si="0"/>
        <v>Б18 Prato ts</v>
      </c>
      <c r="X31" s="60" t="str">
        <f t="shared" si="5"/>
        <v>Prato ts</v>
      </c>
      <c r="AC31" s="51">
        <f t="shared" si="6"/>
        <v>87</v>
      </c>
      <c r="AD31" s="44">
        <f t="shared" si="1"/>
        <v>30</v>
      </c>
      <c r="AE31" s="51">
        <f t="shared" si="7"/>
        <v>87030</v>
      </c>
    </row>
    <row r="32" spans="1:31">
      <c r="A32" s="60" t="str">
        <f t="shared" si="2"/>
        <v>Р71 Fancy(s)</v>
      </c>
      <c r="B32" s="60" t="str">
        <f t="shared" si="3"/>
        <v>87-031-</v>
      </c>
      <c r="C32" s="72" t="s">
        <v>2247</v>
      </c>
      <c r="G32" s="73" t="s">
        <v>2179</v>
      </c>
      <c r="V32" s="60" t="str">
        <f t="shared" si="4"/>
        <v>Р71 Fancy(s)</v>
      </c>
      <c r="W32" s="60" t="str">
        <f t="shared" si="0"/>
        <v>Р71 Fancy(s)</v>
      </c>
      <c r="X32" s="60" t="str">
        <f t="shared" si="5"/>
        <v>Fancy(s)</v>
      </c>
      <c r="AC32" s="51">
        <f t="shared" si="6"/>
        <v>87</v>
      </c>
      <c r="AD32" s="44">
        <f t="shared" si="1"/>
        <v>31</v>
      </c>
      <c r="AE32" s="51">
        <f t="shared" si="7"/>
        <v>87031</v>
      </c>
    </row>
    <row r="33" spans="1:31">
      <c r="A33" s="60" t="str">
        <f t="shared" si="2"/>
        <v>Р71 Nervi сер</v>
      </c>
      <c r="B33" s="60" t="str">
        <f t="shared" si="3"/>
        <v>87-032-</v>
      </c>
      <c r="C33" s="72" t="s">
        <v>2248</v>
      </c>
      <c r="G33" s="73" t="s">
        <v>2205</v>
      </c>
      <c r="V33" s="60" t="str">
        <f t="shared" si="4"/>
        <v>Р71 Nervi сер</v>
      </c>
      <c r="W33" s="60" t="str">
        <f t="shared" si="0"/>
        <v>Р71 Nervi сер</v>
      </c>
      <c r="X33" s="60" t="str">
        <f t="shared" si="5"/>
        <v>Nervi сер</v>
      </c>
      <c r="AC33" s="51">
        <f t="shared" si="6"/>
        <v>87</v>
      </c>
      <c r="AD33" s="44">
        <f t="shared" si="1"/>
        <v>32</v>
      </c>
      <c r="AE33" s="51">
        <f t="shared" si="7"/>
        <v>87032</v>
      </c>
    </row>
    <row r="34" spans="1:31">
      <c r="A34" s="60" t="str">
        <f t="shared" si="2"/>
        <v>Р81 Cavalese</v>
      </c>
      <c r="B34" s="60" t="str">
        <f t="shared" si="3"/>
        <v>87-033-</v>
      </c>
      <c r="C34" s="72" t="s">
        <v>2249</v>
      </c>
      <c r="G34" s="73" t="s">
        <v>2180</v>
      </c>
      <c r="V34" s="60" t="str">
        <f t="shared" si="4"/>
        <v>Р81 Cavalese</v>
      </c>
      <c r="W34" s="60" t="str">
        <f t="shared" si="0"/>
        <v>Р81 Cavalese</v>
      </c>
      <c r="X34" s="60" t="str">
        <f t="shared" si="5"/>
        <v>Cavalese</v>
      </c>
      <c r="AC34" s="51">
        <f t="shared" si="6"/>
        <v>87</v>
      </c>
      <c r="AD34" s="44">
        <f t="shared" si="1"/>
        <v>33</v>
      </c>
      <c r="AE34" s="51">
        <f t="shared" si="7"/>
        <v>87033</v>
      </c>
    </row>
    <row r="35" spans="1:31">
      <c r="A35" s="60" t="str">
        <f t="shared" si="2"/>
        <v>Р81 Shetland(g)</v>
      </c>
      <c r="B35" s="60" t="str">
        <f t="shared" si="3"/>
        <v>87-034-</v>
      </c>
      <c r="C35" s="72" t="s">
        <v>2250</v>
      </c>
      <c r="G35" s="73" t="s">
        <v>2181</v>
      </c>
      <c r="V35" s="60" t="str">
        <f t="shared" si="4"/>
        <v>Р81 Shetland(g)</v>
      </c>
      <c r="W35" s="60" t="str">
        <f t="shared" si="0"/>
        <v>Р81 Shetland(g)</v>
      </c>
      <c r="X35" s="60" t="str">
        <f t="shared" si="5"/>
        <v>Shetland(g)</v>
      </c>
      <c r="AC35" s="51">
        <f t="shared" si="6"/>
        <v>87</v>
      </c>
      <c r="AD35" s="44">
        <f t="shared" si="1"/>
        <v>34</v>
      </c>
      <c r="AE35" s="51">
        <f t="shared" si="7"/>
        <v>87034</v>
      </c>
    </row>
    <row r="36" spans="1:31">
      <c r="A36" s="60" t="str">
        <f t="shared" si="2"/>
        <v/>
      </c>
      <c r="B36" s="60" t="str">
        <f t="shared" si="3"/>
        <v/>
      </c>
      <c r="V36" s="60" t="str">
        <f t="shared" si="4"/>
        <v/>
      </c>
      <c r="W36" s="60" t="str">
        <f t="shared" si="0"/>
        <v/>
      </c>
      <c r="X36" s="60" t="str">
        <f t="shared" si="5"/>
        <v/>
      </c>
      <c r="AC36" s="51">
        <f t="shared" si="6"/>
        <v>0</v>
      </c>
      <c r="AD36" s="44">
        <f t="shared" si="1"/>
        <v>0</v>
      </c>
      <c r="AE36" s="51">
        <f t="shared" si="7"/>
        <v>0</v>
      </c>
    </row>
    <row r="37" spans="1:31">
      <c r="A37" s="60" t="str">
        <f t="shared" si="2"/>
        <v/>
      </c>
      <c r="B37" s="60" t="str">
        <f t="shared" si="3"/>
        <v/>
      </c>
      <c r="V37" s="60" t="str">
        <f t="shared" si="4"/>
        <v/>
      </c>
      <c r="W37" s="60" t="str">
        <f t="shared" si="0"/>
        <v/>
      </c>
      <c r="X37" s="60" t="str">
        <f t="shared" si="5"/>
        <v/>
      </c>
      <c r="AC37" s="51">
        <f t="shared" si="6"/>
        <v>0</v>
      </c>
      <c r="AD37" s="44">
        <f t="shared" si="1"/>
        <v>0</v>
      </c>
      <c r="AE37" s="51">
        <f t="shared" si="7"/>
        <v>0</v>
      </c>
    </row>
    <row r="38" spans="1:31">
      <c r="A38" s="60" t="str">
        <f t="shared" si="2"/>
        <v/>
      </c>
      <c r="B38" s="60" t="str">
        <f t="shared" si="3"/>
        <v/>
      </c>
      <c r="V38" s="60" t="str">
        <f t="shared" si="4"/>
        <v/>
      </c>
      <c r="W38" s="60" t="str">
        <f t="shared" si="0"/>
        <v/>
      </c>
      <c r="X38" s="60" t="str">
        <f t="shared" si="5"/>
        <v/>
      </c>
      <c r="AC38" s="51">
        <f t="shared" si="6"/>
        <v>0</v>
      </c>
      <c r="AD38" s="44">
        <f t="shared" si="1"/>
        <v>0</v>
      </c>
      <c r="AE38" s="51">
        <f t="shared" si="7"/>
        <v>0</v>
      </c>
    </row>
    <row r="39" spans="1:31">
      <c r="A39" s="60" t="str">
        <f t="shared" si="2"/>
        <v/>
      </c>
      <c r="B39" s="60" t="str">
        <f t="shared" si="3"/>
        <v/>
      </c>
      <c r="V39" s="60" t="str">
        <f t="shared" si="4"/>
        <v/>
      </c>
      <c r="W39" s="60" t="str">
        <f t="shared" si="0"/>
        <v/>
      </c>
      <c r="X39" s="60" t="str">
        <f t="shared" si="5"/>
        <v/>
      </c>
      <c r="AC39" s="51">
        <f t="shared" si="6"/>
        <v>0</v>
      </c>
      <c r="AD39" s="44">
        <f t="shared" si="1"/>
        <v>0</v>
      </c>
      <c r="AE39" s="51">
        <f t="shared" si="7"/>
        <v>0</v>
      </c>
    </row>
    <row r="40" spans="1:31">
      <c r="A40" s="60" t="str">
        <f t="shared" si="2"/>
        <v/>
      </c>
      <c r="B40" s="60" t="str">
        <f t="shared" si="3"/>
        <v/>
      </c>
      <c r="V40" s="60" t="str">
        <f t="shared" si="4"/>
        <v/>
      </c>
      <c r="W40" s="60" t="str">
        <f t="shared" si="0"/>
        <v/>
      </c>
      <c r="X40" s="60" t="str">
        <f t="shared" si="5"/>
        <v/>
      </c>
      <c r="AC40" s="51">
        <f t="shared" si="6"/>
        <v>0</v>
      </c>
      <c r="AD40" s="44">
        <f t="shared" si="1"/>
        <v>0</v>
      </c>
      <c r="AE40" s="51">
        <f t="shared" si="7"/>
        <v>0</v>
      </c>
    </row>
    <row r="41" spans="1:31">
      <c r="A41" s="60" t="str">
        <f t="shared" si="2"/>
        <v/>
      </c>
      <c r="B41" s="60" t="str">
        <f t="shared" si="3"/>
        <v/>
      </c>
      <c r="V41" s="60" t="str">
        <f t="shared" si="4"/>
        <v/>
      </c>
      <c r="W41" s="60" t="str">
        <f t="shared" si="0"/>
        <v/>
      </c>
      <c r="X41" s="60" t="str">
        <f t="shared" si="5"/>
        <v/>
      </c>
      <c r="AC41" s="51">
        <f t="shared" si="6"/>
        <v>0</v>
      </c>
      <c r="AD41" s="44">
        <f t="shared" si="1"/>
        <v>0</v>
      </c>
      <c r="AE41" s="51">
        <f t="shared" si="7"/>
        <v>0</v>
      </c>
    </row>
    <row r="42" spans="1:31">
      <c r="A42" s="60" t="str">
        <f t="shared" si="2"/>
        <v/>
      </c>
      <c r="B42" s="60" t="str">
        <f t="shared" si="3"/>
        <v/>
      </c>
      <c r="V42" s="60" t="str">
        <f t="shared" si="4"/>
        <v/>
      </c>
      <c r="W42" s="60" t="str">
        <f t="shared" si="0"/>
        <v/>
      </c>
      <c r="X42" s="60" t="str">
        <f t="shared" si="5"/>
        <v/>
      </c>
      <c r="AC42" s="51">
        <f t="shared" si="6"/>
        <v>0</v>
      </c>
      <c r="AD42" s="44">
        <f t="shared" si="1"/>
        <v>0</v>
      </c>
      <c r="AE42" s="51">
        <f t="shared" si="7"/>
        <v>0</v>
      </c>
    </row>
    <row r="43" spans="1:31">
      <c r="A43" s="60" t="str">
        <f t="shared" si="2"/>
        <v/>
      </c>
      <c r="B43" s="60" t="str">
        <f t="shared" si="3"/>
        <v/>
      </c>
      <c r="V43" s="60" t="str">
        <f t="shared" si="4"/>
        <v/>
      </c>
      <c r="W43" s="60" t="str">
        <f t="shared" si="0"/>
        <v/>
      </c>
      <c r="X43" s="60" t="str">
        <f t="shared" si="5"/>
        <v/>
      </c>
      <c r="AC43" s="51">
        <f t="shared" si="6"/>
        <v>0</v>
      </c>
      <c r="AD43" s="44">
        <f t="shared" si="1"/>
        <v>0</v>
      </c>
      <c r="AE43" s="51">
        <f t="shared" si="7"/>
        <v>0</v>
      </c>
    </row>
    <row r="44" spans="1:31">
      <c r="A44" s="60" t="str">
        <f t="shared" si="2"/>
        <v/>
      </c>
      <c r="B44" s="60" t="str">
        <f t="shared" si="3"/>
        <v/>
      </c>
      <c r="V44" s="60" t="str">
        <f t="shared" si="4"/>
        <v/>
      </c>
      <c r="W44" s="60" t="str">
        <f t="shared" si="0"/>
        <v/>
      </c>
      <c r="X44" s="60" t="str">
        <f t="shared" si="5"/>
        <v/>
      </c>
      <c r="AC44" s="51">
        <f t="shared" si="6"/>
        <v>0</v>
      </c>
      <c r="AD44" s="44">
        <f t="shared" si="1"/>
        <v>0</v>
      </c>
      <c r="AE44" s="51">
        <f t="shared" si="7"/>
        <v>0</v>
      </c>
    </row>
    <row r="45" spans="1:31">
      <c r="A45" s="60" t="str">
        <f t="shared" si="2"/>
        <v/>
      </c>
      <c r="B45" s="60" t="str">
        <f t="shared" si="3"/>
        <v/>
      </c>
      <c r="V45" s="60" t="str">
        <f t="shared" si="4"/>
        <v/>
      </c>
      <c r="W45" s="60" t="str">
        <f t="shared" si="0"/>
        <v/>
      </c>
      <c r="X45" s="60" t="str">
        <f t="shared" si="5"/>
        <v/>
      </c>
      <c r="AC45" s="51">
        <f t="shared" si="6"/>
        <v>0</v>
      </c>
      <c r="AD45" s="44">
        <f t="shared" si="1"/>
        <v>0</v>
      </c>
      <c r="AE45" s="51">
        <f t="shared" si="7"/>
        <v>0</v>
      </c>
    </row>
    <row r="46" spans="1:31">
      <c r="A46" s="60" t="str">
        <f t="shared" si="2"/>
        <v/>
      </c>
      <c r="B46" s="60" t="str">
        <f t="shared" si="3"/>
        <v/>
      </c>
      <c r="V46" s="60" t="str">
        <f t="shared" si="4"/>
        <v/>
      </c>
      <c r="W46" s="60" t="str">
        <f t="shared" si="0"/>
        <v/>
      </c>
      <c r="X46" s="60" t="str">
        <f t="shared" si="5"/>
        <v/>
      </c>
      <c r="AC46" s="51">
        <f t="shared" si="6"/>
        <v>0</v>
      </c>
      <c r="AD46" s="44">
        <f t="shared" si="1"/>
        <v>0</v>
      </c>
      <c r="AE46" s="51">
        <f t="shared" si="7"/>
        <v>0</v>
      </c>
    </row>
    <row r="47" spans="1:31">
      <c r="A47" s="60" t="str">
        <f t="shared" si="2"/>
        <v/>
      </c>
      <c r="B47" s="60" t="str">
        <f t="shared" si="3"/>
        <v/>
      </c>
      <c r="V47" s="60" t="str">
        <f t="shared" si="4"/>
        <v/>
      </c>
      <c r="W47" s="60" t="str">
        <f t="shared" si="0"/>
        <v/>
      </c>
      <c r="X47" s="60" t="str">
        <f t="shared" si="5"/>
        <v/>
      </c>
      <c r="AC47" s="51">
        <f t="shared" si="6"/>
        <v>0</v>
      </c>
      <c r="AD47" s="44">
        <f t="shared" si="1"/>
        <v>0</v>
      </c>
      <c r="AE47" s="51">
        <f t="shared" si="7"/>
        <v>0</v>
      </c>
    </row>
    <row r="48" spans="1:31">
      <c r="A48" s="60" t="str">
        <f t="shared" si="2"/>
        <v/>
      </c>
      <c r="B48" s="60" t="str">
        <f t="shared" si="3"/>
        <v/>
      </c>
      <c r="V48" s="60" t="str">
        <f t="shared" si="4"/>
        <v/>
      </c>
      <c r="W48" s="60" t="str">
        <f t="shared" si="0"/>
        <v/>
      </c>
      <c r="X48" s="60" t="str">
        <f t="shared" si="5"/>
        <v/>
      </c>
      <c r="AC48" s="51">
        <f t="shared" si="6"/>
        <v>0</v>
      </c>
      <c r="AD48" s="44">
        <f t="shared" si="1"/>
        <v>0</v>
      </c>
      <c r="AE48" s="51">
        <f t="shared" si="7"/>
        <v>0</v>
      </c>
    </row>
    <row r="49" spans="1:31">
      <c r="A49" s="60" t="str">
        <f t="shared" si="2"/>
        <v/>
      </c>
      <c r="B49" s="60" t="str">
        <f t="shared" si="3"/>
        <v/>
      </c>
      <c r="V49" s="60" t="str">
        <f t="shared" si="4"/>
        <v/>
      </c>
      <c r="W49" s="60" t="str">
        <f t="shared" si="0"/>
        <v/>
      </c>
      <c r="X49" s="60" t="str">
        <f t="shared" si="5"/>
        <v/>
      </c>
      <c r="AC49" s="51">
        <f t="shared" si="6"/>
        <v>0</v>
      </c>
      <c r="AD49" s="44">
        <f t="shared" si="1"/>
        <v>0</v>
      </c>
      <c r="AE49" s="51">
        <f t="shared" si="7"/>
        <v>0</v>
      </c>
    </row>
    <row r="50" spans="1:31">
      <c r="A50" s="60" t="str">
        <f t="shared" si="2"/>
        <v/>
      </c>
      <c r="B50" s="60" t="str">
        <f t="shared" si="3"/>
        <v/>
      </c>
      <c r="V50" s="60" t="str">
        <f t="shared" si="4"/>
        <v/>
      </c>
      <c r="W50" s="60" t="str">
        <f t="shared" si="0"/>
        <v/>
      </c>
      <c r="X50" s="60" t="str">
        <f t="shared" si="5"/>
        <v/>
      </c>
      <c r="AC50" s="51">
        <f t="shared" si="6"/>
        <v>0</v>
      </c>
      <c r="AD50" s="44">
        <f t="shared" si="1"/>
        <v>0</v>
      </c>
      <c r="AE50" s="51">
        <f t="shared" si="7"/>
        <v>0</v>
      </c>
    </row>
    <row r="51" spans="1:31">
      <c r="A51" s="60" t="str">
        <f t="shared" si="2"/>
        <v/>
      </c>
      <c r="B51" s="60" t="str">
        <f t="shared" si="3"/>
        <v/>
      </c>
      <c r="V51" s="60" t="str">
        <f t="shared" si="4"/>
        <v/>
      </c>
      <c r="W51" s="60" t="str">
        <f t="shared" si="0"/>
        <v/>
      </c>
      <c r="X51" s="60" t="str">
        <f t="shared" si="5"/>
        <v/>
      </c>
      <c r="AC51" s="51">
        <f t="shared" si="6"/>
        <v>0</v>
      </c>
      <c r="AD51" s="44">
        <f t="shared" si="1"/>
        <v>0</v>
      </c>
      <c r="AE51" s="51">
        <f t="shared" si="7"/>
        <v>0</v>
      </c>
    </row>
    <row r="52" spans="1:31">
      <c r="A52" s="60" t="str">
        <f t="shared" si="2"/>
        <v/>
      </c>
      <c r="B52" s="60" t="str">
        <f t="shared" si="3"/>
        <v/>
      </c>
      <c r="V52" s="60" t="str">
        <f t="shared" si="4"/>
        <v/>
      </c>
      <c r="W52" s="60" t="str">
        <f t="shared" si="0"/>
        <v/>
      </c>
      <c r="X52" s="60" t="str">
        <f t="shared" si="5"/>
        <v/>
      </c>
      <c r="AC52" s="51">
        <f t="shared" si="6"/>
        <v>0</v>
      </c>
      <c r="AD52" s="44">
        <f t="shared" si="1"/>
        <v>0</v>
      </c>
      <c r="AE52" s="51">
        <f t="shared" si="7"/>
        <v>0</v>
      </c>
    </row>
    <row r="53" spans="1:31">
      <c r="A53" s="60" t="str">
        <f t="shared" si="2"/>
        <v/>
      </c>
      <c r="B53" s="60" t="str">
        <f t="shared" si="3"/>
        <v/>
      </c>
      <c r="V53" s="60" t="str">
        <f t="shared" si="4"/>
        <v/>
      </c>
      <c r="W53" s="60" t="str">
        <f t="shared" si="0"/>
        <v/>
      </c>
      <c r="X53" s="60" t="str">
        <f t="shared" si="5"/>
        <v/>
      </c>
      <c r="AC53" s="51">
        <f t="shared" si="6"/>
        <v>0</v>
      </c>
      <c r="AD53" s="44">
        <f t="shared" si="1"/>
        <v>0</v>
      </c>
      <c r="AE53" s="51">
        <f t="shared" si="7"/>
        <v>0</v>
      </c>
    </row>
    <row r="54" spans="1:31">
      <c r="A54" s="60" t="str">
        <f t="shared" si="2"/>
        <v/>
      </c>
      <c r="B54" s="60" t="str">
        <f t="shared" si="3"/>
        <v/>
      </c>
      <c r="V54" s="60" t="str">
        <f t="shared" si="4"/>
        <v/>
      </c>
      <c r="W54" s="60" t="str">
        <f t="shared" si="0"/>
        <v/>
      </c>
      <c r="X54" s="60" t="str">
        <f t="shared" si="5"/>
        <v/>
      </c>
      <c r="AC54" s="51">
        <f t="shared" si="6"/>
        <v>0</v>
      </c>
      <c r="AD54" s="44">
        <f t="shared" si="1"/>
        <v>0</v>
      </c>
      <c r="AE54" s="51">
        <f t="shared" si="7"/>
        <v>0</v>
      </c>
    </row>
    <row r="55" spans="1:31">
      <c r="A55" s="60" t="str">
        <f t="shared" si="2"/>
        <v/>
      </c>
      <c r="B55" s="60" t="str">
        <f t="shared" si="3"/>
        <v/>
      </c>
      <c r="V55" s="60" t="str">
        <f t="shared" si="4"/>
        <v/>
      </c>
      <c r="W55" s="60" t="str">
        <f t="shared" si="0"/>
        <v/>
      </c>
      <c r="X55" s="60" t="str">
        <f t="shared" si="5"/>
        <v/>
      </c>
      <c r="AC55" s="51">
        <f t="shared" si="6"/>
        <v>0</v>
      </c>
      <c r="AD55" s="44">
        <f t="shared" si="1"/>
        <v>0</v>
      </c>
      <c r="AE55" s="51">
        <f t="shared" si="7"/>
        <v>0</v>
      </c>
    </row>
    <row r="56" spans="1:31">
      <c r="A56" s="60" t="str">
        <f t="shared" si="2"/>
        <v/>
      </c>
      <c r="B56" s="60" t="str">
        <f t="shared" si="3"/>
        <v/>
      </c>
      <c r="V56" s="60" t="str">
        <f t="shared" si="4"/>
        <v/>
      </c>
      <c r="W56" s="60" t="str">
        <f t="shared" si="0"/>
        <v/>
      </c>
      <c r="X56" s="60" t="str">
        <f t="shared" si="5"/>
        <v/>
      </c>
      <c r="AC56" s="51">
        <f t="shared" si="6"/>
        <v>0</v>
      </c>
      <c r="AD56" s="44">
        <f t="shared" si="1"/>
        <v>0</v>
      </c>
      <c r="AE56" s="51">
        <f t="shared" si="7"/>
        <v>0</v>
      </c>
    </row>
    <row r="57" spans="1:31">
      <c r="A57" s="60" t="str">
        <f t="shared" si="2"/>
        <v/>
      </c>
      <c r="B57" s="60" t="str">
        <f t="shared" si="3"/>
        <v/>
      </c>
      <c r="V57" s="60" t="str">
        <f t="shared" si="4"/>
        <v/>
      </c>
      <c r="W57" s="60" t="str">
        <f t="shared" si="0"/>
        <v/>
      </c>
      <c r="X57" s="60" t="str">
        <f t="shared" si="5"/>
        <v/>
      </c>
      <c r="AC57" s="51">
        <f t="shared" si="6"/>
        <v>0</v>
      </c>
      <c r="AD57" s="44">
        <f t="shared" si="1"/>
        <v>0</v>
      </c>
      <c r="AE57" s="51">
        <f t="shared" si="7"/>
        <v>0</v>
      </c>
    </row>
    <row r="58" spans="1:31">
      <c r="A58" s="60" t="str">
        <f t="shared" si="2"/>
        <v/>
      </c>
      <c r="B58" s="60" t="str">
        <f t="shared" si="3"/>
        <v/>
      </c>
      <c r="V58" s="60" t="str">
        <f t="shared" si="4"/>
        <v/>
      </c>
      <c r="W58" s="60" t="str">
        <f t="shared" si="0"/>
        <v/>
      </c>
      <c r="X58" s="60" t="str">
        <f t="shared" si="5"/>
        <v/>
      </c>
      <c r="AC58" s="51">
        <f t="shared" si="6"/>
        <v>0</v>
      </c>
      <c r="AD58" s="44">
        <f t="shared" si="1"/>
        <v>0</v>
      </c>
      <c r="AE58" s="51">
        <f t="shared" si="7"/>
        <v>0</v>
      </c>
    </row>
    <row r="59" spans="1:31">
      <c r="A59" s="60" t="str">
        <f t="shared" si="2"/>
        <v/>
      </c>
      <c r="B59" s="60" t="str">
        <f t="shared" si="3"/>
        <v/>
      </c>
      <c r="V59" s="60" t="str">
        <f t="shared" si="4"/>
        <v/>
      </c>
      <c r="W59" s="60" t="str">
        <f t="shared" si="0"/>
        <v/>
      </c>
      <c r="X59" s="60" t="str">
        <f t="shared" si="5"/>
        <v/>
      </c>
      <c r="AC59" s="51">
        <f t="shared" si="6"/>
        <v>0</v>
      </c>
      <c r="AD59" s="44">
        <f t="shared" si="1"/>
        <v>0</v>
      </c>
      <c r="AE59" s="51">
        <f t="shared" si="7"/>
        <v>0</v>
      </c>
    </row>
    <row r="60" spans="1:31">
      <c r="A60" s="60" t="str">
        <f t="shared" si="2"/>
        <v/>
      </c>
      <c r="B60" s="60" t="str">
        <f t="shared" si="3"/>
        <v/>
      </c>
      <c r="V60" s="60" t="str">
        <f t="shared" si="4"/>
        <v/>
      </c>
      <c r="W60" s="60" t="str">
        <f t="shared" si="0"/>
        <v/>
      </c>
      <c r="X60" s="60" t="str">
        <f t="shared" si="5"/>
        <v/>
      </c>
      <c r="AC60" s="51">
        <f t="shared" si="6"/>
        <v>0</v>
      </c>
      <c r="AD60" s="44">
        <f t="shared" si="1"/>
        <v>0</v>
      </c>
      <c r="AE60" s="51">
        <f t="shared" si="7"/>
        <v>0</v>
      </c>
    </row>
    <row r="61" spans="1:31">
      <c r="A61" s="60" t="str">
        <f t="shared" si="2"/>
        <v/>
      </c>
      <c r="B61" s="60" t="str">
        <f t="shared" si="3"/>
        <v/>
      </c>
      <c r="V61" s="60" t="str">
        <f t="shared" si="4"/>
        <v/>
      </c>
      <c r="W61" s="60" t="str">
        <f t="shared" si="0"/>
        <v/>
      </c>
      <c r="X61" s="60" t="str">
        <f t="shared" si="5"/>
        <v/>
      </c>
      <c r="AC61" s="51">
        <f t="shared" si="6"/>
        <v>0</v>
      </c>
      <c r="AD61" s="44">
        <f t="shared" si="1"/>
        <v>0</v>
      </c>
      <c r="AE61" s="51">
        <f t="shared" si="7"/>
        <v>0</v>
      </c>
    </row>
    <row r="62" spans="1:31">
      <c r="A62" s="60" t="str">
        <f t="shared" si="2"/>
        <v/>
      </c>
      <c r="B62" s="60" t="str">
        <f t="shared" si="3"/>
        <v/>
      </c>
      <c r="V62" s="60" t="str">
        <f t="shared" si="4"/>
        <v/>
      </c>
      <c r="W62" s="60" t="str">
        <f t="shared" si="0"/>
        <v/>
      </c>
      <c r="X62" s="60" t="str">
        <f t="shared" si="5"/>
        <v/>
      </c>
      <c r="AC62" s="51">
        <f t="shared" si="6"/>
        <v>0</v>
      </c>
      <c r="AD62" s="44">
        <f t="shared" si="1"/>
        <v>0</v>
      </c>
      <c r="AE62" s="51">
        <f t="shared" si="7"/>
        <v>0</v>
      </c>
    </row>
    <row r="63" spans="1:31">
      <c r="A63" s="60" t="str">
        <f t="shared" si="2"/>
        <v/>
      </c>
      <c r="B63" s="60" t="str">
        <f t="shared" si="3"/>
        <v/>
      </c>
      <c r="V63" s="60" t="str">
        <f t="shared" si="4"/>
        <v/>
      </c>
      <c r="W63" s="60" t="str">
        <f t="shared" si="0"/>
        <v/>
      </c>
      <c r="X63" s="60" t="str">
        <f t="shared" si="5"/>
        <v/>
      </c>
      <c r="AC63" s="51">
        <f t="shared" si="6"/>
        <v>0</v>
      </c>
      <c r="AD63" s="44">
        <f t="shared" si="1"/>
        <v>0</v>
      </c>
      <c r="AE63" s="51">
        <f t="shared" si="7"/>
        <v>0</v>
      </c>
    </row>
    <row r="64" spans="1:31">
      <c r="A64" s="60" t="str">
        <f t="shared" si="2"/>
        <v/>
      </c>
      <c r="B64" s="60" t="str">
        <f t="shared" si="3"/>
        <v/>
      </c>
      <c r="V64" s="60" t="str">
        <f t="shared" si="4"/>
        <v/>
      </c>
      <c r="W64" s="60" t="str">
        <f t="shared" si="0"/>
        <v/>
      </c>
      <c r="X64" s="60" t="str">
        <f t="shared" si="5"/>
        <v/>
      </c>
      <c r="AC64" s="51">
        <f t="shared" si="6"/>
        <v>0</v>
      </c>
      <c r="AD64" s="44">
        <f t="shared" si="1"/>
        <v>0</v>
      </c>
      <c r="AE64" s="51">
        <f t="shared" si="7"/>
        <v>0</v>
      </c>
    </row>
    <row r="65" spans="1:31">
      <c r="A65" s="60" t="str">
        <f t="shared" si="2"/>
        <v/>
      </c>
      <c r="B65" s="60" t="str">
        <f t="shared" si="3"/>
        <v/>
      </c>
      <c r="V65" s="60" t="str">
        <f t="shared" si="4"/>
        <v/>
      </c>
      <c r="W65" s="60" t="str">
        <f t="shared" si="0"/>
        <v/>
      </c>
      <c r="X65" s="60" t="str">
        <f t="shared" si="5"/>
        <v/>
      </c>
      <c r="AC65" s="51">
        <f t="shared" si="6"/>
        <v>0</v>
      </c>
      <c r="AD65" s="44">
        <f t="shared" si="1"/>
        <v>0</v>
      </c>
      <c r="AE65" s="51">
        <f t="shared" si="7"/>
        <v>0</v>
      </c>
    </row>
    <row r="66" spans="1:31">
      <c r="A66" s="60" t="str">
        <f t="shared" si="2"/>
        <v/>
      </c>
      <c r="B66" s="60" t="str">
        <f t="shared" si="3"/>
        <v/>
      </c>
      <c r="V66" s="60" t="str">
        <f t="shared" si="4"/>
        <v/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/>
      </c>
      <c r="X66" s="60" t="str">
        <f t="shared" si="5"/>
        <v/>
      </c>
      <c r="AC66" s="51">
        <f t="shared" si="6"/>
        <v>0</v>
      </c>
      <c r="AD66" s="44">
        <f t="shared" si="1"/>
        <v>0</v>
      </c>
      <c r="AE66" s="51">
        <f t="shared" si="7"/>
        <v>0</v>
      </c>
    </row>
    <row r="67" spans="1:31">
      <c r="A67" s="60" t="str">
        <f t="shared" ref="A67:A130" si="9">IF(G67&amp;Q67&lt;&gt;"",W67&amp;Q67,"")</f>
        <v/>
      </c>
      <c r="B67" s="60" t="str">
        <f t="shared" ref="B67:B130" si="10">IF(C67&lt;&gt;"",LEFT(C67,9),"")</f>
        <v/>
      </c>
      <c r="V67" s="60" t="str">
        <f t="shared" ref="V67:V130" si="11">W67&amp;H67</f>
        <v/>
      </c>
      <c r="W67" s="60" t="str">
        <f t="shared" si="8"/>
        <v/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0</v>
      </c>
      <c r="AD67" s="44">
        <f t="shared" ref="AD67:AD130" si="14">IFERROR(VALUE(MID($C67,4,3)),0)</f>
        <v>0</v>
      </c>
      <c r="AE67" s="51">
        <f t="shared" ref="AE67:AE130" si="15">VALUE(RIGHT("00"&amp;AC67,2)&amp;RIGHT("000"&amp;AD67,3))</f>
        <v>0</v>
      </c>
    </row>
    <row r="68" spans="1:31">
      <c r="A68" s="60" t="str">
        <f t="shared" si="9"/>
        <v/>
      </c>
      <c r="B68" s="60" t="str">
        <f t="shared" si="10"/>
        <v/>
      </c>
      <c r="V68" s="60" t="str">
        <f t="shared" si="11"/>
        <v/>
      </c>
      <c r="W68" s="60" t="str">
        <f t="shared" si="8"/>
        <v/>
      </c>
      <c r="X68" s="60" t="str">
        <f t="shared" si="12"/>
        <v/>
      </c>
      <c r="AC68" s="51">
        <f t="shared" si="13"/>
        <v>0</v>
      </c>
      <c r="AD68" s="44">
        <f t="shared" si="14"/>
        <v>0</v>
      </c>
      <c r="AE68" s="51">
        <f t="shared" si="15"/>
        <v>0</v>
      </c>
    </row>
    <row r="69" spans="1:31">
      <c r="A69" s="60" t="str">
        <f t="shared" si="9"/>
        <v/>
      </c>
      <c r="B69" s="60" t="str">
        <f t="shared" si="10"/>
        <v/>
      </c>
      <c r="V69" s="60" t="str">
        <f t="shared" si="11"/>
        <v/>
      </c>
      <c r="W69" s="60" t="str">
        <f t="shared" si="8"/>
        <v/>
      </c>
      <c r="X69" s="60" t="str">
        <f t="shared" si="12"/>
        <v/>
      </c>
      <c r="AC69" s="51">
        <f t="shared" si="13"/>
        <v>0</v>
      </c>
      <c r="AD69" s="44">
        <f t="shared" si="14"/>
        <v>0</v>
      </c>
      <c r="AE69" s="51">
        <f t="shared" si="15"/>
        <v>0</v>
      </c>
    </row>
    <row r="70" spans="1:31">
      <c r="A70" s="60" t="str">
        <f t="shared" si="9"/>
        <v/>
      </c>
      <c r="B70" s="60" t="str">
        <f t="shared" si="10"/>
        <v/>
      </c>
      <c r="V70" s="60" t="str">
        <f t="shared" si="11"/>
        <v/>
      </c>
      <c r="W70" s="60" t="str">
        <f t="shared" si="8"/>
        <v/>
      </c>
      <c r="X70" s="60" t="str">
        <f t="shared" si="12"/>
        <v/>
      </c>
      <c r="AC70" s="51">
        <f t="shared" si="13"/>
        <v>0</v>
      </c>
      <c r="AD70" s="44">
        <f t="shared" si="14"/>
        <v>0</v>
      </c>
      <c r="AE70" s="51">
        <f t="shared" si="15"/>
        <v>0</v>
      </c>
    </row>
    <row r="71" spans="1:31">
      <c r="A71" s="60" t="str">
        <f t="shared" si="9"/>
        <v/>
      </c>
      <c r="B71" s="60" t="str">
        <f t="shared" si="10"/>
        <v/>
      </c>
      <c r="V71" s="60" t="str">
        <f t="shared" si="11"/>
        <v/>
      </c>
      <c r="W71" s="60" t="str">
        <f t="shared" si="8"/>
        <v/>
      </c>
      <c r="X71" s="60" t="str">
        <f t="shared" si="12"/>
        <v/>
      </c>
      <c r="AC71" s="51">
        <f t="shared" si="13"/>
        <v>0</v>
      </c>
      <c r="AD71" s="44">
        <f t="shared" si="14"/>
        <v>0</v>
      </c>
      <c r="AE71" s="51">
        <f t="shared" si="15"/>
        <v>0</v>
      </c>
    </row>
    <row r="72" spans="1:31">
      <c r="A72" s="60" t="str">
        <f t="shared" si="9"/>
        <v/>
      </c>
      <c r="B72" s="60" t="str">
        <f t="shared" si="10"/>
        <v/>
      </c>
      <c r="V72" s="60" t="str">
        <f t="shared" si="11"/>
        <v/>
      </c>
      <c r="W72" s="60" t="str">
        <f t="shared" si="8"/>
        <v/>
      </c>
      <c r="X72" s="60" t="str">
        <f t="shared" si="12"/>
        <v/>
      </c>
      <c r="AC72" s="51">
        <f t="shared" si="13"/>
        <v>0</v>
      </c>
      <c r="AD72" s="44">
        <f t="shared" si="14"/>
        <v>0</v>
      </c>
      <c r="AE72" s="51">
        <f t="shared" si="15"/>
        <v>0</v>
      </c>
    </row>
    <row r="73" spans="1:31">
      <c r="A73" s="60" t="str">
        <f t="shared" si="9"/>
        <v/>
      </c>
      <c r="B73" s="60" t="str">
        <f t="shared" si="10"/>
        <v/>
      </c>
      <c r="V73" s="60" t="str">
        <f t="shared" si="11"/>
        <v/>
      </c>
      <c r="W73" s="60" t="str">
        <f t="shared" si="8"/>
        <v/>
      </c>
      <c r="X73" s="60" t="str">
        <f t="shared" si="12"/>
        <v/>
      </c>
      <c r="AC73" s="51">
        <f t="shared" si="13"/>
        <v>0</v>
      </c>
      <c r="AD73" s="44">
        <f t="shared" si="14"/>
        <v>0</v>
      </c>
      <c r="AE73" s="51">
        <f t="shared" si="15"/>
        <v>0</v>
      </c>
    </row>
    <row r="74" spans="1:31">
      <c r="A74" s="60" t="str">
        <f t="shared" si="9"/>
        <v/>
      </c>
      <c r="B74" s="60" t="str">
        <f t="shared" si="10"/>
        <v/>
      </c>
      <c r="V74" s="60" t="str">
        <f t="shared" si="11"/>
        <v/>
      </c>
      <c r="W74" s="60" t="str">
        <f t="shared" si="8"/>
        <v/>
      </c>
      <c r="X74" s="60" t="str">
        <f t="shared" si="12"/>
        <v/>
      </c>
      <c r="AC74" s="51">
        <f t="shared" si="13"/>
        <v>0</v>
      </c>
      <c r="AD74" s="44">
        <f t="shared" si="14"/>
        <v>0</v>
      </c>
      <c r="AE74" s="51">
        <f t="shared" si="15"/>
        <v>0</v>
      </c>
    </row>
    <row r="75" spans="1:31">
      <c r="A75" s="60" t="str">
        <f t="shared" si="9"/>
        <v/>
      </c>
      <c r="B75" s="60" t="str">
        <f t="shared" si="10"/>
        <v/>
      </c>
      <c r="V75" s="60" t="str">
        <f t="shared" si="11"/>
        <v/>
      </c>
      <c r="W75" s="60" t="str">
        <f t="shared" si="8"/>
        <v/>
      </c>
      <c r="X75" s="60" t="str">
        <f t="shared" si="12"/>
        <v/>
      </c>
      <c r="AC75" s="51">
        <f t="shared" si="13"/>
        <v>0</v>
      </c>
      <c r="AD75" s="44">
        <f t="shared" si="14"/>
        <v>0</v>
      </c>
      <c r="AE75" s="51">
        <f t="shared" si="15"/>
        <v>0</v>
      </c>
    </row>
    <row r="76" spans="1:31">
      <c r="A76" s="60" t="str">
        <f t="shared" si="9"/>
        <v/>
      </c>
      <c r="B76" s="60" t="str">
        <f t="shared" si="10"/>
        <v/>
      </c>
      <c r="V76" s="60" t="str">
        <f t="shared" si="11"/>
        <v/>
      </c>
      <c r="W76" s="60" t="str">
        <f t="shared" si="8"/>
        <v/>
      </c>
      <c r="X76" s="60" t="str">
        <f t="shared" si="12"/>
        <v/>
      </c>
      <c r="AC76" s="51">
        <f t="shared" si="13"/>
        <v>0</v>
      </c>
      <c r="AD76" s="44">
        <f t="shared" si="14"/>
        <v>0</v>
      </c>
      <c r="AE76" s="51">
        <f t="shared" si="15"/>
        <v>0</v>
      </c>
    </row>
    <row r="77" spans="1:31">
      <c r="A77" s="60" t="str">
        <f t="shared" si="9"/>
        <v/>
      </c>
      <c r="B77" s="60" t="str">
        <f t="shared" si="10"/>
        <v/>
      </c>
      <c r="V77" s="60" t="str">
        <f t="shared" si="11"/>
        <v/>
      </c>
      <c r="W77" s="60" t="str">
        <f t="shared" si="8"/>
        <v/>
      </c>
      <c r="X77" s="60" t="str">
        <f t="shared" si="12"/>
        <v/>
      </c>
      <c r="AC77" s="51">
        <f t="shared" si="13"/>
        <v>0</v>
      </c>
      <c r="AD77" s="44">
        <f t="shared" si="14"/>
        <v>0</v>
      </c>
      <c r="AE77" s="51">
        <f t="shared" si="15"/>
        <v>0</v>
      </c>
    </row>
    <row r="78" spans="1:31">
      <c r="A78" s="60" t="str">
        <f t="shared" si="9"/>
        <v/>
      </c>
      <c r="B78" s="60" t="str">
        <f t="shared" si="10"/>
        <v/>
      </c>
      <c r="V78" s="60" t="str">
        <f t="shared" si="11"/>
        <v/>
      </c>
      <c r="W78" s="60" t="str">
        <f t="shared" si="8"/>
        <v/>
      </c>
      <c r="X78" s="60" t="str">
        <f t="shared" si="12"/>
        <v/>
      </c>
      <c r="AC78" s="51">
        <f t="shared" si="13"/>
        <v>0</v>
      </c>
      <c r="AD78" s="44">
        <f t="shared" si="14"/>
        <v>0</v>
      </c>
      <c r="AE78" s="51">
        <f t="shared" si="15"/>
        <v>0</v>
      </c>
    </row>
    <row r="79" spans="1:31">
      <c r="A79" s="60" t="str">
        <f t="shared" si="9"/>
        <v/>
      </c>
      <c r="B79" s="60" t="str">
        <f t="shared" si="10"/>
        <v/>
      </c>
      <c r="V79" s="60" t="str">
        <f t="shared" si="11"/>
        <v/>
      </c>
      <c r="W79" s="60" t="str">
        <f t="shared" si="8"/>
        <v/>
      </c>
      <c r="X79" s="60" t="str">
        <f t="shared" si="12"/>
        <v/>
      </c>
      <c r="AC79" s="51">
        <f t="shared" si="13"/>
        <v>0</v>
      </c>
      <c r="AD79" s="44">
        <f t="shared" si="14"/>
        <v>0</v>
      </c>
      <c r="AE79" s="51">
        <f t="shared" si="15"/>
        <v>0</v>
      </c>
    </row>
    <row r="80" spans="1:31">
      <c r="A80" s="60" t="str">
        <f t="shared" si="9"/>
        <v/>
      </c>
      <c r="B80" s="60" t="str">
        <f t="shared" si="10"/>
        <v/>
      </c>
      <c r="V80" s="60" t="str">
        <f t="shared" si="11"/>
        <v/>
      </c>
      <c r="W80" s="60" t="str">
        <f t="shared" si="8"/>
        <v/>
      </c>
      <c r="X80" s="60" t="str">
        <f t="shared" si="12"/>
        <v/>
      </c>
      <c r="AC80" s="51">
        <f t="shared" si="13"/>
        <v>0</v>
      </c>
      <c r="AD80" s="44">
        <f t="shared" si="14"/>
        <v>0</v>
      </c>
      <c r="AE80" s="51">
        <f t="shared" si="15"/>
        <v>0</v>
      </c>
    </row>
    <row r="81" spans="1:31">
      <c r="A81" s="60" t="str">
        <f t="shared" si="9"/>
        <v/>
      </c>
      <c r="B81" s="60" t="str">
        <f t="shared" si="10"/>
        <v/>
      </c>
      <c r="V81" s="60" t="str">
        <f t="shared" si="11"/>
        <v/>
      </c>
      <c r="W81" s="60" t="str">
        <f t="shared" si="8"/>
        <v/>
      </c>
      <c r="X81" s="60" t="str">
        <f t="shared" si="12"/>
        <v/>
      </c>
      <c r="AC81" s="51">
        <f t="shared" si="13"/>
        <v>0</v>
      </c>
      <c r="AD81" s="44">
        <f t="shared" si="14"/>
        <v>0</v>
      </c>
      <c r="AE81" s="51">
        <f t="shared" si="15"/>
        <v>0</v>
      </c>
    </row>
    <row r="82" spans="1:31">
      <c r="A82" s="60" t="str">
        <f t="shared" si="9"/>
        <v/>
      </c>
      <c r="B82" s="60" t="str">
        <f t="shared" si="10"/>
        <v/>
      </c>
      <c r="V82" s="60" t="str">
        <f t="shared" si="11"/>
        <v/>
      </c>
      <c r="W82" s="60" t="str">
        <f t="shared" si="8"/>
        <v/>
      </c>
      <c r="X82" s="60" t="str">
        <f t="shared" si="12"/>
        <v/>
      </c>
      <c r="AC82" s="51">
        <f t="shared" si="13"/>
        <v>0</v>
      </c>
      <c r="AD82" s="44">
        <f t="shared" si="14"/>
        <v>0</v>
      </c>
      <c r="AE82" s="51">
        <f t="shared" si="15"/>
        <v>0</v>
      </c>
    </row>
    <row r="83" spans="1:31">
      <c r="A83" s="60" t="str">
        <f t="shared" si="9"/>
        <v/>
      </c>
      <c r="B83" s="60" t="str">
        <f t="shared" si="10"/>
        <v/>
      </c>
      <c r="V83" s="60" t="str">
        <f t="shared" si="11"/>
        <v/>
      </c>
      <c r="W83" s="60" t="str">
        <f t="shared" si="8"/>
        <v/>
      </c>
      <c r="X83" s="60" t="str">
        <f t="shared" si="12"/>
        <v/>
      </c>
      <c r="AC83" s="51">
        <f t="shared" si="13"/>
        <v>0</v>
      </c>
      <c r="AD83" s="44">
        <f t="shared" si="14"/>
        <v>0</v>
      </c>
      <c r="AE83" s="51">
        <f t="shared" si="15"/>
        <v>0</v>
      </c>
    </row>
    <row r="84" spans="1:31">
      <c r="A84" s="60" t="str">
        <f t="shared" si="9"/>
        <v/>
      </c>
      <c r="B84" s="60" t="str">
        <f t="shared" si="10"/>
        <v/>
      </c>
      <c r="V84" s="60" t="str">
        <f t="shared" si="11"/>
        <v/>
      </c>
      <c r="W84" s="60" t="str">
        <f t="shared" si="8"/>
        <v/>
      </c>
      <c r="X84" s="60" t="str">
        <f t="shared" si="12"/>
        <v/>
      </c>
      <c r="AC84" s="51">
        <f t="shared" si="13"/>
        <v>0</v>
      </c>
      <c r="AD84" s="44">
        <f t="shared" si="14"/>
        <v>0</v>
      </c>
      <c r="AE84" s="51">
        <f t="shared" si="15"/>
        <v>0</v>
      </c>
    </row>
    <row r="85" spans="1:31">
      <c r="A85" s="60" t="str">
        <f t="shared" si="9"/>
        <v/>
      </c>
      <c r="B85" s="60" t="str">
        <f t="shared" si="10"/>
        <v/>
      </c>
      <c r="V85" s="60" t="str">
        <f t="shared" si="11"/>
        <v/>
      </c>
      <c r="W85" s="60" t="str">
        <f t="shared" si="8"/>
        <v/>
      </c>
      <c r="X85" s="60" t="str">
        <f t="shared" si="12"/>
        <v/>
      </c>
      <c r="AC85" s="51">
        <f t="shared" si="13"/>
        <v>0</v>
      </c>
      <c r="AD85" s="44">
        <f t="shared" si="14"/>
        <v>0</v>
      </c>
      <c r="AE85" s="51">
        <f t="shared" si="15"/>
        <v>0</v>
      </c>
    </row>
    <row r="86" spans="1:31">
      <c r="A86" s="60" t="str">
        <f t="shared" si="9"/>
        <v/>
      </c>
      <c r="B86" s="60" t="str">
        <f t="shared" si="10"/>
        <v/>
      </c>
      <c r="V86" s="60" t="str">
        <f t="shared" si="11"/>
        <v/>
      </c>
      <c r="W86" s="60" t="str">
        <f t="shared" si="8"/>
        <v/>
      </c>
      <c r="X86" s="60" t="str">
        <f t="shared" si="12"/>
        <v/>
      </c>
      <c r="AC86" s="51">
        <f t="shared" si="13"/>
        <v>0</v>
      </c>
      <c r="AD86" s="44">
        <f t="shared" si="14"/>
        <v>0</v>
      </c>
      <c r="AE86" s="51">
        <f t="shared" si="15"/>
        <v>0</v>
      </c>
    </row>
    <row r="87" spans="1:31">
      <c r="A87" s="60" t="str">
        <f t="shared" si="9"/>
        <v/>
      </c>
      <c r="B87" s="60" t="str">
        <f t="shared" si="10"/>
        <v/>
      </c>
      <c r="V87" s="60" t="str">
        <f t="shared" si="11"/>
        <v/>
      </c>
      <c r="W87" s="60" t="str">
        <f t="shared" si="8"/>
        <v/>
      </c>
      <c r="X87" s="60" t="str">
        <f t="shared" si="12"/>
        <v/>
      </c>
      <c r="AC87" s="51">
        <f t="shared" si="13"/>
        <v>0</v>
      </c>
      <c r="AD87" s="44">
        <f t="shared" si="14"/>
        <v>0</v>
      </c>
      <c r="AE87" s="51">
        <f t="shared" si="15"/>
        <v>0</v>
      </c>
    </row>
    <row r="88" spans="1:31">
      <c r="A88" s="60" t="str">
        <f t="shared" si="9"/>
        <v/>
      </c>
      <c r="B88" s="60" t="str">
        <f t="shared" si="10"/>
        <v/>
      </c>
      <c r="V88" s="60" t="str">
        <f t="shared" si="11"/>
        <v/>
      </c>
      <c r="W88" s="60" t="str">
        <f t="shared" si="8"/>
        <v/>
      </c>
      <c r="X88" s="60" t="str">
        <f t="shared" si="12"/>
        <v/>
      </c>
      <c r="AC88" s="51">
        <f t="shared" si="13"/>
        <v>0</v>
      </c>
      <c r="AD88" s="44">
        <f t="shared" si="14"/>
        <v>0</v>
      </c>
      <c r="AE88" s="51">
        <f t="shared" si="15"/>
        <v>0</v>
      </c>
    </row>
    <row r="89" spans="1:31">
      <c r="A89" s="60" t="str">
        <f t="shared" si="9"/>
        <v/>
      </c>
      <c r="B89" s="60" t="str">
        <f t="shared" si="10"/>
        <v/>
      </c>
      <c r="V89" s="60" t="str">
        <f t="shared" si="11"/>
        <v/>
      </c>
      <c r="W89" s="60" t="str">
        <f t="shared" si="8"/>
        <v/>
      </c>
      <c r="X89" s="60" t="str">
        <f t="shared" si="12"/>
        <v/>
      </c>
      <c r="AC89" s="51">
        <f t="shared" si="13"/>
        <v>0</v>
      </c>
      <c r="AD89" s="44">
        <f t="shared" si="14"/>
        <v>0</v>
      </c>
      <c r="AE89" s="51">
        <f t="shared" si="15"/>
        <v>0</v>
      </c>
    </row>
    <row r="90" spans="1:31">
      <c r="A90" s="60" t="str">
        <f t="shared" si="9"/>
        <v/>
      </c>
      <c r="B90" s="60" t="str">
        <f t="shared" si="10"/>
        <v/>
      </c>
      <c r="V90" s="60" t="str">
        <f t="shared" si="11"/>
        <v/>
      </c>
      <c r="W90" s="60" t="str">
        <f t="shared" si="8"/>
        <v/>
      </c>
      <c r="X90" s="60" t="str">
        <f t="shared" si="12"/>
        <v/>
      </c>
      <c r="AC90" s="51">
        <f t="shared" si="13"/>
        <v>0</v>
      </c>
      <c r="AD90" s="44">
        <f t="shared" si="14"/>
        <v>0</v>
      </c>
      <c r="AE90" s="51">
        <f t="shared" si="15"/>
        <v>0</v>
      </c>
    </row>
    <row r="91" spans="1:31">
      <c r="A91" s="60" t="str">
        <f t="shared" si="9"/>
        <v/>
      </c>
      <c r="B91" s="60" t="str">
        <f t="shared" si="10"/>
        <v/>
      </c>
      <c r="V91" s="60" t="str">
        <f t="shared" si="11"/>
        <v/>
      </c>
      <c r="W91" s="60" t="str">
        <f t="shared" si="8"/>
        <v/>
      </c>
      <c r="X91" s="60" t="str">
        <f t="shared" si="12"/>
        <v/>
      </c>
      <c r="AC91" s="51">
        <f t="shared" si="13"/>
        <v>0</v>
      </c>
      <c r="AD91" s="44">
        <f t="shared" si="14"/>
        <v>0</v>
      </c>
      <c r="AE91" s="51">
        <f t="shared" si="15"/>
        <v>0</v>
      </c>
    </row>
    <row r="92" spans="1:31">
      <c r="A92" s="60" t="str">
        <f t="shared" si="9"/>
        <v/>
      </c>
      <c r="B92" s="60" t="str">
        <f t="shared" si="10"/>
        <v/>
      </c>
      <c r="V92" s="60" t="str">
        <f t="shared" si="11"/>
        <v/>
      </c>
      <c r="W92" s="60" t="str">
        <f t="shared" si="8"/>
        <v/>
      </c>
      <c r="X92" s="60" t="str">
        <f t="shared" si="12"/>
        <v/>
      </c>
      <c r="AC92" s="51">
        <f t="shared" si="13"/>
        <v>0</v>
      </c>
      <c r="AD92" s="44">
        <f t="shared" si="14"/>
        <v>0</v>
      </c>
      <c r="AE92" s="51">
        <f t="shared" si="15"/>
        <v>0</v>
      </c>
    </row>
    <row r="93" spans="1:31">
      <c r="A93" s="60" t="str">
        <f t="shared" si="9"/>
        <v/>
      </c>
      <c r="B93" s="60" t="str">
        <f t="shared" si="10"/>
        <v/>
      </c>
      <c r="V93" s="60" t="str">
        <f t="shared" si="11"/>
        <v/>
      </c>
      <c r="W93" s="60" t="str">
        <f t="shared" si="8"/>
        <v/>
      </c>
      <c r="X93" s="60" t="str">
        <f t="shared" si="12"/>
        <v/>
      </c>
      <c r="AC93" s="51">
        <f t="shared" si="13"/>
        <v>0</v>
      </c>
      <c r="AD93" s="44">
        <f t="shared" si="14"/>
        <v>0</v>
      </c>
      <c r="AE93" s="51">
        <f t="shared" si="15"/>
        <v>0</v>
      </c>
    </row>
    <row r="94" spans="1:31">
      <c r="A94" s="60" t="str">
        <f t="shared" si="9"/>
        <v/>
      </c>
      <c r="B94" s="60" t="str">
        <f t="shared" si="10"/>
        <v/>
      </c>
      <c r="V94" s="60" t="str">
        <f t="shared" si="11"/>
        <v/>
      </c>
      <c r="W94" s="60" t="str">
        <f t="shared" si="8"/>
        <v/>
      </c>
      <c r="X94" s="60" t="str">
        <f t="shared" si="12"/>
        <v/>
      </c>
      <c r="AC94" s="51">
        <f t="shared" si="13"/>
        <v>0</v>
      </c>
      <c r="AD94" s="44">
        <f t="shared" si="14"/>
        <v>0</v>
      </c>
      <c r="AE94" s="51">
        <f t="shared" si="15"/>
        <v>0</v>
      </c>
    </row>
    <row r="95" spans="1:31">
      <c r="A95" s="60" t="str">
        <f t="shared" si="9"/>
        <v/>
      </c>
      <c r="B95" s="60" t="str">
        <f t="shared" si="10"/>
        <v/>
      </c>
      <c r="V95" s="60" t="str">
        <f t="shared" si="11"/>
        <v/>
      </c>
      <c r="W95" s="60" t="str">
        <f t="shared" si="8"/>
        <v/>
      </c>
      <c r="X95" s="60" t="str">
        <f t="shared" si="12"/>
        <v/>
      </c>
      <c r="AC95" s="51">
        <f t="shared" si="13"/>
        <v>0</v>
      </c>
      <c r="AD95" s="44">
        <f t="shared" si="14"/>
        <v>0</v>
      </c>
      <c r="AE95" s="51">
        <f t="shared" si="15"/>
        <v>0</v>
      </c>
    </row>
    <row r="96" spans="1:31">
      <c r="A96" s="60" t="str">
        <f t="shared" si="9"/>
        <v/>
      </c>
      <c r="B96" s="60" t="str">
        <f t="shared" si="10"/>
        <v/>
      </c>
      <c r="V96" s="60" t="str">
        <f t="shared" si="11"/>
        <v/>
      </c>
      <c r="W96" s="60" t="str">
        <f t="shared" si="8"/>
        <v/>
      </c>
      <c r="X96" s="60" t="str">
        <f t="shared" si="12"/>
        <v/>
      </c>
      <c r="AC96" s="51">
        <f t="shared" si="13"/>
        <v>0</v>
      </c>
      <c r="AD96" s="44">
        <f t="shared" si="14"/>
        <v>0</v>
      </c>
      <c r="AE96" s="51">
        <f t="shared" si="15"/>
        <v>0</v>
      </c>
    </row>
    <row r="97" spans="1:31">
      <c r="A97" s="60" t="str">
        <f t="shared" si="9"/>
        <v/>
      </c>
      <c r="B97" s="60" t="str">
        <f t="shared" si="10"/>
        <v/>
      </c>
      <c r="V97" s="60" t="str">
        <f t="shared" si="11"/>
        <v/>
      </c>
      <c r="W97" s="60" t="str">
        <f t="shared" si="8"/>
        <v/>
      </c>
      <c r="X97" s="60" t="str">
        <f t="shared" si="12"/>
        <v/>
      </c>
      <c r="AC97" s="51">
        <f t="shared" si="13"/>
        <v>0</v>
      </c>
      <c r="AD97" s="44">
        <f t="shared" si="14"/>
        <v>0</v>
      </c>
      <c r="AE97" s="51">
        <f t="shared" si="15"/>
        <v>0</v>
      </c>
    </row>
    <row r="98" spans="1:31">
      <c r="A98" s="60" t="str">
        <f t="shared" si="9"/>
        <v/>
      </c>
      <c r="B98" s="60" t="str">
        <f t="shared" si="10"/>
        <v/>
      </c>
      <c r="V98" s="60" t="str">
        <f t="shared" si="11"/>
        <v/>
      </c>
      <c r="W98" s="60" t="str">
        <f t="shared" si="8"/>
        <v/>
      </c>
      <c r="X98" s="60" t="str">
        <f t="shared" si="12"/>
        <v/>
      </c>
      <c r="AC98" s="51">
        <f t="shared" si="13"/>
        <v>0</v>
      </c>
      <c r="AD98" s="44">
        <f t="shared" si="14"/>
        <v>0</v>
      </c>
      <c r="AE98" s="51">
        <f t="shared" si="15"/>
        <v>0</v>
      </c>
    </row>
    <row r="99" spans="1:31">
      <c r="A99" s="60" t="str">
        <f t="shared" si="9"/>
        <v/>
      </c>
      <c r="B99" s="60" t="str">
        <f t="shared" si="10"/>
        <v/>
      </c>
      <c r="V99" s="60" t="str">
        <f t="shared" si="11"/>
        <v/>
      </c>
      <c r="W99" s="60" t="str">
        <f t="shared" si="8"/>
        <v/>
      </c>
      <c r="X99" s="60" t="str">
        <f t="shared" si="12"/>
        <v/>
      </c>
      <c r="AC99" s="51">
        <f t="shared" si="13"/>
        <v>0</v>
      </c>
      <c r="AD99" s="44">
        <f t="shared" si="14"/>
        <v>0</v>
      </c>
      <c r="AE99" s="51">
        <f t="shared" si="15"/>
        <v>0</v>
      </c>
    </row>
    <row r="100" spans="1:31">
      <c r="A100" s="60" t="str">
        <f t="shared" si="9"/>
        <v/>
      </c>
      <c r="B100" s="60" t="str">
        <f t="shared" si="10"/>
        <v/>
      </c>
      <c r="V100" s="60" t="str">
        <f t="shared" si="11"/>
        <v/>
      </c>
      <c r="W100" s="60" t="str">
        <f t="shared" si="8"/>
        <v/>
      </c>
      <c r="X100" s="60" t="str">
        <f t="shared" si="12"/>
        <v/>
      </c>
      <c r="AC100" s="51">
        <f t="shared" si="13"/>
        <v>0</v>
      </c>
      <c r="AD100" s="44">
        <f t="shared" si="14"/>
        <v>0</v>
      </c>
      <c r="AE100" s="51">
        <f t="shared" si="15"/>
        <v>0</v>
      </c>
    </row>
    <row r="101" spans="1:31">
      <c r="A101" s="60" t="str">
        <f t="shared" si="9"/>
        <v/>
      </c>
      <c r="B101" s="60" t="str">
        <f t="shared" si="10"/>
        <v/>
      </c>
      <c r="V101" s="60" t="str">
        <f t="shared" si="11"/>
        <v/>
      </c>
      <c r="W101" s="60" t="str">
        <f t="shared" si="8"/>
        <v/>
      </c>
      <c r="X101" s="60" t="str">
        <f t="shared" si="12"/>
        <v/>
      </c>
      <c r="AC101" s="51">
        <f t="shared" si="13"/>
        <v>0</v>
      </c>
      <c r="AD101" s="44">
        <f t="shared" si="14"/>
        <v>0</v>
      </c>
      <c r="AE101" s="51">
        <f t="shared" si="15"/>
        <v>0</v>
      </c>
    </row>
    <row r="102" spans="1:31">
      <c r="A102" s="60" t="str">
        <f t="shared" si="9"/>
        <v/>
      </c>
      <c r="B102" s="60" t="str">
        <f t="shared" si="10"/>
        <v/>
      </c>
      <c r="V102" s="60" t="str">
        <f t="shared" si="11"/>
        <v/>
      </c>
      <c r="W102" s="60" t="str">
        <f t="shared" si="8"/>
        <v/>
      </c>
      <c r="X102" s="60" t="str">
        <f t="shared" si="12"/>
        <v/>
      </c>
      <c r="AC102" s="51">
        <f t="shared" si="13"/>
        <v>0</v>
      </c>
      <c r="AD102" s="44">
        <f t="shared" si="14"/>
        <v>0</v>
      </c>
      <c r="AE102" s="51">
        <f t="shared" si="15"/>
        <v>0</v>
      </c>
    </row>
    <row r="103" spans="1:31">
      <c r="A103" s="60" t="str">
        <f t="shared" si="9"/>
        <v/>
      </c>
      <c r="B103" s="60" t="str">
        <f t="shared" si="10"/>
        <v/>
      </c>
      <c r="V103" s="60" t="str">
        <f t="shared" si="11"/>
        <v/>
      </c>
      <c r="W103" s="60" t="str">
        <f t="shared" si="8"/>
        <v/>
      </c>
      <c r="X103" s="60" t="str">
        <f t="shared" si="12"/>
        <v/>
      </c>
      <c r="AC103" s="51">
        <f t="shared" si="13"/>
        <v>0</v>
      </c>
      <c r="AD103" s="44">
        <f t="shared" si="14"/>
        <v>0</v>
      </c>
      <c r="AE103" s="51">
        <f t="shared" si="15"/>
        <v>0</v>
      </c>
    </row>
    <row r="104" spans="1:31">
      <c r="A104" s="60" t="str">
        <f t="shared" si="9"/>
        <v/>
      </c>
      <c r="B104" s="60" t="str">
        <f t="shared" si="10"/>
        <v/>
      </c>
      <c r="V104" s="60" t="str">
        <f t="shared" si="11"/>
        <v/>
      </c>
      <c r="W104" s="60" t="str">
        <f t="shared" si="8"/>
        <v/>
      </c>
      <c r="X104" s="60" t="str">
        <f t="shared" si="12"/>
        <v/>
      </c>
      <c r="AC104" s="51">
        <f t="shared" si="13"/>
        <v>0</v>
      </c>
      <c r="AD104" s="44">
        <f t="shared" si="14"/>
        <v>0</v>
      </c>
      <c r="AE104" s="51">
        <f t="shared" si="15"/>
        <v>0</v>
      </c>
    </row>
    <row r="105" spans="1:31">
      <c r="A105" s="60" t="str">
        <f t="shared" si="9"/>
        <v/>
      </c>
      <c r="B105" s="60" t="str">
        <f t="shared" si="10"/>
        <v/>
      </c>
      <c r="V105" s="60" t="str">
        <f t="shared" si="11"/>
        <v/>
      </c>
      <c r="W105" s="60" t="str">
        <f t="shared" si="8"/>
        <v/>
      </c>
      <c r="X105" s="60" t="str">
        <f t="shared" si="12"/>
        <v/>
      </c>
      <c r="AC105" s="51">
        <f t="shared" si="13"/>
        <v>0</v>
      </c>
      <c r="AD105" s="44">
        <f t="shared" si="14"/>
        <v>0</v>
      </c>
      <c r="AE105" s="51">
        <f t="shared" si="15"/>
        <v>0</v>
      </c>
    </row>
    <row r="106" spans="1:31">
      <c r="A106" s="60" t="str">
        <f t="shared" si="9"/>
        <v/>
      </c>
      <c r="B106" s="60" t="str">
        <f t="shared" si="10"/>
        <v/>
      </c>
      <c r="V106" s="60" t="str">
        <f t="shared" si="11"/>
        <v/>
      </c>
      <c r="W106" s="60" t="str">
        <f t="shared" si="8"/>
        <v/>
      </c>
      <c r="X106" s="60" t="str">
        <f t="shared" si="12"/>
        <v/>
      </c>
      <c r="AC106" s="51">
        <f t="shared" si="13"/>
        <v>0</v>
      </c>
      <c r="AD106" s="44">
        <f t="shared" si="14"/>
        <v>0</v>
      </c>
      <c r="AE106" s="51">
        <f t="shared" si="15"/>
        <v>0</v>
      </c>
    </row>
    <row r="107" spans="1:31">
      <c r="A107" s="60" t="str">
        <f t="shared" si="9"/>
        <v/>
      </c>
      <c r="B107" s="60" t="str">
        <f t="shared" si="10"/>
        <v/>
      </c>
      <c r="V107" s="60" t="str">
        <f t="shared" si="11"/>
        <v/>
      </c>
      <c r="W107" s="60" t="str">
        <f t="shared" si="8"/>
        <v/>
      </c>
      <c r="X107" s="60" t="str">
        <f t="shared" si="12"/>
        <v/>
      </c>
      <c r="AC107" s="51">
        <f t="shared" si="13"/>
        <v>0</v>
      </c>
      <c r="AD107" s="44">
        <f t="shared" si="14"/>
        <v>0</v>
      </c>
      <c r="AE107" s="51">
        <f t="shared" si="15"/>
        <v>0</v>
      </c>
    </row>
    <row r="108" spans="1:31">
      <c r="A108" s="60" t="str">
        <f t="shared" si="9"/>
        <v/>
      </c>
      <c r="B108" s="60" t="str">
        <f t="shared" si="10"/>
        <v/>
      </c>
      <c r="V108" s="60" t="str">
        <f t="shared" si="11"/>
        <v/>
      </c>
      <c r="W108" s="60" t="str">
        <f t="shared" si="8"/>
        <v/>
      </c>
      <c r="X108" s="60" t="str">
        <f t="shared" si="12"/>
        <v/>
      </c>
      <c r="AC108" s="51">
        <f t="shared" si="13"/>
        <v>0</v>
      </c>
      <c r="AD108" s="44">
        <f t="shared" si="14"/>
        <v>0</v>
      </c>
      <c r="AE108" s="51">
        <f t="shared" si="15"/>
        <v>0</v>
      </c>
    </row>
    <row r="109" spans="1:31">
      <c r="A109" s="60" t="str">
        <f t="shared" si="9"/>
        <v/>
      </c>
      <c r="B109" s="60" t="str">
        <f t="shared" si="10"/>
        <v/>
      </c>
      <c r="V109" s="60" t="str">
        <f t="shared" si="11"/>
        <v/>
      </c>
      <c r="W109" s="60" t="str">
        <f t="shared" si="8"/>
        <v/>
      </c>
      <c r="X109" s="60" t="str">
        <f t="shared" si="12"/>
        <v/>
      </c>
      <c r="AC109" s="51">
        <f t="shared" si="13"/>
        <v>0</v>
      </c>
      <c r="AD109" s="44">
        <f t="shared" si="14"/>
        <v>0</v>
      </c>
      <c r="AE109" s="51">
        <f t="shared" si="15"/>
        <v>0</v>
      </c>
    </row>
    <row r="110" spans="1:31">
      <c r="A110" s="60" t="str">
        <f t="shared" si="9"/>
        <v/>
      </c>
      <c r="B110" s="60" t="str">
        <f t="shared" si="10"/>
        <v/>
      </c>
      <c r="V110" s="60" t="str">
        <f t="shared" si="11"/>
        <v/>
      </c>
      <c r="W110" s="60" t="str">
        <f t="shared" si="8"/>
        <v/>
      </c>
      <c r="X110" s="60" t="str">
        <f t="shared" si="12"/>
        <v/>
      </c>
      <c r="AC110" s="51">
        <f t="shared" si="13"/>
        <v>0</v>
      </c>
      <c r="AD110" s="44">
        <f t="shared" si="14"/>
        <v>0</v>
      </c>
      <c r="AE110" s="51">
        <f t="shared" si="15"/>
        <v>0</v>
      </c>
    </row>
    <row r="111" spans="1:31">
      <c r="A111" s="60" t="str">
        <f t="shared" si="9"/>
        <v/>
      </c>
      <c r="B111" s="60" t="str">
        <f t="shared" si="10"/>
        <v/>
      </c>
      <c r="V111" s="60" t="str">
        <f t="shared" si="11"/>
        <v/>
      </c>
      <c r="W111" s="60" t="str">
        <f t="shared" si="8"/>
        <v/>
      </c>
      <c r="X111" s="60" t="str">
        <f t="shared" si="12"/>
        <v/>
      </c>
      <c r="AC111" s="51">
        <f t="shared" si="13"/>
        <v>0</v>
      </c>
      <c r="AD111" s="44">
        <f t="shared" si="14"/>
        <v>0</v>
      </c>
      <c r="AE111" s="51">
        <f t="shared" si="15"/>
        <v>0</v>
      </c>
    </row>
    <row r="112" spans="1:31">
      <c r="A112" s="60" t="str">
        <f t="shared" si="9"/>
        <v/>
      </c>
      <c r="B112" s="60" t="str">
        <f t="shared" si="10"/>
        <v/>
      </c>
      <c r="V112" s="60" t="str">
        <f t="shared" si="11"/>
        <v/>
      </c>
      <c r="W112" s="60" t="str">
        <f t="shared" si="8"/>
        <v/>
      </c>
      <c r="X112" s="60" t="str">
        <f t="shared" si="12"/>
        <v/>
      </c>
      <c r="AC112" s="51">
        <f t="shared" si="13"/>
        <v>0</v>
      </c>
      <c r="AD112" s="44">
        <f t="shared" si="14"/>
        <v>0</v>
      </c>
      <c r="AE112" s="51">
        <f t="shared" si="15"/>
        <v>0</v>
      </c>
    </row>
    <row r="113" spans="1:31">
      <c r="A113" s="60" t="str">
        <f t="shared" si="9"/>
        <v/>
      </c>
      <c r="B113" s="60" t="str">
        <f t="shared" si="10"/>
        <v/>
      </c>
      <c r="V113" s="60" t="str">
        <f t="shared" si="11"/>
        <v/>
      </c>
      <c r="W113" s="60" t="str">
        <f t="shared" si="8"/>
        <v/>
      </c>
      <c r="X113" s="60" t="str">
        <f t="shared" si="12"/>
        <v/>
      </c>
      <c r="AC113" s="51">
        <f t="shared" si="13"/>
        <v>0</v>
      </c>
      <c r="AD113" s="44">
        <f t="shared" si="14"/>
        <v>0</v>
      </c>
      <c r="AE113" s="51">
        <f t="shared" si="15"/>
        <v>0</v>
      </c>
    </row>
    <row r="114" spans="1:31">
      <c r="A114" s="60" t="str">
        <f t="shared" si="9"/>
        <v/>
      </c>
      <c r="B114" s="60" t="str">
        <f t="shared" si="10"/>
        <v/>
      </c>
      <c r="V114" s="60" t="str">
        <f t="shared" si="11"/>
        <v/>
      </c>
      <c r="W114" s="60" t="str">
        <f t="shared" si="8"/>
        <v/>
      </c>
      <c r="X114" s="60" t="str">
        <f t="shared" si="12"/>
        <v/>
      </c>
      <c r="AC114" s="51">
        <f t="shared" si="13"/>
        <v>0</v>
      </c>
      <c r="AD114" s="44">
        <f t="shared" si="14"/>
        <v>0</v>
      </c>
      <c r="AE114" s="51">
        <f t="shared" si="15"/>
        <v>0</v>
      </c>
    </row>
    <row r="115" spans="1:31">
      <c r="A115" s="60" t="str">
        <f t="shared" si="9"/>
        <v/>
      </c>
      <c r="B115" s="60" t="str">
        <f t="shared" si="10"/>
        <v/>
      </c>
      <c r="V115" s="60" t="str">
        <f t="shared" si="11"/>
        <v/>
      </c>
      <c r="W115" s="60" t="str">
        <f t="shared" si="8"/>
        <v/>
      </c>
      <c r="X115" s="60" t="str">
        <f t="shared" si="12"/>
        <v/>
      </c>
      <c r="AC115" s="51">
        <f t="shared" si="13"/>
        <v>0</v>
      </c>
      <c r="AD115" s="44">
        <f t="shared" si="14"/>
        <v>0</v>
      </c>
      <c r="AE115" s="51">
        <f t="shared" si="15"/>
        <v>0</v>
      </c>
    </row>
    <row r="116" spans="1:31">
      <c r="A116" s="60" t="str">
        <f t="shared" si="9"/>
        <v/>
      </c>
      <c r="B116" s="60" t="str">
        <f t="shared" si="10"/>
        <v/>
      </c>
      <c r="V116" s="60" t="str">
        <f t="shared" si="11"/>
        <v/>
      </c>
      <c r="W116" s="60" t="str">
        <f t="shared" si="8"/>
        <v/>
      </c>
      <c r="X116" s="60" t="str">
        <f t="shared" si="12"/>
        <v/>
      </c>
      <c r="AC116" s="51">
        <f t="shared" si="13"/>
        <v>0</v>
      </c>
      <c r="AD116" s="44">
        <f t="shared" si="14"/>
        <v>0</v>
      </c>
      <c r="AE116" s="51">
        <f t="shared" si="15"/>
        <v>0</v>
      </c>
    </row>
    <row r="117" spans="1:31">
      <c r="A117" s="60" t="str">
        <f t="shared" si="9"/>
        <v/>
      </c>
      <c r="B117" s="60" t="str">
        <f t="shared" si="10"/>
        <v/>
      </c>
      <c r="V117" s="60" t="str">
        <f t="shared" si="11"/>
        <v/>
      </c>
      <c r="W117" s="60" t="str">
        <f t="shared" si="8"/>
        <v/>
      </c>
      <c r="X117" s="60" t="str">
        <f t="shared" si="12"/>
        <v/>
      </c>
      <c r="AC117" s="51">
        <f t="shared" si="13"/>
        <v>0</v>
      </c>
      <c r="AD117" s="44">
        <f t="shared" si="14"/>
        <v>0</v>
      </c>
      <c r="AE117" s="51">
        <f t="shared" si="15"/>
        <v>0</v>
      </c>
    </row>
    <row r="118" spans="1:31">
      <c r="A118" s="60" t="str">
        <f t="shared" si="9"/>
        <v/>
      </c>
      <c r="B118" s="60" t="str">
        <f t="shared" si="10"/>
        <v/>
      </c>
      <c r="V118" s="60" t="str">
        <f t="shared" si="11"/>
        <v/>
      </c>
      <c r="W118" s="60" t="str">
        <f t="shared" si="8"/>
        <v/>
      </c>
      <c r="X118" s="60" t="str">
        <f t="shared" si="12"/>
        <v/>
      </c>
      <c r="AC118" s="51">
        <f t="shared" si="13"/>
        <v>0</v>
      </c>
      <c r="AD118" s="44">
        <f t="shared" si="14"/>
        <v>0</v>
      </c>
      <c r="AE118" s="51">
        <f t="shared" si="15"/>
        <v>0</v>
      </c>
    </row>
    <row r="119" spans="1:31">
      <c r="A119" s="60" t="str">
        <f t="shared" si="9"/>
        <v/>
      </c>
      <c r="B119" s="60" t="str">
        <f t="shared" si="10"/>
        <v/>
      </c>
      <c r="V119" s="60" t="str">
        <f t="shared" si="11"/>
        <v/>
      </c>
      <c r="W119" s="60" t="str">
        <f t="shared" si="8"/>
        <v/>
      </c>
      <c r="X119" s="60" t="str">
        <f t="shared" si="12"/>
        <v/>
      </c>
      <c r="AC119" s="51">
        <f t="shared" si="13"/>
        <v>0</v>
      </c>
      <c r="AD119" s="44">
        <f t="shared" si="14"/>
        <v>0</v>
      </c>
      <c r="AE119" s="51">
        <f t="shared" si="15"/>
        <v>0</v>
      </c>
    </row>
    <row r="120" spans="1:31">
      <c r="A120" s="60" t="str">
        <f t="shared" si="9"/>
        <v/>
      </c>
      <c r="B120" s="60" t="str">
        <f t="shared" si="10"/>
        <v/>
      </c>
      <c r="V120" s="60" t="str">
        <f t="shared" si="11"/>
        <v/>
      </c>
      <c r="W120" s="60" t="str">
        <f t="shared" si="8"/>
        <v/>
      </c>
      <c r="X120" s="60" t="str">
        <f t="shared" si="12"/>
        <v/>
      </c>
      <c r="AC120" s="51">
        <f t="shared" si="13"/>
        <v>0</v>
      </c>
      <c r="AD120" s="44">
        <f t="shared" si="14"/>
        <v>0</v>
      </c>
      <c r="AE120" s="51">
        <f t="shared" si="15"/>
        <v>0</v>
      </c>
    </row>
    <row r="121" spans="1:31">
      <c r="A121" s="60" t="str">
        <f t="shared" si="9"/>
        <v/>
      </c>
      <c r="B121" s="60" t="str">
        <f t="shared" si="10"/>
        <v/>
      </c>
      <c r="V121" s="60" t="str">
        <f t="shared" si="11"/>
        <v/>
      </c>
      <c r="W121" s="60" t="str">
        <f t="shared" si="8"/>
        <v/>
      </c>
      <c r="X121" s="60" t="str">
        <f t="shared" si="12"/>
        <v/>
      </c>
      <c r="AC121" s="51">
        <f t="shared" si="13"/>
        <v>0</v>
      </c>
      <c r="AD121" s="44">
        <f t="shared" si="14"/>
        <v>0</v>
      </c>
      <c r="AE121" s="51">
        <f t="shared" si="15"/>
        <v>0</v>
      </c>
    </row>
    <row r="122" spans="1:31">
      <c r="A122" s="60" t="str">
        <f t="shared" si="9"/>
        <v/>
      </c>
      <c r="B122" s="60" t="str">
        <f t="shared" si="10"/>
        <v/>
      </c>
      <c r="V122" s="60" t="str">
        <f t="shared" si="11"/>
        <v/>
      </c>
      <c r="W122" s="60" t="str">
        <f t="shared" si="8"/>
        <v/>
      </c>
      <c r="X122" s="60" t="str">
        <f t="shared" si="12"/>
        <v/>
      </c>
      <c r="AC122" s="51">
        <f t="shared" si="13"/>
        <v>0</v>
      </c>
      <c r="AD122" s="44">
        <f t="shared" si="14"/>
        <v>0</v>
      </c>
      <c r="AE122" s="51">
        <f t="shared" si="15"/>
        <v>0</v>
      </c>
    </row>
    <row r="123" spans="1:31">
      <c r="A123" s="60" t="str">
        <f t="shared" si="9"/>
        <v/>
      </c>
      <c r="B123" s="60" t="str">
        <f t="shared" si="10"/>
        <v/>
      </c>
      <c r="V123" s="60" t="str">
        <f t="shared" si="11"/>
        <v/>
      </c>
      <c r="W123" s="60" t="str">
        <f t="shared" si="8"/>
        <v/>
      </c>
      <c r="X123" s="60" t="str">
        <f t="shared" si="12"/>
        <v/>
      </c>
      <c r="AC123" s="51">
        <f t="shared" si="13"/>
        <v>0</v>
      </c>
      <c r="AD123" s="44">
        <f t="shared" si="14"/>
        <v>0</v>
      </c>
      <c r="AE123" s="51">
        <f t="shared" si="15"/>
        <v>0</v>
      </c>
    </row>
    <row r="124" spans="1:31">
      <c r="A124" s="60" t="str">
        <f t="shared" si="9"/>
        <v/>
      </c>
      <c r="B124" s="60" t="str">
        <f t="shared" si="10"/>
        <v/>
      </c>
      <c r="V124" s="60" t="str">
        <f t="shared" si="11"/>
        <v/>
      </c>
      <c r="W124" s="60" t="str">
        <f t="shared" si="8"/>
        <v/>
      </c>
      <c r="X124" s="60" t="str">
        <f t="shared" si="12"/>
        <v/>
      </c>
      <c r="AC124" s="51">
        <f t="shared" si="13"/>
        <v>0</v>
      </c>
      <c r="AD124" s="44">
        <f t="shared" si="14"/>
        <v>0</v>
      </c>
      <c r="AE124" s="51">
        <f t="shared" si="15"/>
        <v>0</v>
      </c>
    </row>
    <row r="125" spans="1:31">
      <c r="A125" s="60" t="str">
        <f t="shared" si="9"/>
        <v/>
      </c>
      <c r="B125" s="60" t="str">
        <f t="shared" si="10"/>
        <v/>
      </c>
      <c r="V125" s="60" t="str">
        <f t="shared" si="11"/>
        <v/>
      </c>
      <c r="W125" s="60" t="str">
        <f t="shared" si="8"/>
        <v/>
      </c>
      <c r="X125" s="60" t="str">
        <f t="shared" si="12"/>
        <v/>
      </c>
      <c r="AC125" s="51">
        <f t="shared" si="13"/>
        <v>0</v>
      </c>
      <c r="AD125" s="44">
        <f t="shared" si="14"/>
        <v>0</v>
      </c>
      <c r="AE125" s="51">
        <f t="shared" si="15"/>
        <v>0</v>
      </c>
    </row>
    <row r="126" spans="1:31">
      <c r="A126" s="60" t="str">
        <f t="shared" si="9"/>
        <v/>
      </c>
      <c r="B126" s="60" t="str">
        <f t="shared" si="10"/>
        <v/>
      </c>
      <c r="V126" s="60" t="str">
        <f t="shared" si="11"/>
        <v/>
      </c>
      <c r="W126" s="60" t="str">
        <f t="shared" si="8"/>
        <v/>
      </c>
      <c r="X126" s="60" t="str">
        <f t="shared" si="12"/>
        <v/>
      </c>
      <c r="AC126" s="51">
        <f t="shared" si="13"/>
        <v>0</v>
      </c>
      <c r="AD126" s="44">
        <f t="shared" si="14"/>
        <v>0</v>
      </c>
      <c r="AE126" s="51">
        <f t="shared" si="15"/>
        <v>0</v>
      </c>
    </row>
    <row r="127" spans="1:31">
      <c r="A127" s="60" t="str">
        <f t="shared" si="9"/>
        <v/>
      </c>
      <c r="B127" s="60" t="str">
        <f t="shared" si="10"/>
        <v/>
      </c>
      <c r="V127" s="60" t="str">
        <f t="shared" si="11"/>
        <v/>
      </c>
      <c r="W127" s="60" t="str">
        <f t="shared" si="8"/>
        <v/>
      </c>
      <c r="X127" s="60" t="str">
        <f t="shared" si="12"/>
        <v/>
      </c>
      <c r="AC127" s="51">
        <f t="shared" si="13"/>
        <v>0</v>
      </c>
      <c r="AD127" s="44">
        <f t="shared" si="14"/>
        <v>0</v>
      </c>
      <c r="AE127" s="51">
        <f t="shared" si="15"/>
        <v>0</v>
      </c>
    </row>
    <row r="128" spans="1:31">
      <c r="A128" s="60" t="str">
        <f t="shared" si="9"/>
        <v/>
      </c>
      <c r="B128" s="60" t="str">
        <f t="shared" si="10"/>
        <v/>
      </c>
      <c r="V128" s="60" t="str">
        <f t="shared" si="11"/>
        <v/>
      </c>
      <c r="W128" s="60" t="str">
        <f t="shared" si="8"/>
        <v/>
      </c>
      <c r="X128" s="60" t="str">
        <f t="shared" si="12"/>
        <v/>
      </c>
      <c r="AC128" s="51">
        <f t="shared" si="13"/>
        <v>0</v>
      </c>
      <c r="AD128" s="44">
        <f t="shared" si="14"/>
        <v>0</v>
      </c>
      <c r="AE128" s="51">
        <f t="shared" si="15"/>
        <v>0</v>
      </c>
    </row>
    <row r="129" spans="1:31">
      <c r="A129" s="60" t="str">
        <f t="shared" si="9"/>
        <v/>
      </c>
      <c r="B129" s="60" t="str">
        <f t="shared" si="10"/>
        <v/>
      </c>
      <c r="V129" s="60" t="str">
        <f t="shared" si="11"/>
        <v/>
      </c>
      <c r="W129" s="60" t="str">
        <f t="shared" si="8"/>
        <v/>
      </c>
      <c r="X129" s="60" t="str">
        <f t="shared" si="12"/>
        <v/>
      </c>
      <c r="AC129" s="51">
        <f t="shared" si="13"/>
        <v>0</v>
      </c>
      <c r="AD129" s="44">
        <f t="shared" si="14"/>
        <v>0</v>
      </c>
      <c r="AE129" s="51">
        <f t="shared" si="15"/>
        <v>0</v>
      </c>
    </row>
    <row r="130" spans="1:31">
      <c r="A130" s="60" t="str">
        <f t="shared" si="9"/>
        <v/>
      </c>
      <c r="B130" s="60" t="str">
        <f t="shared" si="10"/>
        <v/>
      </c>
      <c r="V130" s="60" t="str">
        <f t="shared" si="11"/>
        <v/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60" t="str">
        <f t="shared" si="12"/>
        <v/>
      </c>
      <c r="AC130" s="51">
        <f t="shared" si="13"/>
        <v>0</v>
      </c>
      <c r="AD130" s="44">
        <f t="shared" si="14"/>
        <v>0</v>
      </c>
      <c r="AE130" s="51">
        <f t="shared" si="15"/>
        <v>0</v>
      </c>
    </row>
    <row r="131" spans="1:31">
      <c r="A131" s="60" t="str">
        <f t="shared" ref="A131:A194" si="17">IF(G131&amp;Q131&lt;&gt;"",W131&amp;Q131,"")</f>
        <v/>
      </c>
      <c r="B131" s="60" t="str">
        <f t="shared" ref="B131:B194" si="18">IF(C131&lt;&gt;"",LEFT(C131,9),"")</f>
        <v/>
      </c>
      <c r="V131" s="60" t="str">
        <f t="shared" ref="V131:V194" si="19">W131&amp;H131</f>
        <v/>
      </c>
      <c r="W131" s="60" t="str">
        <f t="shared" si="16"/>
        <v/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0</v>
      </c>
      <c r="AD131" s="44">
        <f t="shared" ref="AD131:AD194" si="22">IFERROR(VALUE(MID($C131,4,3)),0)</f>
        <v>0</v>
      </c>
      <c r="AE131" s="51">
        <f t="shared" ref="AE131:AE194" si="23">VALUE(RIGHT("00"&amp;AC131,2)&amp;RIGHT("000"&amp;AD131,3))</f>
        <v>0</v>
      </c>
    </row>
    <row r="132" spans="1:31">
      <c r="A132" s="60" t="str">
        <f t="shared" si="17"/>
        <v/>
      </c>
      <c r="B132" s="60" t="str">
        <f t="shared" si="18"/>
        <v/>
      </c>
      <c r="V132" s="60" t="str">
        <f t="shared" si="19"/>
        <v/>
      </c>
      <c r="W132" s="60" t="str">
        <f t="shared" si="16"/>
        <v/>
      </c>
      <c r="X132" s="60" t="str">
        <f t="shared" si="20"/>
        <v/>
      </c>
      <c r="AC132" s="51">
        <f t="shared" si="21"/>
        <v>0</v>
      </c>
      <c r="AD132" s="44">
        <f t="shared" si="22"/>
        <v>0</v>
      </c>
      <c r="AE132" s="51">
        <f t="shared" si="23"/>
        <v>0</v>
      </c>
    </row>
    <row r="133" spans="1:31">
      <c r="A133" s="60" t="str">
        <f t="shared" si="17"/>
        <v/>
      </c>
      <c r="B133" s="60" t="str">
        <f t="shared" si="18"/>
        <v/>
      </c>
      <c r="V133" s="60" t="str">
        <f t="shared" si="19"/>
        <v/>
      </c>
      <c r="W133" s="60" t="str">
        <f t="shared" si="16"/>
        <v/>
      </c>
      <c r="X133" s="60" t="str">
        <f t="shared" si="20"/>
        <v/>
      </c>
      <c r="AC133" s="51">
        <f t="shared" si="21"/>
        <v>0</v>
      </c>
      <c r="AD133" s="44">
        <f t="shared" si="22"/>
        <v>0</v>
      </c>
      <c r="AE133" s="51">
        <f t="shared" si="23"/>
        <v>0</v>
      </c>
    </row>
    <row r="134" spans="1:31">
      <c r="A134" s="60" t="str">
        <f t="shared" si="17"/>
        <v/>
      </c>
      <c r="B134" s="60" t="str">
        <f t="shared" si="18"/>
        <v/>
      </c>
      <c r="V134" s="60" t="str">
        <f t="shared" si="19"/>
        <v/>
      </c>
      <c r="W134" s="60" t="str">
        <f t="shared" si="16"/>
        <v/>
      </c>
      <c r="X134" s="60" t="str">
        <f t="shared" si="20"/>
        <v/>
      </c>
      <c r="AC134" s="51">
        <f t="shared" si="21"/>
        <v>0</v>
      </c>
      <c r="AD134" s="44">
        <f t="shared" si="22"/>
        <v>0</v>
      </c>
      <c r="AE134" s="51">
        <f t="shared" si="23"/>
        <v>0</v>
      </c>
    </row>
    <row r="135" spans="1:31">
      <c r="A135" s="60" t="str">
        <f t="shared" si="17"/>
        <v/>
      </c>
      <c r="B135" s="60" t="str">
        <f t="shared" si="18"/>
        <v/>
      </c>
      <c r="V135" s="60" t="str">
        <f t="shared" si="19"/>
        <v/>
      </c>
      <c r="W135" s="60" t="str">
        <f t="shared" si="16"/>
        <v/>
      </c>
      <c r="X135" s="60" t="str">
        <f t="shared" si="20"/>
        <v/>
      </c>
      <c r="AC135" s="51">
        <f t="shared" si="21"/>
        <v>0</v>
      </c>
      <c r="AD135" s="44">
        <f t="shared" si="22"/>
        <v>0</v>
      </c>
      <c r="AE135" s="51">
        <f t="shared" si="23"/>
        <v>0</v>
      </c>
    </row>
    <row r="136" spans="1:31">
      <c r="A136" s="60" t="str">
        <f t="shared" si="17"/>
        <v/>
      </c>
      <c r="B136" s="60" t="str">
        <f t="shared" si="18"/>
        <v/>
      </c>
      <c r="V136" s="60" t="str">
        <f t="shared" si="19"/>
        <v/>
      </c>
      <c r="W136" s="60" t="str">
        <f t="shared" si="16"/>
        <v/>
      </c>
      <c r="X136" s="60" t="str">
        <f t="shared" si="20"/>
        <v/>
      </c>
      <c r="AC136" s="51">
        <f t="shared" si="21"/>
        <v>0</v>
      </c>
      <c r="AD136" s="44">
        <f t="shared" si="22"/>
        <v>0</v>
      </c>
      <c r="AE136" s="51">
        <f t="shared" si="23"/>
        <v>0</v>
      </c>
    </row>
    <row r="137" spans="1:31">
      <c r="A137" s="60" t="str">
        <f t="shared" si="17"/>
        <v/>
      </c>
      <c r="B137" s="60" t="str">
        <f t="shared" si="18"/>
        <v/>
      </c>
      <c r="V137" s="60" t="str">
        <f t="shared" si="19"/>
        <v/>
      </c>
      <c r="W137" s="60" t="str">
        <f t="shared" si="16"/>
        <v/>
      </c>
      <c r="X137" s="60" t="str">
        <f t="shared" si="20"/>
        <v/>
      </c>
      <c r="AC137" s="51">
        <f t="shared" si="21"/>
        <v>0</v>
      </c>
      <c r="AD137" s="44">
        <f t="shared" si="22"/>
        <v>0</v>
      </c>
      <c r="AE137" s="51">
        <f t="shared" si="23"/>
        <v>0</v>
      </c>
    </row>
    <row r="138" spans="1:31">
      <c r="A138" s="60" t="str">
        <f t="shared" si="17"/>
        <v/>
      </c>
      <c r="B138" s="60" t="str">
        <f t="shared" si="18"/>
        <v/>
      </c>
      <c r="V138" s="60" t="str">
        <f t="shared" si="19"/>
        <v/>
      </c>
      <c r="W138" s="60" t="str">
        <f t="shared" si="16"/>
        <v/>
      </c>
      <c r="X138" s="60" t="str">
        <f t="shared" si="20"/>
        <v/>
      </c>
      <c r="AC138" s="51">
        <f t="shared" si="21"/>
        <v>0</v>
      </c>
      <c r="AD138" s="44">
        <f t="shared" si="22"/>
        <v>0</v>
      </c>
      <c r="AE138" s="51">
        <f t="shared" si="23"/>
        <v>0</v>
      </c>
    </row>
    <row r="139" spans="1:31">
      <c r="A139" s="60" t="str">
        <f t="shared" si="17"/>
        <v/>
      </c>
      <c r="B139" s="60" t="str">
        <f t="shared" si="18"/>
        <v/>
      </c>
      <c r="V139" s="60" t="str">
        <f t="shared" si="19"/>
        <v/>
      </c>
      <c r="W139" s="60" t="str">
        <f t="shared" si="16"/>
        <v/>
      </c>
      <c r="X139" s="60" t="str">
        <f t="shared" si="20"/>
        <v/>
      </c>
      <c r="AC139" s="51">
        <f t="shared" si="21"/>
        <v>0</v>
      </c>
      <c r="AD139" s="44">
        <f t="shared" si="22"/>
        <v>0</v>
      </c>
      <c r="AE139" s="51">
        <f t="shared" si="23"/>
        <v>0</v>
      </c>
    </row>
    <row r="140" spans="1:31">
      <c r="A140" s="60" t="str">
        <f t="shared" si="17"/>
        <v/>
      </c>
      <c r="B140" s="60" t="str">
        <f t="shared" si="18"/>
        <v/>
      </c>
      <c r="V140" s="60" t="str">
        <f t="shared" si="19"/>
        <v/>
      </c>
      <c r="W140" s="60" t="str">
        <f t="shared" si="16"/>
        <v/>
      </c>
      <c r="X140" s="60" t="str">
        <f t="shared" si="20"/>
        <v/>
      </c>
      <c r="AC140" s="51">
        <f t="shared" si="21"/>
        <v>0</v>
      </c>
      <c r="AD140" s="44">
        <f t="shared" si="22"/>
        <v>0</v>
      </c>
      <c r="AE140" s="51">
        <f t="shared" si="23"/>
        <v>0</v>
      </c>
    </row>
    <row r="141" spans="1:31">
      <c r="A141" s="60" t="str">
        <f t="shared" si="17"/>
        <v/>
      </c>
      <c r="B141" s="60" t="str">
        <f t="shared" si="18"/>
        <v/>
      </c>
      <c r="V141" s="60" t="str">
        <f t="shared" si="19"/>
        <v/>
      </c>
      <c r="W141" s="60" t="str">
        <f t="shared" si="16"/>
        <v/>
      </c>
      <c r="X141" s="60" t="str">
        <f t="shared" si="20"/>
        <v/>
      </c>
      <c r="AC141" s="51">
        <f t="shared" si="21"/>
        <v>0</v>
      </c>
      <c r="AD141" s="44">
        <f t="shared" si="22"/>
        <v>0</v>
      </c>
      <c r="AE141" s="51">
        <f t="shared" si="23"/>
        <v>0</v>
      </c>
    </row>
    <row r="142" spans="1:31">
      <c r="A142" s="60" t="str">
        <f t="shared" si="17"/>
        <v/>
      </c>
      <c r="B142" s="60" t="str">
        <f t="shared" si="18"/>
        <v/>
      </c>
      <c r="V142" s="60" t="str">
        <f t="shared" si="19"/>
        <v/>
      </c>
      <c r="W142" s="60" t="str">
        <f t="shared" si="16"/>
        <v/>
      </c>
      <c r="X142" s="60" t="str">
        <f t="shared" si="20"/>
        <v/>
      </c>
      <c r="AC142" s="51">
        <f t="shared" si="21"/>
        <v>0</v>
      </c>
      <c r="AD142" s="44">
        <f t="shared" si="22"/>
        <v>0</v>
      </c>
      <c r="AE142" s="51">
        <f t="shared" si="23"/>
        <v>0</v>
      </c>
    </row>
    <row r="143" spans="1:31">
      <c r="A143" s="60" t="str">
        <f t="shared" si="17"/>
        <v/>
      </c>
      <c r="B143" s="60" t="str">
        <f t="shared" si="18"/>
        <v/>
      </c>
      <c r="V143" s="60" t="str">
        <f t="shared" si="19"/>
        <v/>
      </c>
      <c r="W143" s="60" t="str">
        <f t="shared" si="16"/>
        <v/>
      </c>
      <c r="X143" s="60" t="str">
        <f t="shared" si="20"/>
        <v/>
      </c>
      <c r="AC143" s="51">
        <f t="shared" si="21"/>
        <v>0</v>
      </c>
      <c r="AD143" s="44">
        <f t="shared" si="22"/>
        <v>0</v>
      </c>
      <c r="AE143" s="51">
        <f t="shared" si="23"/>
        <v>0</v>
      </c>
    </row>
    <row r="144" spans="1:31">
      <c r="A144" s="60" t="str">
        <f t="shared" si="17"/>
        <v/>
      </c>
      <c r="B144" s="60" t="str">
        <f t="shared" si="18"/>
        <v/>
      </c>
      <c r="V144" s="60" t="str">
        <f t="shared" si="19"/>
        <v/>
      </c>
      <c r="W144" s="60" t="str">
        <f t="shared" si="16"/>
        <v/>
      </c>
      <c r="X144" s="60" t="str">
        <f t="shared" si="20"/>
        <v/>
      </c>
      <c r="AC144" s="51">
        <f t="shared" si="21"/>
        <v>0</v>
      </c>
      <c r="AD144" s="44">
        <f t="shared" si="22"/>
        <v>0</v>
      </c>
      <c r="AE144" s="51">
        <f t="shared" si="23"/>
        <v>0</v>
      </c>
    </row>
    <row r="145" spans="1:31">
      <c r="A145" s="60" t="str">
        <f t="shared" si="17"/>
        <v/>
      </c>
      <c r="B145" s="60" t="str">
        <f t="shared" si="18"/>
        <v/>
      </c>
      <c r="V145" s="60" t="str">
        <f t="shared" si="19"/>
        <v/>
      </c>
      <c r="W145" s="60" t="str">
        <f t="shared" si="16"/>
        <v/>
      </c>
      <c r="X145" s="60" t="str">
        <f t="shared" si="20"/>
        <v/>
      </c>
      <c r="AC145" s="51">
        <f t="shared" si="21"/>
        <v>0</v>
      </c>
      <c r="AD145" s="44">
        <f t="shared" si="22"/>
        <v>0</v>
      </c>
      <c r="AE145" s="51">
        <f t="shared" si="23"/>
        <v>0</v>
      </c>
    </row>
    <row r="146" spans="1:31">
      <c r="A146" s="60" t="str">
        <f t="shared" si="17"/>
        <v/>
      </c>
      <c r="B146" s="60" t="str">
        <f t="shared" si="18"/>
        <v/>
      </c>
      <c r="V146" s="60" t="str">
        <f t="shared" si="19"/>
        <v/>
      </c>
      <c r="W146" s="60" t="str">
        <f t="shared" si="16"/>
        <v/>
      </c>
      <c r="X146" s="60" t="str">
        <f t="shared" si="20"/>
        <v/>
      </c>
      <c r="AC146" s="51">
        <f t="shared" si="21"/>
        <v>0</v>
      </c>
      <c r="AD146" s="44">
        <f t="shared" si="22"/>
        <v>0</v>
      </c>
      <c r="AE146" s="51">
        <f t="shared" si="23"/>
        <v>0</v>
      </c>
    </row>
    <row r="147" spans="1:31">
      <c r="A147" s="60" t="str">
        <f t="shared" si="17"/>
        <v/>
      </c>
      <c r="B147" s="60" t="str">
        <f t="shared" si="18"/>
        <v/>
      </c>
      <c r="V147" s="60" t="str">
        <f t="shared" si="19"/>
        <v/>
      </c>
      <c r="W147" s="60" t="str">
        <f t="shared" si="16"/>
        <v/>
      </c>
      <c r="X147" s="60" t="str">
        <f t="shared" si="20"/>
        <v/>
      </c>
      <c r="AC147" s="51">
        <f t="shared" si="21"/>
        <v>0</v>
      </c>
      <c r="AD147" s="44">
        <f t="shared" si="22"/>
        <v>0</v>
      </c>
      <c r="AE147" s="51">
        <f t="shared" si="23"/>
        <v>0</v>
      </c>
    </row>
    <row r="148" spans="1:31">
      <c r="A148" s="60" t="str">
        <f t="shared" si="17"/>
        <v/>
      </c>
      <c r="B148" s="60" t="str">
        <f t="shared" si="18"/>
        <v/>
      </c>
      <c r="V148" s="60" t="str">
        <f t="shared" si="19"/>
        <v/>
      </c>
      <c r="W148" s="60" t="str">
        <f t="shared" si="16"/>
        <v/>
      </c>
      <c r="X148" s="60" t="str">
        <f t="shared" si="20"/>
        <v/>
      </c>
      <c r="AC148" s="51">
        <f t="shared" si="21"/>
        <v>0</v>
      </c>
      <c r="AD148" s="44">
        <f t="shared" si="22"/>
        <v>0</v>
      </c>
      <c r="AE148" s="51">
        <f t="shared" si="23"/>
        <v>0</v>
      </c>
    </row>
    <row r="149" spans="1:31">
      <c r="A149" s="60" t="str">
        <f t="shared" si="17"/>
        <v/>
      </c>
      <c r="B149" s="60" t="str">
        <f t="shared" si="18"/>
        <v/>
      </c>
      <c r="V149" s="60" t="str">
        <f t="shared" si="19"/>
        <v/>
      </c>
      <c r="W149" s="60" t="str">
        <f t="shared" si="16"/>
        <v/>
      </c>
      <c r="X149" s="60" t="str">
        <f t="shared" si="20"/>
        <v/>
      </c>
      <c r="AC149" s="51">
        <f t="shared" si="21"/>
        <v>0</v>
      </c>
      <c r="AD149" s="44">
        <f t="shared" si="22"/>
        <v>0</v>
      </c>
      <c r="AE149" s="51">
        <f t="shared" si="23"/>
        <v>0</v>
      </c>
    </row>
    <row r="150" spans="1:31">
      <c r="A150" s="60" t="str">
        <f t="shared" si="17"/>
        <v/>
      </c>
      <c r="B150" s="60" t="str">
        <f t="shared" si="18"/>
        <v/>
      </c>
      <c r="V150" s="60" t="str">
        <f t="shared" si="19"/>
        <v/>
      </c>
      <c r="W150" s="60" t="str">
        <f t="shared" si="16"/>
        <v/>
      </c>
      <c r="X150" s="60" t="str">
        <f t="shared" si="20"/>
        <v/>
      </c>
      <c r="AC150" s="51">
        <f t="shared" si="21"/>
        <v>0</v>
      </c>
      <c r="AD150" s="44">
        <f t="shared" si="22"/>
        <v>0</v>
      </c>
      <c r="AE150" s="51">
        <f t="shared" si="23"/>
        <v>0</v>
      </c>
    </row>
    <row r="151" spans="1:31">
      <c r="A151" s="60" t="str">
        <f t="shared" si="17"/>
        <v/>
      </c>
      <c r="B151" s="60" t="str">
        <f t="shared" si="18"/>
        <v/>
      </c>
      <c r="V151" s="60" t="str">
        <f t="shared" si="19"/>
        <v/>
      </c>
      <c r="W151" s="60" t="str">
        <f t="shared" si="16"/>
        <v/>
      </c>
      <c r="X151" s="60" t="str">
        <f t="shared" si="20"/>
        <v/>
      </c>
      <c r="AC151" s="51">
        <f t="shared" si="21"/>
        <v>0</v>
      </c>
      <c r="AD151" s="44">
        <f t="shared" si="22"/>
        <v>0</v>
      </c>
      <c r="AE151" s="51">
        <f t="shared" si="23"/>
        <v>0</v>
      </c>
    </row>
    <row r="152" spans="1:31">
      <c r="A152" s="60" t="str">
        <f t="shared" si="17"/>
        <v/>
      </c>
      <c r="B152" s="60" t="str">
        <f t="shared" si="18"/>
        <v/>
      </c>
      <c r="V152" s="60" t="str">
        <f t="shared" si="19"/>
        <v/>
      </c>
      <c r="W152" s="60" t="str">
        <f t="shared" si="16"/>
        <v/>
      </c>
      <c r="X152" s="60" t="str">
        <f t="shared" si="20"/>
        <v/>
      </c>
      <c r="AC152" s="51">
        <f t="shared" si="21"/>
        <v>0</v>
      </c>
      <c r="AD152" s="44">
        <f t="shared" si="22"/>
        <v>0</v>
      </c>
      <c r="AE152" s="51">
        <f t="shared" si="23"/>
        <v>0</v>
      </c>
    </row>
    <row r="153" spans="1:31">
      <c r="A153" s="60" t="str">
        <f t="shared" si="17"/>
        <v/>
      </c>
      <c r="B153" s="60" t="str">
        <f t="shared" si="18"/>
        <v/>
      </c>
      <c r="V153" s="60" t="str">
        <f t="shared" si="19"/>
        <v/>
      </c>
      <c r="W153" s="60" t="str">
        <f t="shared" si="16"/>
        <v/>
      </c>
      <c r="X153" s="60" t="str">
        <f t="shared" si="20"/>
        <v/>
      </c>
      <c r="AC153" s="51">
        <f t="shared" si="21"/>
        <v>0</v>
      </c>
      <c r="AD153" s="44">
        <f t="shared" si="22"/>
        <v>0</v>
      </c>
      <c r="AE153" s="51">
        <f t="shared" si="23"/>
        <v>0</v>
      </c>
    </row>
    <row r="154" spans="1:31">
      <c r="A154" s="60" t="str">
        <f t="shared" si="17"/>
        <v/>
      </c>
      <c r="B154" s="60" t="str">
        <f t="shared" si="18"/>
        <v/>
      </c>
      <c r="V154" s="60" t="str">
        <f t="shared" si="19"/>
        <v/>
      </c>
      <c r="W154" s="60" t="str">
        <f t="shared" si="16"/>
        <v/>
      </c>
      <c r="X154" s="60" t="str">
        <f t="shared" si="20"/>
        <v/>
      </c>
      <c r="AC154" s="51">
        <f t="shared" si="21"/>
        <v>0</v>
      </c>
      <c r="AD154" s="44">
        <f t="shared" si="22"/>
        <v>0</v>
      </c>
      <c r="AE154" s="51">
        <f t="shared" si="23"/>
        <v>0</v>
      </c>
    </row>
    <row r="155" spans="1:31">
      <c r="A155" s="60" t="str">
        <f t="shared" si="17"/>
        <v/>
      </c>
      <c r="B155" s="60" t="str">
        <f t="shared" si="18"/>
        <v/>
      </c>
      <c r="V155" s="60" t="str">
        <f t="shared" si="19"/>
        <v/>
      </c>
      <c r="W155" s="60" t="str">
        <f t="shared" si="16"/>
        <v/>
      </c>
      <c r="X155" s="60" t="str">
        <f t="shared" si="20"/>
        <v/>
      </c>
      <c r="AC155" s="51">
        <f t="shared" si="21"/>
        <v>0</v>
      </c>
      <c r="AD155" s="44">
        <f t="shared" si="22"/>
        <v>0</v>
      </c>
      <c r="AE155" s="51">
        <f t="shared" si="23"/>
        <v>0</v>
      </c>
    </row>
    <row r="156" spans="1:31">
      <c r="A156" s="60" t="str">
        <f t="shared" si="17"/>
        <v/>
      </c>
      <c r="B156" s="60" t="str">
        <f t="shared" si="18"/>
        <v/>
      </c>
      <c r="V156" s="60" t="str">
        <f t="shared" si="19"/>
        <v/>
      </c>
      <c r="W156" s="60" t="str">
        <f t="shared" si="16"/>
        <v/>
      </c>
      <c r="X156" s="60" t="str">
        <f t="shared" si="20"/>
        <v/>
      </c>
      <c r="AC156" s="51">
        <f t="shared" si="21"/>
        <v>0</v>
      </c>
      <c r="AD156" s="44">
        <f t="shared" si="22"/>
        <v>0</v>
      </c>
      <c r="AE156" s="51">
        <f t="shared" si="23"/>
        <v>0</v>
      </c>
    </row>
    <row r="157" spans="1:31">
      <c r="A157" s="60" t="str">
        <f t="shared" si="17"/>
        <v/>
      </c>
      <c r="B157" s="60" t="str">
        <f t="shared" si="18"/>
        <v/>
      </c>
      <c r="V157" s="60" t="str">
        <f t="shared" si="19"/>
        <v/>
      </c>
      <c r="W157" s="60" t="str">
        <f t="shared" si="16"/>
        <v/>
      </c>
      <c r="X157" s="60" t="str">
        <f t="shared" si="20"/>
        <v/>
      </c>
      <c r="AC157" s="51">
        <f t="shared" si="21"/>
        <v>0</v>
      </c>
      <c r="AD157" s="44">
        <f t="shared" si="22"/>
        <v>0</v>
      </c>
      <c r="AE157" s="51">
        <f t="shared" si="23"/>
        <v>0</v>
      </c>
    </row>
    <row r="158" spans="1:31">
      <c r="A158" s="60" t="str">
        <f t="shared" si="17"/>
        <v/>
      </c>
      <c r="B158" s="60" t="str">
        <f t="shared" si="18"/>
        <v/>
      </c>
      <c r="V158" s="60" t="str">
        <f t="shared" si="19"/>
        <v/>
      </c>
      <c r="W158" s="60" t="str">
        <f t="shared" si="16"/>
        <v/>
      </c>
      <c r="X158" s="60" t="str">
        <f t="shared" si="20"/>
        <v/>
      </c>
      <c r="AC158" s="51">
        <f t="shared" si="21"/>
        <v>0</v>
      </c>
      <c r="AD158" s="44">
        <f t="shared" si="22"/>
        <v>0</v>
      </c>
      <c r="AE158" s="51">
        <f t="shared" si="23"/>
        <v>0</v>
      </c>
    </row>
    <row r="159" spans="1:31">
      <c r="A159" s="60" t="str">
        <f t="shared" si="17"/>
        <v/>
      </c>
      <c r="B159" s="60" t="str">
        <f t="shared" si="18"/>
        <v/>
      </c>
      <c r="V159" s="60" t="str">
        <f t="shared" si="19"/>
        <v/>
      </c>
      <c r="W159" s="60" t="str">
        <f t="shared" si="16"/>
        <v/>
      </c>
      <c r="X159" s="60" t="str">
        <f t="shared" si="20"/>
        <v/>
      </c>
      <c r="AC159" s="51">
        <f t="shared" si="21"/>
        <v>0</v>
      </c>
      <c r="AD159" s="44">
        <f t="shared" si="22"/>
        <v>0</v>
      </c>
      <c r="AE159" s="51">
        <f t="shared" si="23"/>
        <v>0</v>
      </c>
    </row>
    <row r="160" spans="1:31">
      <c r="A160" s="60" t="str">
        <f t="shared" si="17"/>
        <v/>
      </c>
      <c r="B160" s="60" t="str">
        <f t="shared" si="18"/>
        <v/>
      </c>
      <c r="V160" s="60" t="str">
        <f t="shared" si="19"/>
        <v/>
      </c>
      <c r="W160" s="60" t="str">
        <f t="shared" si="16"/>
        <v/>
      </c>
      <c r="X160" s="60" t="str">
        <f t="shared" si="20"/>
        <v/>
      </c>
      <c r="AC160" s="51">
        <f t="shared" si="21"/>
        <v>0</v>
      </c>
      <c r="AD160" s="44">
        <f t="shared" si="22"/>
        <v>0</v>
      </c>
      <c r="AE160" s="51">
        <f t="shared" si="23"/>
        <v>0</v>
      </c>
    </row>
    <row r="161" spans="1:31">
      <c r="A161" s="60" t="str">
        <f t="shared" si="17"/>
        <v/>
      </c>
      <c r="B161" s="60" t="str">
        <f t="shared" si="18"/>
        <v/>
      </c>
      <c r="V161" s="60" t="str">
        <f t="shared" si="19"/>
        <v/>
      </c>
      <c r="W161" s="60" t="str">
        <f t="shared" si="16"/>
        <v/>
      </c>
      <c r="X161" s="60" t="str">
        <f t="shared" si="20"/>
        <v/>
      </c>
      <c r="AC161" s="51">
        <f t="shared" si="21"/>
        <v>0</v>
      </c>
      <c r="AD161" s="44">
        <f t="shared" si="22"/>
        <v>0</v>
      </c>
      <c r="AE161" s="51">
        <f t="shared" si="23"/>
        <v>0</v>
      </c>
    </row>
    <row r="162" spans="1:31">
      <c r="A162" s="60" t="str">
        <f t="shared" si="17"/>
        <v/>
      </c>
      <c r="B162" s="60" t="str">
        <f t="shared" si="18"/>
        <v/>
      </c>
      <c r="V162" s="60" t="str">
        <f t="shared" si="19"/>
        <v/>
      </c>
      <c r="W162" s="60" t="str">
        <f t="shared" si="16"/>
        <v/>
      </c>
      <c r="X162" s="60" t="str">
        <f t="shared" si="20"/>
        <v/>
      </c>
      <c r="AC162" s="51">
        <f t="shared" si="21"/>
        <v>0</v>
      </c>
      <c r="AD162" s="44">
        <f t="shared" si="22"/>
        <v>0</v>
      </c>
      <c r="AE162" s="51">
        <f t="shared" si="23"/>
        <v>0</v>
      </c>
    </row>
    <row r="163" spans="1:31">
      <c r="A163" s="60" t="str">
        <f t="shared" si="17"/>
        <v/>
      </c>
      <c r="B163" s="60" t="str">
        <f t="shared" si="18"/>
        <v/>
      </c>
      <c r="V163" s="60" t="str">
        <f t="shared" si="19"/>
        <v/>
      </c>
      <c r="W163" s="60" t="str">
        <f t="shared" si="16"/>
        <v/>
      </c>
      <c r="X163" s="60" t="str">
        <f t="shared" si="20"/>
        <v/>
      </c>
      <c r="AC163" s="51">
        <f t="shared" si="21"/>
        <v>0</v>
      </c>
      <c r="AD163" s="44">
        <f t="shared" si="22"/>
        <v>0</v>
      </c>
      <c r="AE163" s="51">
        <f t="shared" si="23"/>
        <v>0</v>
      </c>
    </row>
    <row r="164" spans="1:31">
      <c r="A164" s="60" t="str">
        <f t="shared" si="17"/>
        <v/>
      </c>
      <c r="B164" s="60" t="str">
        <f t="shared" si="18"/>
        <v/>
      </c>
      <c r="V164" s="60" t="str">
        <f t="shared" si="19"/>
        <v/>
      </c>
      <c r="W164" s="60" t="str">
        <f t="shared" si="16"/>
        <v/>
      </c>
      <c r="X164" s="60" t="str">
        <f t="shared" si="20"/>
        <v/>
      </c>
      <c r="AC164" s="51">
        <f t="shared" si="21"/>
        <v>0</v>
      </c>
      <c r="AD164" s="44">
        <f t="shared" si="22"/>
        <v>0</v>
      </c>
      <c r="AE164" s="51">
        <f t="shared" si="23"/>
        <v>0</v>
      </c>
    </row>
    <row r="165" spans="1:31">
      <c r="A165" s="60" t="str">
        <f t="shared" si="17"/>
        <v/>
      </c>
      <c r="B165" s="60" t="str">
        <f t="shared" si="18"/>
        <v/>
      </c>
      <c r="V165" s="60" t="str">
        <f t="shared" si="19"/>
        <v/>
      </c>
      <c r="W165" s="60" t="str">
        <f t="shared" si="16"/>
        <v/>
      </c>
      <c r="X165" s="60" t="str">
        <f t="shared" si="20"/>
        <v/>
      </c>
      <c r="AC165" s="51">
        <f t="shared" si="21"/>
        <v>0</v>
      </c>
      <c r="AD165" s="44">
        <f t="shared" si="22"/>
        <v>0</v>
      </c>
      <c r="AE165" s="51">
        <f t="shared" si="23"/>
        <v>0</v>
      </c>
    </row>
    <row r="166" spans="1:31">
      <c r="A166" s="60" t="str">
        <f t="shared" si="17"/>
        <v/>
      </c>
      <c r="B166" s="60" t="str">
        <f t="shared" si="18"/>
        <v/>
      </c>
      <c r="V166" s="60" t="str">
        <f t="shared" si="19"/>
        <v/>
      </c>
      <c r="W166" s="60" t="str">
        <f t="shared" si="16"/>
        <v/>
      </c>
      <c r="X166" s="60" t="str">
        <f t="shared" si="20"/>
        <v/>
      </c>
      <c r="AC166" s="51">
        <f t="shared" si="21"/>
        <v>0</v>
      </c>
      <c r="AD166" s="44">
        <f t="shared" si="22"/>
        <v>0</v>
      </c>
      <c r="AE166" s="51">
        <f t="shared" si="23"/>
        <v>0</v>
      </c>
    </row>
    <row r="167" spans="1:31">
      <c r="A167" s="60" t="str">
        <f t="shared" si="17"/>
        <v/>
      </c>
      <c r="B167" s="60" t="str">
        <f t="shared" si="18"/>
        <v/>
      </c>
      <c r="V167" s="60" t="str">
        <f t="shared" si="19"/>
        <v/>
      </c>
      <c r="W167" s="60" t="str">
        <f t="shared" si="16"/>
        <v/>
      </c>
      <c r="X167" s="60" t="str">
        <f t="shared" si="20"/>
        <v/>
      </c>
      <c r="AC167" s="51">
        <f t="shared" si="21"/>
        <v>0</v>
      </c>
      <c r="AD167" s="44">
        <f t="shared" si="22"/>
        <v>0</v>
      </c>
      <c r="AE167" s="51">
        <f t="shared" si="23"/>
        <v>0</v>
      </c>
    </row>
    <row r="168" spans="1:31">
      <c r="A168" s="60" t="str">
        <f t="shared" si="17"/>
        <v/>
      </c>
      <c r="B168" s="60" t="str">
        <f t="shared" si="18"/>
        <v/>
      </c>
      <c r="V168" s="60" t="str">
        <f t="shared" si="19"/>
        <v/>
      </c>
      <c r="W168" s="60" t="str">
        <f t="shared" si="16"/>
        <v/>
      </c>
      <c r="X168" s="60" t="str">
        <f t="shared" si="20"/>
        <v/>
      </c>
      <c r="AC168" s="51">
        <f t="shared" si="21"/>
        <v>0</v>
      </c>
      <c r="AD168" s="44">
        <f t="shared" si="22"/>
        <v>0</v>
      </c>
      <c r="AE168" s="51">
        <f t="shared" si="23"/>
        <v>0</v>
      </c>
    </row>
    <row r="169" spans="1:31">
      <c r="A169" s="60" t="str">
        <f t="shared" si="17"/>
        <v/>
      </c>
      <c r="B169" s="60" t="str">
        <f t="shared" si="18"/>
        <v/>
      </c>
      <c r="V169" s="60" t="str">
        <f t="shared" si="19"/>
        <v/>
      </c>
      <c r="W169" s="60" t="str">
        <f t="shared" si="16"/>
        <v/>
      </c>
      <c r="X169" s="60" t="str">
        <f t="shared" si="20"/>
        <v/>
      </c>
      <c r="AC169" s="51">
        <f t="shared" si="21"/>
        <v>0</v>
      </c>
      <c r="AD169" s="44">
        <f t="shared" si="22"/>
        <v>0</v>
      </c>
      <c r="AE169" s="51">
        <f t="shared" si="23"/>
        <v>0</v>
      </c>
    </row>
    <row r="170" spans="1:31">
      <c r="A170" s="60" t="str">
        <f t="shared" si="17"/>
        <v/>
      </c>
      <c r="B170" s="60" t="str">
        <f t="shared" si="18"/>
        <v/>
      </c>
      <c r="V170" s="60" t="str">
        <f t="shared" si="19"/>
        <v/>
      </c>
      <c r="W170" s="60" t="str">
        <f t="shared" si="16"/>
        <v/>
      </c>
      <c r="X170" s="60" t="str">
        <f t="shared" si="20"/>
        <v/>
      </c>
      <c r="AC170" s="51">
        <f t="shared" si="21"/>
        <v>0</v>
      </c>
      <c r="AD170" s="44">
        <f t="shared" si="22"/>
        <v>0</v>
      </c>
      <c r="AE170" s="51">
        <f t="shared" si="23"/>
        <v>0</v>
      </c>
    </row>
    <row r="171" spans="1:31">
      <c r="A171" s="60" t="str">
        <f t="shared" si="17"/>
        <v/>
      </c>
      <c r="B171" s="60" t="str">
        <f t="shared" si="18"/>
        <v/>
      </c>
      <c r="V171" s="60" t="str">
        <f t="shared" si="19"/>
        <v/>
      </c>
      <c r="W171" s="60" t="str">
        <f t="shared" si="16"/>
        <v/>
      </c>
      <c r="X171" s="60" t="str">
        <f t="shared" si="20"/>
        <v/>
      </c>
      <c r="AC171" s="51">
        <f t="shared" si="21"/>
        <v>0</v>
      </c>
      <c r="AD171" s="44">
        <f t="shared" si="22"/>
        <v>0</v>
      </c>
      <c r="AE171" s="51">
        <f t="shared" si="23"/>
        <v>0</v>
      </c>
    </row>
    <row r="172" spans="1:31">
      <c r="A172" s="60" t="str">
        <f t="shared" si="17"/>
        <v/>
      </c>
      <c r="B172" s="60" t="str">
        <f t="shared" si="18"/>
        <v/>
      </c>
      <c r="V172" s="60" t="str">
        <f t="shared" si="19"/>
        <v/>
      </c>
      <c r="W172" s="60" t="str">
        <f t="shared" si="16"/>
        <v/>
      </c>
      <c r="X172" s="60" t="str">
        <f t="shared" si="20"/>
        <v/>
      </c>
      <c r="AC172" s="51">
        <f t="shared" si="21"/>
        <v>0</v>
      </c>
      <c r="AD172" s="44">
        <f t="shared" si="22"/>
        <v>0</v>
      </c>
      <c r="AE172" s="51">
        <f t="shared" si="23"/>
        <v>0</v>
      </c>
    </row>
    <row r="173" spans="1:31">
      <c r="A173" s="60" t="str">
        <f t="shared" si="17"/>
        <v/>
      </c>
      <c r="B173" s="60" t="str">
        <f t="shared" si="18"/>
        <v/>
      </c>
      <c r="V173" s="60" t="str">
        <f t="shared" si="19"/>
        <v/>
      </c>
      <c r="W173" s="60" t="str">
        <f t="shared" si="16"/>
        <v/>
      </c>
      <c r="X173" s="60" t="str">
        <f t="shared" si="20"/>
        <v/>
      </c>
      <c r="AC173" s="51">
        <f t="shared" si="21"/>
        <v>0</v>
      </c>
      <c r="AD173" s="44">
        <f t="shared" si="22"/>
        <v>0</v>
      </c>
      <c r="AE173" s="51">
        <f t="shared" si="23"/>
        <v>0</v>
      </c>
    </row>
    <row r="174" spans="1:31">
      <c r="A174" s="60" t="str">
        <f t="shared" si="17"/>
        <v/>
      </c>
      <c r="B174" s="60" t="str">
        <f t="shared" si="18"/>
        <v/>
      </c>
      <c r="V174" s="60" t="str">
        <f t="shared" si="19"/>
        <v/>
      </c>
      <c r="W174" s="60" t="str">
        <f t="shared" si="16"/>
        <v/>
      </c>
      <c r="X174" s="60" t="str">
        <f t="shared" si="20"/>
        <v/>
      </c>
      <c r="AC174" s="51">
        <f t="shared" si="21"/>
        <v>0</v>
      </c>
      <c r="AD174" s="44">
        <f t="shared" si="22"/>
        <v>0</v>
      </c>
      <c r="AE174" s="51">
        <f t="shared" si="23"/>
        <v>0</v>
      </c>
    </row>
    <row r="175" spans="1:31">
      <c r="A175" s="60" t="str">
        <f t="shared" si="17"/>
        <v/>
      </c>
      <c r="B175" s="60" t="str">
        <f t="shared" si="18"/>
        <v/>
      </c>
      <c r="V175" s="60" t="str">
        <f t="shared" si="19"/>
        <v/>
      </c>
      <c r="W175" s="60" t="str">
        <f t="shared" si="16"/>
        <v/>
      </c>
      <c r="X175" s="60" t="str">
        <f t="shared" si="20"/>
        <v/>
      </c>
      <c r="AC175" s="51">
        <f t="shared" si="21"/>
        <v>0</v>
      </c>
      <c r="AD175" s="44">
        <f t="shared" si="22"/>
        <v>0</v>
      </c>
      <c r="AE175" s="51">
        <f t="shared" si="23"/>
        <v>0</v>
      </c>
    </row>
    <row r="176" spans="1:31">
      <c r="A176" s="60" t="str">
        <f t="shared" si="17"/>
        <v/>
      </c>
      <c r="B176" s="60" t="str">
        <f t="shared" si="18"/>
        <v/>
      </c>
      <c r="V176" s="60" t="str">
        <f t="shared" si="19"/>
        <v/>
      </c>
      <c r="W176" s="60" t="str">
        <f t="shared" si="16"/>
        <v/>
      </c>
      <c r="X176" s="60" t="str">
        <f t="shared" si="20"/>
        <v/>
      </c>
      <c r="AC176" s="51">
        <f t="shared" si="21"/>
        <v>0</v>
      </c>
      <c r="AD176" s="44">
        <f t="shared" si="22"/>
        <v>0</v>
      </c>
      <c r="AE176" s="51">
        <f t="shared" si="23"/>
        <v>0</v>
      </c>
    </row>
    <row r="177" spans="1:31">
      <c r="A177" s="60" t="str">
        <f t="shared" si="17"/>
        <v/>
      </c>
      <c r="B177" s="60" t="str">
        <f t="shared" si="18"/>
        <v/>
      </c>
      <c r="V177" s="60" t="str">
        <f t="shared" si="19"/>
        <v/>
      </c>
      <c r="W177" s="60" t="str">
        <f t="shared" si="16"/>
        <v/>
      </c>
      <c r="X177" s="60" t="str">
        <f t="shared" si="20"/>
        <v/>
      </c>
      <c r="AC177" s="51">
        <f t="shared" si="21"/>
        <v>0</v>
      </c>
      <c r="AD177" s="44">
        <f t="shared" si="22"/>
        <v>0</v>
      </c>
      <c r="AE177" s="51">
        <f t="shared" si="23"/>
        <v>0</v>
      </c>
    </row>
    <row r="178" spans="1:31">
      <c r="A178" s="60" t="str">
        <f t="shared" si="17"/>
        <v/>
      </c>
      <c r="B178" s="60" t="str">
        <f t="shared" si="18"/>
        <v/>
      </c>
      <c r="V178" s="60" t="str">
        <f t="shared" si="19"/>
        <v/>
      </c>
      <c r="W178" s="60" t="str">
        <f t="shared" si="16"/>
        <v/>
      </c>
      <c r="X178" s="60" t="str">
        <f t="shared" si="20"/>
        <v/>
      </c>
      <c r="AC178" s="51">
        <f t="shared" si="21"/>
        <v>0</v>
      </c>
      <c r="AD178" s="44">
        <f t="shared" si="22"/>
        <v>0</v>
      </c>
      <c r="AE178" s="51">
        <f t="shared" si="23"/>
        <v>0</v>
      </c>
    </row>
    <row r="179" spans="1:31">
      <c r="A179" s="60" t="str">
        <f t="shared" si="17"/>
        <v/>
      </c>
      <c r="B179" s="60" t="str">
        <f t="shared" si="18"/>
        <v/>
      </c>
      <c r="V179" s="60" t="str">
        <f t="shared" si="19"/>
        <v/>
      </c>
      <c r="W179" s="60" t="str">
        <f t="shared" si="16"/>
        <v/>
      </c>
      <c r="X179" s="60" t="str">
        <f t="shared" si="20"/>
        <v/>
      </c>
      <c r="AC179" s="51">
        <f t="shared" si="21"/>
        <v>0</v>
      </c>
      <c r="AD179" s="44">
        <f t="shared" si="22"/>
        <v>0</v>
      </c>
      <c r="AE179" s="51">
        <f t="shared" si="23"/>
        <v>0</v>
      </c>
    </row>
    <row r="180" spans="1:31">
      <c r="A180" s="60" t="str">
        <f t="shared" si="17"/>
        <v/>
      </c>
      <c r="B180" s="60" t="str">
        <f t="shared" si="18"/>
        <v/>
      </c>
      <c r="V180" s="60" t="str">
        <f t="shared" si="19"/>
        <v/>
      </c>
      <c r="W180" s="60" t="str">
        <f t="shared" si="16"/>
        <v/>
      </c>
      <c r="X180" s="60" t="str">
        <f t="shared" si="20"/>
        <v/>
      </c>
      <c r="AC180" s="51">
        <f t="shared" si="21"/>
        <v>0</v>
      </c>
      <c r="AD180" s="44">
        <f t="shared" si="22"/>
        <v>0</v>
      </c>
      <c r="AE180" s="51">
        <f t="shared" si="23"/>
        <v>0</v>
      </c>
    </row>
    <row r="181" spans="1:31">
      <c r="A181" s="60" t="str">
        <f t="shared" si="17"/>
        <v/>
      </c>
      <c r="B181" s="60" t="str">
        <f t="shared" si="18"/>
        <v/>
      </c>
      <c r="V181" s="60" t="str">
        <f t="shared" si="19"/>
        <v/>
      </c>
      <c r="W181" s="60" t="str">
        <f t="shared" si="16"/>
        <v/>
      </c>
      <c r="X181" s="60" t="str">
        <f t="shared" si="20"/>
        <v/>
      </c>
      <c r="AC181" s="51">
        <f t="shared" si="21"/>
        <v>0</v>
      </c>
      <c r="AD181" s="44">
        <f t="shared" si="22"/>
        <v>0</v>
      </c>
      <c r="AE181" s="51">
        <f t="shared" si="23"/>
        <v>0</v>
      </c>
    </row>
    <row r="182" spans="1:31">
      <c r="A182" s="60" t="str">
        <f t="shared" si="17"/>
        <v/>
      </c>
      <c r="B182" s="60" t="str">
        <f t="shared" si="18"/>
        <v/>
      </c>
      <c r="V182" s="60" t="str">
        <f t="shared" si="19"/>
        <v/>
      </c>
      <c r="W182" s="60" t="str">
        <f t="shared" si="16"/>
        <v/>
      </c>
      <c r="X182" s="60" t="str">
        <f t="shared" si="20"/>
        <v/>
      </c>
      <c r="AC182" s="51">
        <f t="shared" si="21"/>
        <v>0</v>
      </c>
      <c r="AD182" s="44">
        <f t="shared" si="22"/>
        <v>0</v>
      </c>
      <c r="AE182" s="51">
        <f t="shared" si="23"/>
        <v>0</v>
      </c>
    </row>
    <row r="183" spans="1:31">
      <c r="A183" s="60" t="str">
        <f t="shared" si="17"/>
        <v/>
      </c>
      <c r="B183" s="60" t="str">
        <f t="shared" si="18"/>
        <v/>
      </c>
      <c r="V183" s="60" t="str">
        <f t="shared" si="19"/>
        <v/>
      </c>
      <c r="W183" s="60" t="str">
        <f t="shared" si="16"/>
        <v/>
      </c>
      <c r="X183" s="60" t="str">
        <f t="shared" si="20"/>
        <v/>
      </c>
      <c r="AC183" s="51">
        <f t="shared" si="21"/>
        <v>0</v>
      </c>
      <c r="AD183" s="44">
        <f t="shared" si="22"/>
        <v>0</v>
      </c>
      <c r="AE183" s="51">
        <f t="shared" si="23"/>
        <v>0</v>
      </c>
    </row>
    <row r="184" spans="1:31">
      <c r="A184" s="60" t="str">
        <f t="shared" si="17"/>
        <v/>
      </c>
      <c r="B184" s="60" t="str">
        <f t="shared" si="18"/>
        <v/>
      </c>
      <c r="V184" s="60" t="str">
        <f t="shared" si="19"/>
        <v/>
      </c>
      <c r="W184" s="60" t="str">
        <f t="shared" si="16"/>
        <v/>
      </c>
      <c r="X184" s="60" t="str">
        <f t="shared" si="20"/>
        <v/>
      </c>
      <c r="AC184" s="51">
        <f t="shared" si="21"/>
        <v>0</v>
      </c>
      <c r="AD184" s="44">
        <f t="shared" si="22"/>
        <v>0</v>
      </c>
      <c r="AE184" s="51">
        <f t="shared" si="23"/>
        <v>0</v>
      </c>
    </row>
    <row r="185" spans="1:31">
      <c r="A185" s="60" t="str">
        <f t="shared" si="17"/>
        <v/>
      </c>
      <c r="B185" s="60" t="str">
        <f t="shared" si="18"/>
        <v/>
      </c>
      <c r="V185" s="60" t="str">
        <f t="shared" si="19"/>
        <v/>
      </c>
      <c r="W185" s="60" t="str">
        <f t="shared" si="16"/>
        <v/>
      </c>
      <c r="X185" s="60" t="str">
        <f t="shared" si="20"/>
        <v/>
      </c>
      <c r="AC185" s="51">
        <f t="shared" si="21"/>
        <v>0</v>
      </c>
      <c r="AD185" s="44">
        <f t="shared" si="22"/>
        <v>0</v>
      </c>
      <c r="AE185" s="51">
        <f t="shared" si="23"/>
        <v>0</v>
      </c>
    </row>
    <row r="186" spans="1:31">
      <c r="A186" s="60" t="str">
        <f t="shared" si="17"/>
        <v/>
      </c>
      <c r="B186" s="60" t="str">
        <f t="shared" si="18"/>
        <v/>
      </c>
      <c r="V186" s="60" t="str">
        <f t="shared" si="19"/>
        <v/>
      </c>
      <c r="W186" s="60" t="str">
        <f t="shared" si="16"/>
        <v/>
      </c>
      <c r="X186" s="60" t="str">
        <f t="shared" si="20"/>
        <v/>
      </c>
      <c r="AC186" s="51">
        <f t="shared" si="21"/>
        <v>0</v>
      </c>
      <c r="AD186" s="44">
        <f t="shared" si="22"/>
        <v>0</v>
      </c>
      <c r="AE186" s="51">
        <f t="shared" si="23"/>
        <v>0</v>
      </c>
    </row>
    <row r="187" spans="1:31">
      <c r="A187" s="60" t="str">
        <f t="shared" si="17"/>
        <v/>
      </c>
      <c r="B187" s="60" t="str">
        <f t="shared" si="18"/>
        <v/>
      </c>
      <c r="V187" s="60" t="str">
        <f t="shared" si="19"/>
        <v/>
      </c>
      <c r="W187" s="60" t="str">
        <f t="shared" si="16"/>
        <v/>
      </c>
      <c r="X187" s="60" t="str">
        <f t="shared" si="20"/>
        <v/>
      </c>
      <c r="AC187" s="51">
        <f t="shared" si="21"/>
        <v>0</v>
      </c>
      <c r="AD187" s="44">
        <f t="shared" si="22"/>
        <v>0</v>
      </c>
      <c r="AE187" s="51">
        <f t="shared" si="23"/>
        <v>0</v>
      </c>
    </row>
    <row r="188" spans="1:31">
      <c r="A188" s="60" t="str">
        <f t="shared" si="17"/>
        <v/>
      </c>
      <c r="B188" s="60" t="str">
        <f t="shared" si="18"/>
        <v/>
      </c>
      <c r="V188" s="60" t="str">
        <f t="shared" si="19"/>
        <v/>
      </c>
      <c r="W188" s="60" t="str">
        <f t="shared" si="16"/>
        <v/>
      </c>
      <c r="X188" s="60" t="str">
        <f t="shared" si="20"/>
        <v/>
      </c>
      <c r="AC188" s="51">
        <f t="shared" si="21"/>
        <v>0</v>
      </c>
      <c r="AD188" s="44">
        <f t="shared" si="22"/>
        <v>0</v>
      </c>
      <c r="AE188" s="51">
        <f t="shared" si="23"/>
        <v>0</v>
      </c>
    </row>
    <row r="189" spans="1:31">
      <c r="A189" s="60" t="str">
        <f t="shared" si="17"/>
        <v/>
      </c>
      <c r="B189" s="60" t="str">
        <f t="shared" si="18"/>
        <v/>
      </c>
      <c r="V189" s="60" t="str">
        <f t="shared" si="19"/>
        <v/>
      </c>
      <c r="W189" s="60" t="str">
        <f t="shared" si="16"/>
        <v/>
      </c>
      <c r="X189" s="60" t="str">
        <f t="shared" si="20"/>
        <v/>
      </c>
      <c r="AC189" s="51">
        <f t="shared" si="21"/>
        <v>0</v>
      </c>
      <c r="AD189" s="44">
        <f t="shared" si="22"/>
        <v>0</v>
      </c>
      <c r="AE189" s="51">
        <f t="shared" si="23"/>
        <v>0</v>
      </c>
    </row>
    <row r="190" spans="1:31">
      <c r="A190" s="60" t="str">
        <f t="shared" si="17"/>
        <v/>
      </c>
      <c r="B190" s="60" t="str">
        <f t="shared" si="18"/>
        <v/>
      </c>
      <c r="V190" s="60" t="str">
        <f t="shared" si="19"/>
        <v/>
      </c>
      <c r="W190" s="60" t="str">
        <f t="shared" si="16"/>
        <v/>
      </c>
      <c r="X190" s="60" t="str">
        <f t="shared" si="20"/>
        <v/>
      </c>
      <c r="AC190" s="51">
        <f t="shared" si="21"/>
        <v>0</v>
      </c>
      <c r="AD190" s="44">
        <f t="shared" si="22"/>
        <v>0</v>
      </c>
      <c r="AE190" s="51">
        <f t="shared" si="23"/>
        <v>0</v>
      </c>
    </row>
    <row r="191" spans="1:31">
      <c r="A191" s="60" t="str">
        <f t="shared" si="17"/>
        <v/>
      </c>
      <c r="B191" s="60" t="str">
        <f t="shared" si="18"/>
        <v/>
      </c>
      <c r="V191" s="60" t="str">
        <f t="shared" si="19"/>
        <v/>
      </c>
      <c r="W191" s="60" t="str">
        <f t="shared" si="16"/>
        <v/>
      </c>
      <c r="X191" s="60" t="str">
        <f t="shared" si="20"/>
        <v/>
      </c>
      <c r="AC191" s="51">
        <f t="shared" si="21"/>
        <v>0</v>
      </c>
      <c r="AD191" s="44">
        <f t="shared" si="22"/>
        <v>0</v>
      </c>
      <c r="AE191" s="51">
        <f t="shared" si="23"/>
        <v>0</v>
      </c>
    </row>
    <row r="192" spans="1:31">
      <c r="A192" s="60" t="str">
        <f t="shared" si="17"/>
        <v/>
      </c>
      <c r="B192" s="60" t="str">
        <f t="shared" si="18"/>
        <v/>
      </c>
      <c r="V192" s="60" t="str">
        <f t="shared" si="19"/>
        <v/>
      </c>
      <c r="W192" s="60" t="str">
        <f t="shared" si="16"/>
        <v/>
      </c>
      <c r="X192" s="60" t="str">
        <f t="shared" si="20"/>
        <v/>
      </c>
      <c r="AC192" s="51">
        <f t="shared" si="21"/>
        <v>0</v>
      </c>
      <c r="AD192" s="44">
        <f t="shared" si="22"/>
        <v>0</v>
      </c>
      <c r="AE192" s="51">
        <f t="shared" si="23"/>
        <v>0</v>
      </c>
    </row>
    <row r="193" spans="1:31">
      <c r="A193" s="60" t="str">
        <f t="shared" si="17"/>
        <v/>
      </c>
      <c r="B193" s="60" t="str">
        <f t="shared" si="18"/>
        <v/>
      </c>
      <c r="V193" s="60" t="str">
        <f t="shared" si="19"/>
        <v/>
      </c>
      <c r="W193" s="60" t="str">
        <f t="shared" si="16"/>
        <v/>
      </c>
      <c r="X193" s="60" t="str">
        <f t="shared" si="20"/>
        <v/>
      </c>
      <c r="AC193" s="51">
        <f t="shared" si="21"/>
        <v>0</v>
      </c>
      <c r="AD193" s="44">
        <f t="shared" si="22"/>
        <v>0</v>
      </c>
      <c r="AE193" s="51">
        <f t="shared" si="23"/>
        <v>0</v>
      </c>
    </row>
    <row r="194" spans="1:31">
      <c r="A194" s="60" t="str">
        <f t="shared" si="17"/>
        <v/>
      </c>
      <c r="B194" s="60" t="str">
        <f t="shared" si="18"/>
        <v/>
      </c>
      <c r="V194" s="60" t="str">
        <f t="shared" si="19"/>
        <v/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60" t="str">
        <f t="shared" si="20"/>
        <v/>
      </c>
      <c r="AC194" s="51">
        <f t="shared" si="21"/>
        <v>0</v>
      </c>
      <c r="AD194" s="44">
        <f t="shared" si="22"/>
        <v>0</v>
      </c>
      <c r="AE194" s="51">
        <f t="shared" si="23"/>
        <v>0</v>
      </c>
    </row>
    <row r="195" spans="1:31">
      <c r="A195" s="60" t="str">
        <f t="shared" ref="A195:A258" si="25">IF(G195&amp;Q195&lt;&gt;"",W195&amp;Q195,"")</f>
        <v/>
      </c>
      <c r="B195" s="60" t="str">
        <f t="shared" ref="B195:B258" si="26">IF(C195&lt;&gt;"",LEFT(C195,9),"")</f>
        <v/>
      </c>
      <c r="V195" s="60" t="str">
        <f t="shared" ref="V195:V258" si="27">W195&amp;H195</f>
        <v/>
      </c>
      <c r="W195" s="60" t="str">
        <f t="shared" si="24"/>
        <v/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0</v>
      </c>
      <c r="AD195" s="44">
        <f t="shared" ref="AD195:AD258" si="30">IFERROR(VALUE(MID($C195,4,3)),0)</f>
        <v>0</v>
      </c>
      <c r="AE195" s="51">
        <f t="shared" ref="AE195:AE258" si="31">VALUE(RIGHT("00"&amp;AC195,2)&amp;RIGHT("000"&amp;AD195,3))</f>
        <v>0</v>
      </c>
    </row>
    <row r="196" spans="1:31">
      <c r="A196" s="60" t="str">
        <f t="shared" si="25"/>
        <v/>
      </c>
      <c r="B196" s="60" t="str">
        <f t="shared" si="26"/>
        <v/>
      </c>
      <c r="V196" s="60" t="str">
        <f t="shared" si="27"/>
        <v/>
      </c>
      <c r="W196" s="60" t="str">
        <f t="shared" si="24"/>
        <v/>
      </c>
      <c r="X196" s="60" t="str">
        <f t="shared" si="28"/>
        <v/>
      </c>
      <c r="AC196" s="51">
        <f t="shared" si="29"/>
        <v>0</v>
      </c>
      <c r="AD196" s="44">
        <f t="shared" si="30"/>
        <v>0</v>
      </c>
      <c r="AE196" s="51">
        <f t="shared" si="31"/>
        <v>0</v>
      </c>
    </row>
    <row r="197" spans="1:31">
      <c r="A197" s="60" t="str">
        <f t="shared" si="25"/>
        <v/>
      </c>
      <c r="B197" s="60" t="str">
        <f t="shared" si="26"/>
        <v/>
      </c>
      <c r="V197" s="60" t="str">
        <f t="shared" si="27"/>
        <v/>
      </c>
      <c r="W197" s="60" t="str">
        <f t="shared" si="24"/>
        <v/>
      </c>
      <c r="X197" s="60" t="str">
        <f t="shared" si="28"/>
        <v/>
      </c>
      <c r="AC197" s="51">
        <f t="shared" si="29"/>
        <v>0</v>
      </c>
      <c r="AD197" s="44">
        <f t="shared" si="30"/>
        <v>0</v>
      </c>
      <c r="AE197" s="51">
        <f t="shared" si="31"/>
        <v>0</v>
      </c>
    </row>
    <row r="198" spans="1:31">
      <c r="A198" s="60" t="str">
        <f t="shared" si="25"/>
        <v/>
      </c>
      <c r="B198" s="60" t="str">
        <f t="shared" si="26"/>
        <v/>
      </c>
      <c r="V198" s="60" t="str">
        <f t="shared" si="27"/>
        <v/>
      </c>
      <c r="W198" s="60" t="str">
        <f t="shared" si="24"/>
        <v/>
      </c>
      <c r="X198" s="60" t="str">
        <f t="shared" si="28"/>
        <v/>
      </c>
      <c r="AC198" s="51">
        <f t="shared" si="29"/>
        <v>0</v>
      </c>
      <c r="AD198" s="44">
        <f t="shared" si="30"/>
        <v>0</v>
      </c>
      <c r="AE198" s="51">
        <f t="shared" si="31"/>
        <v>0</v>
      </c>
    </row>
    <row r="199" spans="1:31">
      <c r="A199" s="60" t="str">
        <f t="shared" si="25"/>
        <v/>
      </c>
      <c r="B199" s="60" t="str">
        <f t="shared" si="26"/>
        <v/>
      </c>
      <c r="V199" s="60" t="str">
        <f t="shared" si="27"/>
        <v/>
      </c>
      <c r="W199" s="60" t="str">
        <f t="shared" si="24"/>
        <v/>
      </c>
      <c r="X199" s="60" t="str">
        <f t="shared" si="28"/>
        <v/>
      </c>
      <c r="AC199" s="51">
        <f t="shared" si="29"/>
        <v>0</v>
      </c>
      <c r="AD199" s="44">
        <f t="shared" si="30"/>
        <v>0</v>
      </c>
      <c r="AE199" s="51">
        <f t="shared" si="31"/>
        <v>0</v>
      </c>
    </row>
    <row r="200" spans="1:31">
      <c r="A200" s="60" t="str">
        <f t="shared" si="25"/>
        <v/>
      </c>
      <c r="B200" s="60" t="str">
        <f t="shared" si="26"/>
        <v/>
      </c>
      <c r="V200" s="60" t="str">
        <f t="shared" si="27"/>
        <v/>
      </c>
      <c r="W200" s="60" t="str">
        <f t="shared" si="24"/>
        <v/>
      </c>
      <c r="X200" s="60" t="str">
        <f t="shared" si="28"/>
        <v/>
      </c>
      <c r="AC200" s="51">
        <f t="shared" si="29"/>
        <v>0</v>
      </c>
      <c r="AD200" s="44">
        <f t="shared" si="30"/>
        <v>0</v>
      </c>
      <c r="AE200" s="51">
        <f t="shared" si="31"/>
        <v>0</v>
      </c>
    </row>
    <row r="201" spans="1:31">
      <c r="A201" s="60" t="str">
        <f t="shared" si="25"/>
        <v/>
      </c>
      <c r="B201" s="60" t="str">
        <f t="shared" si="26"/>
        <v/>
      </c>
      <c r="V201" s="60" t="str">
        <f t="shared" si="27"/>
        <v/>
      </c>
      <c r="W201" s="60" t="str">
        <f t="shared" si="24"/>
        <v/>
      </c>
      <c r="X201" s="60" t="str">
        <f t="shared" si="28"/>
        <v/>
      </c>
      <c r="AC201" s="51">
        <f t="shared" si="29"/>
        <v>0</v>
      </c>
      <c r="AD201" s="44">
        <f t="shared" si="30"/>
        <v>0</v>
      </c>
      <c r="AE201" s="51">
        <f t="shared" si="31"/>
        <v>0</v>
      </c>
    </row>
    <row r="202" spans="1:31">
      <c r="A202" s="60" t="str">
        <f t="shared" si="25"/>
        <v/>
      </c>
      <c r="B202" s="60" t="str">
        <f t="shared" si="26"/>
        <v/>
      </c>
      <c r="V202" s="60" t="str">
        <f t="shared" si="27"/>
        <v/>
      </c>
      <c r="W202" s="60" t="str">
        <f t="shared" si="24"/>
        <v/>
      </c>
      <c r="X202" s="60" t="str">
        <f t="shared" si="28"/>
        <v/>
      </c>
      <c r="AC202" s="51">
        <f t="shared" si="29"/>
        <v>0</v>
      </c>
      <c r="AD202" s="44">
        <f t="shared" si="30"/>
        <v>0</v>
      </c>
      <c r="AE202" s="51">
        <f t="shared" si="31"/>
        <v>0</v>
      </c>
    </row>
    <row r="203" spans="1:31">
      <c r="A203" s="60" t="str">
        <f t="shared" si="25"/>
        <v/>
      </c>
      <c r="B203" s="60" t="str">
        <f t="shared" si="26"/>
        <v/>
      </c>
      <c r="V203" s="60" t="str">
        <f t="shared" si="27"/>
        <v/>
      </c>
      <c r="W203" s="60" t="str">
        <f t="shared" si="24"/>
        <v/>
      </c>
      <c r="X203" s="60" t="str">
        <f t="shared" si="28"/>
        <v/>
      </c>
      <c r="AC203" s="51">
        <f t="shared" si="29"/>
        <v>0</v>
      </c>
      <c r="AD203" s="44">
        <f t="shared" si="30"/>
        <v>0</v>
      </c>
      <c r="AE203" s="51">
        <f t="shared" si="31"/>
        <v>0</v>
      </c>
    </row>
    <row r="204" spans="1:31">
      <c r="A204" s="60" t="str">
        <f t="shared" si="25"/>
        <v/>
      </c>
      <c r="B204" s="60" t="str">
        <f t="shared" si="26"/>
        <v/>
      </c>
      <c r="V204" s="60" t="str">
        <f t="shared" si="27"/>
        <v/>
      </c>
      <c r="W204" s="60" t="str">
        <f t="shared" si="24"/>
        <v/>
      </c>
      <c r="X204" s="60" t="str">
        <f t="shared" si="28"/>
        <v/>
      </c>
      <c r="AC204" s="51">
        <f t="shared" si="29"/>
        <v>0</v>
      </c>
      <c r="AD204" s="44">
        <f t="shared" si="30"/>
        <v>0</v>
      </c>
      <c r="AE204" s="51">
        <f t="shared" si="31"/>
        <v>0</v>
      </c>
    </row>
    <row r="205" spans="1:31">
      <c r="A205" s="60" t="str">
        <f t="shared" si="25"/>
        <v/>
      </c>
      <c r="B205" s="60" t="str">
        <f t="shared" si="26"/>
        <v/>
      </c>
      <c r="V205" s="60" t="str">
        <f t="shared" si="27"/>
        <v/>
      </c>
      <c r="W205" s="60" t="str">
        <f t="shared" si="24"/>
        <v/>
      </c>
      <c r="X205" s="60" t="str">
        <f t="shared" si="28"/>
        <v/>
      </c>
      <c r="AC205" s="51">
        <f t="shared" si="29"/>
        <v>0</v>
      </c>
      <c r="AD205" s="44">
        <f t="shared" si="30"/>
        <v>0</v>
      </c>
      <c r="AE205" s="51">
        <f t="shared" si="31"/>
        <v>0</v>
      </c>
    </row>
    <row r="206" spans="1:31">
      <c r="A206" s="60" t="str">
        <f t="shared" si="25"/>
        <v/>
      </c>
      <c r="B206" s="60" t="str">
        <f t="shared" si="26"/>
        <v/>
      </c>
      <c r="V206" s="60" t="str">
        <f t="shared" si="27"/>
        <v/>
      </c>
      <c r="W206" s="60" t="str">
        <f t="shared" si="24"/>
        <v/>
      </c>
      <c r="X206" s="60" t="str">
        <f t="shared" si="28"/>
        <v/>
      </c>
      <c r="AC206" s="51">
        <f t="shared" si="29"/>
        <v>0</v>
      </c>
      <c r="AD206" s="44">
        <f t="shared" si="30"/>
        <v>0</v>
      </c>
      <c r="AE206" s="51">
        <f t="shared" si="31"/>
        <v>0</v>
      </c>
    </row>
    <row r="207" spans="1:31">
      <c r="A207" s="60" t="str">
        <f t="shared" si="25"/>
        <v/>
      </c>
      <c r="B207" s="60" t="str">
        <f t="shared" si="26"/>
        <v/>
      </c>
      <c r="V207" s="60" t="str">
        <f t="shared" si="27"/>
        <v/>
      </c>
      <c r="W207" s="60" t="str">
        <f t="shared" si="24"/>
        <v/>
      </c>
      <c r="X207" s="60" t="str">
        <f t="shared" si="28"/>
        <v/>
      </c>
      <c r="AC207" s="51">
        <f t="shared" si="29"/>
        <v>0</v>
      </c>
      <c r="AD207" s="44">
        <f t="shared" si="30"/>
        <v>0</v>
      </c>
      <c r="AE207" s="51">
        <f t="shared" si="31"/>
        <v>0</v>
      </c>
    </row>
    <row r="208" spans="1:31">
      <c r="A208" s="60" t="str">
        <f t="shared" si="25"/>
        <v/>
      </c>
      <c r="B208" s="60" t="str">
        <f t="shared" si="26"/>
        <v/>
      </c>
      <c r="V208" s="60" t="str">
        <f t="shared" si="27"/>
        <v/>
      </c>
      <c r="W208" s="60" t="str">
        <f t="shared" si="24"/>
        <v/>
      </c>
      <c r="X208" s="60" t="str">
        <f t="shared" si="28"/>
        <v/>
      </c>
      <c r="AC208" s="51">
        <f t="shared" si="29"/>
        <v>0</v>
      </c>
      <c r="AD208" s="44">
        <f t="shared" si="30"/>
        <v>0</v>
      </c>
      <c r="AE208" s="51">
        <f t="shared" si="31"/>
        <v>0</v>
      </c>
    </row>
    <row r="209" spans="1:31">
      <c r="A209" s="60" t="str">
        <f t="shared" si="25"/>
        <v/>
      </c>
      <c r="B209" s="60" t="str">
        <f t="shared" si="26"/>
        <v/>
      </c>
      <c r="V209" s="60" t="str">
        <f t="shared" si="27"/>
        <v/>
      </c>
      <c r="W209" s="60" t="str">
        <f t="shared" si="24"/>
        <v/>
      </c>
      <c r="X209" s="60" t="str">
        <f t="shared" si="28"/>
        <v/>
      </c>
      <c r="AC209" s="51">
        <f t="shared" si="29"/>
        <v>0</v>
      </c>
      <c r="AD209" s="44">
        <f t="shared" si="30"/>
        <v>0</v>
      </c>
      <c r="AE209" s="51">
        <f t="shared" si="31"/>
        <v>0</v>
      </c>
    </row>
    <row r="210" spans="1:31">
      <c r="A210" s="60" t="str">
        <f t="shared" si="25"/>
        <v/>
      </c>
      <c r="B210" s="60" t="str">
        <f t="shared" si="26"/>
        <v/>
      </c>
      <c r="V210" s="60" t="str">
        <f t="shared" si="27"/>
        <v/>
      </c>
      <c r="W210" s="60" t="str">
        <f t="shared" si="24"/>
        <v/>
      </c>
      <c r="X210" s="60" t="str">
        <f t="shared" si="28"/>
        <v/>
      </c>
      <c r="AC210" s="51">
        <f t="shared" si="29"/>
        <v>0</v>
      </c>
      <c r="AD210" s="44">
        <f t="shared" si="30"/>
        <v>0</v>
      </c>
      <c r="AE210" s="51">
        <f t="shared" si="31"/>
        <v>0</v>
      </c>
    </row>
    <row r="211" spans="1:31">
      <c r="A211" s="60" t="str">
        <f t="shared" si="25"/>
        <v/>
      </c>
      <c r="B211" s="60" t="str">
        <f t="shared" si="26"/>
        <v/>
      </c>
      <c r="V211" s="60" t="str">
        <f t="shared" si="27"/>
        <v/>
      </c>
      <c r="W211" s="60" t="str">
        <f t="shared" si="24"/>
        <v/>
      </c>
      <c r="X211" s="60" t="str">
        <f t="shared" si="28"/>
        <v/>
      </c>
      <c r="AC211" s="51">
        <f t="shared" si="29"/>
        <v>0</v>
      </c>
      <c r="AD211" s="44">
        <f t="shared" si="30"/>
        <v>0</v>
      </c>
      <c r="AE211" s="51">
        <f t="shared" si="31"/>
        <v>0</v>
      </c>
    </row>
    <row r="212" spans="1:31">
      <c r="A212" s="60" t="str">
        <f t="shared" si="25"/>
        <v/>
      </c>
      <c r="B212" s="60" t="str">
        <f t="shared" si="26"/>
        <v/>
      </c>
      <c r="V212" s="60" t="str">
        <f t="shared" si="27"/>
        <v/>
      </c>
      <c r="W212" s="60" t="str">
        <f t="shared" si="24"/>
        <v/>
      </c>
      <c r="X212" s="60" t="str">
        <f t="shared" si="28"/>
        <v/>
      </c>
      <c r="AC212" s="51">
        <f t="shared" si="29"/>
        <v>0</v>
      </c>
      <c r="AD212" s="44">
        <f t="shared" si="30"/>
        <v>0</v>
      </c>
      <c r="AE212" s="51">
        <f t="shared" si="31"/>
        <v>0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268"/>
  <sheetViews>
    <sheetView workbookViewId="0">
      <selection activeCell="G27" sqref="G27"/>
    </sheetView>
  </sheetViews>
  <sheetFormatPr defaultRowHeight="15"/>
  <sheetData>
    <row r="1" spans="1:19">
      <c r="A1" s="141" t="s">
        <v>366</v>
      </c>
      <c r="B1" s="141" t="s">
        <v>367</v>
      </c>
      <c r="C1" s="141" t="s">
        <v>368</v>
      </c>
      <c r="D1" s="141" t="s">
        <v>369</v>
      </c>
      <c r="E1" s="141" t="s">
        <v>370</v>
      </c>
      <c r="F1" s="141" t="s">
        <v>371</v>
      </c>
      <c r="G1" s="141" t="s">
        <v>372</v>
      </c>
      <c r="H1" s="141" t="s">
        <v>373</v>
      </c>
      <c r="I1" s="141" t="s">
        <v>374</v>
      </c>
      <c r="J1" s="141" t="s">
        <v>375</v>
      </c>
      <c r="K1" s="141" t="s">
        <v>840</v>
      </c>
      <c r="L1" s="141" t="s">
        <v>841</v>
      </c>
      <c r="M1" s="141" t="s">
        <v>842</v>
      </c>
      <c r="N1" s="141" t="s">
        <v>376</v>
      </c>
      <c r="O1" s="141" t="s">
        <v>377</v>
      </c>
      <c r="P1" s="141" t="s">
        <v>378</v>
      </c>
      <c r="Q1" s="141" t="s">
        <v>379</v>
      </c>
      <c r="R1" s="141" t="s">
        <v>380</v>
      </c>
      <c r="S1" s="141" t="s">
        <v>381</v>
      </c>
    </row>
    <row r="2" spans="1:19">
      <c r="A2" s="142" t="s">
        <v>908</v>
      </c>
      <c r="B2" s="142" t="s">
        <v>909</v>
      </c>
      <c r="C2" s="142" t="s">
        <v>910</v>
      </c>
      <c r="D2" s="143">
        <v>0</v>
      </c>
      <c r="E2" s="142" t="s">
        <v>911</v>
      </c>
      <c r="F2" s="142" t="s">
        <v>277</v>
      </c>
      <c r="G2" s="142" t="s">
        <v>912</v>
      </c>
      <c r="H2" s="142" t="s">
        <v>327</v>
      </c>
      <c r="I2" s="142" t="s">
        <v>382</v>
      </c>
      <c r="J2" s="142" t="s">
        <v>913</v>
      </c>
      <c r="K2" s="142" t="s">
        <v>914</v>
      </c>
      <c r="L2" s="142" t="s">
        <v>915</v>
      </c>
      <c r="M2" s="142" t="s">
        <v>916</v>
      </c>
      <c r="N2" s="142" t="s">
        <v>388</v>
      </c>
      <c r="O2" s="142" t="s">
        <v>43</v>
      </c>
      <c r="P2" s="142" t="s">
        <v>386</v>
      </c>
      <c r="Q2" s="142" t="s">
        <v>917</v>
      </c>
      <c r="R2" s="142" t="s">
        <v>918</v>
      </c>
      <c r="S2" s="142" t="s">
        <v>83</v>
      </c>
    </row>
    <row r="3" spans="1:19">
      <c r="A3" s="142" t="s">
        <v>919</v>
      </c>
      <c r="B3" s="142" t="s">
        <v>920</v>
      </c>
      <c r="C3" s="142" t="s">
        <v>910</v>
      </c>
      <c r="D3" s="143">
        <v>0</v>
      </c>
      <c r="E3" s="142" t="s">
        <v>911</v>
      </c>
      <c r="F3" s="142" t="s">
        <v>121</v>
      </c>
      <c r="G3" s="142" t="s">
        <v>912</v>
      </c>
      <c r="H3" s="142" t="s">
        <v>327</v>
      </c>
      <c r="I3" s="142" t="s">
        <v>382</v>
      </c>
      <c r="J3" s="142" t="s">
        <v>913</v>
      </c>
      <c r="K3" s="142" t="s">
        <v>914</v>
      </c>
      <c r="L3" s="142" t="s">
        <v>915</v>
      </c>
      <c r="M3" s="142" t="s">
        <v>916</v>
      </c>
      <c r="N3" s="142" t="s">
        <v>388</v>
      </c>
      <c r="O3" s="142" t="s">
        <v>43</v>
      </c>
      <c r="P3" s="142" t="s">
        <v>386</v>
      </c>
      <c r="Q3" s="142" t="s">
        <v>917</v>
      </c>
      <c r="R3" s="142" t="s">
        <v>921</v>
      </c>
      <c r="S3" s="142" t="s">
        <v>121</v>
      </c>
    </row>
    <row r="4" spans="1:19">
      <c r="A4" s="142" t="s">
        <v>922</v>
      </c>
      <c r="B4" s="142" t="s">
        <v>923</v>
      </c>
      <c r="C4" s="142" t="s">
        <v>910</v>
      </c>
      <c r="D4" s="143">
        <v>0</v>
      </c>
      <c r="E4" s="142" t="s">
        <v>911</v>
      </c>
      <c r="F4" s="142" t="s">
        <v>91</v>
      </c>
      <c r="G4" s="142" t="s">
        <v>912</v>
      </c>
      <c r="H4" s="142" t="s">
        <v>327</v>
      </c>
      <c r="I4" s="142" t="s">
        <v>382</v>
      </c>
      <c r="J4" s="142" t="s">
        <v>913</v>
      </c>
      <c r="K4" s="142" t="s">
        <v>914</v>
      </c>
      <c r="L4" s="142" t="s">
        <v>915</v>
      </c>
      <c r="M4" s="142" t="s">
        <v>916</v>
      </c>
      <c r="N4" s="142" t="s">
        <v>388</v>
      </c>
      <c r="O4" s="142" t="s">
        <v>43</v>
      </c>
      <c r="P4" s="142" t="s">
        <v>386</v>
      </c>
      <c r="Q4" s="142" t="s">
        <v>917</v>
      </c>
      <c r="R4" s="142" t="s">
        <v>924</v>
      </c>
      <c r="S4" s="142" t="s">
        <v>91</v>
      </c>
    </row>
    <row r="5" spans="1:19">
      <c r="A5" s="142" t="s">
        <v>925</v>
      </c>
      <c r="B5" s="142" t="s">
        <v>926</v>
      </c>
      <c r="C5" s="142" t="s">
        <v>910</v>
      </c>
      <c r="D5" s="143">
        <v>0</v>
      </c>
      <c r="E5" s="142" t="s">
        <v>911</v>
      </c>
      <c r="F5" s="142" t="s">
        <v>195</v>
      </c>
      <c r="G5" s="142" t="s">
        <v>912</v>
      </c>
      <c r="H5" s="142" t="s">
        <v>327</v>
      </c>
      <c r="I5" s="142" t="s">
        <v>382</v>
      </c>
      <c r="J5" s="142" t="s">
        <v>913</v>
      </c>
      <c r="K5" s="142" t="s">
        <v>914</v>
      </c>
      <c r="L5" s="142" t="s">
        <v>915</v>
      </c>
      <c r="M5" s="142" t="s">
        <v>916</v>
      </c>
      <c r="N5" s="142" t="s">
        <v>388</v>
      </c>
      <c r="O5" s="142" t="s">
        <v>43</v>
      </c>
      <c r="P5" s="142" t="s">
        <v>386</v>
      </c>
      <c r="Q5" s="142" t="s">
        <v>917</v>
      </c>
      <c r="R5" s="142" t="s">
        <v>927</v>
      </c>
      <c r="S5" s="142" t="s">
        <v>195</v>
      </c>
    </row>
    <row r="6" spans="1:19">
      <c r="A6" s="142" t="s">
        <v>928</v>
      </c>
      <c r="B6" s="142" t="s">
        <v>929</v>
      </c>
      <c r="C6" s="142" t="s">
        <v>910</v>
      </c>
      <c r="D6" s="143">
        <v>0</v>
      </c>
      <c r="E6" s="142" t="s">
        <v>911</v>
      </c>
      <c r="F6" s="142" t="s">
        <v>187</v>
      </c>
      <c r="G6" s="142" t="s">
        <v>912</v>
      </c>
      <c r="H6" s="142" t="s">
        <v>327</v>
      </c>
      <c r="I6" s="142" t="s">
        <v>382</v>
      </c>
      <c r="J6" s="142" t="s">
        <v>913</v>
      </c>
      <c r="K6" s="142" t="s">
        <v>914</v>
      </c>
      <c r="L6" s="142" t="s">
        <v>915</v>
      </c>
      <c r="M6" s="142" t="s">
        <v>916</v>
      </c>
      <c r="N6" s="142" t="s">
        <v>388</v>
      </c>
      <c r="O6" s="142" t="s">
        <v>43</v>
      </c>
      <c r="P6" s="142" t="s">
        <v>386</v>
      </c>
      <c r="Q6" s="142" t="s">
        <v>917</v>
      </c>
      <c r="R6" s="142" t="s">
        <v>930</v>
      </c>
      <c r="S6" s="142" t="s">
        <v>63</v>
      </c>
    </row>
    <row r="7" spans="1:19">
      <c r="A7" s="142" t="s">
        <v>931</v>
      </c>
      <c r="B7" s="142" t="s">
        <v>932</v>
      </c>
      <c r="C7" s="142" t="s">
        <v>910</v>
      </c>
      <c r="D7" s="143">
        <v>0</v>
      </c>
      <c r="E7" s="142" t="s">
        <v>933</v>
      </c>
      <c r="F7" s="142" t="s">
        <v>121</v>
      </c>
      <c r="G7" s="142" t="s">
        <v>912</v>
      </c>
      <c r="H7" s="142" t="s">
        <v>327</v>
      </c>
      <c r="I7" s="142" t="s">
        <v>382</v>
      </c>
      <c r="J7" s="142" t="s">
        <v>913</v>
      </c>
      <c r="K7" s="142" t="s">
        <v>914</v>
      </c>
      <c r="L7" s="142" t="s">
        <v>934</v>
      </c>
      <c r="M7" s="142" t="s">
        <v>916</v>
      </c>
      <c r="N7" s="142" t="s">
        <v>388</v>
      </c>
      <c r="O7" s="142" t="s">
        <v>43</v>
      </c>
      <c r="P7" s="142" t="s">
        <v>386</v>
      </c>
      <c r="Q7" s="142" t="s">
        <v>917</v>
      </c>
      <c r="R7" s="142" t="s">
        <v>921</v>
      </c>
      <c r="S7" s="142" t="s">
        <v>121</v>
      </c>
    </row>
    <row r="8" spans="1:19">
      <c r="A8" s="142" t="s">
        <v>935</v>
      </c>
      <c r="B8" s="142" t="s">
        <v>936</v>
      </c>
      <c r="C8" s="142" t="s">
        <v>910</v>
      </c>
      <c r="D8" s="143">
        <v>0</v>
      </c>
      <c r="E8" s="142" t="s">
        <v>933</v>
      </c>
      <c r="F8" s="142" t="s">
        <v>91</v>
      </c>
      <c r="G8" s="142" t="s">
        <v>912</v>
      </c>
      <c r="H8" s="142" t="s">
        <v>327</v>
      </c>
      <c r="I8" s="142" t="s">
        <v>382</v>
      </c>
      <c r="J8" s="142" t="s">
        <v>913</v>
      </c>
      <c r="K8" s="142" t="s">
        <v>914</v>
      </c>
      <c r="L8" s="142" t="s">
        <v>934</v>
      </c>
      <c r="M8" s="142" t="s">
        <v>916</v>
      </c>
      <c r="N8" s="142" t="s">
        <v>388</v>
      </c>
      <c r="O8" s="142" t="s">
        <v>43</v>
      </c>
      <c r="P8" s="142" t="s">
        <v>386</v>
      </c>
      <c r="Q8" s="142" t="s">
        <v>917</v>
      </c>
      <c r="R8" s="142" t="s">
        <v>924</v>
      </c>
      <c r="S8" s="142" t="s">
        <v>91</v>
      </c>
    </row>
    <row r="9" spans="1:19">
      <c r="A9" s="142" t="s">
        <v>937</v>
      </c>
      <c r="B9" s="142" t="s">
        <v>938</v>
      </c>
      <c r="C9" s="142" t="s">
        <v>910</v>
      </c>
      <c r="D9" s="143">
        <v>0</v>
      </c>
      <c r="E9" s="142" t="s">
        <v>933</v>
      </c>
      <c r="F9" s="142" t="s">
        <v>195</v>
      </c>
      <c r="G9" s="142" t="s">
        <v>912</v>
      </c>
      <c r="H9" s="142" t="s">
        <v>327</v>
      </c>
      <c r="I9" s="142" t="s">
        <v>382</v>
      </c>
      <c r="J9" s="142" t="s">
        <v>913</v>
      </c>
      <c r="K9" s="142" t="s">
        <v>914</v>
      </c>
      <c r="L9" s="142" t="s">
        <v>934</v>
      </c>
      <c r="M9" s="142" t="s">
        <v>916</v>
      </c>
      <c r="N9" s="142" t="s">
        <v>388</v>
      </c>
      <c r="O9" s="142" t="s">
        <v>43</v>
      </c>
      <c r="P9" s="142" t="s">
        <v>386</v>
      </c>
      <c r="Q9" s="142" t="s">
        <v>917</v>
      </c>
      <c r="R9" s="142" t="s">
        <v>927</v>
      </c>
      <c r="S9" s="142" t="s">
        <v>195</v>
      </c>
    </row>
    <row r="10" spans="1:19">
      <c r="A10" s="142" t="s">
        <v>939</v>
      </c>
      <c r="B10" s="142" t="s">
        <v>940</v>
      </c>
      <c r="C10" s="142" t="s">
        <v>910</v>
      </c>
      <c r="D10" s="143">
        <v>0</v>
      </c>
      <c r="E10" s="142" t="s">
        <v>941</v>
      </c>
      <c r="F10" s="142" t="s">
        <v>83</v>
      </c>
      <c r="G10" s="142" t="s">
        <v>912</v>
      </c>
      <c r="H10" s="142" t="s">
        <v>327</v>
      </c>
      <c r="I10" s="142" t="s">
        <v>382</v>
      </c>
      <c r="J10" s="142" t="s">
        <v>913</v>
      </c>
      <c r="K10" s="142" t="s">
        <v>914</v>
      </c>
      <c r="L10" s="142" t="s">
        <v>934</v>
      </c>
      <c r="M10" s="142" t="s">
        <v>942</v>
      </c>
      <c r="N10" s="142" t="s">
        <v>388</v>
      </c>
      <c r="O10" s="142" t="s">
        <v>43</v>
      </c>
      <c r="P10" s="142" t="s">
        <v>386</v>
      </c>
      <c r="Q10" s="142" t="s">
        <v>917</v>
      </c>
      <c r="R10" s="142" t="s">
        <v>943</v>
      </c>
      <c r="S10" s="142" t="s">
        <v>83</v>
      </c>
    </row>
    <row r="11" spans="1:19">
      <c r="A11" s="142" t="s">
        <v>944</v>
      </c>
      <c r="B11" s="142" t="s">
        <v>945</v>
      </c>
      <c r="C11" s="142" t="s">
        <v>910</v>
      </c>
      <c r="D11" s="143">
        <v>0</v>
      </c>
      <c r="E11" s="142" t="s">
        <v>946</v>
      </c>
      <c r="F11" s="142" t="s">
        <v>53</v>
      </c>
      <c r="G11" s="142" t="s">
        <v>912</v>
      </c>
      <c r="H11" s="142" t="s">
        <v>356</v>
      </c>
      <c r="I11" s="142" t="s">
        <v>382</v>
      </c>
      <c r="J11" s="142" t="s">
        <v>913</v>
      </c>
      <c r="K11" s="142" t="s">
        <v>914</v>
      </c>
      <c r="L11" s="142" t="s">
        <v>915</v>
      </c>
      <c r="M11" s="142" t="s">
        <v>916</v>
      </c>
      <c r="N11" s="142" t="s">
        <v>388</v>
      </c>
      <c r="O11" s="142" t="s">
        <v>43</v>
      </c>
      <c r="P11" s="142" t="s">
        <v>386</v>
      </c>
      <c r="Q11" s="142" t="s">
        <v>917</v>
      </c>
      <c r="R11" s="142" t="s">
        <v>947</v>
      </c>
      <c r="S11" s="142" t="s">
        <v>53</v>
      </c>
    </row>
    <row r="12" spans="1:19">
      <c r="A12" s="142" t="s">
        <v>948</v>
      </c>
      <c r="B12" s="142" t="s">
        <v>949</v>
      </c>
      <c r="C12" s="142" t="s">
        <v>910</v>
      </c>
      <c r="D12" s="143">
        <v>0</v>
      </c>
      <c r="E12" s="142" t="s">
        <v>950</v>
      </c>
      <c r="F12" s="142" t="s">
        <v>121</v>
      </c>
      <c r="G12" s="142" t="s">
        <v>912</v>
      </c>
      <c r="H12" s="142" t="s">
        <v>356</v>
      </c>
      <c r="I12" s="142" t="s">
        <v>382</v>
      </c>
      <c r="J12" s="142" t="s">
        <v>913</v>
      </c>
      <c r="K12" s="142" t="s">
        <v>914</v>
      </c>
      <c r="L12" s="142" t="s">
        <v>934</v>
      </c>
      <c r="M12" s="142" t="s">
        <v>916</v>
      </c>
      <c r="N12" s="142" t="s">
        <v>388</v>
      </c>
      <c r="O12" s="142" t="s">
        <v>43</v>
      </c>
      <c r="P12" s="142" t="s">
        <v>386</v>
      </c>
      <c r="Q12" s="142" t="s">
        <v>917</v>
      </c>
      <c r="R12" s="142" t="s">
        <v>921</v>
      </c>
      <c r="S12" s="142" t="s">
        <v>121</v>
      </c>
    </row>
    <row r="13" spans="1:19">
      <c r="A13" s="142" t="s">
        <v>951</v>
      </c>
      <c r="B13" s="142" t="s">
        <v>952</v>
      </c>
      <c r="C13" s="142" t="s">
        <v>910</v>
      </c>
      <c r="D13" s="143">
        <v>0</v>
      </c>
      <c r="E13" s="142" t="s">
        <v>953</v>
      </c>
      <c r="F13" s="142" t="s">
        <v>158</v>
      </c>
      <c r="G13" s="142" t="s">
        <v>912</v>
      </c>
      <c r="H13" s="142" t="s">
        <v>327</v>
      </c>
      <c r="I13" s="142" t="s">
        <v>382</v>
      </c>
      <c r="J13" s="142" t="s">
        <v>913</v>
      </c>
      <c r="K13" s="142" t="s">
        <v>914</v>
      </c>
      <c r="L13" s="142" t="s">
        <v>915</v>
      </c>
      <c r="M13" s="142" t="s">
        <v>942</v>
      </c>
      <c r="N13" s="142" t="s">
        <v>388</v>
      </c>
      <c r="O13" s="142" t="s">
        <v>43</v>
      </c>
      <c r="P13" s="142" t="s">
        <v>386</v>
      </c>
      <c r="Q13" s="142" t="s">
        <v>917</v>
      </c>
      <c r="R13" s="142" t="s">
        <v>954</v>
      </c>
      <c r="S13" s="142" t="s">
        <v>195</v>
      </c>
    </row>
    <row r="14" spans="1:19">
      <c r="A14" s="142" t="s">
        <v>955</v>
      </c>
      <c r="B14" s="142" t="s">
        <v>956</v>
      </c>
      <c r="C14" s="142" t="s">
        <v>910</v>
      </c>
      <c r="D14" s="143">
        <v>0</v>
      </c>
      <c r="E14" s="142" t="s">
        <v>957</v>
      </c>
      <c r="F14" s="142" t="s">
        <v>158</v>
      </c>
      <c r="G14" s="142" t="s">
        <v>912</v>
      </c>
      <c r="H14" s="142" t="s">
        <v>356</v>
      </c>
      <c r="I14" s="142" t="s">
        <v>382</v>
      </c>
      <c r="J14" s="142" t="s">
        <v>913</v>
      </c>
      <c r="K14" s="142" t="s">
        <v>914</v>
      </c>
      <c r="L14" s="142" t="s">
        <v>934</v>
      </c>
      <c r="M14" s="142" t="s">
        <v>916</v>
      </c>
      <c r="N14" s="142" t="s">
        <v>388</v>
      </c>
      <c r="O14" s="142" t="s">
        <v>43</v>
      </c>
      <c r="P14" s="142" t="s">
        <v>386</v>
      </c>
      <c r="Q14" s="142" t="s">
        <v>917</v>
      </c>
      <c r="R14" s="142" t="s">
        <v>958</v>
      </c>
      <c r="S14" s="142" t="s">
        <v>195</v>
      </c>
    </row>
    <row r="15" spans="1:19">
      <c r="A15" s="142" t="s">
        <v>959</v>
      </c>
      <c r="B15" s="142" t="s">
        <v>960</v>
      </c>
      <c r="C15" s="142" t="s">
        <v>910</v>
      </c>
      <c r="D15" s="143">
        <v>0</v>
      </c>
      <c r="E15" s="142" t="s">
        <v>961</v>
      </c>
      <c r="F15" s="142" t="s">
        <v>53</v>
      </c>
      <c r="G15" s="142" t="s">
        <v>962</v>
      </c>
      <c r="H15" s="142" t="s">
        <v>327</v>
      </c>
      <c r="I15" s="142" t="s">
        <v>382</v>
      </c>
      <c r="J15" s="142" t="s">
        <v>913</v>
      </c>
      <c r="K15" s="142" t="s">
        <v>914</v>
      </c>
      <c r="L15" s="142" t="s">
        <v>963</v>
      </c>
      <c r="M15" s="142" t="s">
        <v>916</v>
      </c>
      <c r="N15" s="142" t="s">
        <v>388</v>
      </c>
      <c r="O15" s="142"/>
      <c r="P15" s="142" t="s">
        <v>386</v>
      </c>
      <c r="Q15" s="142" t="s">
        <v>917</v>
      </c>
      <c r="R15" s="142" t="s">
        <v>947</v>
      </c>
      <c r="S15" s="142" t="s">
        <v>53</v>
      </c>
    </row>
    <row r="16" spans="1:19">
      <c r="A16" s="142" t="s">
        <v>964</v>
      </c>
      <c r="B16" s="142" t="s">
        <v>965</v>
      </c>
      <c r="C16" s="142" t="s">
        <v>910</v>
      </c>
      <c r="D16" s="143">
        <v>0</v>
      </c>
      <c r="E16" s="142" t="s">
        <v>961</v>
      </c>
      <c r="F16" s="142" t="s">
        <v>55</v>
      </c>
      <c r="G16" s="142" t="s">
        <v>962</v>
      </c>
      <c r="H16" s="142" t="s">
        <v>327</v>
      </c>
      <c r="I16" s="142" t="s">
        <v>382</v>
      </c>
      <c r="J16" s="142" t="s">
        <v>913</v>
      </c>
      <c r="K16" s="142" t="s">
        <v>914</v>
      </c>
      <c r="L16" s="142" t="s">
        <v>963</v>
      </c>
      <c r="M16" s="142" t="s">
        <v>916</v>
      </c>
      <c r="N16" s="142" t="s">
        <v>388</v>
      </c>
      <c r="O16" s="142"/>
      <c r="P16" s="142" t="s">
        <v>386</v>
      </c>
      <c r="Q16" s="142" t="s">
        <v>917</v>
      </c>
      <c r="R16" s="142" t="s">
        <v>966</v>
      </c>
      <c r="S16" s="142" t="s">
        <v>71</v>
      </c>
    </row>
    <row r="17" spans="1:19">
      <c r="A17" s="142" t="s">
        <v>967</v>
      </c>
      <c r="B17" s="142" t="s">
        <v>968</v>
      </c>
      <c r="C17" s="142" t="s">
        <v>910</v>
      </c>
      <c r="D17" s="143">
        <v>0</v>
      </c>
      <c r="E17" s="142" t="s">
        <v>969</v>
      </c>
      <c r="F17" s="142" t="s">
        <v>590</v>
      </c>
      <c r="G17" s="142" t="s">
        <v>962</v>
      </c>
      <c r="H17" s="142" t="s">
        <v>327</v>
      </c>
      <c r="I17" s="142" t="s">
        <v>382</v>
      </c>
      <c r="J17" s="142" t="s">
        <v>913</v>
      </c>
      <c r="K17" s="142" t="s">
        <v>914</v>
      </c>
      <c r="L17" s="142" t="s">
        <v>970</v>
      </c>
      <c r="M17" s="142" t="s">
        <v>916</v>
      </c>
      <c r="N17" s="142" t="s">
        <v>388</v>
      </c>
      <c r="O17" s="142"/>
      <c r="P17" s="142" t="s">
        <v>386</v>
      </c>
      <c r="Q17" s="142" t="s">
        <v>917</v>
      </c>
      <c r="R17" s="142" t="s">
        <v>971</v>
      </c>
      <c r="S17" s="142" t="s">
        <v>53</v>
      </c>
    </row>
    <row r="18" spans="1:19">
      <c r="A18" s="142" t="s">
        <v>972</v>
      </c>
      <c r="B18" s="142" t="s">
        <v>973</v>
      </c>
      <c r="C18" s="142" t="s">
        <v>910</v>
      </c>
      <c r="D18" s="143">
        <v>0</v>
      </c>
      <c r="E18" s="142" t="s">
        <v>969</v>
      </c>
      <c r="F18" s="142" t="s">
        <v>55</v>
      </c>
      <c r="G18" s="142" t="s">
        <v>962</v>
      </c>
      <c r="H18" s="142" t="s">
        <v>327</v>
      </c>
      <c r="I18" s="142" t="s">
        <v>382</v>
      </c>
      <c r="J18" s="142" t="s">
        <v>913</v>
      </c>
      <c r="K18" s="142" t="s">
        <v>914</v>
      </c>
      <c r="L18" s="142" t="s">
        <v>970</v>
      </c>
      <c r="M18" s="142" t="s">
        <v>916</v>
      </c>
      <c r="N18" s="142" t="s">
        <v>388</v>
      </c>
      <c r="O18" s="142"/>
      <c r="P18" s="142" t="s">
        <v>386</v>
      </c>
      <c r="Q18" s="142" t="s">
        <v>917</v>
      </c>
      <c r="R18" s="142" t="s">
        <v>966</v>
      </c>
      <c r="S18" s="142" t="s">
        <v>71</v>
      </c>
    </row>
    <row r="19" spans="1:19">
      <c r="A19" s="142" t="s">
        <v>974</v>
      </c>
      <c r="B19" s="142" t="s">
        <v>975</v>
      </c>
      <c r="C19" s="142" t="s">
        <v>910</v>
      </c>
      <c r="D19" s="143">
        <v>0</v>
      </c>
      <c r="E19" s="142" t="s">
        <v>976</v>
      </c>
      <c r="F19" s="142" t="s">
        <v>293</v>
      </c>
      <c r="G19" s="142" t="s">
        <v>962</v>
      </c>
      <c r="H19" s="142" t="s">
        <v>327</v>
      </c>
      <c r="I19" s="142" t="s">
        <v>382</v>
      </c>
      <c r="J19" s="142" t="s">
        <v>913</v>
      </c>
      <c r="K19" s="142" t="s">
        <v>914</v>
      </c>
      <c r="L19" s="142" t="s">
        <v>915</v>
      </c>
      <c r="M19" s="142" t="s">
        <v>916</v>
      </c>
      <c r="N19" s="142" t="s">
        <v>388</v>
      </c>
      <c r="O19" s="142"/>
      <c r="P19" s="142" t="s">
        <v>386</v>
      </c>
      <c r="Q19" s="142" t="s">
        <v>917</v>
      </c>
      <c r="R19" s="142" t="s">
        <v>971</v>
      </c>
      <c r="S19" s="142" t="s">
        <v>53</v>
      </c>
    </row>
    <row r="20" spans="1:19">
      <c r="A20" s="142" t="s">
        <v>977</v>
      </c>
      <c r="B20" s="142" t="s">
        <v>978</v>
      </c>
      <c r="C20" s="142" t="s">
        <v>910</v>
      </c>
      <c r="D20" s="143">
        <v>0</v>
      </c>
      <c r="E20" s="142" t="s">
        <v>976</v>
      </c>
      <c r="F20" s="142" t="s">
        <v>590</v>
      </c>
      <c r="G20" s="142" t="s">
        <v>962</v>
      </c>
      <c r="H20" s="142" t="s">
        <v>327</v>
      </c>
      <c r="I20" s="142" t="s">
        <v>382</v>
      </c>
      <c r="J20" s="142" t="s">
        <v>913</v>
      </c>
      <c r="K20" s="142" t="s">
        <v>914</v>
      </c>
      <c r="L20" s="142" t="s">
        <v>915</v>
      </c>
      <c r="M20" s="142" t="s">
        <v>916</v>
      </c>
      <c r="N20" s="142" t="s">
        <v>388</v>
      </c>
      <c r="O20" s="142"/>
      <c r="P20" s="142" t="s">
        <v>386</v>
      </c>
      <c r="Q20" s="142" t="s">
        <v>917</v>
      </c>
      <c r="R20" s="142" t="s">
        <v>979</v>
      </c>
      <c r="S20" s="142" t="s">
        <v>53</v>
      </c>
    </row>
    <row r="21" spans="1:19">
      <c r="A21" s="142" t="s">
        <v>980</v>
      </c>
      <c r="B21" s="142" t="s">
        <v>981</v>
      </c>
      <c r="C21" s="142" t="s">
        <v>910</v>
      </c>
      <c r="D21" s="143">
        <v>0</v>
      </c>
      <c r="E21" s="142" t="s">
        <v>982</v>
      </c>
      <c r="F21" s="142" t="s">
        <v>53</v>
      </c>
      <c r="G21" s="142" t="s">
        <v>962</v>
      </c>
      <c r="H21" s="142" t="s">
        <v>327</v>
      </c>
      <c r="I21" s="142" t="s">
        <v>382</v>
      </c>
      <c r="J21" s="142" t="s">
        <v>913</v>
      </c>
      <c r="K21" s="142" t="s">
        <v>914</v>
      </c>
      <c r="L21" s="142" t="s">
        <v>934</v>
      </c>
      <c r="M21" s="142" t="s">
        <v>916</v>
      </c>
      <c r="N21" s="142" t="s">
        <v>388</v>
      </c>
      <c r="O21" s="142"/>
      <c r="P21" s="142" t="s">
        <v>386</v>
      </c>
      <c r="Q21" s="142" t="s">
        <v>917</v>
      </c>
      <c r="R21" s="142" t="s">
        <v>947</v>
      </c>
      <c r="S21" s="142" t="s">
        <v>53</v>
      </c>
    </row>
    <row r="22" spans="1:19">
      <c r="A22" s="142" t="s">
        <v>983</v>
      </c>
      <c r="B22" s="142" t="s">
        <v>984</v>
      </c>
      <c r="C22" s="142" t="s">
        <v>910</v>
      </c>
      <c r="D22" s="143">
        <v>0</v>
      </c>
      <c r="E22" s="142" t="s">
        <v>982</v>
      </c>
      <c r="F22" s="142" t="s">
        <v>590</v>
      </c>
      <c r="G22" s="142" t="s">
        <v>962</v>
      </c>
      <c r="H22" s="142" t="s">
        <v>327</v>
      </c>
      <c r="I22" s="142" t="s">
        <v>382</v>
      </c>
      <c r="J22" s="142" t="s">
        <v>913</v>
      </c>
      <c r="K22" s="142" t="s">
        <v>914</v>
      </c>
      <c r="L22" s="142" t="s">
        <v>934</v>
      </c>
      <c r="M22" s="142" t="s">
        <v>916</v>
      </c>
      <c r="N22" s="142" t="s">
        <v>388</v>
      </c>
      <c r="O22" s="142"/>
      <c r="P22" s="142" t="s">
        <v>386</v>
      </c>
      <c r="Q22" s="142" t="s">
        <v>917</v>
      </c>
      <c r="R22" s="142" t="s">
        <v>985</v>
      </c>
      <c r="S22" s="142" t="s">
        <v>53</v>
      </c>
    </row>
    <row r="23" spans="1:19">
      <c r="A23" s="142" t="s">
        <v>986</v>
      </c>
      <c r="B23" s="142" t="s">
        <v>987</v>
      </c>
      <c r="C23" s="142" t="s">
        <v>910</v>
      </c>
      <c r="D23" s="143">
        <v>0</v>
      </c>
      <c r="E23" s="142" t="s">
        <v>982</v>
      </c>
      <c r="F23" s="142" t="s">
        <v>293</v>
      </c>
      <c r="G23" s="142" t="s">
        <v>962</v>
      </c>
      <c r="H23" s="142" t="s">
        <v>327</v>
      </c>
      <c r="I23" s="142" t="s">
        <v>382</v>
      </c>
      <c r="J23" s="142" t="s">
        <v>913</v>
      </c>
      <c r="K23" s="142" t="s">
        <v>914</v>
      </c>
      <c r="L23" s="142" t="s">
        <v>934</v>
      </c>
      <c r="M23" s="142" t="s">
        <v>916</v>
      </c>
      <c r="N23" s="142" t="s">
        <v>388</v>
      </c>
      <c r="O23" s="142"/>
      <c r="P23" s="142" t="s">
        <v>386</v>
      </c>
      <c r="Q23" s="142" t="s">
        <v>917</v>
      </c>
      <c r="R23" s="142" t="s">
        <v>971</v>
      </c>
      <c r="S23" s="142" t="s">
        <v>53</v>
      </c>
    </row>
    <row r="24" spans="1:19">
      <c r="A24" s="142" t="s">
        <v>988</v>
      </c>
      <c r="B24" s="142" t="s">
        <v>989</v>
      </c>
      <c r="C24" s="142" t="s">
        <v>910</v>
      </c>
      <c r="D24" s="143">
        <v>0</v>
      </c>
      <c r="E24" s="142" t="s">
        <v>982</v>
      </c>
      <c r="F24" s="142" t="s">
        <v>591</v>
      </c>
      <c r="G24" s="142" t="s">
        <v>962</v>
      </c>
      <c r="H24" s="142" t="s">
        <v>327</v>
      </c>
      <c r="I24" s="142" t="s">
        <v>382</v>
      </c>
      <c r="J24" s="142" t="s">
        <v>913</v>
      </c>
      <c r="K24" s="142" t="s">
        <v>914</v>
      </c>
      <c r="L24" s="142" t="s">
        <v>934</v>
      </c>
      <c r="M24" s="142" t="s">
        <v>916</v>
      </c>
      <c r="N24" s="142" t="s">
        <v>388</v>
      </c>
      <c r="O24" s="142"/>
      <c r="P24" s="142" t="s">
        <v>386</v>
      </c>
      <c r="Q24" s="142" t="s">
        <v>917</v>
      </c>
      <c r="R24" s="142" t="s">
        <v>990</v>
      </c>
      <c r="S24" s="142" t="s">
        <v>53</v>
      </c>
    </row>
    <row r="25" spans="1:19">
      <c r="A25" s="142" t="s">
        <v>991</v>
      </c>
      <c r="B25" s="142" t="s">
        <v>992</v>
      </c>
      <c r="C25" s="142" t="s">
        <v>910</v>
      </c>
      <c r="D25" s="143">
        <v>0</v>
      </c>
      <c r="E25" s="142" t="s">
        <v>982</v>
      </c>
      <c r="F25" s="142" t="s">
        <v>308</v>
      </c>
      <c r="G25" s="142" t="s">
        <v>962</v>
      </c>
      <c r="H25" s="142" t="s">
        <v>327</v>
      </c>
      <c r="I25" s="142" t="s">
        <v>382</v>
      </c>
      <c r="J25" s="142" t="s">
        <v>913</v>
      </c>
      <c r="K25" s="142" t="s">
        <v>914</v>
      </c>
      <c r="L25" s="142" t="s">
        <v>934</v>
      </c>
      <c r="M25" s="142" t="s">
        <v>916</v>
      </c>
      <c r="N25" s="142" t="s">
        <v>388</v>
      </c>
      <c r="O25" s="142"/>
      <c r="P25" s="142" t="s">
        <v>386</v>
      </c>
      <c r="Q25" s="142" t="s">
        <v>917</v>
      </c>
      <c r="R25" s="142" t="s">
        <v>993</v>
      </c>
      <c r="S25" s="142" t="s">
        <v>53</v>
      </c>
    </row>
    <row r="26" spans="1:19">
      <c r="A26" s="142" t="s">
        <v>994</v>
      </c>
      <c r="B26" s="142" t="s">
        <v>995</v>
      </c>
      <c r="C26" s="142" t="s">
        <v>910</v>
      </c>
      <c r="D26" s="143">
        <v>0</v>
      </c>
      <c r="E26" s="142" t="s">
        <v>982</v>
      </c>
      <c r="F26" s="142" t="s">
        <v>83</v>
      </c>
      <c r="G26" s="142" t="s">
        <v>962</v>
      </c>
      <c r="H26" s="142" t="s">
        <v>327</v>
      </c>
      <c r="I26" s="142" t="s">
        <v>382</v>
      </c>
      <c r="J26" s="142" t="s">
        <v>913</v>
      </c>
      <c r="K26" s="142" t="s">
        <v>914</v>
      </c>
      <c r="L26" s="142" t="s">
        <v>934</v>
      </c>
      <c r="M26" s="142" t="s">
        <v>916</v>
      </c>
      <c r="N26" s="142" t="s">
        <v>388</v>
      </c>
      <c r="O26" s="142"/>
      <c r="P26" s="142" t="s">
        <v>386</v>
      </c>
      <c r="Q26" s="142" t="s">
        <v>917</v>
      </c>
      <c r="R26" s="142" t="s">
        <v>918</v>
      </c>
      <c r="S26" s="142" t="s">
        <v>83</v>
      </c>
    </row>
    <row r="27" spans="1:19">
      <c r="A27" s="142" t="s">
        <v>996</v>
      </c>
      <c r="B27" s="142" t="s">
        <v>997</v>
      </c>
      <c r="C27" s="142" t="s">
        <v>910</v>
      </c>
      <c r="D27" s="143">
        <v>0</v>
      </c>
      <c r="E27" s="142" t="s">
        <v>982</v>
      </c>
      <c r="F27" s="142" t="s">
        <v>121</v>
      </c>
      <c r="G27" s="142" t="s">
        <v>962</v>
      </c>
      <c r="H27" s="142" t="s">
        <v>327</v>
      </c>
      <c r="I27" s="142" t="s">
        <v>382</v>
      </c>
      <c r="J27" s="142" t="s">
        <v>913</v>
      </c>
      <c r="K27" s="142" t="s">
        <v>914</v>
      </c>
      <c r="L27" s="142" t="s">
        <v>934</v>
      </c>
      <c r="M27" s="142" t="s">
        <v>916</v>
      </c>
      <c r="N27" s="142" t="s">
        <v>388</v>
      </c>
      <c r="O27" s="142"/>
      <c r="P27" s="142" t="s">
        <v>386</v>
      </c>
      <c r="Q27" s="142" t="s">
        <v>917</v>
      </c>
      <c r="R27" s="142" t="s">
        <v>921</v>
      </c>
      <c r="S27" s="142" t="s">
        <v>121</v>
      </c>
    </row>
    <row r="28" spans="1:19">
      <c r="A28" s="142" t="s">
        <v>998</v>
      </c>
      <c r="B28" s="142" t="s">
        <v>999</v>
      </c>
      <c r="C28" s="142" t="s">
        <v>910</v>
      </c>
      <c r="D28" s="143">
        <v>0</v>
      </c>
      <c r="E28" s="142" t="s">
        <v>982</v>
      </c>
      <c r="F28" s="142" t="s">
        <v>55</v>
      </c>
      <c r="G28" s="142" t="s">
        <v>962</v>
      </c>
      <c r="H28" s="142" t="s">
        <v>327</v>
      </c>
      <c r="I28" s="142" t="s">
        <v>382</v>
      </c>
      <c r="J28" s="142" t="s">
        <v>913</v>
      </c>
      <c r="K28" s="142" t="s">
        <v>914</v>
      </c>
      <c r="L28" s="142" t="s">
        <v>934</v>
      </c>
      <c r="M28" s="142" t="s">
        <v>916</v>
      </c>
      <c r="N28" s="142" t="s">
        <v>388</v>
      </c>
      <c r="O28" s="142"/>
      <c r="P28" s="142" t="s">
        <v>386</v>
      </c>
      <c r="Q28" s="142" t="s">
        <v>917</v>
      </c>
      <c r="R28" s="142" t="s">
        <v>966</v>
      </c>
      <c r="S28" s="142" t="s">
        <v>71</v>
      </c>
    </row>
    <row r="29" spans="1:19">
      <c r="A29" s="142" t="s">
        <v>1000</v>
      </c>
      <c r="B29" s="142" t="s">
        <v>1001</v>
      </c>
      <c r="C29" s="142" t="s">
        <v>910</v>
      </c>
      <c r="D29" s="143">
        <v>0</v>
      </c>
      <c r="E29" s="142" t="s">
        <v>982</v>
      </c>
      <c r="F29" s="142" t="s">
        <v>195</v>
      </c>
      <c r="G29" s="142" t="s">
        <v>962</v>
      </c>
      <c r="H29" s="142" t="s">
        <v>327</v>
      </c>
      <c r="I29" s="142" t="s">
        <v>382</v>
      </c>
      <c r="J29" s="142" t="s">
        <v>913</v>
      </c>
      <c r="K29" s="142" t="s">
        <v>914</v>
      </c>
      <c r="L29" s="142" t="s">
        <v>934</v>
      </c>
      <c r="M29" s="142" t="s">
        <v>916</v>
      </c>
      <c r="N29" s="142" t="s">
        <v>388</v>
      </c>
      <c r="O29" s="142"/>
      <c r="P29" s="142" t="s">
        <v>386</v>
      </c>
      <c r="Q29" s="142" t="s">
        <v>917</v>
      </c>
      <c r="R29" s="142" t="s">
        <v>1002</v>
      </c>
      <c r="S29" s="142" t="s">
        <v>195</v>
      </c>
    </row>
    <row r="30" spans="1:19">
      <c r="A30" s="142" t="s">
        <v>1003</v>
      </c>
      <c r="B30" s="142" t="s">
        <v>1004</v>
      </c>
      <c r="C30" s="142" t="s">
        <v>910</v>
      </c>
      <c r="D30" s="143">
        <v>0</v>
      </c>
      <c r="E30" s="142" t="s">
        <v>1005</v>
      </c>
      <c r="F30" s="142" t="s">
        <v>53</v>
      </c>
      <c r="G30" s="142" t="s">
        <v>962</v>
      </c>
      <c r="H30" s="142" t="s">
        <v>327</v>
      </c>
      <c r="I30" s="142" t="s">
        <v>382</v>
      </c>
      <c r="J30" s="142" t="s">
        <v>913</v>
      </c>
      <c r="K30" s="142" t="s">
        <v>914</v>
      </c>
      <c r="L30" s="142" t="s">
        <v>1006</v>
      </c>
      <c r="M30" s="142" t="s">
        <v>916</v>
      </c>
      <c r="N30" s="142" t="s">
        <v>388</v>
      </c>
      <c r="O30" s="142"/>
      <c r="P30" s="142" t="s">
        <v>386</v>
      </c>
      <c r="Q30" s="142" t="s">
        <v>917</v>
      </c>
      <c r="R30" s="142" t="s">
        <v>947</v>
      </c>
      <c r="S30" s="142" t="s">
        <v>53</v>
      </c>
    </row>
    <row r="31" spans="1:19">
      <c r="A31" s="142" t="s">
        <v>1007</v>
      </c>
      <c r="B31" s="142" t="s">
        <v>1008</v>
      </c>
      <c r="C31" s="142" t="s">
        <v>910</v>
      </c>
      <c r="D31" s="143">
        <v>0</v>
      </c>
      <c r="E31" s="142" t="s">
        <v>1005</v>
      </c>
      <c r="F31" s="142" t="s">
        <v>269</v>
      </c>
      <c r="G31" s="142" t="s">
        <v>962</v>
      </c>
      <c r="H31" s="142" t="s">
        <v>327</v>
      </c>
      <c r="I31" s="142" t="s">
        <v>382</v>
      </c>
      <c r="J31" s="142" t="s">
        <v>913</v>
      </c>
      <c r="K31" s="142" t="s">
        <v>914</v>
      </c>
      <c r="L31" s="142" t="s">
        <v>1006</v>
      </c>
      <c r="M31" s="142" t="s">
        <v>916</v>
      </c>
      <c r="N31" s="142" t="s">
        <v>388</v>
      </c>
      <c r="O31" s="142"/>
      <c r="P31" s="142" t="s">
        <v>386</v>
      </c>
      <c r="Q31" s="142" t="s">
        <v>917</v>
      </c>
      <c r="R31" s="142" t="s">
        <v>1009</v>
      </c>
      <c r="S31" s="142" t="s">
        <v>60</v>
      </c>
    </row>
    <row r="32" spans="1:19">
      <c r="A32" s="142" t="s">
        <v>1010</v>
      </c>
      <c r="B32" s="142" t="s">
        <v>1011</v>
      </c>
      <c r="C32" s="142" t="s">
        <v>910</v>
      </c>
      <c r="D32" s="143">
        <v>0</v>
      </c>
      <c r="E32" s="142" t="s">
        <v>1012</v>
      </c>
      <c r="F32" s="142" t="s">
        <v>55</v>
      </c>
      <c r="G32" s="142" t="s">
        <v>962</v>
      </c>
      <c r="H32" s="142" t="s">
        <v>327</v>
      </c>
      <c r="I32" s="142" t="s">
        <v>382</v>
      </c>
      <c r="J32" s="142" t="s">
        <v>913</v>
      </c>
      <c r="K32" s="142" t="s">
        <v>914</v>
      </c>
      <c r="L32" s="142" t="s">
        <v>1013</v>
      </c>
      <c r="M32" s="142" t="s">
        <v>916</v>
      </c>
      <c r="N32" s="142" t="s">
        <v>388</v>
      </c>
      <c r="O32" s="142"/>
      <c r="P32" s="142" t="s">
        <v>386</v>
      </c>
      <c r="Q32" s="142" t="s">
        <v>917</v>
      </c>
      <c r="R32" s="142" t="s">
        <v>1014</v>
      </c>
      <c r="S32" s="142" t="s">
        <v>71</v>
      </c>
    </row>
    <row r="33" spans="1:19">
      <c r="A33" s="142" t="s">
        <v>1015</v>
      </c>
      <c r="B33" s="142" t="s">
        <v>1016</v>
      </c>
      <c r="C33" s="142" t="s">
        <v>910</v>
      </c>
      <c r="D33" s="143">
        <v>0</v>
      </c>
      <c r="E33" s="142" t="s">
        <v>1017</v>
      </c>
      <c r="F33" s="142" t="s">
        <v>55</v>
      </c>
      <c r="G33" s="142" t="s">
        <v>962</v>
      </c>
      <c r="H33" s="142" t="s">
        <v>327</v>
      </c>
      <c r="I33" s="142" t="s">
        <v>382</v>
      </c>
      <c r="J33" s="142" t="s">
        <v>913</v>
      </c>
      <c r="K33" s="142" t="s">
        <v>914</v>
      </c>
      <c r="L33" s="142" t="s">
        <v>1018</v>
      </c>
      <c r="M33" s="142" t="s">
        <v>916</v>
      </c>
      <c r="N33" s="142" t="s">
        <v>388</v>
      </c>
      <c r="O33" s="142"/>
      <c r="P33" s="142" t="s">
        <v>386</v>
      </c>
      <c r="Q33" s="142" t="s">
        <v>917</v>
      </c>
      <c r="R33" s="142" t="s">
        <v>1019</v>
      </c>
      <c r="S33" s="142" t="s">
        <v>71</v>
      </c>
    </row>
    <row r="34" spans="1:19">
      <c r="A34" s="142" t="s">
        <v>1020</v>
      </c>
      <c r="B34" s="142" t="s">
        <v>1021</v>
      </c>
      <c r="C34" s="142" t="s">
        <v>910</v>
      </c>
      <c r="D34" s="143">
        <v>0</v>
      </c>
      <c r="E34" s="142" t="s">
        <v>1017</v>
      </c>
      <c r="F34" s="142" t="s">
        <v>592</v>
      </c>
      <c r="G34" s="142" t="s">
        <v>962</v>
      </c>
      <c r="H34" s="142" t="s">
        <v>327</v>
      </c>
      <c r="I34" s="142" t="s">
        <v>382</v>
      </c>
      <c r="J34" s="142" t="s">
        <v>913</v>
      </c>
      <c r="K34" s="142" t="s">
        <v>914</v>
      </c>
      <c r="L34" s="142" t="s">
        <v>1018</v>
      </c>
      <c r="M34" s="142" t="s">
        <v>916</v>
      </c>
      <c r="N34" s="142" t="s">
        <v>388</v>
      </c>
      <c r="O34" s="142"/>
      <c r="P34" s="142" t="s">
        <v>386</v>
      </c>
      <c r="Q34" s="142" t="s">
        <v>917</v>
      </c>
      <c r="R34" s="142" t="s">
        <v>1022</v>
      </c>
      <c r="S34" s="142" t="s">
        <v>71</v>
      </c>
    </row>
    <row r="35" spans="1:19">
      <c r="A35" s="142" t="s">
        <v>1023</v>
      </c>
      <c r="B35" s="142" t="s">
        <v>1024</v>
      </c>
      <c r="C35" s="142" t="s">
        <v>910</v>
      </c>
      <c r="D35" s="143">
        <v>0</v>
      </c>
      <c r="E35" s="142" t="s">
        <v>1025</v>
      </c>
      <c r="F35" s="142" t="s">
        <v>53</v>
      </c>
      <c r="G35" s="142" t="s">
        <v>962</v>
      </c>
      <c r="H35" s="142" t="s">
        <v>327</v>
      </c>
      <c r="I35" s="142" t="s">
        <v>382</v>
      </c>
      <c r="J35" s="142" t="s">
        <v>913</v>
      </c>
      <c r="K35" s="142" t="s">
        <v>914</v>
      </c>
      <c r="L35" s="142" t="s">
        <v>1026</v>
      </c>
      <c r="M35" s="142" t="s">
        <v>916</v>
      </c>
      <c r="N35" s="142" t="s">
        <v>388</v>
      </c>
      <c r="O35" s="142"/>
      <c r="P35" s="142" t="s">
        <v>386</v>
      </c>
      <c r="Q35" s="142" t="s">
        <v>917</v>
      </c>
      <c r="R35" s="142" t="s">
        <v>1027</v>
      </c>
      <c r="S35" s="142" t="s">
        <v>53</v>
      </c>
    </row>
    <row r="36" spans="1:19">
      <c r="A36" s="142" t="s">
        <v>1028</v>
      </c>
      <c r="B36" s="142" t="s">
        <v>1029</v>
      </c>
      <c r="C36" s="142" t="s">
        <v>910</v>
      </c>
      <c r="D36" s="143">
        <v>0</v>
      </c>
      <c r="E36" s="142" t="s">
        <v>1030</v>
      </c>
      <c r="F36" s="142" t="s">
        <v>269</v>
      </c>
      <c r="G36" s="142" t="s">
        <v>962</v>
      </c>
      <c r="H36" s="142" t="s">
        <v>327</v>
      </c>
      <c r="I36" s="142" t="s">
        <v>382</v>
      </c>
      <c r="J36" s="142" t="s">
        <v>913</v>
      </c>
      <c r="K36" s="142" t="s">
        <v>914</v>
      </c>
      <c r="L36" s="142" t="s">
        <v>1006</v>
      </c>
      <c r="M36" s="142" t="s">
        <v>916</v>
      </c>
      <c r="N36" s="142" t="s">
        <v>388</v>
      </c>
      <c r="O36" s="142"/>
      <c r="P36" s="142" t="s">
        <v>386</v>
      </c>
      <c r="Q36" s="142" t="s">
        <v>917</v>
      </c>
      <c r="R36" s="142" t="s">
        <v>1031</v>
      </c>
      <c r="S36" s="142" t="s">
        <v>60</v>
      </c>
    </row>
    <row r="37" spans="1:19">
      <c r="A37" s="142" t="s">
        <v>1032</v>
      </c>
      <c r="B37" s="142" t="s">
        <v>1033</v>
      </c>
      <c r="C37" s="142" t="s">
        <v>910</v>
      </c>
      <c r="D37" s="143">
        <v>0</v>
      </c>
      <c r="E37" s="142" t="s">
        <v>1034</v>
      </c>
      <c r="F37" s="142" t="s">
        <v>55</v>
      </c>
      <c r="G37" s="142" t="s">
        <v>962</v>
      </c>
      <c r="H37" s="142" t="s">
        <v>327</v>
      </c>
      <c r="I37" s="142" t="s">
        <v>382</v>
      </c>
      <c r="J37" s="142" t="s">
        <v>913</v>
      </c>
      <c r="K37" s="142" t="s">
        <v>914</v>
      </c>
      <c r="L37" s="142" t="s">
        <v>963</v>
      </c>
      <c r="M37" s="142" t="s">
        <v>916</v>
      </c>
      <c r="N37" s="142" t="s">
        <v>388</v>
      </c>
      <c r="O37" s="142"/>
      <c r="P37" s="142" t="s">
        <v>386</v>
      </c>
      <c r="Q37" s="142" t="s">
        <v>917</v>
      </c>
      <c r="R37" s="142" t="s">
        <v>1035</v>
      </c>
      <c r="S37" s="142" t="s">
        <v>71</v>
      </c>
    </row>
    <row r="38" spans="1:19">
      <c r="A38" s="142" t="s">
        <v>1036</v>
      </c>
      <c r="B38" s="142" t="s">
        <v>1037</v>
      </c>
      <c r="C38" s="142" t="s">
        <v>910</v>
      </c>
      <c r="D38" s="143">
        <v>0</v>
      </c>
      <c r="E38" s="142" t="s">
        <v>1038</v>
      </c>
      <c r="F38" s="142" t="s">
        <v>53</v>
      </c>
      <c r="G38" s="142" t="s">
        <v>962</v>
      </c>
      <c r="H38" s="142" t="s">
        <v>327</v>
      </c>
      <c r="I38" s="142" t="s">
        <v>382</v>
      </c>
      <c r="J38" s="142" t="s">
        <v>913</v>
      </c>
      <c r="K38" s="142" t="s">
        <v>914</v>
      </c>
      <c r="L38" s="142" t="s">
        <v>1039</v>
      </c>
      <c r="M38" s="142" t="s">
        <v>916</v>
      </c>
      <c r="N38" s="142" t="s">
        <v>388</v>
      </c>
      <c r="O38" s="142"/>
      <c r="P38" s="142" t="s">
        <v>386</v>
      </c>
      <c r="Q38" s="142" t="s">
        <v>917</v>
      </c>
      <c r="R38" s="142" t="s">
        <v>1040</v>
      </c>
      <c r="S38" s="142" t="s">
        <v>53</v>
      </c>
    </row>
    <row r="39" spans="1:19">
      <c r="A39" s="142" t="s">
        <v>1041</v>
      </c>
      <c r="B39" s="142" t="s">
        <v>1042</v>
      </c>
      <c r="C39" s="142" t="s">
        <v>910</v>
      </c>
      <c r="D39" s="143">
        <v>0</v>
      </c>
      <c r="E39" s="142" t="s">
        <v>1043</v>
      </c>
      <c r="F39" s="142" t="s">
        <v>55</v>
      </c>
      <c r="G39" s="142" t="s">
        <v>962</v>
      </c>
      <c r="H39" s="142" t="s">
        <v>327</v>
      </c>
      <c r="I39" s="142" t="s">
        <v>382</v>
      </c>
      <c r="J39" s="142" t="s">
        <v>913</v>
      </c>
      <c r="K39" s="142" t="s">
        <v>914</v>
      </c>
      <c r="L39" s="142" t="s">
        <v>970</v>
      </c>
      <c r="M39" s="142" t="s">
        <v>916</v>
      </c>
      <c r="N39" s="142" t="s">
        <v>388</v>
      </c>
      <c r="O39" s="142"/>
      <c r="P39" s="142" t="s">
        <v>386</v>
      </c>
      <c r="Q39" s="142" t="s">
        <v>917</v>
      </c>
      <c r="R39" s="142" t="s">
        <v>1044</v>
      </c>
      <c r="S39" s="142" t="s">
        <v>71</v>
      </c>
    </row>
    <row r="40" spans="1:19">
      <c r="A40" s="142" t="s">
        <v>1045</v>
      </c>
      <c r="B40" s="142" t="s">
        <v>1046</v>
      </c>
      <c r="C40" s="142" t="s">
        <v>910</v>
      </c>
      <c r="D40" s="143">
        <v>0</v>
      </c>
      <c r="E40" s="142" t="s">
        <v>1047</v>
      </c>
      <c r="F40" s="142" t="s">
        <v>55</v>
      </c>
      <c r="G40" s="142" t="s">
        <v>962</v>
      </c>
      <c r="H40" s="142" t="s">
        <v>327</v>
      </c>
      <c r="I40" s="142" t="s">
        <v>382</v>
      </c>
      <c r="J40" s="142" t="s">
        <v>913</v>
      </c>
      <c r="K40" s="142" t="s">
        <v>914</v>
      </c>
      <c r="L40" s="142" t="s">
        <v>934</v>
      </c>
      <c r="M40" s="142" t="s">
        <v>916</v>
      </c>
      <c r="N40" s="142" t="s">
        <v>388</v>
      </c>
      <c r="O40" s="142"/>
      <c r="P40" s="142" t="s">
        <v>386</v>
      </c>
      <c r="Q40" s="142" t="s">
        <v>917</v>
      </c>
      <c r="R40" s="142" t="s">
        <v>1048</v>
      </c>
      <c r="S40" s="142" t="s">
        <v>71</v>
      </c>
    </row>
    <row r="41" spans="1:19">
      <c r="A41" s="142" t="s">
        <v>1049</v>
      </c>
      <c r="B41" s="142" t="s">
        <v>1050</v>
      </c>
      <c r="C41" s="142" t="s">
        <v>910</v>
      </c>
      <c r="D41" s="143">
        <v>0</v>
      </c>
      <c r="E41" s="142" t="s">
        <v>1051</v>
      </c>
      <c r="F41" s="142" t="s">
        <v>121</v>
      </c>
      <c r="G41" s="142" t="s">
        <v>962</v>
      </c>
      <c r="H41" s="142" t="s">
        <v>327</v>
      </c>
      <c r="I41" s="142" t="s">
        <v>382</v>
      </c>
      <c r="J41" s="142" t="s">
        <v>913</v>
      </c>
      <c r="K41" s="142" t="s">
        <v>914</v>
      </c>
      <c r="L41" s="142" t="s">
        <v>1052</v>
      </c>
      <c r="M41" s="142" t="s">
        <v>916</v>
      </c>
      <c r="N41" s="142" t="s">
        <v>388</v>
      </c>
      <c r="O41" s="142"/>
      <c r="P41" s="142" t="s">
        <v>386</v>
      </c>
      <c r="Q41" s="142" t="s">
        <v>917</v>
      </c>
      <c r="R41" s="142" t="s">
        <v>1053</v>
      </c>
      <c r="S41" s="142" t="s">
        <v>121</v>
      </c>
    </row>
    <row r="42" spans="1:19">
      <c r="A42" s="142" t="s">
        <v>1054</v>
      </c>
      <c r="B42" s="142" t="s">
        <v>1055</v>
      </c>
      <c r="C42" s="142" t="s">
        <v>910</v>
      </c>
      <c r="D42" s="143">
        <v>0</v>
      </c>
      <c r="E42" s="142" t="s">
        <v>1056</v>
      </c>
      <c r="F42" s="142" t="s">
        <v>53</v>
      </c>
      <c r="G42" s="142" t="s">
        <v>962</v>
      </c>
      <c r="H42" s="142" t="s">
        <v>327</v>
      </c>
      <c r="I42" s="142" t="s">
        <v>382</v>
      </c>
      <c r="J42" s="142" t="s">
        <v>913</v>
      </c>
      <c r="K42" s="142" t="s">
        <v>914</v>
      </c>
      <c r="L42" s="142" t="s">
        <v>915</v>
      </c>
      <c r="M42" s="142" t="s">
        <v>916</v>
      </c>
      <c r="N42" s="142" t="s">
        <v>388</v>
      </c>
      <c r="O42" s="142"/>
      <c r="P42" s="142" t="s">
        <v>386</v>
      </c>
      <c r="Q42" s="142" t="s">
        <v>917</v>
      </c>
      <c r="R42" s="142" t="s">
        <v>971</v>
      </c>
      <c r="S42" s="142" t="s">
        <v>53</v>
      </c>
    </row>
    <row r="43" spans="1:19">
      <c r="A43" s="142" t="s">
        <v>1057</v>
      </c>
      <c r="B43" s="142" t="s">
        <v>1058</v>
      </c>
      <c r="C43" s="142" t="s">
        <v>910</v>
      </c>
      <c r="D43" s="143">
        <v>0</v>
      </c>
      <c r="E43" s="142" t="s">
        <v>1059</v>
      </c>
      <c r="F43" s="142" t="s">
        <v>158</v>
      </c>
      <c r="G43" s="142" t="s">
        <v>1060</v>
      </c>
      <c r="H43" s="142" t="s">
        <v>327</v>
      </c>
      <c r="I43" s="142" t="s">
        <v>382</v>
      </c>
      <c r="J43" s="142" t="s">
        <v>913</v>
      </c>
      <c r="K43" s="142" t="s">
        <v>914</v>
      </c>
      <c r="L43" s="142" t="s">
        <v>915</v>
      </c>
      <c r="M43" s="142" t="s">
        <v>916</v>
      </c>
      <c r="N43" s="142" t="s">
        <v>388</v>
      </c>
      <c r="O43" s="142"/>
      <c r="P43" s="142" t="s">
        <v>386</v>
      </c>
      <c r="Q43" s="142" t="s">
        <v>917</v>
      </c>
      <c r="R43" s="142" t="s">
        <v>1061</v>
      </c>
      <c r="S43" s="142" t="s">
        <v>195</v>
      </c>
    </row>
    <row r="44" spans="1:19">
      <c r="A44" s="142" t="s">
        <v>1062</v>
      </c>
      <c r="B44" s="142" t="s">
        <v>1063</v>
      </c>
      <c r="C44" s="142" t="s">
        <v>910</v>
      </c>
      <c r="D44" s="143">
        <v>0</v>
      </c>
      <c r="E44" s="142" t="s">
        <v>1064</v>
      </c>
      <c r="F44" s="142" t="s">
        <v>158</v>
      </c>
      <c r="G44" s="142" t="s">
        <v>1060</v>
      </c>
      <c r="H44" s="142" t="s">
        <v>327</v>
      </c>
      <c r="I44" s="142" t="s">
        <v>382</v>
      </c>
      <c r="J44" s="142" t="s">
        <v>913</v>
      </c>
      <c r="K44" s="142" t="s">
        <v>914</v>
      </c>
      <c r="L44" s="142" t="s">
        <v>934</v>
      </c>
      <c r="M44" s="142" t="s">
        <v>916</v>
      </c>
      <c r="N44" s="142" t="s">
        <v>388</v>
      </c>
      <c r="O44" s="142"/>
      <c r="P44" s="142" t="s">
        <v>386</v>
      </c>
      <c r="Q44" s="142" t="s">
        <v>917</v>
      </c>
      <c r="R44" s="142" t="s">
        <v>1061</v>
      </c>
      <c r="S44" s="142" t="s">
        <v>195</v>
      </c>
    </row>
    <row r="45" spans="1:19">
      <c r="A45" s="142" t="s">
        <v>1065</v>
      </c>
      <c r="B45" s="142" t="s">
        <v>1066</v>
      </c>
      <c r="C45" s="142" t="s">
        <v>910</v>
      </c>
      <c r="D45" s="143">
        <v>0</v>
      </c>
      <c r="E45" s="142" t="s">
        <v>1067</v>
      </c>
      <c r="F45" s="142" t="s">
        <v>305</v>
      </c>
      <c r="G45" s="142" t="s">
        <v>962</v>
      </c>
      <c r="H45" s="142" t="s">
        <v>356</v>
      </c>
      <c r="I45" s="142" t="s">
        <v>382</v>
      </c>
      <c r="J45" s="142" t="s">
        <v>913</v>
      </c>
      <c r="K45" s="142" t="s">
        <v>914</v>
      </c>
      <c r="L45" s="142" t="s">
        <v>934</v>
      </c>
      <c r="M45" s="142" t="s">
        <v>916</v>
      </c>
      <c r="N45" s="142" t="s">
        <v>388</v>
      </c>
      <c r="O45" s="142"/>
      <c r="P45" s="142" t="s">
        <v>386</v>
      </c>
      <c r="Q45" s="142" t="s">
        <v>917</v>
      </c>
      <c r="R45" s="142" t="s">
        <v>947</v>
      </c>
      <c r="S45" s="142" t="s">
        <v>53</v>
      </c>
    </row>
    <row r="46" spans="1:19">
      <c r="A46" s="142" t="s">
        <v>1068</v>
      </c>
      <c r="B46" s="142" t="s">
        <v>1069</v>
      </c>
      <c r="C46" s="142" t="s">
        <v>910</v>
      </c>
      <c r="D46" s="143">
        <v>0</v>
      </c>
      <c r="E46" s="142" t="s">
        <v>1067</v>
      </c>
      <c r="F46" s="142" t="s">
        <v>294</v>
      </c>
      <c r="G46" s="142" t="s">
        <v>1070</v>
      </c>
      <c r="H46" s="142" t="s">
        <v>356</v>
      </c>
      <c r="I46" s="142" t="s">
        <v>382</v>
      </c>
      <c r="J46" s="142" t="s">
        <v>913</v>
      </c>
      <c r="K46" s="142" t="s">
        <v>914</v>
      </c>
      <c r="L46" s="142" t="s">
        <v>934</v>
      </c>
      <c r="M46" s="142" t="s">
        <v>916</v>
      </c>
      <c r="N46" s="142" t="s">
        <v>388</v>
      </c>
      <c r="O46" s="142"/>
      <c r="P46" s="142" t="s">
        <v>386</v>
      </c>
      <c r="Q46" s="142" t="s">
        <v>917</v>
      </c>
      <c r="R46" s="142" t="s">
        <v>985</v>
      </c>
      <c r="S46" s="142" t="s">
        <v>53</v>
      </c>
    </row>
    <row r="47" spans="1:19">
      <c r="A47" s="142" t="s">
        <v>1071</v>
      </c>
      <c r="B47" s="142" t="s">
        <v>1072</v>
      </c>
      <c r="C47" s="142" t="s">
        <v>910</v>
      </c>
      <c r="D47" s="143">
        <v>0</v>
      </c>
      <c r="E47" s="142" t="s">
        <v>1073</v>
      </c>
      <c r="F47" s="142" t="s">
        <v>83</v>
      </c>
      <c r="G47" s="142" t="s">
        <v>1060</v>
      </c>
      <c r="H47" s="142" t="s">
        <v>356</v>
      </c>
      <c r="I47" s="142" t="s">
        <v>382</v>
      </c>
      <c r="J47" s="142" t="s">
        <v>913</v>
      </c>
      <c r="K47" s="142" t="s">
        <v>914</v>
      </c>
      <c r="L47" s="142" t="s">
        <v>963</v>
      </c>
      <c r="M47" s="142" t="s">
        <v>916</v>
      </c>
      <c r="N47" s="142" t="s">
        <v>388</v>
      </c>
      <c r="O47" s="142"/>
      <c r="P47" s="142" t="s">
        <v>386</v>
      </c>
      <c r="Q47" s="142" t="s">
        <v>917</v>
      </c>
      <c r="R47" s="142" t="s">
        <v>1074</v>
      </c>
      <c r="S47" s="142" t="s">
        <v>83</v>
      </c>
    </row>
    <row r="48" spans="1:19">
      <c r="A48" s="142" t="s">
        <v>1075</v>
      </c>
      <c r="B48" s="142" t="s">
        <v>1076</v>
      </c>
      <c r="C48" s="142" t="s">
        <v>910</v>
      </c>
      <c r="D48" s="143">
        <v>0</v>
      </c>
      <c r="E48" s="142" t="s">
        <v>1077</v>
      </c>
      <c r="F48" s="142" t="s">
        <v>83</v>
      </c>
      <c r="G48" s="142" t="s">
        <v>1060</v>
      </c>
      <c r="H48" s="142" t="s">
        <v>356</v>
      </c>
      <c r="I48" s="142" t="s">
        <v>382</v>
      </c>
      <c r="J48" s="142" t="s">
        <v>913</v>
      </c>
      <c r="K48" s="142" t="s">
        <v>914</v>
      </c>
      <c r="L48" s="142" t="s">
        <v>915</v>
      </c>
      <c r="M48" s="142" t="s">
        <v>916</v>
      </c>
      <c r="N48" s="142" t="s">
        <v>388</v>
      </c>
      <c r="O48" s="142"/>
      <c r="P48" s="142" t="s">
        <v>386</v>
      </c>
      <c r="Q48" s="142" t="s">
        <v>917</v>
      </c>
      <c r="R48" s="142" t="s">
        <v>1078</v>
      </c>
      <c r="S48" s="142" t="s">
        <v>83</v>
      </c>
    </row>
    <row r="49" spans="1:19">
      <c r="A49" s="142" t="s">
        <v>1079</v>
      </c>
      <c r="B49" s="142" t="s">
        <v>1080</v>
      </c>
      <c r="C49" s="142" t="s">
        <v>910</v>
      </c>
      <c r="D49" s="143">
        <v>0</v>
      </c>
      <c r="E49" s="142" t="s">
        <v>1081</v>
      </c>
      <c r="F49" s="142" t="s">
        <v>83</v>
      </c>
      <c r="G49" s="142" t="s">
        <v>1060</v>
      </c>
      <c r="H49" s="142" t="s">
        <v>356</v>
      </c>
      <c r="I49" s="142" t="s">
        <v>382</v>
      </c>
      <c r="J49" s="142" t="s">
        <v>913</v>
      </c>
      <c r="K49" s="142" t="s">
        <v>914</v>
      </c>
      <c r="L49" s="142" t="s">
        <v>934</v>
      </c>
      <c r="M49" s="142" t="s">
        <v>916</v>
      </c>
      <c r="N49" s="142" t="s">
        <v>388</v>
      </c>
      <c r="O49" s="142"/>
      <c r="P49" s="142" t="s">
        <v>386</v>
      </c>
      <c r="Q49" s="142" t="s">
        <v>917</v>
      </c>
      <c r="R49" s="142" t="s">
        <v>1074</v>
      </c>
      <c r="S49" s="142" t="s">
        <v>83</v>
      </c>
    </row>
    <row r="50" spans="1:19">
      <c r="A50" s="142" t="s">
        <v>1082</v>
      </c>
      <c r="B50" s="142" t="s">
        <v>1083</v>
      </c>
      <c r="C50" s="142" t="s">
        <v>910</v>
      </c>
      <c r="D50" s="143">
        <v>0</v>
      </c>
      <c r="E50" s="142" t="s">
        <v>1084</v>
      </c>
      <c r="F50" s="142" t="s">
        <v>590</v>
      </c>
      <c r="G50" s="142" t="s">
        <v>962</v>
      </c>
      <c r="H50" s="142" t="s">
        <v>327</v>
      </c>
      <c r="I50" s="142" t="s">
        <v>382</v>
      </c>
      <c r="J50" s="142" t="s">
        <v>913</v>
      </c>
      <c r="K50" s="142" t="s">
        <v>914</v>
      </c>
      <c r="L50" s="142" t="s">
        <v>963</v>
      </c>
      <c r="M50" s="142" t="s">
        <v>916</v>
      </c>
      <c r="N50" s="142" t="s">
        <v>388</v>
      </c>
      <c r="O50" s="142"/>
      <c r="P50" s="142" t="s">
        <v>386</v>
      </c>
      <c r="Q50" s="142" t="s">
        <v>917</v>
      </c>
      <c r="R50" s="142" t="s">
        <v>947</v>
      </c>
      <c r="S50" s="142" t="s">
        <v>53</v>
      </c>
    </row>
    <row r="51" spans="1:19">
      <c r="A51" s="142" t="s">
        <v>1085</v>
      </c>
      <c r="B51" s="142" t="s">
        <v>1086</v>
      </c>
      <c r="C51" s="142" t="s">
        <v>910</v>
      </c>
      <c r="D51" s="143">
        <v>0</v>
      </c>
      <c r="E51" s="142" t="s">
        <v>1087</v>
      </c>
      <c r="F51" s="142" t="s">
        <v>590</v>
      </c>
      <c r="G51" s="142" t="s">
        <v>962</v>
      </c>
      <c r="H51" s="142" t="s">
        <v>327</v>
      </c>
      <c r="I51" s="142" t="s">
        <v>382</v>
      </c>
      <c r="J51" s="142" t="s">
        <v>913</v>
      </c>
      <c r="K51" s="142" t="s">
        <v>914</v>
      </c>
      <c r="L51" s="142" t="s">
        <v>915</v>
      </c>
      <c r="M51" s="142" t="s">
        <v>916</v>
      </c>
      <c r="N51" s="142" t="s">
        <v>388</v>
      </c>
      <c r="O51" s="142"/>
      <c r="P51" s="142" t="s">
        <v>386</v>
      </c>
      <c r="Q51" s="142" t="s">
        <v>917</v>
      </c>
      <c r="R51" s="142" t="s">
        <v>947</v>
      </c>
      <c r="S51" s="142" t="s">
        <v>53</v>
      </c>
    </row>
    <row r="52" spans="1:19">
      <c r="A52" s="142" t="s">
        <v>1088</v>
      </c>
      <c r="B52" s="142" t="s">
        <v>1089</v>
      </c>
      <c r="C52" s="142" t="s">
        <v>910</v>
      </c>
      <c r="D52" s="143">
        <v>0</v>
      </c>
      <c r="E52" s="142" t="s">
        <v>1090</v>
      </c>
      <c r="F52" s="142" t="s">
        <v>590</v>
      </c>
      <c r="G52" s="142" t="s">
        <v>962</v>
      </c>
      <c r="H52" s="142" t="s">
        <v>327</v>
      </c>
      <c r="I52" s="142" t="s">
        <v>382</v>
      </c>
      <c r="J52" s="142" t="s">
        <v>913</v>
      </c>
      <c r="K52" s="142" t="s">
        <v>914</v>
      </c>
      <c r="L52" s="142" t="s">
        <v>1091</v>
      </c>
      <c r="M52" s="142" t="s">
        <v>916</v>
      </c>
      <c r="N52" s="142" t="s">
        <v>388</v>
      </c>
      <c r="O52" s="142"/>
      <c r="P52" s="142" t="s">
        <v>386</v>
      </c>
      <c r="Q52" s="142" t="s">
        <v>917</v>
      </c>
      <c r="R52" s="142" t="s">
        <v>947</v>
      </c>
      <c r="S52" s="142" t="s">
        <v>53</v>
      </c>
    </row>
    <row r="53" spans="1:19">
      <c r="A53" s="142" t="s">
        <v>1092</v>
      </c>
      <c r="B53" s="142" t="s">
        <v>1093</v>
      </c>
      <c r="C53" s="142" t="s">
        <v>910</v>
      </c>
      <c r="D53" s="143">
        <v>0</v>
      </c>
      <c r="E53" s="142" t="s">
        <v>1094</v>
      </c>
      <c r="F53" s="142" t="s">
        <v>593</v>
      </c>
      <c r="G53" s="142" t="s">
        <v>962</v>
      </c>
      <c r="H53" s="142" t="s">
        <v>327</v>
      </c>
      <c r="I53" s="142" t="s">
        <v>382</v>
      </c>
      <c r="J53" s="142" t="s">
        <v>913</v>
      </c>
      <c r="K53" s="142" t="s">
        <v>914</v>
      </c>
      <c r="L53" s="142" t="s">
        <v>915</v>
      </c>
      <c r="M53" s="142" t="s">
        <v>916</v>
      </c>
      <c r="N53" s="142" t="s">
        <v>388</v>
      </c>
      <c r="O53" s="142"/>
      <c r="P53" s="142" t="s">
        <v>386</v>
      </c>
      <c r="Q53" s="142" t="s">
        <v>917</v>
      </c>
      <c r="R53" s="142" t="s">
        <v>1095</v>
      </c>
      <c r="S53" s="142" t="s">
        <v>195</v>
      </c>
    </row>
    <row r="54" spans="1:19">
      <c r="A54" s="142" t="s">
        <v>1096</v>
      </c>
      <c r="B54" s="142" t="s">
        <v>1097</v>
      </c>
      <c r="C54" s="142" t="s">
        <v>910</v>
      </c>
      <c r="D54" s="143">
        <v>0</v>
      </c>
      <c r="E54" s="142" t="s">
        <v>1098</v>
      </c>
      <c r="F54" s="142" t="s">
        <v>1099</v>
      </c>
      <c r="G54" s="142" t="s">
        <v>962</v>
      </c>
      <c r="H54" s="142" t="s">
        <v>327</v>
      </c>
      <c r="I54" s="142" t="s">
        <v>382</v>
      </c>
      <c r="J54" s="142" t="s">
        <v>913</v>
      </c>
      <c r="K54" s="142" t="s">
        <v>914</v>
      </c>
      <c r="L54" s="142" t="s">
        <v>934</v>
      </c>
      <c r="M54" s="142" t="s">
        <v>916</v>
      </c>
      <c r="N54" s="142" t="s">
        <v>388</v>
      </c>
      <c r="O54" s="142"/>
      <c r="P54" s="142" t="s">
        <v>386</v>
      </c>
      <c r="Q54" s="142" t="s">
        <v>917</v>
      </c>
      <c r="R54" s="142" t="s">
        <v>1100</v>
      </c>
      <c r="S54" s="142" t="s">
        <v>83</v>
      </c>
    </row>
    <row r="55" spans="1:19">
      <c r="A55" s="142" t="s">
        <v>1101</v>
      </c>
      <c r="B55" s="142" t="s">
        <v>1102</v>
      </c>
      <c r="C55" s="142" t="s">
        <v>910</v>
      </c>
      <c r="D55" s="143">
        <v>0</v>
      </c>
      <c r="E55" s="142" t="s">
        <v>1098</v>
      </c>
      <c r="F55" s="142" t="s">
        <v>1103</v>
      </c>
      <c r="G55" s="142" t="s">
        <v>962</v>
      </c>
      <c r="H55" s="142" t="s">
        <v>327</v>
      </c>
      <c r="I55" s="142" t="s">
        <v>382</v>
      </c>
      <c r="J55" s="142" t="s">
        <v>913</v>
      </c>
      <c r="K55" s="142" t="s">
        <v>914</v>
      </c>
      <c r="L55" s="142" t="s">
        <v>934</v>
      </c>
      <c r="M55" s="142" t="s">
        <v>916</v>
      </c>
      <c r="N55" s="142" t="s">
        <v>388</v>
      </c>
      <c r="O55" s="142"/>
      <c r="P55" s="142" t="s">
        <v>386</v>
      </c>
      <c r="Q55" s="142" t="s">
        <v>917</v>
      </c>
      <c r="R55" s="142" t="s">
        <v>1104</v>
      </c>
      <c r="S55" s="142" t="s">
        <v>121</v>
      </c>
    </row>
    <row r="56" spans="1:19">
      <c r="A56" s="142" t="s">
        <v>1105</v>
      </c>
      <c r="B56" s="142" t="s">
        <v>1106</v>
      </c>
      <c r="C56" s="142" t="s">
        <v>910</v>
      </c>
      <c r="D56" s="143">
        <v>0</v>
      </c>
      <c r="E56" s="142" t="s">
        <v>1098</v>
      </c>
      <c r="F56" s="142" t="s">
        <v>1107</v>
      </c>
      <c r="G56" s="142" t="s">
        <v>962</v>
      </c>
      <c r="H56" s="142" t="s">
        <v>327</v>
      </c>
      <c r="I56" s="142" t="s">
        <v>382</v>
      </c>
      <c r="J56" s="142" t="s">
        <v>913</v>
      </c>
      <c r="K56" s="142" t="s">
        <v>914</v>
      </c>
      <c r="L56" s="142" t="s">
        <v>934</v>
      </c>
      <c r="M56" s="142" t="s">
        <v>916</v>
      </c>
      <c r="N56" s="142" t="s">
        <v>388</v>
      </c>
      <c r="O56" s="142"/>
      <c r="P56" s="142" t="s">
        <v>386</v>
      </c>
      <c r="Q56" s="142" t="s">
        <v>917</v>
      </c>
      <c r="R56" s="142" t="s">
        <v>930</v>
      </c>
      <c r="S56" s="142" t="s">
        <v>63</v>
      </c>
    </row>
    <row r="57" spans="1:19">
      <c r="A57" s="142" t="s">
        <v>1108</v>
      </c>
      <c r="B57" s="142" t="s">
        <v>1109</v>
      </c>
      <c r="C57" s="142" t="s">
        <v>910</v>
      </c>
      <c r="D57" s="143">
        <v>0</v>
      </c>
      <c r="E57" s="142" t="s">
        <v>1098</v>
      </c>
      <c r="F57" s="142" t="s">
        <v>594</v>
      </c>
      <c r="G57" s="142" t="s">
        <v>962</v>
      </c>
      <c r="H57" s="142" t="s">
        <v>327</v>
      </c>
      <c r="I57" s="142" t="s">
        <v>382</v>
      </c>
      <c r="J57" s="142" t="s">
        <v>913</v>
      </c>
      <c r="K57" s="142" t="s">
        <v>914</v>
      </c>
      <c r="L57" s="142" t="s">
        <v>934</v>
      </c>
      <c r="M57" s="142" t="s">
        <v>916</v>
      </c>
      <c r="N57" s="142" t="s">
        <v>388</v>
      </c>
      <c r="O57" s="142"/>
      <c r="P57" s="142" t="s">
        <v>386</v>
      </c>
      <c r="Q57" s="142" t="s">
        <v>917</v>
      </c>
      <c r="R57" s="142" t="s">
        <v>966</v>
      </c>
      <c r="S57" s="142" t="s">
        <v>71</v>
      </c>
    </row>
    <row r="58" spans="1:19">
      <c r="A58" s="142" t="s">
        <v>1110</v>
      </c>
      <c r="B58" s="142" t="s">
        <v>1111</v>
      </c>
      <c r="C58" s="142" t="s">
        <v>910</v>
      </c>
      <c r="D58" s="143">
        <v>0</v>
      </c>
      <c r="E58" s="142" t="s">
        <v>1112</v>
      </c>
      <c r="F58" s="142" t="s">
        <v>55</v>
      </c>
      <c r="G58" s="142" t="s">
        <v>962</v>
      </c>
      <c r="H58" s="142" t="s">
        <v>327</v>
      </c>
      <c r="I58" s="142" t="s">
        <v>382</v>
      </c>
      <c r="J58" s="142" t="s">
        <v>913</v>
      </c>
      <c r="K58" s="142" t="s">
        <v>914</v>
      </c>
      <c r="L58" s="142" t="s">
        <v>1013</v>
      </c>
      <c r="M58" s="142" t="s">
        <v>916</v>
      </c>
      <c r="N58" s="142" t="s">
        <v>388</v>
      </c>
      <c r="O58" s="142"/>
      <c r="P58" s="142" t="s">
        <v>386</v>
      </c>
      <c r="Q58" s="142" t="s">
        <v>917</v>
      </c>
      <c r="R58" s="142" t="s">
        <v>1113</v>
      </c>
      <c r="S58" s="142" t="s">
        <v>71</v>
      </c>
    </row>
    <row r="59" spans="1:19">
      <c r="A59" s="142" t="s">
        <v>1114</v>
      </c>
      <c r="B59" s="142" t="s">
        <v>1115</v>
      </c>
      <c r="C59" s="142" t="s">
        <v>910</v>
      </c>
      <c r="D59" s="143">
        <v>0</v>
      </c>
      <c r="E59" s="142" t="s">
        <v>1116</v>
      </c>
      <c r="F59" s="142" t="s">
        <v>55</v>
      </c>
      <c r="G59" s="142" t="s">
        <v>962</v>
      </c>
      <c r="H59" s="142" t="s">
        <v>327</v>
      </c>
      <c r="I59" s="142" t="s">
        <v>382</v>
      </c>
      <c r="J59" s="142" t="s">
        <v>913</v>
      </c>
      <c r="K59" s="142" t="s">
        <v>914</v>
      </c>
      <c r="L59" s="142" t="s">
        <v>963</v>
      </c>
      <c r="M59" s="142" t="s">
        <v>916</v>
      </c>
      <c r="N59" s="142" t="s">
        <v>388</v>
      </c>
      <c r="O59" s="142"/>
      <c r="P59" s="142" t="s">
        <v>386</v>
      </c>
      <c r="Q59" s="142" t="s">
        <v>917</v>
      </c>
      <c r="R59" s="142" t="s">
        <v>1117</v>
      </c>
      <c r="S59" s="142" t="s">
        <v>71</v>
      </c>
    </row>
    <row r="60" spans="1:19">
      <c r="A60" s="142" t="s">
        <v>1118</v>
      </c>
      <c r="B60" s="142" t="s">
        <v>1119</v>
      </c>
      <c r="C60" s="142" t="s">
        <v>910</v>
      </c>
      <c r="D60" s="143">
        <v>0</v>
      </c>
      <c r="E60" s="142" t="s">
        <v>1120</v>
      </c>
      <c r="F60" s="142" t="s">
        <v>277</v>
      </c>
      <c r="G60" s="142" t="s">
        <v>962</v>
      </c>
      <c r="H60" s="142" t="s">
        <v>327</v>
      </c>
      <c r="I60" s="142" t="s">
        <v>382</v>
      </c>
      <c r="J60" s="142" t="s">
        <v>913</v>
      </c>
      <c r="K60" s="142" t="s">
        <v>914</v>
      </c>
      <c r="L60" s="142" t="s">
        <v>1121</v>
      </c>
      <c r="M60" s="142" t="s">
        <v>916</v>
      </c>
      <c r="N60" s="142" t="s">
        <v>388</v>
      </c>
      <c r="O60" s="142"/>
      <c r="P60" s="142" t="s">
        <v>386</v>
      </c>
      <c r="Q60" s="142" t="s">
        <v>917</v>
      </c>
      <c r="R60" s="142" t="s">
        <v>918</v>
      </c>
      <c r="S60" s="142" t="s">
        <v>83</v>
      </c>
    </row>
    <row r="61" spans="1:19">
      <c r="A61" s="142" t="s">
        <v>1122</v>
      </c>
      <c r="B61" s="142" t="s">
        <v>1123</v>
      </c>
      <c r="C61" s="142" t="s">
        <v>910</v>
      </c>
      <c r="D61" s="143">
        <v>0</v>
      </c>
      <c r="E61" s="142" t="s">
        <v>1124</v>
      </c>
      <c r="F61" s="142" t="s">
        <v>53</v>
      </c>
      <c r="G61" s="142" t="s">
        <v>962</v>
      </c>
      <c r="H61" s="142" t="s">
        <v>327</v>
      </c>
      <c r="I61" s="142" t="s">
        <v>382</v>
      </c>
      <c r="J61" s="142" t="s">
        <v>913</v>
      </c>
      <c r="K61" s="142" t="s">
        <v>914</v>
      </c>
      <c r="L61" s="142" t="s">
        <v>1125</v>
      </c>
      <c r="M61" s="142" t="s">
        <v>916</v>
      </c>
      <c r="N61" s="142" t="s">
        <v>388</v>
      </c>
      <c r="O61" s="142"/>
      <c r="P61" s="142" t="s">
        <v>386</v>
      </c>
      <c r="Q61" s="142" t="s">
        <v>917</v>
      </c>
      <c r="R61" s="142" t="s">
        <v>985</v>
      </c>
      <c r="S61" s="142" t="s">
        <v>53</v>
      </c>
    </row>
    <row r="62" spans="1:19">
      <c r="A62" s="142" t="s">
        <v>1126</v>
      </c>
      <c r="B62" s="142" t="s">
        <v>1127</v>
      </c>
      <c r="C62" s="142" t="s">
        <v>910</v>
      </c>
      <c r="D62" s="143">
        <v>0</v>
      </c>
      <c r="E62" s="142" t="s">
        <v>1128</v>
      </c>
      <c r="F62" s="142" t="s">
        <v>187</v>
      </c>
      <c r="G62" s="142" t="s">
        <v>962</v>
      </c>
      <c r="H62" s="142" t="s">
        <v>327</v>
      </c>
      <c r="I62" s="142" t="s">
        <v>382</v>
      </c>
      <c r="J62" s="142" t="s">
        <v>913</v>
      </c>
      <c r="K62" s="142" t="s">
        <v>914</v>
      </c>
      <c r="L62" s="142" t="s">
        <v>970</v>
      </c>
      <c r="M62" s="142" t="s">
        <v>916</v>
      </c>
      <c r="N62" s="142" t="s">
        <v>388</v>
      </c>
      <c r="O62" s="142"/>
      <c r="P62" s="142" t="s">
        <v>386</v>
      </c>
      <c r="Q62" s="142" t="s">
        <v>917</v>
      </c>
      <c r="R62" s="142" t="s">
        <v>1129</v>
      </c>
      <c r="S62" s="142" t="s">
        <v>63</v>
      </c>
    </row>
    <row r="63" spans="1:19">
      <c r="A63" s="142" t="s">
        <v>1130</v>
      </c>
      <c r="B63" s="142" t="s">
        <v>1131</v>
      </c>
      <c r="C63" s="142" t="s">
        <v>910</v>
      </c>
      <c r="D63" s="143">
        <v>0</v>
      </c>
      <c r="E63" s="142" t="s">
        <v>1128</v>
      </c>
      <c r="F63" s="142" t="s">
        <v>55</v>
      </c>
      <c r="G63" s="142" t="s">
        <v>962</v>
      </c>
      <c r="H63" s="142" t="s">
        <v>327</v>
      </c>
      <c r="I63" s="142" t="s">
        <v>382</v>
      </c>
      <c r="J63" s="142" t="s">
        <v>913</v>
      </c>
      <c r="K63" s="142" t="s">
        <v>914</v>
      </c>
      <c r="L63" s="142" t="s">
        <v>970</v>
      </c>
      <c r="M63" s="142" t="s">
        <v>916</v>
      </c>
      <c r="N63" s="142" t="s">
        <v>388</v>
      </c>
      <c r="O63" s="142"/>
      <c r="P63" s="142" t="s">
        <v>386</v>
      </c>
      <c r="Q63" s="142" t="s">
        <v>917</v>
      </c>
      <c r="R63" s="142" t="s">
        <v>1117</v>
      </c>
      <c r="S63" s="142" t="s">
        <v>71</v>
      </c>
    </row>
    <row r="64" spans="1:19">
      <c r="A64" s="142" t="s">
        <v>1132</v>
      </c>
      <c r="B64" s="142" t="s">
        <v>1133</v>
      </c>
      <c r="C64" s="142" t="s">
        <v>910</v>
      </c>
      <c r="D64" s="143">
        <v>0</v>
      </c>
      <c r="E64" s="142" t="s">
        <v>1134</v>
      </c>
      <c r="F64" s="142" t="s">
        <v>55</v>
      </c>
      <c r="G64" s="142" t="s">
        <v>962</v>
      </c>
      <c r="H64" s="142" t="s">
        <v>327</v>
      </c>
      <c r="I64" s="142" t="s">
        <v>382</v>
      </c>
      <c r="J64" s="142" t="s">
        <v>913</v>
      </c>
      <c r="K64" s="142" t="s">
        <v>914</v>
      </c>
      <c r="L64" s="142" t="s">
        <v>1135</v>
      </c>
      <c r="M64" s="142" t="s">
        <v>916</v>
      </c>
      <c r="N64" s="142" t="s">
        <v>388</v>
      </c>
      <c r="O64" s="142"/>
      <c r="P64" s="142" t="s">
        <v>386</v>
      </c>
      <c r="Q64" s="142" t="s">
        <v>917</v>
      </c>
      <c r="R64" s="142" t="s">
        <v>1136</v>
      </c>
      <c r="S64" s="142" t="s">
        <v>71</v>
      </c>
    </row>
    <row r="65" spans="1:19">
      <c r="A65" s="142" t="s">
        <v>1137</v>
      </c>
      <c r="B65" s="142" t="s">
        <v>1138</v>
      </c>
      <c r="C65" s="142" t="s">
        <v>910</v>
      </c>
      <c r="D65" s="143">
        <v>0</v>
      </c>
      <c r="E65" s="142" t="s">
        <v>1139</v>
      </c>
      <c r="F65" s="142" t="s">
        <v>53</v>
      </c>
      <c r="G65" s="142" t="s">
        <v>962</v>
      </c>
      <c r="H65" s="142" t="s">
        <v>327</v>
      </c>
      <c r="I65" s="142" t="s">
        <v>382</v>
      </c>
      <c r="J65" s="142" t="s">
        <v>913</v>
      </c>
      <c r="K65" s="142" t="s">
        <v>914</v>
      </c>
      <c r="L65" s="142" t="s">
        <v>915</v>
      </c>
      <c r="M65" s="142" t="s">
        <v>916</v>
      </c>
      <c r="N65" s="142" t="s">
        <v>388</v>
      </c>
      <c r="O65" s="142"/>
      <c r="P65" s="142" t="s">
        <v>386</v>
      </c>
      <c r="Q65" s="142" t="s">
        <v>917</v>
      </c>
      <c r="R65" s="142" t="s">
        <v>1140</v>
      </c>
      <c r="S65" s="142" t="s">
        <v>53</v>
      </c>
    </row>
    <row r="66" spans="1:19">
      <c r="A66" s="142" t="s">
        <v>1141</v>
      </c>
      <c r="B66" s="142" t="s">
        <v>1142</v>
      </c>
      <c r="C66" s="142" t="s">
        <v>910</v>
      </c>
      <c r="D66" s="143">
        <v>0</v>
      </c>
      <c r="E66" s="142" t="s">
        <v>1139</v>
      </c>
      <c r="F66" s="142" t="s">
        <v>121</v>
      </c>
      <c r="G66" s="142" t="s">
        <v>962</v>
      </c>
      <c r="H66" s="142" t="s">
        <v>327</v>
      </c>
      <c r="I66" s="142" t="s">
        <v>382</v>
      </c>
      <c r="J66" s="142" t="s">
        <v>913</v>
      </c>
      <c r="K66" s="142" t="s">
        <v>914</v>
      </c>
      <c r="L66" s="142" t="s">
        <v>915</v>
      </c>
      <c r="M66" s="142" t="s">
        <v>916</v>
      </c>
      <c r="N66" s="142" t="s">
        <v>388</v>
      </c>
      <c r="O66" s="142"/>
      <c r="P66" s="142" t="s">
        <v>386</v>
      </c>
      <c r="Q66" s="142" t="s">
        <v>917</v>
      </c>
      <c r="R66" s="142" t="s">
        <v>1104</v>
      </c>
      <c r="S66" s="142" t="s">
        <v>121</v>
      </c>
    </row>
    <row r="67" spans="1:19">
      <c r="A67" s="142" t="s">
        <v>1143</v>
      </c>
      <c r="B67" s="142" t="s">
        <v>1144</v>
      </c>
      <c r="C67" s="142" t="s">
        <v>910</v>
      </c>
      <c r="D67" s="143">
        <v>0</v>
      </c>
      <c r="E67" s="142" t="s">
        <v>1139</v>
      </c>
      <c r="F67" s="142" t="s">
        <v>71</v>
      </c>
      <c r="G67" s="142" t="s">
        <v>962</v>
      </c>
      <c r="H67" s="142" t="s">
        <v>327</v>
      </c>
      <c r="I67" s="142" t="s">
        <v>382</v>
      </c>
      <c r="J67" s="142" t="s">
        <v>913</v>
      </c>
      <c r="K67" s="142" t="s">
        <v>914</v>
      </c>
      <c r="L67" s="142" t="s">
        <v>915</v>
      </c>
      <c r="M67" s="142" t="s">
        <v>916</v>
      </c>
      <c r="N67" s="142" t="s">
        <v>388</v>
      </c>
      <c r="O67" s="142"/>
      <c r="P67" s="142" t="s">
        <v>386</v>
      </c>
      <c r="Q67" s="142" t="s">
        <v>917</v>
      </c>
      <c r="R67" s="142" t="s">
        <v>1145</v>
      </c>
      <c r="S67" s="142" t="s">
        <v>71</v>
      </c>
    </row>
    <row r="68" spans="1:19">
      <c r="A68" s="142" t="s">
        <v>1146</v>
      </c>
      <c r="B68" s="142" t="s">
        <v>1147</v>
      </c>
      <c r="C68" s="142" t="s">
        <v>910</v>
      </c>
      <c r="D68" s="143">
        <v>0</v>
      </c>
      <c r="E68" s="142" t="s">
        <v>1148</v>
      </c>
      <c r="F68" s="142" t="s">
        <v>53</v>
      </c>
      <c r="G68" s="142" t="s">
        <v>962</v>
      </c>
      <c r="H68" s="142" t="s">
        <v>327</v>
      </c>
      <c r="I68" s="142" t="s">
        <v>382</v>
      </c>
      <c r="J68" s="142" t="s">
        <v>913</v>
      </c>
      <c r="K68" s="142" t="s">
        <v>914</v>
      </c>
      <c r="L68" s="142" t="s">
        <v>1149</v>
      </c>
      <c r="M68" s="142" t="s">
        <v>916</v>
      </c>
      <c r="N68" s="142" t="s">
        <v>388</v>
      </c>
      <c r="O68" s="142"/>
      <c r="P68" s="142" t="s">
        <v>386</v>
      </c>
      <c r="Q68" s="142" t="s">
        <v>917</v>
      </c>
      <c r="R68" s="142" t="s">
        <v>1150</v>
      </c>
      <c r="S68" s="142" t="s">
        <v>53</v>
      </c>
    </row>
    <row r="69" spans="1:19">
      <c r="A69" s="142" t="s">
        <v>1151</v>
      </c>
      <c r="B69" s="142" t="s">
        <v>1152</v>
      </c>
      <c r="C69" s="142" t="s">
        <v>910</v>
      </c>
      <c r="D69" s="143">
        <v>0</v>
      </c>
      <c r="E69" s="142" t="s">
        <v>1153</v>
      </c>
      <c r="F69" s="142" t="s">
        <v>306</v>
      </c>
      <c r="G69" s="142" t="s">
        <v>962</v>
      </c>
      <c r="H69" s="142" t="s">
        <v>327</v>
      </c>
      <c r="I69" s="142" t="s">
        <v>382</v>
      </c>
      <c r="J69" s="142" t="s">
        <v>913</v>
      </c>
      <c r="K69" s="142" t="s">
        <v>914</v>
      </c>
      <c r="L69" s="142" t="s">
        <v>1154</v>
      </c>
      <c r="M69" s="142" t="s">
        <v>916</v>
      </c>
      <c r="N69" s="142" t="s">
        <v>388</v>
      </c>
      <c r="O69" s="142"/>
      <c r="P69" s="142" t="s">
        <v>386</v>
      </c>
      <c r="Q69" s="142" t="s">
        <v>917</v>
      </c>
      <c r="R69" s="142" t="s">
        <v>971</v>
      </c>
      <c r="S69" s="142" t="s">
        <v>53</v>
      </c>
    </row>
    <row r="70" spans="1:19">
      <c r="A70" s="142" t="s">
        <v>1155</v>
      </c>
      <c r="B70" s="142" t="s">
        <v>1156</v>
      </c>
      <c r="C70" s="142" t="s">
        <v>910</v>
      </c>
      <c r="D70" s="143">
        <v>0</v>
      </c>
      <c r="E70" s="142" t="s">
        <v>1153</v>
      </c>
      <c r="F70" s="142" t="s">
        <v>877</v>
      </c>
      <c r="G70" s="142" t="s">
        <v>962</v>
      </c>
      <c r="H70" s="142" t="s">
        <v>327</v>
      </c>
      <c r="I70" s="142" t="s">
        <v>382</v>
      </c>
      <c r="J70" s="142" t="s">
        <v>913</v>
      </c>
      <c r="K70" s="142" t="s">
        <v>914</v>
      </c>
      <c r="L70" s="142" t="s">
        <v>1154</v>
      </c>
      <c r="M70" s="142" t="s">
        <v>916</v>
      </c>
      <c r="N70" s="142" t="s">
        <v>388</v>
      </c>
      <c r="O70" s="142"/>
      <c r="P70" s="142" t="s">
        <v>386</v>
      </c>
      <c r="Q70" s="142" t="s">
        <v>917</v>
      </c>
      <c r="R70" s="142" t="s">
        <v>1100</v>
      </c>
      <c r="S70" s="142" t="s">
        <v>83</v>
      </c>
    </row>
    <row r="71" spans="1:19">
      <c r="A71" s="142" t="s">
        <v>1157</v>
      </c>
      <c r="B71" s="142" t="s">
        <v>1158</v>
      </c>
      <c r="C71" s="142" t="s">
        <v>910</v>
      </c>
      <c r="D71" s="143">
        <v>0</v>
      </c>
      <c r="E71" s="142" t="s">
        <v>1153</v>
      </c>
      <c r="F71" s="142" t="s">
        <v>278</v>
      </c>
      <c r="G71" s="142" t="s">
        <v>962</v>
      </c>
      <c r="H71" s="142" t="s">
        <v>327</v>
      </c>
      <c r="I71" s="142" t="s">
        <v>382</v>
      </c>
      <c r="J71" s="142" t="s">
        <v>913</v>
      </c>
      <c r="K71" s="142" t="s">
        <v>914</v>
      </c>
      <c r="L71" s="142" t="s">
        <v>1154</v>
      </c>
      <c r="M71" s="142" t="s">
        <v>916</v>
      </c>
      <c r="N71" s="142" t="s">
        <v>388</v>
      </c>
      <c r="O71" s="142"/>
      <c r="P71" s="142" t="s">
        <v>386</v>
      </c>
      <c r="Q71" s="142" t="s">
        <v>917</v>
      </c>
      <c r="R71" s="142" t="s">
        <v>1159</v>
      </c>
      <c r="S71" s="142" t="s">
        <v>83</v>
      </c>
    </row>
    <row r="72" spans="1:19">
      <c r="A72" s="142" t="s">
        <v>1160</v>
      </c>
      <c r="B72" s="142" t="s">
        <v>1161</v>
      </c>
      <c r="C72" s="142" t="s">
        <v>910</v>
      </c>
      <c r="D72" s="143">
        <v>0</v>
      </c>
      <c r="E72" s="142" t="s">
        <v>1153</v>
      </c>
      <c r="F72" s="142" t="s">
        <v>254</v>
      </c>
      <c r="G72" s="142" t="s">
        <v>962</v>
      </c>
      <c r="H72" s="142" t="s">
        <v>327</v>
      </c>
      <c r="I72" s="142" t="s">
        <v>382</v>
      </c>
      <c r="J72" s="142" t="s">
        <v>913</v>
      </c>
      <c r="K72" s="142" t="s">
        <v>914</v>
      </c>
      <c r="L72" s="142" t="s">
        <v>1154</v>
      </c>
      <c r="M72" s="142" t="s">
        <v>916</v>
      </c>
      <c r="N72" s="142" t="s">
        <v>388</v>
      </c>
      <c r="O72" s="142"/>
      <c r="P72" s="142" t="s">
        <v>386</v>
      </c>
      <c r="Q72" s="142" t="s">
        <v>917</v>
      </c>
      <c r="R72" s="142" t="s">
        <v>1162</v>
      </c>
      <c r="S72" s="142" t="s">
        <v>71</v>
      </c>
    </row>
    <row r="73" spans="1:19">
      <c r="A73" s="142" t="s">
        <v>1163</v>
      </c>
      <c r="B73" s="142" t="s">
        <v>1164</v>
      </c>
      <c r="C73" s="142" t="s">
        <v>910</v>
      </c>
      <c r="D73" s="143">
        <v>0</v>
      </c>
      <c r="E73" s="142" t="s">
        <v>1165</v>
      </c>
      <c r="F73" s="142" t="s">
        <v>53</v>
      </c>
      <c r="G73" s="142" t="s">
        <v>962</v>
      </c>
      <c r="H73" s="142" t="s">
        <v>327</v>
      </c>
      <c r="I73" s="142" t="s">
        <v>382</v>
      </c>
      <c r="J73" s="142" t="s">
        <v>913</v>
      </c>
      <c r="K73" s="142" t="s">
        <v>914</v>
      </c>
      <c r="L73" s="142" t="s">
        <v>934</v>
      </c>
      <c r="M73" s="142" t="s">
        <v>916</v>
      </c>
      <c r="N73" s="142" t="s">
        <v>388</v>
      </c>
      <c r="O73" s="142"/>
      <c r="P73" s="142" t="s">
        <v>386</v>
      </c>
      <c r="Q73" s="142" t="s">
        <v>917</v>
      </c>
      <c r="R73" s="142" t="s">
        <v>947</v>
      </c>
      <c r="S73" s="142" t="s">
        <v>53</v>
      </c>
    </row>
    <row r="74" spans="1:19">
      <c r="A74" s="142" t="s">
        <v>1166</v>
      </c>
      <c r="B74" s="142" t="s">
        <v>1167</v>
      </c>
      <c r="C74" s="142" t="s">
        <v>910</v>
      </c>
      <c r="D74" s="143">
        <v>0</v>
      </c>
      <c r="E74" s="142" t="s">
        <v>1165</v>
      </c>
      <c r="F74" s="142" t="s">
        <v>83</v>
      </c>
      <c r="G74" s="142" t="s">
        <v>962</v>
      </c>
      <c r="H74" s="142" t="s">
        <v>327</v>
      </c>
      <c r="I74" s="142" t="s">
        <v>382</v>
      </c>
      <c r="J74" s="142" t="s">
        <v>913</v>
      </c>
      <c r="K74" s="142" t="s">
        <v>914</v>
      </c>
      <c r="L74" s="142" t="s">
        <v>934</v>
      </c>
      <c r="M74" s="142" t="s">
        <v>916</v>
      </c>
      <c r="N74" s="142" t="s">
        <v>388</v>
      </c>
      <c r="O74" s="142"/>
      <c r="P74" s="142" t="s">
        <v>386</v>
      </c>
      <c r="Q74" s="142" t="s">
        <v>917</v>
      </c>
      <c r="R74" s="142" t="s">
        <v>1168</v>
      </c>
      <c r="S74" s="142" t="s">
        <v>83</v>
      </c>
    </row>
    <row r="75" spans="1:19">
      <c r="A75" s="142" t="s">
        <v>1169</v>
      </c>
      <c r="B75" s="142" t="s">
        <v>1170</v>
      </c>
      <c r="C75" s="142" t="s">
        <v>910</v>
      </c>
      <c r="D75" s="143">
        <v>0</v>
      </c>
      <c r="E75" s="142" t="s">
        <v>1165</v>
      </c>
      <c r="F75" s="142" t="s">
        <v>55</v>
      </c>
      <c r="G75" s="142" t="s">
        <v>962</v>
      </c>
      <c r="H75" s="142" t="s">
        <v>327</v>
      </c>
      <c r="I75" s="142" t="s">
        <v>382</v>
      </c>
      <c r="J75" s="142" t="s">
        <v>913</v>
      </c>
      <c r="K75" s="142" t="s">
        <v>914</v>
      </c>
      <c r="L75" s="142" t="s">
        <v>934</v>
      </c>
      <c r="M75" s="142" t="s">
        <v>916</v>
      </c>
      <c r="N75" s="142" t="s">
        <v>388</v>
      </c>
      <c r="O75" s="142"/>
      <c r="P75" s="142" t="s">
        <v>386</v>
      </c>
      <c r="Q75" s="142" t="s">
        <v>917</v>
      </c>
      <c r="R75" s="142" t="s">
        <v>1117</v>
      </c>
      <c r="S75" s="142" t="s">
        <v>71</v>
      </c>
    </row>
    <row r="76" spans="1:19">
      <c r="A76" s="142" t="s">
        <v>1171</v>
      </c>
      <c r="B76" s="142" t="s">
        <v>1172</v>
      </c>
      <c r="C76" s="142" t="s">
        <v>910</v>
      </c>
      <c r="D76" s="143">
        <v>0</v>
      </c>
      <c r="E76" s="142" t="s">
        <v>1165</v>
      </c>
      <c r="F76" s="142" t="s">
        <v>121</v>
      </c>
      <c r="G76" s="142" t="s">
        <v>962</v>
      </c>
      <c r="H76" s="142" t="s">
        <v>327</v>
      </c>
      <c r="I76" s="142" t="s">
        <v>382</v>
      </c>
      <c r="J76" s="142" t="s">
        <v>913</v>
      </c>
      <c r="K76" s="142" t="s">
        <v>914</v>
      </c>
      <c r="L76" s="142" t="s">
        <v>934</v>
      </c>
      <c r="M76" s="142" t="s">
        <v>916</v>
      </c>
      <c r="N76" s="142" t="s">
        <v>388</v>
      </c>
      <c r="O76" s="142"/>
      <c r="P76" s="142" t="s">
        <v>386</v>
      </c>
      <c r="Q76" s="142" t="s">
        <v>917</v>
      </c>
      <c r="R76" s="142" t="s">
        <v>1104</v>
      </c>
      <c r="S76" s="142" t="s">
        <v>121</v>
      </c>
    </row>
    <row r="77" spans="1:19">
      <c r="A77" s="142" t="s">
        <v>1173</v>
      </c>
      <c r="B77" s="142" t="s">
        <v>1174</v>
      </c>
      <c r="C77" s="142" t="s">
        <v>910</v>
      </c>
      <c r="D77" s="143">
        <v>0</v>
      </c>
      <c r="E77" s="142" t="s">
        <v>1165</v>
      </c>
      <c r="F77" s="142" t="s">
        <v>78</v>
      </c>
      <c r="G77" s="142" t="s">
        <v>962</v>
      </c>
      <c r="H77" s="142" t="s">
        <v>327</v>
      </c>
      <c r="I77" s="142" t="s">
        <v>382</v>
      </c>
      <c r="J77" s="142" t="s">
        <v>913</v>
      </c>
      <c r="K77" s="142" t="s">
        <v>914</v>
      </c>
      <c r="L77" s="142" t="s">
        <v>934</v>
      </c>
      <c r="M77" s="142" t="s">
        <v>916</v>
      </c>
      <c r="N77" s="142" t="s">
        <v>388</v>
      </c>
      <c r="O77" s="142"/>
      <c r="P77" s="142" t="s">
        <v>386</v>
      </c>
      <c r="Q77" s="142" t="s">
        <v>917</v>
      </c>
      <c r="R77" s="142" t="s">
        <v>1175</v>
      </c>
      <c r="S77" s="142" t="s">
        <v>78</v>
      </c>
    </row>
    <row r="78" spans="1:19">
      <c r="A78" s="142" t="s">
        <v>1176</v>
      </c>
      <c r="B78" s="142" t="s">
        <v>1177</v>
      </c>
      <c r="C78" s="142" t="s">
        <v>910</v>
      </c>
      <c r="D78" s="143">
        <v>0</v>
      </c>
      <c r="E78" s="142" t="s">
        <v>1178</v>
      </c>
      <c r="F78" s="142" t="s">
        <v>53</v>
      </c>
      <c r="G78" s="142" t="s">
        <v>962</v>
      </c>
      <c r="H78" s="142" t="s">
        <v>327</v>
      </c>
      <c r="I78" s="142" t="s">
        <v>382</v>
      </c>
      <c r="J78" s="142" t="s">
        <v>913</v>
      </c>
      <c r="K78" s="142" t="s">
        <v>914</v>
      </c>
      <c r="L78" s="142" t="s">
        <v>1006</v>
      </c>
      <c r="M78" s="142" t="s">
        <v>916</v>
      </c>
      <c r="N78" s="142" t="s">
        <v>388</v>
      </c>
      <c r="O78" s="142"/>
      <c r="P78" s="142" t="s">
        <v>386</v>
      </c>
      <c r="Q78" s="142" t="s">
        <v>917</v>
      </c>
      <c r="R78" s="142" t="s">
        <v>1179</v>
      </c>
      <c r="S78" s="142" t="s">
        <v>53</v>
      </c>
    </row>
    <row r="79" spans="1:19">
      <c r="A79" s="142" t="s">
        <v>1180</v>
      </c>
      <c r="B79" s="142" t="s">
        <v>1181</v>
      </c>
      <c r="C79" s="142" t="s">
        <v>910</v>
      </c>
      <c r="D79" s="143">
        <v>0</v>
      </c>
      <c r="E79" s="142" t="s">
        <v>1178</v>
      </c>
      <c r="F79" s="142" t="s">
        <v>269</v>
      </c>
      <c r="G79" s="142" t="s">
        <v>962</v>
      </c>
      <c r="H79" s="142" t="s">
        <v>327</v>
      </c>
      <c r="I79" s="142" t="s">
        <v>382</v>
      </c>
      <c r="J79" s="142" t="s">
        <v>913</v>
      </c>
      <c r="K79" s="142" t="s">
        <v>914</v>
      </c>
      <c r="L79" s="142" t="s">
        <v>1006</v>
      </c>
      <c r="M79" s="142" t="s">
        <v>916</v>
      </c>
      <c r="N79" s="142" t="s">
        <v>388</v>
      </c>
      <c r="O79" s="142"/>
      <c r="P79" s="142" t="s">
        <v>386</v>
      </c>
      <c r="Q79" s="142" t="s">
        <v>917</v>
      </c>
      <c r="R79" s="142" t="s">
        <v>1182</v>
      </c>
      <c r="S79" s="142" t="s">
        <v>60</v>
      </c>
    </row>
    <row r="80" spans="1:19">
      <c r="A80" s="142" t="s">
        <v>1183</v>
      </c>
      <c r="B80" s="142" t="s">
        <v>1184</v>
      </c>
      <c r="C80" s="142" t="s">
        <v>910</v>
      </c>
      <c r="D80" s="143">
        <v>0</v>
      </c>
      <c r="E80" s="142" t="s">
        <v>1185</v>
      </c>
      <c r="F80" s="142" t="s">
        <v>53</v>
      </c>
      <c r="G80" s="142" t="s">
        <v>962</v>
      </c>
      <c r="H80" s="142" t="s">
        <v>327</v>
      </c>
      <c r="I80" s="142" t="s">
        <v>382</v>
      </c>
      <c r="J80" s="142" t="s">
        <v>913</v>
      </c>
      <c r="K80" s="142" t="s">
        <v>914</v>
      </c>
      <c r="L80" s="142" t="s">
        <v>1052</v>
      </c>
      <c r="M80" s="142" t="s">
        <v>916</v>
      </c>
      <c r="N80" s="142" t="s">
        <v>388</v>
      </c>
      <c r="O80" s="142"/>
      <c r="P80" s="142" t="s">
        <v>386</v>
      </c>
      <c r="Q80" s="142" t="s">
        <v>917</v>
      </c>
      <c r="R80" s="142" t="s">
        <v>1140</v>
      </c>
      <c r="S80" s="142" t="s">
        <v>53</v>
      </c>
    </row>
    <row r="81" spans="1:19">
      <c r="A81" s="142" t="s">
        <v>1186</v>
      </c>
      <c r="B81" s="142" t="s">
        <v>1187</v>
      </c>
      <c r="C81" s="142" t="s">
        <v>910</v>
      </c>
      <c r="D81" s="143">
        <v>0</v>
      </c>
      <c r="E81" s="142" t="s">
        <v>1185</v>
      </c>
      <c r="F81" s="142" t="s">
        <v>78</v>
      </c>
      <c r="G81" s="142" t="s">
        <v>962</v>
      </c>
      <c r="H81" s="142" t="s">
        <v>327</v>
      </c>
      <c r="I81" s="142" t="s">
        <v>382</v>
      </c>
      <c r="J81" s="142" t="s">
        <v>913</v>
      </c>
      <c r="K81" s="142" t="s">
        <v>914</v>
      </c>
      <c r="L81" s="142" t="s">
        <v>1052</v>
      </c>
      <c r="M81" s="142" t="s">
        <v>916</v>
      </c>
      <c r="N81" s="142" t="s">
        <v>388</v>
      </c>
      <c r="O81" s="142"/>
      <c r="P81" s="142" t="s">
        <v>386</v>
      </c>
      <c r="Q81" s="142" t="s">
        <v>917</v>
      </c>
      <c r="R81" s="142" t="s">
        <v>1188</v>
      </c>
      <c r="S81" s="142" t="s">
        <v>78</v>
      </c>
    </row>
    <row r="82" spans="1:19">
      <c r="A82" s="142" t="s">
        <v>1189</v>
      </c>
      <c r="B82" s="142" t="s">
        <v>1190</v>
      </c>
      <c r="C82" s="142" t="s">
        <v>910</v>
      </c>
      <c r="D82" s="143">
        <v>0</v>
      </c>
      <c r="E82" s="142" t="s">
        <v>1191</v>
      </c>
      <c r="F82" s="142" t="s">
        <v>53</v>
      </c>
      <c r="G82" s="142" t="s">
        <v>962</v>
      </c>
      <c r="H82" s="142" t="s">
        <v>327</v>
      </c>
      <c r="I82" s="142" t="s">
        <v>382</v>
      </c>
      <c r="J82" s="142" t="s">
        <v>913</v>
      </c>
      <c r="K82" s="142" t="s">
        <v>914</v>
      </c>
      <c r="L82" s="142" t="s">
        <v>1091</v>
      </c>
      <c r="M82" s="142" t="s">
        <v>916</v>
      </c>
      <c r="N82" s="142" t="s">
        <v>388</v>
      </c>
      <c r="O82" s="142"/>
      <c r="P82" s="142" t="s">
        <v>386</v>
      </c>
      <c r="Q82" s="142" t="s">
        <v>917</v>
      </c>
      <c r="R82" s="142" t="s">
        <v>1140</v>
      </c>
      <c r="S82" s="142" t="s">
        <v>53</v>
      </c>
    </row>
    <row r="83" spans="1:19">
      <c r="A83" s="142" t="s">
        <v>1192</v>
      </c>
      <c r="B83" s="142" t="s">
        <v>1193</v>
      </c>
      <c r="C83" s="142" t="s">
        <v>910</v>
      </c>
      <c r="D83" s="143">
        <v>0</v>
      </c>
      <c r="E83" s="142" t="s">
        <v>1191</v>
      </c>
      <c r="F83" s="142" t="s">
        <v>293</v>
      </c>
      <c r="G83" s="142" t="s">
        <v>962</v>
      </c>
      <c r="H83" s="142" t="s">
        <v>327</v>
      </c>
      <c r="I83" s="142" t="s">
        <v>382</v>
      </c>
      <c r="J83" s="142" t="s">
        <v>913</v>
      </c>
      <c r="K83" s="142" t="s">
        <v>914</v>
      </c>
      <c r="L83" s="142" t="s">
        <v>1091</v>
      </c>
      <c r="M83" s="142" t="s">
        <v>916</v>
      </c>
      <c r="N83" s="142" t="s">
        <v>388</v>
      </c>
      <c r="O83" s="142"/>
      <c r="P83" s="142" t="s">
        <v>386</v>
      </c>
      <c r="Q83" s="142" t="s">
        <v>917</v>
      </c>
      <c r="R83" s="142" t="s">
        <v>1194</v>
      </c>
      <c r="S83" s="142" t="s">
        <v>53</v>
      </c>
    </row>
    <row r="84" spans="1:19">
      <c r="A84" s="142" t="s">
        <v>1195</v>
      </c>
      <c r="B84" s="142" t="s">
        <v>1196</v>
      </c>
      <c r="C84" s="142" t="s">
        <v>910</v>
      </c>
      <c r="D84" s="143">
        <v>0</v>
      </c>
      <c r="E84" s="142" t="s">
        <v>1197</v>
      </c>
      <c r="F84" s="142" t="s">
        <v>53</v>
      </c>
      <c r="G84" s="142" t="s">
        <v>962</v>
      </c>
      <c r="H84" s="142" t="s">
        <v>327</v>
      </c>
      <c r="I84" s="142" t="s">
        <v>382</v>
      </c>
      <c r="J84" s="142" t="s">
        <v>913</v>
      </c>
      <c r="K84" s="142" t="s">
        <v>914</v>
      </c>
      <c r="L84" s="142" t="s">
        <v>1198</v>
      </c>
      <c r="M84" s="142" t="s">
        <v>916</v>
      </c>
      <c r="N84" s="142" t="s">
        <v>388</v>
      </c>
      <c r="O84" s="142"/>
      <c r="P84" s="142" t="s">
        <v>386</v>
      </c>
      <c r="Q84" s="142" t="s">
        <v>917</v>
      </c>
      <c r="R84" s="142" t="s">
        <v>979</v>
      </c>
      <c r="S84" s="142" t="s">
        <v>53</v>
      </c>
    </row>
    <row r="85" spans="1:19">
      <c r="A85" s="142" t="s">
        <v>1199</v>
      </c>
      <c r="B85" s="142" t="s">
        <v>1200</v>
      </c>
      <c r="C85" s="142" t="s">
        <v>910</v>
      </c>
      <c r="D85" s="143">
        <v>0</v>
      </c>
      <c r="E85" s="142" t="s">
        <v>1201</v>
      </c>
      <c r="F85" s="142" t="s">
        <v>53</v>
      </c>
      <c r="G85" s="142" t="s">
        <v>962</v>
      </c>
      <c r="H85" s="142" t="s">
        <v>327</v>
      </c>
      <c r="I85" s="142" t="s">
        <v>382</v>
      </c>
      <c r="J85" s="142" t="s">
        <v>913</v>
      </c>
      <c r="K85" s="142" t="s">
        <v>914</v>
      </c>
      <c r="L85" s="142" t="s">
        <v>1202</v>
      </c>
      <c r="M85" s="142" t="s">
        <v>916</v>
      </c>
      <c r="N85" s="142" t="s">
        <v>388</v>
      </c>
      <c r="O85" s="142"/>
      <c r="P85" s="142" t="s">
        <v>386</v>
      </c>
      <c r="Q85" s="142" t="s">
        <v>917</v>
      </c>
      <c r="R85" s="142" t="s">
        <v>1203</v>
      </c>
      <c r="S85" s="142" t="s">
        <v>53</v>
      </c>
    </row>
    <row r="86" spans="1:19">
      <c r="A86" s="142" t="s">
        <v>1204</v>
      </c>
      <c r="B86" s="142" t="s">
        <v>1205</v>
      </c>
      <c r="C86" s="142" t="s">
        <v>910</v>
      </c>
      <c r="D86" s="143">
        <v>0</v>
      </c>
      <c r="E86" s="142" t="s">
        <v>1201</v>
      </c>
      <c r="F86" s="142" t="s">
        <v>55</v>
      </c>
      <c r="G86" s="142" t="s">
        <v>962</v>
      </c>
      <c r="H86" s="142" t="s">
        <v>327</v>
      </c>
      <c r="I86" s="142" t="s">
        <v>382</v>
      </c>
      <c r="J86" s="142" t="s">
        <v>913</v>
      </c>
      <c r="K86" s="142" t="s">
        <v>914</v>
      </c>
      <c r="L86" s="142" t="s">
        <v>1202</v>
      </c>
      <c r="M86" s="142" t="s">
        <v>916</v>
      </c>
      <c r="N86" s="142" t="s">
        <v>388</v>
      </c>
      <c r="O86" s="142"/>
      <c r="P86" s="142" t="s">
        <v>386</v>
      </c>
      <c r="Q86" s="142" t="s">
        <v>917</v>
      </c>
      <c r="R86" s="142" t="s">
        <v>1206</v>
      </c>
      <c r="S86" s="142" t="s">
        <v>71</v>
      </c>
    </row>
    <row r="87" spans="1:19">
      <c r="A87" s="142" t="s">
        <v>1207</v>
      </c>
      <c r="B87" s="142" t="s">
        <v>1208</v>
      </c>
      <c r="C87" s="142" t="s">
        <v>910</v>
      </c>
      <c r="D87" s="143">
        <v>0</v>
      </c>
      <c r="E87" s="142" t="s">
        <v>1209</v>
      </c>
      <c r="F87" s="142" t="s">
        <v>53</v>
      </c>
      <c r="G87" s="142" t="s">
        <v>962</v>
      </c>
      <c r="H87" s="142" t="s">
        <v>327</v>
      </c>
      <c r="I87" s="142" t="s">
        <v>382</v>
      </c>
      <c r="J87" s="142" t="s">
        <v>913</v>
      </c>
      <c r="K87" s="142" t="s">
        <v>914</v>
      </c>
      <c r="L87" s="142" t="s">
        <v>1013</v>
      </c>
      <c r="M87" s="142" t="s">
        <v>916</v>
      </c>
      <c r="N87" s="142" t="s">
        <v>388</v>
      </c>
      <c r="O87" s="142"/>
      <c r="P87" s="142" t="s">
        <v>386</v>
      </c>
      <c r="Q87" s="142" t="s">
        <v>917</v>
      </c>
      <c r="R87" s="142" t="s">
        <v>947</v>
      </c>
      <c r="S87" s="142" t="s">
        <v>53</v>
      </c>
    </row>
    <row r="88" spans="1:19">
      <c r="A88" s="142" t="s">
        <v>1210</v>
      </c>
      <c r="B88" s="142" t="s">
        <v>1211</v>
      </c>
      <c r="C88" s="142" t="s">
        <v>910</v>
      </c>
      <c r="D88" s="143">
        <v>0</v>
      </c>
      <c r="E88" s="142" t="s">
        <v>1212</v>
      </c>
      <c r="F88" s="142" t="s">
        <v>293</v>
      </c>
      <c r="G88" s="142" t="s">
        <v>962</v>
      </c>
      <c r="H88" s="142" t="s">
        <v>327</v>
      </c>
      <c r="I88" s="142" t="s">
        <v>382</v>
      </c>
      <c r="J88" s="142" t="s">
        <v>913</v>
      </c>
      <c r="K88" s="142" t="s">
        <v>914</v>
      </c>
      <c r="L88" s="142" t="s">
        <v>963</v>
      </c>
      <c r="M88" s="142" t="s">
        <v>916</v>
      </c>
      <c r="N88" s="142" t="s">
        <v>388</v>
      </c>
      <c r="O88" s="142"/>
      <c r="P88" s="142" t="s">
        <v>386</v>
      </c>
      <c r="Q88" s="142" t="s">
        <v>917</v>
      </c>
      <c r="R88" s="142" t="s">
        <v>985</v>
      </c>
      <c r="S88" s="142" t="s">
        <v>53</v>
      </c>
    </row>
    <row r="89" spans="1:19">
      <c r="A89" s="142" t="s">
        <v>1213</v>
      </c>
      <c r="B89" s="142" t="s">
        <v>1214</v>
      </c>
      <c r="C89" s="142" t="s">
        <v>910</v>
      </c>
      <c r="D89" s="143">
        <v>0</v>
      </c>
      <c r="E89" s="142" t="s">
        <v>1212</v>
      </c>
      <c r="F89" s="142" t="s">
        <v>590</v>
      </c>
      <c r="G89" s="142" t="s">
        <v>962</v>
      </c>
      <c r="H89" s="142" t="s">
        <v>327</v>
      </c>
      <c r="I89" s="142" t="s">
        <v>382</v>
      </c>
      <c r="J89" s="142" t="s">
        <v>913</v>
      </c>
      <c r="K89" s="142" t="s">
        <v>914</v>
      </c>
      <c r="L89" s="142" t="s">
        <v>963</v>
      </c>
      <c r="M89" s="142" t="s">
        <v>916</v>
      </c>
      <c r="N89" s="142" t="s">
        <v>388</v>
      </c>
      <c r="O89" s="142"/>
      <c r="P89" s="142" t="s">
        <v>386</v>
      </c>
      <c r="Q89" s="142" t="s">
        <v>917</v>
      </c>
      <c r="R89" s="142" t="s">
        <v>971</v>
      </c>
      <c r="S89" s="142" t="s">
        <v>53</v>
      </c>
    </row>
    <row r="90" spans="1:19">
      <c r="A90" s="142" t="s">
        <v>1215</v>
      </c>
      <c r="B90" s="142" t="s">
        <v>1216</v>
      </c>
      <c r="C90" s="142" t="s">
        <v>910</v>
      </c>
      <c r="D90" s="143">
        <v>0</v>
      </c>
      <c r="E90" s="142" t="s">
        <v>1217</v>
      </c>
      <c r="F90" s="142" t="s">
        <v>293</v>
      </c>
      <c r="G90" s="142" t="s">
        <v>962</v>
      </c>
      <c r="H90" s="142" t="s">
        <v>327</v>
      </c>
      <c r="I90" s="142" t="s">
        <v>382</v>
      </c>
      <c r="J90" s="142" t="s">
        <v>913</v>
      </c>
      <c r="K90" s="142" t="s">
        <v>914</v>
      </c>
      <c r="L90" s="142" t="s">
        <v>915</v>
      </c>
      <c r="M90" s="142" t="s">
        <v>916</v>
      </c>
      <c r="N90" s="142" t="s">
        <v>388</v>
      </c>
      <c r="O90" s="142"/>
      <c r="P90" s="142" t="s">
        <v>386</v>
      </c>
      <c r="Q90" s="142" t="s">
        <v>917</v>
      </c>
      <c r="R90" s="142" t="s">
        <v>979</v>
      </c>
      <c r="S90" s="142" t="s">
        <v>53</v>
      </c>
    </row>
    <row r="91" spans="1:19">
      <c r="A91" s="142" t="s">
        <v>1218</v>
      </c>
      <c r="B91" s="142" t="s">
        <v>1219</v>
      </c>
      <c r="C91" s="142" t="s">
        <v>910</v>
      </c>
      <c r="D91" s="143">
        <v>0</v>
      </c>
      <c r="E91" s="142" t="s">
        <v>1217</v>
      </c>
      <c r="F91" s="142" t="s">
        <v>590</v>
      </c>
      <c r="G91" s="142" t="s">
        <v>962</v>
      </c>
      <c r="H91" s="142" t="s">
        <v>327</v>
      </c>
      <c r="I91" s="142" t="s">
        <v>382</v>
      </c>
      <c r="J91" s="142" t="s">
        <v>913</v>
      </c>
      <c r="K91" s="142" t="s">
        <v>914</v>
      </c>
      <c r="L91" s="142" t="s">
        <v>915</v>
      </c>
      <c r="M91" s="142" t="s">
        <v>916</v>
      </c>
      <c r="N91" s="142" t="s">
        <v>388</v>
      </c>
      <c r="O91" s="142"/>
      <c r="P91" s="142" t="s">
        <v>386</v>
      </c>
      <c r="Q91" s="142" t="s">
        <v>917</v>
      </c>
      <c r="R91" s="142" t="s">
        <v>1150</v>
      </c>
      <c r="S91" s="142" t="s">
        <v>53</v>
      </c>
    </row>
    <row r="92" spans="1:19">
      <c r="A92" s="142" t="s">
        <v>1220</v>
      </c>
      <c r="B92" s="142" t="s">
        <v>1221</v>
      </c>
      <c r="C92" s="142" t="s">
        <v>910</v>
      </c>
      <c r="D92" s="143">
        <v>0</v>
      </c>
      <c r="E92" s="142" t="s">
        <v>1222</v>
      </c>
      <c r="F92" s="142" t="s">
        <v>590</v>
      </c>
      <c r="G92" s="142" t="s">
        <v>962</v>
      </c>
      <c r="H92" s="142" t="s">
        <v>327</v>
      </c>
      <c r="I92" s="142" t="s">
        <v>382</v>
      </c>
      <c r="J92" s="142" t="s">
        <v>913</v>
      </c>
      <c r="K92" s="142" t="s">
        <v>914</v>
      </c>
      <c r="L92" s="142" t="s">
        <v>934</v>
      </c>
      <c r="M92" s="142" t="s">
        <v>916</v>
      </c>
      <c r="N92" s="142" t="s">
        <v>388</v>
      </c>
      <c r="O92" s="142"/>
      <c r="P92" s="142" t="s">
        <v>386</v>
      </c>
      <c r="Q92" s="142" t="s">
        <v>917</v>
      </c>
      <c r="R92" s="142" t="s">
        <v>971</v>
      </c>
      <c r="S92" s="142" t="s">
        <v>53</v>
      </c>
    </row>
    <row r="93" spans="1:19">
      <c r="A93" s="142" t="s">
        <v>1223</v>
      </c>
      <c r="B93" s="142" t="s">
        <v>1224</v>
      </c>
      <c r="C93" s="142" t="s">
        <v>910</v>
      </c>
      <c r="D93" s="143">
        <v>0</v>
      </c>
      <c r="E93" s="142" t="s">
        <v>1222</v>
      </c>
      <c r="F93" s="142" t="s">
        <v>309</v>
      </c>
      <c r="G93" s="142" t="s">
        <v>962</v>
      </c>
      <c r="H93" s="142" t="s">
        <v>327</v>
      </c>
      <c r="I93" s="142" t="s">
        <v>382</v>
      </c>
      <c r="J93" s="142" t="s">
        <v>913</v>
      </c>
      <c r="K93" s="142" t="s">
        <v>914</v>
      </c>
      <c r="L93" s="142" t="s">
        <v>934</v>
      </c>
      <c r="M93" s="142" t="s">
        <v>916</v>
      </c>
      <c r="N93" s="142" t="s">
        <v>388</v>
      </c>
      <c r="O93" s="142"/>
      <c r="P93" s="142" t="s">
        <v>386</v>
      </c>
      <c r="Q93" s="142" t="s">
        <v>917</v>
      </c>
      <c r="R93" s="142" t="s">
        <v>1225</v>
      </c>
      <c r="S93" s="142" t="s">
        <v>53</v>
      </c>
    </row>
    <row r="94" spans="1:19">
      <c r="A94" s="142" t="s">
        <v>1226</v>
      </c>
      <c r="B94" s="142" t="s">
        <v>1227</v>
      </c>
      <c r="C94" s="142" t="s">
        <v>910</v>
      </c>
      <c r="D94" s="143">
        <v>0</v>
      </c>
      <c r="E94" s="142" t="s">
        <v>1222</v>
      </c>
      <c r="F94" s="142" t="s">
        <v>308</v>
      </c>
      <c r="G94" s="142" t="s">
        <v>962</v>
      </c>
      <c r="H94" s="142" t="s">
        <v>327</v>
      </c>
      <c r="I94" s="142" t="s">
        <v>382</v>
      </c>
      <c r="J94" s="142" t="s">
        <v>913</v>
      </c>
      <c r="K94" s="142" t="s">
        <v>914</v>
      </c>
      <c r="L94" s="142" t="s">
        <v>934</v>
      </c>
      <c r="M94" s="142" t="s">
        <v>916</v>
      </c>
      <c r="N94" s="142" t="s">
        <v>388</v>
      </c>
      <c r="O94" s="142"/>
      <c r="P94" s="142" t="s">
        <v>386</v>
      </c>
      <c r="Q94" s="142" t="s">
        <v>917</v>
      </c>
      <c r="R94" s="142" t="s">
        <v>1228</v>
      </c>
      <c r="S94" s="142" t="s">
        <v>53</v>
      </c>
    </row>
    <row r="95" spans="1:19">
      <c r="A95" s="142" t="s">
        <v>1229</v>
      </c>
      <c r="B95" s="142" t="s">
        <v>1230</v>
      </c>
      <c r="C95" s="142" t="s">
        <v>910</v>
      </c>
      <c r="D95" s="143">
        <v>0</v>
      </c>
      <c r="E95" s="142" t="s">
        <v>1222</v>
      </c>
      <c r="F95" s="142" t="s">
        <v>294</v>
      </c>
      <c r="G95" s="142" t="s">
        <v>962</v>
      </c>
      <c r="H95" s="142" t="s">
        <v>327</v>
      </c>
      <c r="I95" s="142" t="s">
        <v>382</v>
      </c>
      <c r="J95" s="142" t="s">
        <v>913</v>
      </c>
      <c r="K95" s="142" t="s">
        <v>914</v>
      </c>
      <c r="L95" s="142" t="s">
        <v>934</v>
      </c>
      <c r="M95" s="142" t="s">
        <v>916</v>
      </c>
      <c r="N95" s="142" t="s">
        <v>388</v>
      </c>
      <c r="O95" s="142"/>
      <c r="P95" s="142" t="s">
        <v>386</v>
      </c>
      <c r="Q95" s="142" t="s">
        <v>917</v>
      </c>
      <c r="R95" s="142" t="s">
        <v>1231</v>
      </c>
      <c r="S95" s="142" t="s">
        <v>53</v>
      </c>
    </row>
    <row r="96" spans="1:19">
      <c r="A96" s="142" t="s">
        <v>1232</v>
      </c>
      <c r="B96" s="142" t="s">
        <v>1233</v>
      </c>
      <c r="C96" s="142" t="s">
        <v>910</v>
      </c>
      <c r="D96" s="143">
        <v>0</v>
      </c>
      <c r="E96" s="142" t="s">
        <v>1222</v>
      </c>
      <c r="F96" s="142" t="s">
        <v>305</v>
      </c>
      <c r="G96" s="142" t="s">
        <v>962</v>
      </c>
      <c r="H96" s="142" t="s">
        <v>327</v>
      </c>
      <c r="I96" s="142" t="s">
        <v>382</v>
      </c>
      <c r="J96" s="142" t="s">
        <v>913</v>
      </c>
      <c r="K96" s="142" t="s">
        <v>914</v>
      </c>
      <c r="L96" s="142" t="s">
        <v>934</v>
      </c>
      <c r="M96" s="142" t="s">
        <v>916</v>
      </c>
      <c r="N96" s="142" t="s">
        <v>388</v>
      </c>
      <c r="O96" s="142"/>
      <c r="P96" s="142" t="s">
        <v>386</v>
      </c>
      <c r="Q96" s="142" t="s">
        <v>917</v>
      </c>
      <c r="R96" s="142" t="s">
        <v>1234</v>
      </c>
      <c r="S96" s="142" t="s">
        <v>53</v>
      </c>
    </row>
    <row r="97" spans="1:19">
      <c r="A97" s="142" t="s">
        <v>1235</v>
      </c>
      <c r="B97" s="142" t="s">
        <v>1236</v>
      </c>
      <c r="C97" s="142" t="s">
        <v>910</v>
      </c>
      <c r="D97" s="143">
        <v>0</v>
      </c>
      <c r="E97" s="142" t="s">
        <v>1222</v>
      </c>
      <c r="F97" s="142" t="s">
        <v>217</v>
      </c>
      <c r="G97" s="142" t="s">
        <v>962</v>
      </c>
      <c r="H97" s="142" t="s">
        <v>327</v>
      </c>
      <c r="I97" s="142" t="s">
        <v>382</v>
      </c>
      <c r="J97" s="142" t="s">
        <v>913</v>
      </c>
      <c r="K97" s="142" t="s">
        <v>914</v>
      </c>
      <c r="L97" s="142" t="s">
        <v>934</v>
      </c>
      <c r="M97" s="142" t="s">
        <v>916</v>
      </c>
      <c r="N97" s="142" t="s">
        <v>388</v>
      </c>
      <c r="O97" s="142"/>
      <c r="P97" s="142" t="s">
        <v>386</v>
      </c>
      <c r="Q97" s="142" t="s">
        <v>917</v>
      </c>
      <c r="R97" s="142" t="s">
        <v>1237</v>
      </c>
      <c r="S97" s="142" t="s">
        <v>199</v>
      </c>
    </row>
    <row r="98" spans="1:19">
      <c r="A98" s="142" t="s">
        <v>1238</v>
      </c>
      <c r="B98" s="142" t="s">
        <v>1239</v>
      </c>
      <c r="C98" s="142" t="s">
        <v>910</v>
      </c>
      <c r="D98" s="143">
        <v>0</v>
      </c>
      <c r="E98" s="142" t="s">
        <v>1222</v>
      </c>
      <c r="F98" s="142" t="s">
        <v>86</v>
      </c>
      <c r="G98" s="142" t="s">
        <v>962</v>
      </c>
      <c r="H98" s="142" t="s">
        <v>327</v>
      </c>
      <c r="I98" s="142" t="s">
        <v>382</v>
      </c>
      <c r="J98" s="142" t="s">
        <v>913</v>
      </c>
      <c r="K98" s="142" t="s">
        <v>914</v>
      </c>
      <c r="L98" s="142" t="s">
        <v>934</v>
      </c>
      <c r="M98" s="142" t="s">
        <v>916</v>
      </c>
      <c r="N98" s="142" t="s">
        <v>388</v>
      </c>
      <c r="O98" s="142"/>
      <c r="P98" s="142" t="s">
        <v>386</v>
      </c>
      <c r="Q98" s="142" t="s">
        <v>917</v>
      </c>
      <c r="R98" s="142" t="s">
        <v>1240</v>
      </c>
      <c r="S98" s="142" t="s">
        <v>86</v>
      </c>
    </row>
    <row r="99" spans="1:19">
      <c r="A99" s="142" t="s">
        <v>1241</v>
      </c>
      <c r="B99" s="142" t="s">
        <v>1242</v>
      </c>
      <c r="C99" s="142" t="s">
        <v>910</v>
      </c>
      <c r="D99" s="143">
        <v>0</v>
      </c>
      <c r="E99" s="142" t="s">
        <v>1222</v>
      </c>
      <c r="F99" s="142" t="s">
        <v>78</v>
      </c>
      <c r="G99" s="142" t="s">
        <v>962</v>
      </c>
      <c r="H99" s="142" t="s">
        <v>327</v>
      </c>
      <c r="I99" s="142" t="s">
        <v>382</v>
      </c>
      <c r="J99" s="142" t="s">
        <v>913</v>
      </c>
      <c r="K99" s="142" t="s">
        <v>914</v>
      </c>
      <c r="L99" s="142" t="s">
        <v>934</v>
      </c>
      <c r="M99" s="142" t="s">
        <v>916</v>
      </c>
      <c r="N99" s="142" t="s">
        <v>388</v>
      </c>
      <c r="O99" s="142"/>
      <c r="P99" s="142" t="s">
        <v>386</v>
      </c>
      <c r="Q99" s="142" t="s">
        <v>917</v>
      </c>
      <c r="R99" s="142" t="s">
        <v>1243</v>
      </c>
      <c r="S99" s="142" t="s">
        <v>78</v>
      </c>
    </row>
    <row r="100" spans="1:19">
      <c r="A100" s="142" t="s">
        <v>1244</v>
      </c>
      <c r="B100" s="142" t="s">
        <v>1245</v>
      </c>
      <c r="C100" s="142" t="s">
        <v>910</v>
      </c>
      <c r="D100" s="143">
        <v>0</v>
      </c>
      <c r="E100" s="142" t="s">
        <v>1222</v>
      </c>
      <c r="F100" s="142" t="s">
        <v>83</v>
      </c>
      <c r="G100" s="142" t="s">
        <v>962</v>
      </c>
      <c r="H100" s="142" t="s">
        <v>327</v>
      </c>
      <c r="I100" s="142" t="s">
        <v>382</v>
      </c>
      <c r="J100" s="142" t="s">
        <v>913</v>
      </c>
      <c r="K100" s="142" t="s">
        <v>914</v>
      </c>
      <c r="L100" s="142" t="s">
        <v>934</v>
      </c>
      <c r="M100" s="142" t="s">
        <v>916</v>
      </c>
      <c r="N100" s="142" t="s">
        <v>388</v>
      </c>
      <c r="O100" s="142"/>
      <c r="P100" s="142" t="s">
        <v>386</v>
      </c>
      <c r="Q100" s="142" t="s">
        <v>917</v>
      </c>
      <c r="R100" s="142" t="s">
        <v>943</v>
      </c>
      <c r="S100" s="142" t="s">
        <v>83</v>
      </c>
    </row>
    <row r="101" spans="1:19">
      <c r="A101" s="142" t="s">
        <v>1246</v>
      </c>
      <c r="B101" s="142" t="s">
        <v>1247</v>
      </c>
      <c r="C101" s="142" t="s">
        <v>910</v>
      </c>
      <c r="D101" s="143">
        <v>0</v>
      </c>
      <c r="E101" s="142" t="s">
        <v>1222</v>
      </c>
      <c r="F101" s="142" t="s">
        <v>121</v>
      </c>
      <c r="G101" s="142" t="s">
        <v>962</v>
      </c>
      <c r="H101" s="142" t="s">
        <v>327</v>
      </c>
      <c r="I101" s="142" t="s">
        <v>382</v>
      </c>
      <c r="J101" s="142" t="s">
        <v>913</v>
      </c>
      <c r="K101" s="142" t="s">
        <v>914</v>
      </c>
      <c r="L101" s="142" t="s">
        <v>934</v>
      </c>
      <c r="M101" s="142" t="s">
        <v>916</v>
      </c>
      <c r="N101" s="142" t="s">
        <v>388</v>
      </c>
      <c r="O101" s="142"/>
      <c r="P101" s="142" t="s">
        <v>386</v>
      </c>
      <c r="Q101" s="142" t="s">
        <v>917</v>
      </c>
      <c r="R101" s="142" t="s">
        <v>921</v>
      </c>
      <c r="S101" s="142" t="s">
        <v>121</v>
      </c>
    </row>
    <row r="102" spans="1:19">
      <c r="A102" s="142" t="s">
        <v>1248</v>
      </c>
      <c r="B102" s="142" t="s">
        <v>1249</v>
      </c>
      <c r="C102" s="142" t="s">
        <v>910</v>
      </c>
      <c r="D102" s="143">
        <v>0</v>
      </c>
      <c r="E102" s="142" t="s">
        <v>1222</v>
      </c>
      <c r="F102" s="142" t="s">
        <v>194</v>
      </c>
      <c r="G102" s="142" t="s">
        <v>962</v>
      </c>
      <c r="H102" s="142" t="s">
        <v>327</v>
      </c>
      <c r="I102" s="142" t="s">
        <v>382</v>
      </c>
      <c r="J102" s="142" t="s">
        <v>913</v>
      </c>
      <c r="K102" s="142" t="s">
        <v>914</v>
      </c>
      <c r="L102" s="142" t="s">
        <v>934</v>
      </c>
      <c r="M102" s="142" t="s">
        <v>916</v>
      </c>
      <c r="N102" s="142" t="s">
        <v>388</v>
      </c>
      <c r="O102" s="142"/>
      <c r="P102" s="142" t="s">
        <v>386</v>
      </c>
      <c r="Q102" s="142" t="s">
        <v>917</v>
      </c>
      <c r="R102" s="142" t="s">
        <v>1250</v>
      </c>
      <c r="S102" s="142" t="s">
        <v>57</v>
      </c>
    </row>
    <row r="103" spans="1:19">
      <c r="A103" s="142" t="s">
        <v>1251</v>
      </c>
      <c r="B103" s="142" t="s">
        <v>1252</v>
      </c>
      <c r="C103" s="142" t="s">
        <v>910</v>
      </c>
      <c r="D103" s="143">
        <v>0</v>
      </c>
      <c r="E103" s="142" t="s">
        <v>1222</v>
      </c>
      <c r="F103" s="142" t="s">
        <v>55</v>
      </c>
      <c r="G103" s="142" t="s">
        <v>962</v>
      </c>
      <c r="H103" s="142" t="s">
        <v>327</v>
      </c>
      <c r="I103" s="142" t="s">
        <v>382</v>
      </c>
      <c r="J103" s="142" t="s">
        <v>913</v>
      </c>
      <c r="K103" s="142" t="s">
        <v>914</v>
      </c>
      <c r="L103" s="142" t="s">
        <v>934</v>
      </c>
      <c r="M103" s="142" t="s">
        <v>916</v>
      </c>
      <c r="N103" s="142" t="s">
        <v>388</v>
      </c>
      <c r="O103" s="142"/>
      <c r="P103" s="142" t="s">
        <v>386</v>
      </c>
      <c r="Q103" s="142" t="s">
        <v>917</v>
      </c>
      <c r="R103" s="142" t="s">
        <v>966</v>
      </c>
      <c r="S103" s="142" t="s">
        <v>71</v>
      </c>
    </row>
    <row r="104" spans="1:19">
      <c r="A104" s="142" t="s">
        <v>1253</v>
      </c>
      <c r="B104" s="142" t="s">
        <v>1254</v>
      </c>
      <c r="C104" s="142" t="s">
        <v>910</v>
      </c>
      <c r="D104" s="143">
        <v>0</v>
      </c>
      <c r="E104" s="142" t="s">
        <v>1222</v>
      </c>
      <c r="F104" s="142" t="s">
        <v>195</v>
      </c>
      <c r="G104" s="142" t="s">
        <v>962</v>
      </c>
      <c r="H104" s="142" t="s">
        <v>327</v>
      </c>
      <c r="I104" s="142" t="s">
        <v>382</v>
      </c>
      <c r="J104" s="142" t="s">
        <v>913</v>
      </c>
      <c r="K104" s="142" t="s">
        <v>914</v>
      </c>
      <c r="L104" s="142" t="s">
        <v>934</v>
      </c>
      <c r="M104" s="142" t="s">
        <v>916</v>
      </c>
      <c r="N104" s="142" t="s">
        <v>388</v>
      </c>
      <c r="O104" s="142"/>
      <c r="P104" s="142" t="s">
        <v>386</v>
      </c>
      <c r="Q104" s="142" t="s">
        <v>917</v>
      </c>
      <c r="R104" s="142" t="s">
        <v>1255</v>
      </c>
      <c r="S104" s="142" t="s">
        <v>195</v>
      </c>
    </row>
    <row r="105" spans="1:19">
      <c r="A105" s="142" t="s">
        <v>1256</v>
      </c>
      <c r="B105" s="142" t="s">
        <v>1257</v>
      </c>
      <c r="C105" s="142" t="s">
        <v>910</v>
      </c>
      <c r="D105" s="143">
        <v>0</v>
      </c>
      <c r="E105" s="142" t="s">
        <v>1258</v>
      </c>
      <c r="F105" s="142" t="s">
        <v>68</v>
      </c>
      <c r="G105" s="142" t="s">
        <v>912</v>
      </c>
      <c r="H105" s="142" t="s">
        <v>327</v>
      </c>
      <c r="I105" s="142" t="s">
        <v>382</v>
      </c>
      <c r="J105" s="142" t="s">
        <v>913</v>
      </c>
      <c r="K105" s="142" t="s">
        <v>914</v>
      </c>
      <c r="L105" s="142" t="s">
        <v>934</v>
      </c>
      <c r="M105" s="142" t="s">
        <v>942</v>
      </c>
      <c r="N105" s="142" t="s">
        <v>388</v>
      </c>
      <c r="O105" s="142" t="s">
        <v>43</v>
      </c>
      <c r="P105" s="142" t="s">
        <v>386</v>
      </c>
      <c r="Q105" s="142" t="s">
        <v>917</v>
      </c>
      <c r="R105" s="142" t="s">
        <v>1259</v>
      </c>
      <c r="S105" s="142" t="s">
        <v>68</v>
      </c>
    </row>
    <row r="106" spans="1:19">
      <c r="A106" s="142" t="s">
        <v>1260</v>
      </c>
      <c r="B106" s="142" t="s">
        <v>1261</v>
      </c>
      <c r="C106" s="142" t="s">
        <v>910</v>
      </c>
      <c r="D106" s="143">
        <v>0</v>
      </c>
      <c r="E106" s="142" t="s">
        <v>1262</v>
      </c>
      <c r="F106" s="142" t="s">
        <v>53</v>
      </c>
      <c r="G106" s="142" t="s">
        <v>962</v>
      </c>
      <c r="H106" s="142" t="s">
        <v>783</v>
      </c>
      <c r="I106" s="142" t="s">
        <v>382</v>
      </c>
      <c r="J106" s="142" t="s">
        <v>913</v>
      </c>
      <c r="K106" s="142" t="s">
        <v>914</v>
      </c>
      <c r="L106" s="142" t="s">
        <v>915</v>
      </c>
      <c r="M106" s="142"/>
      <c r="N106" s="142" t="s">
        <v>388</v>
      </c>
      <c r="O106" s="142"/>
      <c r="P106" s="142" t="s">
        <v>386</v>
      </c>
      <c r="Q106" s="142" t="s">
        <v>917</v>
      </c>
      <c r="R106" s="142" t="s">
        <v>979</v>
      </c>
      <c r="S106" s="142" t="s">
        <v>53</v>
      </c>
    </row>
    <row r="107" spans="1:19">
      <c r="A107" s="142" t="s">
        <v>1263</v>
      </c>
      <c r="B107" s="142" t="s">
        <v>1264</v>
      </c>
      <c r="C107" s="142" t="s">
        <v>910</v>
      </c>
      <c r="D107" s="143">
        <v>0</v>
      </c>
      <c r="E107" s="142" t="s">
        <v>1262</v>
      </c>
      <c r="F107" s="142" t="s">
        <v>195</v>
      </c>
      <c r="G107" s="142" t="s">
        <v>962</v>
      </c>
      <c r="H107" s="142" t="s">
        <v>783</v>
      </c>
      <c r="I107" s="142" t="s">
        <v>382</v>
      </c>
      <c r="J107" s="142" t="s">
        <v>913</v>
      </c>
      <c r="K107" s="142" t="s">
        <v>914</v>
      </c>
      <c r="L107" s="142" t="s">
        <v>915</v>
      </c>
      <c r="M107" s="142"/>
      <c r="N107" s="142" t="s">
        <v>388</v>
      </c>
      <c r="O107" s="142"/>
      <c r="P107" s="142" t="s">
        <v>386</v>
      </c>
      <c r="Q107" s="142" t="s">
        <v>917</v>
      </c>
      <c r="R107" s="142" t="s">
        <v>1265</v>
      </c>
      <c r="S107" s="142" t="s">
        <v>195</v>
      </c>
    </row>
    <row r="108" spans="1:19">
      <c r="A108" s="142" t="s">
        <v>1266</v>
      </c>
      <c r="B108" s="142" t="s">
        <v>1267</v>
      </c>
      <c r="C108" s="142" t="s">
        <v>910</v>
      </c>
      <c r="D108" s="143">
        <v>0</v>
      </c>
      <c r="E108" s="142" t="s">
        <v>1268</v>
      </c>
      <c r="F108" s="142" t="s">
        <v>55</v>
      </c>
      <c r="G108" s="142" t="s">
        <v>962</v>
      </c>
      <c r="H108" s="142" t="s">
        <v>783</v>
      </c>
      <c r="I108" s="142" t="s">
        <v>382</v>
      </c>
      <c r="J108" s="142" t="s">
        <v>913</v>
      </c>
      <c r="K108" s="142" t="s">
        <v>914</v>
      </c>
      <c r="L108" s="142" t="s">
        <v>934</v>
      </c>
      <c r="M108" s="142"/>
      <c r="N108" s="142" t="s">
        <v>388</v>
      </c>
      <c r="O108" s="142"/>
      <c r="P108" s="142" t="s">
        <v>386</v>
      </c>
      <c r="Q108" s="142" t="s">
        <v>917</v>
      </c>
      <c r="R108" s="142" t="s">
        <v>966</v>
      </c>
      <c r="S108" s="142" t="s">
        <v>71</v>
      </c>
    </row>
    <row r="109" spans="1:19">
      <c r="A109" s="142" t="s">
        <v>1269</v>
      </c>
      <c r="B109" s="142" t="s">
        <v>1270</v>
      </c>
      <c r="C109" s="142" t="s">
        <v>910</v>
      </c>
      <c r="D109" s="143">
        <v>0</v>
      </c>
      <c r="E109" s="142" t="s">
        <v>1268</v>
      </c>
      <c r="F109" s="142" t="s">
        <v>195</v>
      </c>
      <c r="G109" s="142" t="s">
        <v>962</v>
      </c>
      <c r="H109" s="142" t="s">
        <v>783</v>
      </c>
      <c r="I109" s="142" t="s">
        <v>382</v>
      </c>
      <c r="J109" s="142" t="s">
        <v>913</v>
      </c>
      <c r="K109" s="142" t="s">
        <v>914</v>
      </c>
      <c r="L109" s="142" t="s">
        <v>934</v>
      </c>
      <c r="M109" s="142"/>
      <c r="N109" s="142" t="s">
        <v>388</v>
      </c>
      <c r="O109" s="142"/>
      <c r="P109" s="142" t="s">
        <v>386</v>
      </c>
      <c r="Q109" s="142" t="s">
        <v>917</v>
      </c>
      <c r="R109" s="142" t="s">
        <v>1271</v>
      </c>
      <c r="S109" s="142" t="s">
        <v>195</v>
      </c>
    </row>
    <row r="110" spans="1:19">
      <c r="A110" s="142" t="s">
        <v>1272</v>
      </c>
      <c r="B110" s="142" t="s">
        <v>1273</v>
      </c>
      <c r="C110" s="142" t="s">
        <v>910</v>
      </c>
      <c r="D110" s="143">
        <v>0</v>
      </c>
      <c r="E110" s="142" t="s">
        <v>1274</v>
      </c>
      <c r="F110" s="142" t="s">
        <v>590</v>
      </c>
      <c r="G110" s="142" t="s">
        <v>912</v>
      </c>
      <c r="H110" s="142" t="s">
        <v>327</v>
      </c>
      <c r="I110" s="142" t="s">
        <v>382</v>
      </c>
      <c r="J110" s="142" t="s">
        <v>913</v>
      </c>
      <c r="K110" s="142" t="s">
        <v>914</v>
      </c>
      <c r="L110" s="142" t="s">
        <v>915</v>
      </c>
      <c r="M110" s="142" t="s">
        <v>942</v>
      </c>
      <c r="N110" s="142" t="s">
        <v>388</v>
      </c>
      <c r="O110" s="142" t="s">
        <v>43</v>
      </c>
      <c r="P110" s="142" t="s">
        <v>386</v>
      </c>
      <c r="Q110" s="142" t="s">
        <v>917</v>
      </c>
      <c r="R110" s="142" t="s">
        <v>1275</v>
      </c>
      <c r="S110" s="142" t="s">
        <v>53</v>
      </c>
    </row>
    <row r="111" spans="1:19">
      <c r="A111" s="142" t="s">
        <v>1276</v>
      </c>
      <c r="B111" s="142" t="s">
        <v>1277</v>
      </c>
      <c r="C111" s="142" t="s">
        <v>910</v>
      </c>
      <c r="D111" s="143">
        <v>0</v>
      </c>
      <c r="E111" s="142" t="s">
        <v>1274</v>
      </c>
      <c r="F111" s="142" t="s">
        <v>195</v>
      </c>
      <c r="G111" s="142" t="s">
        <v>912</v>
      </c>
      <c r="H111" s="142" t="s">
        <v>327</v>
      </c>
      <c r="I111" s="142" t="s">
        <v>382</v>
      </c>
      <c r="J111" s="142" t="s">
        <v>913</v>
      </c>
      <c r="K111" s="142" t="s">
        <v>914</v>
      </c>
      <c r="L111" s="142" t="s">
        <v>915</v>
      </c>
      <c r="M111" s="142" t="s">
        <v>942</v>
      </c>
      <c r="N111" s="142" t="s">
        <v>388</v>
      </c>
      <c r="O111" s="142" t="s">
        <v>43</v>
      </c>
      <c r="P111" s="142" t="s">
        <v>386</v>
      </c>
      <c r="Q111" s="142" t="s">
        <v>917</v>
      </c>
      <c r="R111" s="142" t="s">
        <v>1278</v>
      </c>
      <c r="S111" s="142" t="s">
        <v>195</v>
      </c>
    </row>
    <row r="112" spans="1:19">
      <c r="A112" s="142" t="s">
        <v>1279</v>
      </c>
      <c r="B112" s="142" t="s">
        <v>1280</v>
      </c>
      <c r="C112" s="142" t="s">
        <v>910</v>
      </c>
      <c r="D112" s="143">
        <v>0</v>
      </c>
      <c r="E112" s="142" t="s">
        <v>1281</v>
      </c>
      <c r="F112" s="142" t="s">
        <v>71</v>
      </c>
      <c r="G112" s="142" t="s">
        <v>912</v>
      </c>
      <c r="H112" s="142" t="s">
        <v>327</v>
      </c>
      <c r="I112" s="142" t="s">
        <v>382</v>
      </c>
      <c r="J112" s="142" t="s">
        <v>913</v>
      </c>
      <c r="K112" s="142" t="s">
        <v>914</v>
      </c>
      <c r="L112" s="142" t="s">
        <v>915</v>
      </c>
      <c r="M112" s="142" t="s">
        <v>942</v>
      </c>
      <c r="N112" s="142" t="s">
        <v>388</v>
      </c>
      <c r="O112" s="142" t="s">
        <v>43</v>
      </c>
      <c r="P112" s="142" t="s">
        <v>386</v>
      </c>
      <c r="Q112" s="142" t="s">
        <v>917</v>
      </c>
      <c r="R112" s="142" t="s">
        <v>1282</v>
      </c>
      <c r="S112" s="142" t="s">
        <v>71</v>
      </c>
    </row>
    <row r="113" spans="1:19">
      <c r="A113" s="142" t="s">
        <v>1283</v>
      </c>
      <c r="B113" s="142" t="s">
        <v>1284</v>
      </c>
      <c r="C113" s="142" t="s">
        <v>910</v>
      </c>
      <c r="D113" s="143">
        <v>0</v>
      </c>
      <c r="E113" s="142" t="s">
        <v>1285</v>
      </c>
      <c r="F113" s="142" t="s">
        <v>55</v>
      </c>
      <c r="G113" s="142" t="s">
        <v>912</v>
      </c>
      <c r="H113" s="142" t="s">
        <v>327</v>
      </c>
      <c r="I113" s="142" t="s">
        <v>382</v>
      </c>
      <c r="J113" s="142" t="s">
        <v>913</v>
      </c>
      <c r="K113" s="142" t="s">
        <v>914</v>
      </c>
      <c r="L113" s="142" t="s">
        <v>934</v>
      </c>
      <c r="M113" s="142" t="s">
        <v>942</v>
      </c>
      <c r="N113" s="142" t="s">
        <v>388</v>
      </c>
      <c r="O113" s="142" t="s">
        <v>43</v>
      </c>
      <c r="P113" s="142" t="s">
        <v>386</v>
      </c>
      <c r="Q113" s="142" t="s">
        <v>917</v>
      </c>
      <c r="R113" s="142" t="s">
        <v>1117</v>
      </c>
      <c r="S113" s="142" t="s">
        <v>71</v>
      </c>
    </row>
    <row r="114" spans="1:19">
      <c r="A114" s="142" t="s">
        <v>1286</v>
      </c>
      <c r="B114" s="142" t="s">
        <v>1287</v>
      </c>
      <c r="C114" s="142" t="s">
        <v>910</v>
      </c>
      <c r="D114" s="143">
        <v>0</v>
      </c>
      <c r="E114" s="142" t="s">
        <v>1285</v>
      </c>
      <c r="F114" s="142" t="s">
        <v>63</v>
      </c>
      <c r="G114" s="142" t="s">
        <v>912</v>
      </c>
      <c r="H114" s="142" t="s">
        <v>327</v>
      </c>
      <c r="I114" s="142" t="s">
        <v>382</v>
      </c>
      <c r="J114" s="142" t="s">
        <v>913</v>
      </c>
      <c r="K114" s="142" t="s">
        <v>914</v>
      </c>
      <c r="L114" s="142" t="s">
        <v>934</v>
      </c>
      <c r="M114" s="142" t="s">
        <v>942</v>
      </c>
      <c r="N114" s="142" t="s">
        <v>388</v>
      </c>
      <c r="O114" s="142" t="s">
        <v>43</v>
      </c>
      <c r="P114" s="142" t="s">
        <v>386</v>
      </c>
      <c r="Q114" s="142" t="s">
        <v>917</v>
      </c>
      <c r="R114" s="142" t="s">
        <v>1288</v>
      </c>
      <c r="S114" s="142" t="s">
        <v>63</v>
      </c>
    </row>
    <row r="115" spans="1:19">
      <c r="A115" s="142" t="s">
        <v>1289</v>
      </c>
      <c r="B115" s="142" t="s">
        <v>1290</v>
      </c>
      <c r="C115" s="142" t="s">
        <v>910</v>
      </c>
      <c r="D115" s="143">
        <v>0</v>
      </c>
      <c r="E115" s="142" t="s">
        <v>1285</v>
      </c>
      <c r="F115" s="142" t="s">
        <v>195</v>
      </c>
      <c r="G115" s="142" t="s">
        <v>912</v>
      </c>
      <c r="H115" s="142" t="s">
        <v>327</v>
      </c>
      <c r="I115" s="142" t="s">
        <v>382</v>
      </c>
      <c r="J115" s="142" t="s">
        <v>913</v>
      </c>
      <c r="K115" s="142" t="s">
        <v>914</v>
      </c>
      <c r="L115" s="142" t="s">
        <v>934</v>
      </c>
      <c r="M115" s="142" t="s">
        <v>942</v>
      </c>
      <c r="N115" s="142" t="s">
        <v>388</v>
      </c>
      <c r="O115" s="142" t="s">
        <v>43</v>
      </c>
      <c r="P115" s="142" t="s">
        <v>386</v>
      </c>
      <c r="Q115" s="142" t="s">
        <v>917</v>
      </c>
      <c r="R115" s="142" t="s">
        <v>1291</v>
      </c>
      <c r="S115" s="142" t="s">
        <v>195</v>
      </c>
    </row>
    <row r="116" spans="1:19">
      <c r="A116" s="142" t="s">
        <v>1292</v>
      </c>
      <c r="B116" s="142" t="s">
        <v>1293</v>
      </c>
      <c r="C116" s="142" t="s">
        <v>910</v>
      </c>
      <c r="D116" s="143">
        <v>0</v>
      </c>
      <c r="E116" s="142" t="s">
        <v>1285</v>
      </c>
      <c r="F116" s="142" t="s">
        <v>78</v>
      </c>
      <c r="G116" s="142" t="s">
        <v>912</v>
      </c>
      <c r="H116" s="142" t="s">
        <v>327</v>
      </c>
      <c r="I116" s="142" t="s">
        <v>382</v>
      </c>
      <c r="J116" s="142" t="s">
        <v>913</v>
      </c>
      <c r="K116" s="142" t="s">
        <v>914</v>
      </c>
      <c r="L116" s="142" t="s">
        <v>934</v>
      </c>
      <c r="M116" s="142" t="s">
        <v>942</v>
      </c>
      <c r="N116" s="142" t="s">
        <v>388</v>
      </c>
      <c r="O116" s="142" t="s">
        <v>43</v>
      </c>
      <c r="P116" s="142" t="s">
        <v>386</v>
      </c>
      <c r="Q116" s="142" t="s">
        <v>917</v>
      </c>
      <c r="R116" s="142" t="s">
        <v>1294</v>
      </c>
      <c r="S116" s="142" t="s">
        <v>78</v>
      </c>
    </row>
    <row r="117" spans="1:19">
      <c r="A117" s="142" t="s">
        <v>1295</v>
      </c>
      <c r="B117" s="142" t="s">
        <v>1296</v>
      </c>
      <c r="C117" s="142" t="s">
        <v>910</v>
      </c>
      <c r="D117" s="143">
        <v>0</v>
      </c>
      <c r="E117" s="142" t="s">
        <v>1285</v>
      </c>
      <c r="F117" s="142" t="s">
        <v>233</v>
      </c>
      <c r="G117" s="142" t="s">
        <v>912</v>
      </c>
      <c r="H117" s="142" t="s">
        <v>327</v>
      </c>
      <c r="I117" s="142" t="s">
        <v>382</v>
      </c>
      <c r="J117" s="142" t="s">
        <v>913</v>
      </c>
      <c r="K117" s="142" t="s">
        <v>914</v>
      </c>
      <c r="L117" s="142" t="s">
        <v>934</v>
      </c>
      <c r="M117" s="142" t="s">
        <v>942</v>
      </c>
      <c r="N117" s="142" t="s">
        <v>388</v>
      </c>
      <c r="O117" s="142" t="s">
        <v>43</v>
      </c>
      <c r="P117" s="142" t="s">
        <v>386</v>
      </c>
      <c r="Q117" s="142" t="s">
        <v>917</v>
      </c>
      <c r="R117" s="142" t="s">
        <v>1297</v>
      </c>
      <c r="S117" s="142" t="s">
        <v>71</v>
      </c>
    </row>
    <row r="118" spans="1:19">
      <c r="A118" s="142" t="s">
        <v>1298</v>
      </c>
      <c r="B118" s="142" t="s">
        <v>1299</v>
      </c>
      <c r="C118" s="142" t="s">
        <v>910</v>
      </c>
      <c r="D118" s="143">
        <v>0</v>
      </c>
      <c r="E118" s="142" t="s">
        <v>1300</v>
      </c>
      <c r="F118" s="142" t="s">
        <v>269</v>
      </c>
      <c r="G118" s="142" t="s">
        <v>912</v>
      </c>
      <c r="H118" s="142" t="s">
        <v>327</v>
      </c>
      <c r="I118" s="142" t="s">
        <v>382</v>
      </c>
      <c r="J118" s="142" t="s">
        <v>913</v>
      </c>
      <c r="K118" s="142" t="s">
        <v>914</v>
      </c>
      <c r="L118" s="142" t="s">
        <v>1006</v>
      </c>
      <c r="M118" s="142" t="s">
        <v>942</v>
      </c>
      <c r="N118" s="142" t="s">
        <v>388</v>
      </c>
      <c r="O118" s="142" t="s">
        <v>43</v>
      </c>
      <c r="P118" s="142" t="s">
        <v>386</v>
      </c>
      <c r="Q118" s="142" t="s">
        <v>917</v>
      </c>
      <c r="R118" s="142" t="s">
        <v>1182</v>
      </c>
      <c r="S118" s="142" t="s">
        <v>60</v>
      </c>
    </row>
    <row r="119" spans="1:19">
      <c r="A119" s="142" t="s">
        <v>1301</v>
      </c>
      <c r="B119" s="142" t="s">
        <v>1302</v>
      </c>
      <c r="C119" s="142" t="s">
        <v>910</v>
      </c>
      <c r="D119" s="143">
        <v>0</v>
      </c>
      <c r="E119" s="142" t="s">
        <v>1303</v>
      </c>
      <c r="F119" s="142" t="s">
        <v>83</v>
      </c>
      <c r="G119" s="142" t="s">
        <v>962</v>
      </c>
      <c r="H119" s="142" t="s">
        <v>327</v>
      </c>
      <c r="I119" s="142" t="s">
        <v>382</v>
      </c>
      <c r="J119" s="142" t="s">
        <v>913</v>
      </c>
      <c r="K119" s="142" t="s">
        <v>914</v>
      </c>
      <c r="L119" s="142" t="s">
        <v>915</v>
      </c>
      <c r="M119" s="142" t="s">
        <v>916</v>
      </c>
      <c r="N119" s="142" t="s">
        <v>388</v>
      </c>
      <c r="O119" s="142"/>
      <c r="P119" s="142" t="s">
        <v>386</v>
      </c>
      <c r="Q119" s="142" t="s">
        <v>917</v>
      </c>
      <c r="R119" s="142" t="s">
        <v>918</v>
      </c>
      <c r="S119" s="142" t="s">
        <v>83</v>
      </c>
    </row>
    <row r="120" spans="1:19">
      <c r="A120" s="142" t="s">
        <v>1304</v>
      </c>
      <c r="B120" s="142" t="s">
        <v>1305</v>
      </c>
      <c r="C120" s="142" t="s">
        <v>910</v>
      </c>
      <c r="D120" s="143">
        <v>0</v>
      </c>
      <c r="E120" s="142" t="s">
        <v>1306</v>
      </c>
      <c r="F120" s="142" t="s">
        <v>83</v>
      </c>
      <c r="G120" s="142" t="s">
        <v>962</v>
      </c>
      <c r="H120" s="142" t="s">
        <v>327</v>
      </c>
      <c r="I120" s="142" t="s">
        <v>382</v>
      </c>
      <c r="J120" s="142" t="s">
        <v>913</v>
      </c>
      <c r="K120" s="142" t="s">
        <v>914</v>
      </c>
      <c r="L120" s="142" t="s">
        <v>934</v>
      </c>
      <c r="M120" s="142" t="s">
        <v>916</v>
      </c>
      <c r="N120" s="142" t="s">
        <v>388</v>
      </c>
      <c r="O120" s="142"/>
      <c r="P120" s="142" t="s">
        <v>386</v>
      </c>
      <c r="Q120" s="142" t="s">
        <v>917</v>
      </c>
      <c r="R120" s="142" t="s">
        <v>1100</v>
      </c>
      <c r="S120" s="142" t="s">
        <v>83</v>
      </c>
    </row>
    <row r="121" spans="1:19">
      <c r="A121" s="142" t="s">
        <v>1307</v>
      </c>
      <c r="B121" s="142" t="s">
        <v>1308</v>
      </c>
      <c r="C121" s="142" t="s">
        <v>910</v>
      </c>
      <c r="D121" s="143">
        <v>0</v>
      </c>
      <c r="E121" s="142" t="s">
        <v>1309</v>
      </c>
      <c r="F121" s="142" t="s">
        <v>55</v>
      </c>
      <c r="G121" s="142" t="s">
        <v>962</v>
      </c>
      <c r="H121" s="142" t="s">
        <v>783</v>
      </c>
      <c r="I121" s="142" t="s">
        <v>382</v>
      </c>
      <c r="J121" s="142" t="s">
        <v>913</v>
      </c>
      <c r="K121" s="142" t="s">
        <v>914</v>
      </c>
      <c r="L121" s="142" t="s">
        <v>915</v>
      </c>
      <c r="M121" s="142"/>
      <c r="N121" s="142" t="s">
        <v>388</v>
      </c>
      <c r="O121" s="142"/>
      <c r="P121" s="142" t="s">
        <v>386</v>
      </c>
      <c r="Q121" s="142" t="s">
        <v>917</v>
      </c>
      <c r="R121" s="142" t="s">
        <v>966</v>
      </c>
      <c r="S121" s="142" t="s">
        <v>71</v>
      </c>
    </row>
    <row r="122" spans="1:19">
      <c r="A122" s="142" t="s">
        <v>1310</v>
      </c>
      <c r="B122" s="142" t="s">
        <v>1311</v>
      </c>
      <c r="C122" s="142" t="s">
        <v>910</v>
      </c>
      <c r="D122" s="143">
        <v>0</v>
      </c>
      <c r="E122" s="142" t="s">
        <v>1312</v>
      </c>
      <c r="F122" s="142" t="s">
        <v>55</v>
      </c>
      <c r="G122" s="142" t="s">
        <v>962</v>
      </c>
      <c r="H122" s="142" t="s">
        <v>783</v>
      </c>
      <c r="I122" s="142" t="s">
        <v>382</v>
      </c>
      <c r="J122" s="142" t="s">
        <v>913</v>
      </c>
      <c r="K122" s="142" t="s">
        <v>914</v>
      </c>
      <c r="L122" s="142" t="s">
        <v>934</v>
      </c>
      <c r="M122" s="142"/>
      <c r="N122" s="142" t="s">
        <v>388</v>
      </c>
      <c r="O122" s="142"/>
      <c r="P122" s="142" t="s">
        <v>386</v>
      </c>
      <c r="Q122" s="142" t="s">
        <v>917</v>
      </c>
      <c r="R122" s="142" t="s">
        <v>966</v>
      </c>
      <c r="S122" s="142" t="s">
        <v>71</v>
      </c>
    </row>
    <row r="123" spans="1:19">
      <c r="A123" s="142" t="s">
        <v>1313</v>
      </c>
      <c r="B123" s="142" t="s">
        <v>1314</v>
      </c>
      <c r="C123" s="142" t="s">
        <v>910</v>
      </c>
      <c r="D123" s="143">
        <v>0</v>
      </c>
      <c r="E123" s="142" t="s">
        <v>1315</v>
      </c>
      <c r="F123" s="142" t="s">
        <v>120</v>
      </c>
      <c r="G123" s="142" t="s">
        <v>1060</v>
      </c>
      <c r="H123" s="142" t="s">
        <v>327</v>
      </c>
      <c r="I123" s="142" t="s">
        <v>382</v>
      </c>
      <c r="J123" s="142" t="s">
        <v>913</v>
      </c>
      <c r="K123" s="142" t="s">
        <v>914</v>
      </c>
      <c r="L123" s="142" t="s">
        <v>934</v>
      </c>
      <c r="M123" s="142" t="s">
        <v>916</v>
      </c>
      <c r="N123" s="142" t="s">
        <v>388</v>
      </c>
      <c r="O123" s="142"/>
      <c r="P123" s="142" t="s">
        <v>386</v>
      </c>
      <c r="Q123" s="142" t="s">
        <v>917</v>
      </c>
      <c r="R123" s="142" t="s">
        <v>1316</v>
      </c>
      <c r="S123" s="142" t="s">
        <v>91</v>
      </c>
    </row>
    <row r="124" spans="1:19">
      <c r="A124" s="142" t="s">
        <v>1317</v>
      </c>
      <c r="B124" s="142" t="s">
        <v>1318</v>
      </c>
      <c r="C124" s="142" t="s">
        <v>910</v>
      </c>
      <c r="D124" s="143">
        <v>0</v>
      </c>
      <c r="E124" s="142" t="s">
        <v>1319</v>
      </c>
      <c r="F124" s="142" t="s">
        <v>55</v>
      </c>
      <c r="G124" s="142" t="s">
        <v>912</v>
      </c>
      <c r="H124" s="142" t="s">
        <v>327</v>
      </c>
      <c r="I124" s="142" t="s">
        <v>382</v>
      </c>
      <c r="J124" s="142" t="s">
        <v>913</v>
      </c>
      <c r="K124" s="142" t="s">
        <v>914</v>
      </c>
      <c r="L124" s="142" t="s">
        <v>934</v>
      </c>
      <c r="M124" s="142" t="s">
        <v>942</v>
      </c>
      <c r="N124" s="142" t="s">
        <v>388</v>
      </c>
      <c r="O124" s="142" t="s">
        <v>43</v>
      </c>
      <c r="P124" s="142" t="s">
        <v>386</v>
      </c>
      <c r="Q124" s="142" t="s">
        <v>917</v>
      </c>
      <c r="R124" s="142" t="s">
        <v>1320</v>
      </c>
      <c r="S124" s="142" t="s">
        <v>71</v>
      </c>
    </row>
    <row r="125" spans="1:19">
      <c r="A125" s="142" t="s">
        <v>1321</v>
      </c>
      <c r="B125" s="142" t="s">
        <v>1322</v>
      </c>
      <c r="C125" s="142" t="s">
        <v>910</v>
      </c>
      <c r="D125" s="143">
        <v>0</v>
      </c>
      <c r="E125" s="142" t="s">
        <v>1323</v>
      </c>
      <c r="F125" s="142" t="s">
        <v>55</v>
      </c>
      <c r="G125" s="142" t="s">
        <v>1070</v>
      </c>
      <c r="H125" s="142" t="s">
        <v>327</v>
      </c>
      <c r="I125" s="142" t="s">
        <v>382</v>
      </c>
      <c r="J125" s="142" t="s">
        <v>913</v>
      </c>
      <c r="K125" s="142" t="s">
        <v>914</v>
      </c>
      <c r="L125" s="142" t="s">
        <v>934</v>
      </c>
      <c r="M125" s="142" t="s">
        <v>916</v>
      </c>
      <c r="N125" s="142" t="s">
        <v>388</v>
      </c>
      <c r="O125" s="142"/>
      <c r="P125" s="142" t="s">
        <v>386</v>
      </c>
      <c r="Q125" s="142" t="s">
        <v>917</v>
      </c>
      <c r="R125" s="142" t="s">
        <v>966</v>
      </c>
      <c r="S125" s="142" t="s">
        <v>71</v>
      </c>
    </row>
    <row r="126" spans="1:19">
      <c r="A126" s="142" t="s">
        <v>1324</v>
      </c>
      <c r="B126" s="142" t="s">
        <v>1325</v>
      </c>
      <c r="C126" s="142" t="s">
        <v>910</v>
      </c>
      <c r="D126" s="143">
        <v>0</v>
      </c>
      <c r="E126" s="142" t="s">
        <v>1326</v>
      </c>
      <c r="F126" s="142" t="s">
        <v>293</v>
      </c>
      <c r="G126" s="142" t="s">
        <v>962</v>
      </c>
      <c r="H126" s="142" t="s">
        <v>327</v>
      </c>
      <c r="I126" s="142" t="s">
        <v>382</v>
      </c>
      <c r="J126" s="142" t="s">
        <v>913</v>
      </c>
      <c r="K126" s="142" t="s">
        <v>1327</v>
      </c>
      <c r="L126" s="142" t="s">
        <v>1328</v>
      </c>
      <c r="M126" s="142" t="s">
        <v>916</v>
      </c>
      <c r="N126" s="142" t="s">
        <v>388</v>
      </c>
      <c r="O126" s="142"/>
      <c r="P126" s="142" t="s">
        <v>386</v>
      </c>
      <c r="Q126" s="142" t="s">
        <v>917</v>
      </c>
      <c r="R126" s="142" t="s">
        <v>947</v>
      </c>
      <c r="S126" s="142" t="s">
        <v>53</v>
      </c>
    </row>
    <row r="127" spans="1:19">
      <c r="A127" s="142" t="s">
        <v>1329</v>
      </c>
      <c r="B127" s="142" t="s">
        <v>1330</v>
      </c>
      <c r="C127" s="142" t="s">
        <v>910</v>
      </c>
      <c r="D127" s="143">
        <v>0</v>
      </c>
      <c r="E127" s="142" t="s">
        <v>1326</v>
      </c>
      <c r="F127" s="142" t="s">
        <v>302</v>
      </c>
      <c r="G127" s="142" t="s">
        <v>962</v>
      </c>
      <c r="H127" s="142" t="s">
        <v>327</v>
      </c>
      <c r="I127" s="142" t="s">
        <v>382</v>
      </c>
      <c r="J127" s="142" t="s">
        <v>913</v>
      </c>
      <c r="K127" s="142" t="s">
        <v>1327</v>
      </c>
      <c r="L127" s="142" t="s">
        <v>1328</v>
      </c>
      <c r="M127" s="142" t="s">
        <v>916</v>
      </c>
      <c r="N127" s="142" t="s">
        <v>388</v>
      </c>
      <c r="O127" s="142"/>
      <c r="P127" s="142" t="s">
        <v>386</v>
      </c>
      <c r="Q127" s="142" t="s">
        <v>917</v>
      </c>
      <c r="R127" s="142" t="s">
        <v>985</v>
      </c>
      <c r="S127" s="142" t="s">
        <v>53</v>
      </c>
    </row>
    <row r="128" spans="1:19">
      <c r="A128" s="142" t="s">
        <v>1331</v>
      </c>
      <c r="B128" s="142" t="s">
        <v>1332</v>
      </c>
      <c r="C128" s="142" t="s">
        <v>910</v>
      </c>
      <c r="D128" s="143">
        <v>0</v>
      </c>
      <c r="E128" s="142" t="s">
        <v>1326</v>
      </c>
      <c r="F128" s="142" t="s">
        <v>83</v>
      </c>
      <c r="G128" s="142" t="s">
        <v>962</v>
      </c>
      <c r="H128" s="142" t="s">
        <v>327</v>
      </c>
      <c r="I128" s="142" t="s">
        <v>382</v>
      </c>
      <c r="J128" s="142" t="s">
        <v>913</v>
      </c>
      <c r="K128" s="142" t="s">
        <v>1327</v>
      </c>
      <c r="L128" s="142" t="s">
        <v>1328</v>
      </c>
      <c r="M128" s="142" t="s">
        <v>916</v>
      </c>
      <c r="N128" s="142" t="s">
        <v>388</v>
      </c>
      <c r="O128" s="142"/>
      <c r="P128" s="142" t="s">
        <v>386</v>
      </c>
      <c r="Q128" s="142" t="s">
        <v>917</v>
      </c>
      <c r="R128" s="142" t="s">
        <v>1333</v>
      </c>
      <c r="S128" s="142" t="s">
        <v>83</v>
      </c>
    </row>
    <row r="129" spans="1:19">
      <c r="A129" s="142" t="s">
        <v>1334</v>
      </c>
      <c r="B129" s="142" t="s">
        <v>1335</v>
      </c>
      <c r="C129" s="142" t="s">
        <v>910</v>
      </c>
      <c r="D129" s="143">
        <v>0</v>
      </c>
      <c r="E129" s="142" t="s">
        <v>1326</v>
      </c>
      <c r="F129" s="142" t="s">
        <v>78</v>
      </c>
      <c r="G129" s="142" t="s">
        <v>962</v>
      </c>
      <c r="H129" s="142" t="s">
        <v>327</v>
      </c>
      <c r="I129" s="142" t="s">
        <v>382</v>
      </c>
      <c r="J129" s="142" t="s">
        <v>913</v>
      </c>
      <c r="K129" s="142" t="s">
        <v>1327</v>
      </c>
      <c r="L129" s="142" t="s">
        <v>1328</v>
      </c>
      <c r="M129" s="142" t="s">
        <v>916</v>
      </c>
      <c r="N129" s="142" t="s">
        <v>388</v>
      </c>
      <c r="O129" s="142"/>
      <c r="P129" s="142" t="s">
        <v>386</v>
      </c>
      <c r="Q129" s="142" t="s">
        <v>917</v>
      </c>
      <c r="R129" s="142" t="s">
        <v>1336</v>
      </c>
      <c r="S129" s="142" t="s">
        <v>78</v>
      </c>
    </row>
    <row r="130" spans="1:19">
      <c r="A130" s="142" t="s">
        <v>1337</v>
      </c>
      <c r="B130" s="142" t="s">
        <v>1338</v>
      </c>
      <c r="C130" s="142" t="s">
        <v>910</v>
      </c>
      <c r="D130" s="143">
        <v>0</v>
      </c>
      <c r="E130" s="142" t="s">
        <v>1339</v>
      </c>
      <c r="F130" s="142" t="s">
        <v>55</v>
      </c>
      <c r="G130" s="142" t="s">
        <v>962</v>
      </c>
      <c r="H130" s="142" t="s">
        <v>327</v>
      </c>
      <c r="I130" s="142" t="s">
        <v>382</v>
      </c>
      <c r="J130" s="142" t="s">
        <v>913</v>
      </c>
      <c r="K130" s="142" t="s">
        <v>1327</v>
      </c>
      <c r="L130" s="142" t="s">
        <v>1340</v>
      </c>
      <c r="M130" s="142" t="s">
        <v>916</v>
      </c>
      <c r="N130" s="142" t="s">
        <v>388</v>
      </c>
      <c r="O130" s="142"/>
      <c r="P130" s="142" t="s">
        <v>386</v>
      </c>
      <c r="Q130" s="142" t="s">
        <v>917</v>
      </c>
      <c r="R130" s="142" t="s">
        <v>966</v>
      </c>
      <c r="S130" s="142" t="s">
        <v>71</v>
      </c>
    </row>
    <row r="131" spans="1:19">
      <c r="A131" s="142" t="s">
        <v>1341</v>
      </c>
      <c r="B131" s="142" t="s">
        <v>1342</v>
      </c>
      <c r="C131" s="142" t="s">
        <v>910</v>
      </c>
      <c r="D131" s="143">
        <v>0</v>
      </c>
      <c r="E131" s="142" t="s">
        <v>1343</v>
      </c>
      <c r="F131" s="142" t="s">
        <v>53</v>
      </c>
      <c r="G131" s="142" t="s">
        <v>962</v>
      </c>
      <c r="H131" s="142" t="s">
        <v>327</v>
      </c>
      <c r="I131" s="142" t="s">
        <v>382</v>
      </c>
      <c r="J131" s="142" t="s">
        <v>913</v>
      </c>
      <c r="K131" s="142" t="s">
        <v>1344</v>
      </c>
      <c r="L131" s="142" t="s">
        <v>1345</v>
      </c>
      <c r="M131" s="142" t="s">
        <v>916</v>
      </c>
      <c r="N131" s="142" t="s">
        <v>388</v>
      </c>
      <c r="O131" s="142"/>
      <c r="P131" s="142" t="s">
        <v>386</v>
      </c>
      <c r="Q131" s="142" t="s">
        <v>917</v>
      </c>
      <c r="R131" s="142" t="s">
        <v>947</v>
      </c>
      <c r="S131" s="142" t="s">
        <v>53</v>
      </c>
    </row>
    <row r="132" spans="1:19">
      <c r="A132" s="142" t="s">
        <v>1346</v>
      </c>
      <c r="B132" s="142" t="s">
        <v>1347</v>
      </c>
      <c r="C132" s="142" t="s">
        <v>910</v>
      </c>
      <c r="D132" s="143">
        <v>0</v>
      </c>
      <c r="E132" s="142" t="s">
        <v>1348</v>
      </c>
      <c r="F132" s="142" t="s">
        <v>55</v>
      </c>
      <c r="G132" s="142" t="s">
        <v>962</v>
      </c>
      <c r="H132" s="142" t="s">
        <v>327</v>
      </c>
      <c r="I132" s="142" t="s">
        <v>382</v>
      </c>
      <c r="J132" s="142" t="s">
        <v>913</v>
      </c>
      <c r="K132" s="142" t="s">
        <v>1344</v>
      </c>
      <c r="L132" s="142" t="s">
        <v>1349</v>
      </c>
      <c r="M132" s="142" t="s">
        <v>916</v>
      </c>
      <c r="N132" s="142" t="s">
        <v>388</v>
      </c>
      <c r="O132" s="142"/>
      <c r="P132" s="142" t="s">
        <v>386</v>
      </c>
      <c r="Q132" s="142" t="s">
        <v>917</v>
      </c>
      <c r="R132" s="142" t="s">
        <v>1350</v>
      </c>
      <c r="S132" s="142" t="s">
        <v>71</v>
      </c>
    </row>
    <row r="133" spans="1:19">
      <c r="A133" s="142" t="s">
        <v>1351</v>
      </c>
      <c r="B133" s="142" t="s">
        <v>1352</v>
      </c>
      <c r="C133" s="142" t="s">
        <v>910</v>
      </c>
      <c r="D133" s="143">
        <v>0</v>
      </c>
      <c r="E133" s="142" t="s">
        <v>1353</v>
      </c>
      <c r="F133" s="142" t="s">
        <v>53</v>
      </c>
      <c r="G133" s="142" t="s">
        <v>962</v>
      </c>
      <c r="H133" s="142" t="s">
        <v>327</v>
      </c>
      <c r="I133" s="142" t="s">
        <v>382</v>
      </c>
      <c r="J133" s="142" t="s">
        <v>913</v>
      </c>
      <c r="K133" s="142" t="s">
        <v>1344</v>
      </c>
      <c r="L133" s="142" t="s">
        <v>1354</v>
      </c>
      <c r="M133" s="142" t="s">
        <v>916</v>
      </c>
      <c r="N133" s="142" t="s">
        <v>388</v>
      </c>
      <c r="O133" s="142"/>
      <c r="P133" s="142" t="s">
        <v>386</v>
      </c>
      <c r="Q133" s="142" t="s">
        <v>917</v>
      </c>
      <c r="R133" s="142" t="s">
        <v>985</v>
      </c>
      <c r="S133" s="142" t="s">
        <v>53</v>
      </c>
    </row>
    <row r="134" spans="1:19">
      <c r="A134" s="142" t="s">
        <v>1355</v>
      </c>
      <c r="B134" s="142" t="s">
        <v>1356</v>
      </c>
      <c r="C134" s="142" t="s">
        <v>910</v>
      </c>
      <c r="D134" s="143">
        <v>0</v>
      </c>
      <c r="E134" s="142" t="s">
        <v>1357</v>
      </c>
      <c r="F134" s="142" t="s">
        <v>246</v>
      </c>
      <c r="G134" s="142" t="s">
        <v>1060</v>
      </c>
      <c r="H134" s="142" t="s">
        <v>356</v>
      </c>
      <c r="I134" s="142" t="s">
        <v>382</v>
      </c>
      <c r="J134" s="142" t="s">
        <v>913</v>
      </c>
      <c r="K134" s="142" t="s">
        <v>1344</v>
      </c>
      <c r="L134" s="142" t="s">
        <v>1358</v>
      </c>
      <c r="M134" s="142" t="s">
        <v>916</v>
      </c>
      <c r="N134" s="142" t="s">
        <v>388</v>
      </c>
      <c r="O134" s="142"/>
      <c r="P134" s="142" t="s">
        <v>386</v>
      </c>
      <c r="Q134" s="142" t="s">
        <v>917</v>
      </c>
      <c r="R134" s="142" t="s">
        <v>1074</v>
      </c>
      <c r="S134" s="142" t="s">
        <v>83</v>
      </c>
    </row>
    <row r="135" spans="1:19">
      <c r="A135" s="142" t="s">
        <v>1359</v>
      </c>
      <c r="B135" s="142" t="s">
        <v>1360</v>
      </c>
      <c r="C135" s="142" t="s">
        <v>910</v>
      </c>
      <c r="D135" s="143">
        <v>0</v>
      </c>
      <c r="E135" s="142" t="s">
        <v>1361</v>
      </c>
      <c r="F135" s="142" t="s">
        <v>53</v>
      </c>
      <c r="G135" s="142" t="s">
        <v>962</v>
      </c>
      <c r="H135" s="142" t="s">
        <v>327</v>
      </c>
      <c r="I135" s="142" t="s">
        <v>382</v>
      </c>
      <c r="J135" s="142" t="s">
        <v>913</v>
      </c>
      <c r="K135" s="142" t="s">
        <v>1344</v>
      </c>
      <c r="L135" s="142" t="s">
        <v>1362</v>
      </c>
      <c r="M135" s="142" t="s">
        <v>916</v>
      </c>
      <c r="N135" s="142" t="s">
        <v>388</v>
      </c>
      <c r="O135" s="142"/>
      <c r="P135" s="142" t="s">
        <v>386</v>
      </c>
      <c r="Q135" s="142" t="s">
        <v>917</v>
      </c>
      <c r="R135" s="142" t="s">
        <v>947</v>
      </c>
      <c r="S135" s="142" t="s">
        <v>53</v>
      </c>
    </row>
    <row r="136" spans="1:19">
      <c r="A136" s="142" t="s">
        <v>1363</v>
      </c>
      <c r="B136" s="142" t="s">
        <v>1364</v>
      </c>
      <c r="C136" s="142" t="s">
        <v>910</v>
      </c>
      <c r="D136" s="143">
        <v>0</v>
      </c>
      <c r="E136" s="142" t="s">
        <v>1361</v>
      </c>
      <c r="F136" s="142" t="s">
        <v>306</v>
      </c>
      <c r="G136" s="142" t="s">
        <v>962</v>
      </c>
      <c r="H136" s="142" t="s">
        <v>327</v>
      </c>
      <c r="I136" s="142" t="s">
        <v>382</v>
      </c>
      <c r="J136" s="142" t="s">
        <v>913</v>
      </c>
      <c r="K136" s="142" t="s">
        <v>1344</v>
      </c>
      <c r="L136" s="142" t="s">
        <v>1362</v>
      </c>
      <c r="M136" s="142" t="s">
        <v>916</v>
      </c>
      <c r="N136" s="142" t="s">
        <v>388</v>
      </c>
      <c r="O136" s="142"/>
      <c r="P136" s="142" t="s">
        <v>386</v>
      </c>
      <c r="Q136" s="142" t="s">
        <v>917</v>
      </c>
      <c r="R136" s="142" t="s">
        <v>1150</v>
      </c>
      <c r="S136" s="142" t="s">
        <v>53</v>
      </c>
    </row>
    <row r="137" spans="1:19">
      <c r="A137" s="142" t="s">
        <v>1365</v>
      </c>
      <c r="B137" s="142" t="s">
        <v>1366</v>
      </c>
      <c r="C137" s="142" t="s">
        <v>910</v>
      </c>
      <c r="D137" s="143">
        <v>0</v>
      </c>
      <c r="E137" s="142" t="s">
        <v>1367</v>
      </c>
      <c r="F137" s="142" t="s">
        <v>55</v>
      </c>
      <c r="G137" s="142" t="s">
        <v>962</v>
      </c>
      <c r="H137" s="142" t="s">
        <v>327</v>
      </c>
      <c r="I137" s="142" t="s">
        <v>382</v>
      </c>
      <c r="J137" s="142" t="s">
        <v>913</v>
      </c>
      <c r="K137" s="142" t="s">
        <v>1344</v>
      </c>
      <c r="L137" s="142" t="s">
        <v>1368</v>
      </c>
      <c r="M137" s="142" t="s">
        <v>916</v>
      </c>
      <c r="N137" s="142" t="s">
        <v>388</v>
      </c>
      <c r="O137" s="142"/>
      <c r="P137" s="142" t="s">
        <v>386</v>
      </c>
      <c r="Q137" s="142" t="s">
        <v>917</v>
      </c>
      <c r="R137" s="142" t="s">
        <v>1206</v>
      </c>
      <c r="S137" s="142" t="s">
        <v>71</v>
      </c>
    </row>
    <row r="138" spans="1:19">
      <c r="A138" s="142" t="s">
        <v>1369</v>
      </c>
      <c r="B138" s="142" t="s">
        <v>1370</v>
      </c>
      <c r="C138" s="142" t="s">
        <v>910</v>
      </c>
      <c r="D138" s="143">
        <v>0</v>
      </c>
      <c r="E138" s="142" t="s">
        <v>1371</v>
      </c>
      <c r="F138" s="142" t="s">
        <v>53</v>
      </c>
      <c r="G138" s="142" t="s">
        <v>962</v>
      </c>
      <c r="H138" s="142" t="s">
        <v>327</v>
      </c>
      <c r="I138" s="142" t="s">
        <v>382</v>
      </c>
      <c r="J138" s="142" t="s">
        <v>913</v>
      </c>
      <c r="K138" s="142" t="s">
        <v>1344</v>
      </c>
      <c r="L138" s="142" t="s">
        <v>1372</v>
      </c>
      <c r="M138" s="142" t="s">
        <v>916</v>
      </c>
      <c r="N138" s="142" t="s">
        <v>388</v>
      </c>
      <c r="O138" s="142"/>
      <c r="P138" s="142" t="s">
        <v>386</v>
      </c>
      <c r="Q138" s="142" t="s">
        <v>917</v>
      </c>
      <c r="R138" s="142" t="s">
        <v>947</v>
      </c>
      <c r="S138" s="142" t="s">
        <v>53</v>
      </c>
    </row>
    <row r="139" spans="1:19">
      <c r="A139" s="142" t="s">
        <v>1373</v>
      </c>
      <c r="B139" s="142" t="s">
        <v>1374</v>
      </c>
      <c r="C139" s="142" t="s">
        <v>910</v>
      </c>
      <c r="D139" s="143">
        <v>0</v>
      </c>
      <c r="E139" s="142" t="s">
        <v>1375</v>
      </c>
      <c r="F139" s="142" t="s">
        <v>53</v>
      </c>
      <c r="G139" s="142" t="s">
        <v>962</v>
      </c>
      <c r="H139" s="142" t="s">
        <v>327</v>
      </c>
      <c r="I139" s="142" t="s">
        <v>382</v>
      </c>
      <c r="J139" s="142" t="s">
        <v>913</v>
      </c>
      <c r="K139" s="142" t="s">
        <v>1344</v>
      </c>
      <c r="L139" s="142" t="s">
        <v>1376</v>
      </c>
      <c r="M139" s="142" t="s">
        <v>916</v>
      </c>
      <c r="N139" s="142" t="s">
        <v>388</v>
      </c>
      <c r="O139" s="142"/>
      <c r="P139" s="142" t="s">
        <v>386</v>
      </c>
      <c r="Q139" s="142" t="s">
        <v>917</v>
      </c>
      <c r="R139" s="142" t="s">
        <v>985</v>
      </c>
      <c r="S139" s="142" t="s">
        <v>53</v>
      </c>
    </row>
    <row r="140" spans="1:19">
      <c r="A140" s="142" t="s">
        <v>1377</v>
      </c>
      <c r="B140" s="142" t="s">
        <v>1378</v>
      </c>
      <c r="C140" s="142" t="s">
        <v>910</v>
      </c>
      <c r="D140" s="143">
        <v>0</v>
      </c>
      <c r="E140" s="142" t="s">
        <v>1375</v>
      </c>
      <c r="F140" s="142" t="s">
        <v>78</v>
      </c>
      <c r="G140" s="142" t="s">
        <v>962</v>
      </c>
      <c r="H140" s="142" t="s">
        <v>327</v>
      </c>
      <c r="I140" s="142" t="s">
        <v>382</v>
      </c>
      <c r="J140" s="142" t="s">
        <v>913</v>
      </c>
      <c r="K140" s="142" t="s">
        <v>1344</v>
      </c>
      <c r="L140" s="142" t="s">
        <v>1376</v>
      </c>
      <c r="M140" s="142" t="s">
        <v>916</v>
      </c>
      <c r="N140" s="142" t="s">
        <v>388</v>
      </c>
      <c r="O140" s="142"/>
      <c r="P140" s="142" t="s">
        <v>386</v>
      </c>
      <c r="Q140" s="142" t="s">
        <v>917</v>
      </c>
      <c r="R140" s="142" t="s">
        <v>1379</v>
      </c>
      <c r="S140" s="142" t="s">
        <v>78</v>
      </c>
    </row>
    <row r="141" spans="1:19">
      <c r="A141" s="142" t="s">
        <v>1380</v>
      </c>
      <c r="B141" s="142" t="s">
        <v>1381</v>
      </c>
      <c r="C141" s="142" t="s">
        <v>910</v>
      </c>
      <c r="D141" s="143">
        <v>0</v>
      </c>
      <c r="E141" s="142" t="s">
        <v>1382</v>
      </c>
      <c r="F141" s="142" t="s">
        <v>53</v>
      </c>
      <c r="G141" s="142" t="s">
        <v>962</v>
      </c>
      <c r="H141" s="142" t="s">
        <v>327</v>
      </c>
      <c r="I141" s="142" t="s">
        <v>382</v>
      </c>
      <c r="J141" s="142" t="s">
        <v>913</v>
      </c>
      <c r="K141" s="142" t="s">
        <v>1344</v>
      </c>
      <c r="L141" s="142" t="s">
        <v>1383</v>
      </c>
      <c r="M141" s="142" t="s">
        <v>916</v>
      </c>
      <c r="N141" s="142" t="s">
        <v>388</v>
      </c>
      <c r="O141" s="142"/>
      <c r="P141" s="142" t="s">
        <v>386</v>
      </c>
      <c r="Q141" s="142" t="s">
        <v>917</v>
      </c>
      <c r="R141" s="142" t="s">
        <v>985</v>
      </c>
      <c r="S141" s="142" t="s">
        <v>53</v>
      </c>
    </row>
    <row r="142" spans="1:19">
      <c r="A142" s="142" t="s">
        <v>1384</v>
      </c>
      <c r="B142" s="142" t="s">
        <v>1385</v>
      </c>
      <c r="C142" s="142" t="s">
        <v>910</v>
      </c>
      <c r="D142" s="143">
        <v>0</v>
      </c>
      <c r="E142" s="142" t="s">
        <v>1386</v>
      </c>
      <c r="F142" s="142" t="s">
        <v>53</v>
      </c>
      <c r="G142" s="142" t="s">
        <v>962</v>
      </c>
      <c r="H142" s="142" t="s">
        <v>327</v>
      </c>
      <c r="I142" s="142" t="s">
        <v>382</v>
      </c>
      <c r="J142" s="142" t="s">
        <v>913</v>
      </c>
      <c r="K142" s="142" t="s">
        <v>1344</v>
      </c>
      <c r="L142" s="142" t="s">
        <v>1387</v>
      </c>
      <c r="M142" s="142" t="s">
        <v>916</v>
      </c>
      <c r="N142" s="142" t="s">
        <v>388</v>
      </c>
      <c r="O142" s="142"/>
      <c r="P142" s="142" t="s">
        <v>386</v>
      </c>
      <c r="Q142" s="142" t="s">
        <v>917</v>
      </c>
      <c r="R142" s="142" t="s">
        <v>971</v>
      </c>
      <c r="S142" s="142" t="s">
        <v>53</v>
      </c>
    </row>
    <row r="143" spans="1:19">
      <c r="A143" s="142" t="s">
        <v>1388</v>
      </c>
      <c r="B143" s="142" t="s">
        <v>1389</v>
      </c>
      <c r="C143" s="142" t="s">
        <v>910</v>
      </c>
      <c r="D143" s="143">
        <v>0</v>
      </c>
      <c r="E143" s="142" t="s">
        <v>1390</v>
      </c>
      <c r="F143" s="142" t="s">
        <v>53</v>
      </c>
      <c r="G143" s="142" t="s">
        <v>962</v>
      </c>
      <c r="H143" s="142" t="s">
        <v>327</v>
      </c>
      <c r="I143" s="142" t="s">
        <v>382</v>
      </c>
      <c r="J143" s="142" t="s">
        <v>913</v>
      </c>
      <c r="K143" s="142" t="s">
        <v>1344</v>
      </c>
      <c r="L143" s="142" t="s">
        <v>1391</v>
      </c>
      <c r="M143" s="142" t="s">
        <v>916</v>
      </c>
      <c r="N143" s="142" t="s">
        <v>388</v>
      </c>
      <c r="O143" s="142"/>
      <c r="P143" s="142" t="s">
        <v>386</v>
      </c>
      <c r="Q143" s="142" t="s">
        <v>917</v>
      </c>
      <c r="R143" s="142" t="s">
        <v>1392</v>
      </c>
      <c r="S143" s="142" t="s">
        <v>53</v>
      </c>
    </row>
    <row r="144" spans="1:19">
      <c r="A144" s="142" t="s">
        <v>1393</v>
      </c>
      <c r="B144" s="142" t="s">
        <v>1394</v>
      </c>
      <c r="C144" s="142" t="s">
        <v>910</v>
      </c>
      <c r="D144" s="143">
        <v>0</v>
      </c>
      <c r="E144" s="142" t="s">
        <v>1390</v>
      </c>
      <c r="F144" s="142" t="s">
        <v>60</v>
      </c>
      <c r="G144" s="142" t="s">
        <v>962</v>
      </c>
      <c r="H144" s="142" t="s">
        <v>327</v>
      </c>
      <c r="I144" s="142" t="s">
        <v>382</v>
      </c>
      <c r="J144" s="142" t="s">
        <v>913</v>
      </c>
      <c r="K144" s="142" t="s">
        <v>1344</v>
      </c>
      <c r="L144" s="142" t="s">
        <v>1391</v>
      </c>
      <c r="M144" s="142" t="s">
        <v>916</v>
      </c>
      <c r="N144" s="142" t="s">
        <v>388</v>
      </c>
      <c r="O144" s="142"/>
      <c r="P144" s="142" t="s">
        <v>386</v>
      </c>
      <c r="Q144" s="142" t="s">
        <v>917</v>
      </c>
      <c r="R144" s="142" t="s">
        <v>1395</v>
      </c>
      <c r="S144" s="142" t="s">
        <v>60</v>
      </c>
    </row>
    <row r="145" spans="1:19">
      <c r="A145" s="142" t="s">
        <v>1396</v>
      </c>
      <c r="B145" s="142" t="s">
        <v>1397</v>
      </c>
      <c r="C145" s="142" t="s">
        <v>910</v>
      </c>
      <c r="D145" s="143">
        <v>0</v>
      </c>
      <c r="E145" s="142" t="s">
        <v>1398</v>
      </c>
      <c r="F145" s="142" t="s">
        <v>55</v>
      </c>
      <c r="G145" s="142" t="s">
        <v>962</v>
      </c>
      <c r="H145" s="142" t="s">
        <v>327</v>
      </c>
      <c r="I145" s="142" t="s">
        <v>382</v>
      </c>
      <c r="J145" s="142" t="s">
        <v>913</v>
      </c>
      <c r="K145" s="142" t="s">
        <v>1344</v>
      </c>
      <c r="L145" s="142" t="s">
        <v>1399</v>
      </c>
      <c r="M145" s="142" t="s">
        <v>916</v>
      </c>
      <c r="N145" s="142" t="s">
        <v>388</v>
      </c>
      <c r="O145" s="142"/>
      <c r="P145" s="142" t="s">
        <v>386</v>
      </c>
      <c r="Q145" s="142" t="s">
        <v>917</v>
      </c>
      <c r="R145" s="142" t="s">
        <v>1400</v>
      </c>
      <c r="S145" s="142" t="s">
        <v>71</v>
      </c>
    </row>
    <row r="146" spans="1:19">
      <c r="A146" s="142" t="s">
        <v>1401</v>
      </c>
      <c r="B146" s="142" t="s">
        <v>1402</v>
      </c>
      <c r="C146" s="142" t="s">
        <v>910</v>
      </c>
      <c r="D146" s="143">
        <v>0</v>
      </c>
      <c r="E146" s="142" t="s">
        <v>1403</v>
      </c>
      <c r="F146" s="142" t="s">
        <v>53</v>
      </c>
      <c r="G146" s="142" t="s">
        <v>962</v>
      </c>
      <c r="H146" s="142" t="s">
        <v>327</v>
      </c>
      <c r="I146" s="142" t="s">
        <v>382</v>
      </c>
      <c r="J146" s="142" t="s">
        <v>913</v>
      </c>
      <c r="K146" s="142" t="s">
        <v>1344</v>
      </c>
      <c r="L146" s="142" t="s">
        <v>1404</v>
      </c>
      <c r="M146" s="142" t="s">
        <v>916</v>
      </c>
      <c r="N146" s="142" t="s">
        <v>388</v>
      </c>
      <c r="O146" s="142"/>
      <c r="P146" s="142" t="s">
        <v>386</v>
      </c>
      <c r="Q146" s="142" t="s">
        <v>917</v>
      </c>
      <c r="R146" s="142" t="s">
        <v>947</v>
      </c>
      <c r="S146" s="142" t="s">
        <v>53</v>
      </c>
    </row>
    <row r="147" spans="1:19">
      <c r="A147" s="142" t="s">
        <v>1405</v>
      </c>
      <c r="B147" s="142" t="s">
        <v>1406</v>
      </c>
      <c r="C147" s="142" t="s">
        <v>910</v>
      </c>
      <c r="D147" s="143">
        <v>0</v>
      </c>
      <c r="E147" s="142" t="s">
        <v>1407</v>
      </c>
      <c r="F147" s="142" t="s">
        <v>53</v>
      </c>
      <c r="G147" s="142" t="s">
        <v>962</v>
      </c>
      <c r="H147" s="142" t="s">
        <v>327</v>
      </c>
      <c r="I147" s="142" t="s">
        <v>382</v>
      </c>
      <c r="J147" s="142" t="s">
        <v>913</v>
      </c>
      <c r="K147" s="142" t="s">
        <v>1344</v>
      </c>
      <c r="L147" s="142" t="s">
        <v>1408</v>
      </c>
      <c r="M147" s="142" t="s">
        <v>916</v>
      </c>
      <c r="N147" s="142" t="s">
        <v>388</v>
      </c>
      <c r="O147" s="142"/>
      <c r="P147" s="142" t="s">
        <v>386</v>
      </c>
      <c r="Q147" s="142" t="s">
        <v>917</v>
      </c>
      <c r="R147" s="142" t="s">
        <v>971</v>
      </c>
      <c r="S147" s="142" t="s">
        <v>53</v>
      </c>
    </row>
    <row r="148" spans="1:19">
      <c r="A148" s="142" t="s">
        <v>1409</v>
      </c>
      <c r="B148" s="142" t="s">
        <v>1410</v>
      </c>
      <c r="C148" s="142" t="s">
        <v>910</v>
      </c>
      <c r="D148" s="143">
        <v>0</v>
      </c>
      <c r="E148" s="142" t="s">
        <v>1411</v>
      </c>
      <c r="F148" s="142" t="s">
        <v>53</v>
      </c>
      <c r="G148" s="142" t="s">
        <v>962</v>
      </c>
      <c r="H148" s="142" t="s">
        <v>327</v>
      </c>
      <c r="I148" s="142" t="s">
        <v>382</v>
      </c>
      <c r="J148" s="142" t="s">
        <v>913</v>
      </c>
      <c r="K148" s="142" t="s">
        <v>1344</v>
      </c>
      <c r="L148" s="142" t="s">
        <v>1412</v>
      </c>
      <c r="M148" s="142" t="s">
        <v>916</v>
      </c>
      <c r="N148" s="142" t="s">
        <v>388</v>
      </c>
      <c r="O148" s="142"/>
      <c r="P148" s="142" t="s">
        <v>386</v>
      </c>
      <c r="Q148" s="142" t="s">
        <v>917</v>
      </c>
      <c r="R148" s="142" t="s">
        <v>971</v>
      </c>
      <c r="S148" s="142" t="s">
        <v>53</v>
      </c>
    </row>
    <row r="149" spans="1:19">
      <c r="A149" s="142" t="s">
        <v>1413</v>
      </c>
      <c r="B149" s="142" t="s">
        <v>1414</v>
      </c>
      <c r="C149" s="142" t="s">
        <v>910</v>
      </c>
      <c r="D149" s="143">
        <v>0</v>
      </c>
      <c r="E149" s="142" t="s">
        <v>1415</v>
      </c>
      <c r="F149" s="142" t="s">
        <v>53</v>
      </c>
      <c r="G149" s="142" t="s">
        <v>962</v>
      </c>
      <c r="H149" s="142" t="s">
        <v>327</v>
      </c>
      <c r="I149" s="142" t="s">
        <v>382</v>
      </c>
      <c r="J149" s="142" t="s">
        <v>913</v>
      </c>
      <c r="K149" s="142" t="s">
        <v>1344</v>
      </c>
      <c r="L149" s="142" t="s">
        <v>1345</v>
      </c>
      <c r="M149" s="142" t="s">
        <v>916</v>
      </c>
      <c r="N149" s="142" t="s">
        <v>388</v>
      </c>
      <c r="O149" s="142"/>
      <c r="P149" s="142" t="s">
        <v>386</v>
      </c>
      <c r="Q149" s="142" t="s">
        <v>917</v>
      </c>
      <c r="R149" s="142" t="s">
        <v>971</v>
      </c>
      <c r="S149" s="142" t="s">
        <v>53</v>
      </c>
    </row>
    <row r="150" spans="1:19">
      <c r="A150" s="142" t="s">
        <v>1416</v>
      </c>
      <c r="B150" s="142" t="s">
        <v>1417</v>
      </c>
      <c r="C150" s="142" t="s">
        <v>910</v>
      </c>
      <c r="D150" s="143">
        <v>0</v>
      </c>
      <c r="E150" s="142" t="s">
        <v>1418</v>
      </c>
      <c r="F150" s="142" t="s">
        <v>55</v>
      </c>
      <c r="G150" s="142" t="s">
        <v>962</v>
      </c>
      <c r="H150" s="142" t="s">
        <v>327</v>
      </c>
      <c r="I150" s="142" t="s">
        <v>382</v>
      </c>
      <c r="J150" s="142" t="s">
        <v>913</v>
      </c>
      <c r="K150" s="142" t="s">
        <v>1344</v>
      </c>
      <c r="L150" s="142" t="s">
        <v>1419</v>
      </c>
      <c r="M150" s="142" t="s">
        <v>916</v>
      </c>
      <c r="N150" s="142" t="s">
        <v>388</v>
      </c>
      <c r="O150" s="142"/>
      <c r="P150" s="142" t="s">
        <v>386</v>
      </c>
      <c r="Q150" s="142" t="s">
        <v>917</v>
      </c>
      <c r="R150" s="142" t="s">
        <v>966</v>
      </c>
      <c r="S150" s="142" t="s">
        <v>71</v>
      </c>
    </row>
    <row r="151" spans="1:19">
      <c r="A151" s="142" t="s">
        <v>1420</v>
      </c>
      <c r="B151" s="142" t="s">
        <v>1421</v>
      </c>
      <c r="C151" s="142" t="s">
        <v>910</v>
      </c>
      <c r="D151" s="143">
        <v>0</v>
      </c>
      <c r="E151" s="142" t="s">
        <v>1422</v>
      </c>
      <c r="F151" s="142" t="s">
        <v>55</v>
      </c>
      <c r="G151" s="142" t="s">
        <v>962</v>
      </c>
      <c r="H151" s="142" t="s">
        <v>327</v>
      </c>
      <c r="I151" s="142" t="s">
        <v>382</v>
      </c>
      <c r="J151" s="142" t="s">
        <v>913</v>
      </c>
      <c r="K151" s="142" t="s">
        <v>1344</v>
      </c>
      <c r="L151" s="142" t="s">
        <v>1423</v>
      </c>
      <c r="M151" s="142" t="s">
        <v>916</v>
      </c>
      <c r="N151" s="142" t="s">
        <v>388</v>
      </c>
      <c r="O151" s="142"/>
      <c r="P151" s="142" t="s">
        <v>386</v>
      </c>
      <c r="Q151" s="142" t="s">
        <v>917</v>
      </c>
      <c r="R151" s="142" t="s">
        <v>1424</v>
      </c>
      <c r="S151" s="142" t="s">
        <v>71</v>
      </c>
    </row>
    <row r="152" spans="1:19">
      <c r="A152" s="142" t="s">
        <v>1425</v>
      </c>
      <c r="B152" s="142" t="s">
        <v>1426</v>
      </c>
      <c r="C152" s="142" t="s">
        <v>910</v>
      </c>
      <c r="D152" s="143">
        <v>0</v>
      </c>
      <c r="E152" s="142" t="s">
        <v>1427</v>
      </c>
      <c r="F152" s="142" t="s">
        <v>55</v>
      </c>
      <c r="G152" s="142" t="s">
        <v>962</v>
      </c>
      <c r="H152" s="142" t="s">
        <v>327</v>
      </c>
      <c r="I152" s="142" t="s">
        <v>382</v>
      </c>
      <c r="J152" s="142" t="s">
        <v>913</v>
      </c>
      <c r="K152" s="142" t="s">
        <v>1344</v>
      </c>
      <c r="L152" s="142" t="s">
        <v>1349</v>
      </c>
      <c r="M152" s="142" t="s">
        <v>916</v>
      </c>
      <c r="N152" s="142" t="s">
        <v>388</v>
      </c>
      <c r="O152" s="142"/>
      <c r="P152" s="142" t="s">
        <v>386</v>
      </c>
      <c r="Q152" s="142" t="s">
        <v>917</v>
      </c>
      <c r="R152" s="142" t="s">
        <v>1350</v>
      </c>
      <c r="S152" s="142" t="s">
        <v>71</v>
      </c>
    </row>
    <row r="153" spans="1:19">
      <c r="A153" s="142" t="s">
        <v>1428</v>
      </c>
      <c r="B153" s="142" t="s">
        <v>1429</v>
      </c>
      <c r="C153" s="142" t="s">
        <v>910</v>
      </c>
      <c r="D153" s="143">
        <v>0</v>
      </c>
      <c r="E153" s="142" t="s">
        <v>1430</v>
      </c>
      <c r="F153" s="142" t="s">
        <v>53</v>
      </c>
      <c r="G153" s="142" t="s">
        <v>962</v>
      </c>
      <c r="H153" s="142" t="s">
        <v>327</v>
      </c>
      <c r="I153" s="142" t="s">
        <v>382</v>
      </c>
      <c r="J153" s="142" t="s">
        <v>913</v>
      </c>
      <c r="K153" s="142" t="s">
        <v>1344</v>
      </c>
      <c r="L153" s="142" t="s">
        <v>1431</v>
      </c>
      <c r="M153" s="142" t="s">
        <v>916</v>
      </c>
      <c r="N153" s="142" t="s">
        <v>388</v>
      </c>
      <c r="O153" s="142"/>
      <c r="P153" s="142" t="s">
        <v>386</v>
      </c>
      <c r="Q153" s="142" t="s">
        <v>917</v>
      </c>
      <c r="R153" s="142" t="s">
        <v>971</v>
      </c>
      <c r="S153" s="142" t="s">
        <v>53</v>
      </c>
    </row>
    <row r="154" spans="1:19">
      <c r="A154" s="142" t="s">
        <v>1432</v>
      </c>
      <c r="B154" s="142" t="s">
        <v>1433</v>
      </c>
      <c r="C154" s="142" t="s">
        <v>910</v>
      </c>
      <c r="D154" s="143">
        <v>0</v>
      </c>
      <c r="E154" s="142" t="s">
        <v>1430</v>
      </c>
      <c r="F154" s="142" t="s">
        <v>55</v>
      </c>
      <c r="G154" s="142" t="s">
        <v>962</v>
      </c>
      <c r="H154" s="142" t="s">
        <v>327</v>
      </c>
      <c r="I154" s="142" t="s">
        <v>382</v>
      </c>
      <c r="J154" s="142" t="s">
        <v>913</v>
      </c>
      <c r="K154" s="142" t="s">
        <v>1344</v>
      </c>
      <c r="L154" s="142" t="s">
        <v>1431</v>
      </c>
      <c r="M154" s="142" t="s">
        <v>916</v>
      </c>
      <c r="N154" s="142" t="s">
        <v>388</v>
      </c>
      <c r="O154" s="142"/>
      <c r="P154" s="142" t="s">
        <v>386</v>
      </c>
      <c r="Q154" s="142" t="s">
        <v>917</v>
      </c>
      <c r="R154" s="142" t="s">
        <v>1206</v>
      </c>
      <c r="S154" s="142" t="s">
        <v>71</v>
      </c>
    </row>
    <row r="155" spans="1:19">
      <c r="A155" s="142" t="s">
        <v>1434</v>
      </c>
      <c r="B155" s="142" t="s">
        <v>1435</v>
      </c>
      <c r="C155" s="142" t="s">
        <v>910</v>
      </c>
      <c r="D155" s="143">
        <v>0</v>
      </c>
      <c r="E155" s="142" t="s">
        <v>1436</v>
      </c>
      <c r="F155" s="142" t="s">
        <v>296</v>
      </c>
      <c r="G155" s="142" t="s">
        <v>962</v>
      </c>
      <c r="H155" s="142" t="s">
        <v>327</v>
      </c>
      <c r="I155" s="142" t="s">
        <v>382</v>
      </c>
      <c r="J155" s="142" t="s">
        <v>913</v>
      </c>
      <c r="K155" s="142" t="s">
        <v>1344</v>
      </c>
      <c r="L155" s="142" t="s">
        <v>1437</v>
      </c>
      <c r="M155" s="142" t="s">
        <v>916</v>
      </c>
      <c r="N155" s="142" t="s">
        <v>388</v>
      </c>
      <c r="O155" s="142"/>
      <c r="P155" s="142" t="s">
        <v>386</v>
      </c>
      <c r="Q155" s="142" t="s">
        <v>917</v>
      </c>
      <c r="R155" s="142" t="s">
        <v>947</v>
      </c>
      <c r="S155" s="142" t="s">
        <v>53</v>
      </c>
    </row>
    <row r="156" spans="1:19">
      <c r="A156" s="142" t="s">
        <v>1438</v>
      </c>
      <c r="B156" s="142" t="s">
        <v>1439</v>
      </c>
      <c r="C156" s="142" t="s">
        <v>910</v>
      </c>
      <c r="D156" s="143">
        <v>0</v>
      </c>
      <c r="E156" s="142" t="s">
        <v>1436</v>
      </c>
      <c r="F156" s="142" t="s">
        <v>293</v>
      </c>
      <c r="G156" s="142" t="s">
        <v>962</v>
      </c>
      <c r="H156" s="142" t="s">
        <v>327</v>
      </c>
      <c r="I156" s="142" t="s">
        <v>382</v>
      </c>
      <c r="J156" s="142" t="s">
        <v>913</v>
      </c>
      <c r="K156" s="142" t="s">
        <v>1344</v>
      </c>
      <c r="L156" s="142" t="s">
        <v>1437</v>
      </c>
      <c r="M156" s="142" t="s">
        <v>916</v>
      </c>
      <c r="N156" s="142" t="s">
        <v>388</v>
      </c>
      <c r="O156" s="142"/>
      <c r="P156" s="142" t="s">
        <v>386</v>
      </c>
      <c r="Q156" s="142" t="s">
        <v>917</v>
      </c>
      <c r="R156" s="142" t="s">
        <v>979</v>
      </c>
      <c r="S156" s="142" t="s">
        <v>53</v>
      </c>
    </row>
    <row r="157" spans="1:19">
      <c r="A157" s="142" t="s">
        <v>1440</v>
      </c>
      <c r="B157" s="142" t="s">
        <v>1441</v>
      </c>
      <c r="C157" s="142" t="s">
        <v>910</v>
      </c>
      <c r="D157" s="143">
        <v>0</v>
      </c>
      <c r="E157" s="142" t="s">
        <v>1442</v>
      </c>
      <c r="F157" s="142" t="s">
        <v>53</v>
      </c>
      <c r="G157" s="142" t="s">
        <v>962</v>
      </c>
      <c r="H157" s="142" t="s">
        <v>327</v>
      </c>
      <c r="I157" s="142" t="s">
        <v>382</v>
      </c>
      <c r="J157" s="142" t="s">
        <v>913</v>
      </c>
      <c r="K157" s="142" t="s">
        <v>1344</v>
      </c>
      <c r="L157" s="142" t="s">
        <v>1443</v>
      </c>
      <c r="M157" s="142" t="s">
        <v>916</v>
      </c>
      <c r="N157" s="142" t="s">
        <v>388</v>
      </c>
      <c r="O157" s="142"/>
      <c r="P157" s="142" t="s">
        <v>386</v>
      </c>
      <c r="Q157" s="142" t="s">
        <v>917</v>
      </c>
      <c r="R157" s="142" t="s">
        <v>985</v>
      </c>
      <c r="S157" s="142" t="s">
        <v>53</v>
      </c>
    </row>
    <row r="158" spans="1:19">
      <c r="A158" s="142" t="s">
        <v>1444</v>
      </c>
      <c r="B158" s="142" t="s">
        <v>1445</v>
      </c>
      <c r="C158" s="142" t="s">
        <v>910</v>
      </c>
      <c r="D158" s="143">
        <v>0</v>
      </c>
      <c r="E158" s="142" t="s">
        <v>1442</v>
      </c>
      <c r="F158" s="142" t="s">
        <v>71</v>
      </c>
      <c r="G158" s="142" t="s">
        <v>962</v>
      </c>
      <c r="H158" s="142" t="s">
        <v>327</v>
      </c>
      <c r="I158" s="142" t="s">
        <v>382</v>
      </c>
      <c r="J158" s="142" t="s">
        <v>913</v>
      </c>
      <c r="K158" s="142" t="s">
        <v>1344</v>
      </c>
      <c r="L158" s="142" t="s">
        <v>1443</v>
      </c>
      <c r="M158" s="142" t="s">
        <v>916</v>
      </c>
      <c r="N158" s="142" t="s">
        <v>388</v>
      </c>
      <c r="O158" s="142"/>
      <c r="P158" s="142" t="s">
        <v>386</v>
      </c>
      <c r="Q158" s="142" t="s">
        <v>917</v>
      </c>
      <c r="R158" s="142" t="s">
        <v>1162</v>
      </c>
      <c r="S158" s="142" t="s">
        <v>71</v>
      </c>
    </row>
    <row r="159" spans="1:19">
      <c r="A159" s="142" t="s">
        <v>1446</v>
      </c>
      <c r="B159" s="142" t="s">
        <v>1447</v>
      </c>
      <c r="C159" s="142" t="s">
        <v>910</v>
      </c>
      <c r="D159" s="143">
        <v>0</v>
      </c>
      <c r="E159" s="142" t="s">
        <v>1448</v>
      </c>
      <c r="F159" s="142" t="s">
        <v>53</v>
      </c>
      <c r="G159" s="142" t="s">
        <v>962</v>
      </c>
      <c r="H159" s="142" t="s">
        <v>327</v>
      </c>
      <c r="I159" s="142" t="s">
        <v>382</v>
      </c>
      <c r="J159" s="142" t="s">
        <v>913</v>
      </c>
      <c r="K159" s="142" t="s">
        <v>1344</v>
      </c>
      <c r="L159" s="142" t="s">
        <v>1449</v>
      </c>
      <c r="M159" s="142" t="s">
        <v>916</v>
      </c>
      <c r="N159" s="142" t="s">
        <v>388</v>
      </c>
      <c r="O159" s="142"/>
      <c r="P159" s="142" t="s">
        <v>386</v>
      </c>
      <c r="Q159" s="142" t="s">
        <v>917</v>
      </c>
      <c r="R159" s="142" t="s">
        <v>1450</v>
      </c>
      <c r="S159" s="142" t="s">
        <v>53</v>
      </c>
    </row>
    <row r="160" spans="1:19">
      <c r="A160" s="142" t="s">
        <v>1451</v>
      </c>
      <c r="B160" s="142" t="s">
        <v>1452</v>
      </c>
      <c r="C160" s="142" t="s">
        <v>910</v>
      </c>
      <c r="D160" s="143">
        <v>0</v>
      </c>
      <c r="E160" s="142" t="s">
        <v>1453</v>
      </c>
      <c r="F160" s="142" t="s">
        <v>53</v>
      </c>
      <c r="G160" s="142" t="s">
        <v>962</v>
      </c>
      <c r="H160" s="142" t="s">
        <v>327</v>
      </c>
      <c r="I160" s="142" t="s">
        <v>382</v>
      </c>
      <c r="J160" s="142" t="s">
        <v>913</v>
      </c>
      <c r="K160" s="142" t="s">
        <v>1344</v>
      </c>
      <c r="L160" s="142" t="s">
        <v>1454</v>
      </c>
      <c r="M160" s="142" t="s">
        <v>916</v>
      </c>
      <c r="N160" s="142" t="s">
        <v>388</v>
      </c>
      <c r="O160" s="142"/>
      <c r="P160" s="142" t="s">
        <v>386</v>
      </c>
      <c r="Q160" s="142" t="s">
        <v>917</v>
      </c>
      <c r="R160" s="142" t="s">
        <v>1392</v>
      </c>
      <c r="S160" s="142" t="s">
        <v>53</v>
      </c>
    </row>
    <row r="161" spans="1:19">
      <c r="A161" s="142" t="s">
        <v>1455</v>
      </c>
      <c r="B161" s="142" t="s">
        <v>1456</v>
      </c>
      <c r="C161" s="142" t="s">
        <v>910</v>
      </c>
      <c r="D161" s="143">
        <v>0</v>
      </c>
      <c r="E161" s="142" t="s">
        <v>1457</v>
      </c>
      <c r="F161" s="142" t="s">
        <v>55</v>
      </c>
      <c r="G161" s="142" t="s">
        <v>962</v>
      </c>
      <c r="H161" s="142" t="s">
        <v>327</v>
      </c>
      <c r="I161" s="142" t="s">
        <v>382</v>
      </c>
      <c r="J161" s="142" t="s">
        <v>913</v>
      </c>
      <c r="K161" s="142" t="s">
        <v>1344</v>
      </c>
      <c r="L161" s="142" t="s">
        <v>1458</v>
      </c>
      <c r="M161" s="142" t="s">
        <v>916</v>
      </c>
      <c r="N161" s="142" t="s">
        <v>388</v>
      </c>
      <c r="O161" s="142"/>
      <c r="P161" s="142" t="s">
        <v>386</v>
      </c>
      <c r="Q161" s="142" t="s">
        <v>917</v>
      </c>
      <c r="R161" s="142" t="s">
        <v>1424</v>
      </c>
      <c r="S161" s="142" t="s">
        <v>71</v>
      </c>
    </row>
    <row r="162" spans="1:19">
      <c r="A162" s="142" t="s">
        <v>1459</v>
      </c>
      <c r="B162" s="142" t="s">
        <v>1460</v>
      </c>
      <c r="C162" s="142" t="s">
        <v>910</v>
      </c>
      <c r="D162" s="143">
        <v>0</v>
      </c>
      <c r="E162" s="142" t="s">
        <v>1461</v>
      </c>
      <c r="F162" s="142" t="s">
        <v>53</v>
      </c>
      <c r="G162" s="142" t="s">
        <v>962</v>
      </c>
      <c r="H162" s="142" t="s">
        <v>327</v>
      </c>
      <c r="I162" s="142" t="s">
        <v>382</v>
      </c>
      <c r="J162" s="142" t="s">
        <v>913</v>
      </c>
      <c r="K162" s="142" t="s">
        <v>1344</v>
      </c>
      <c r="L162" s="142" t="s">
        <v>1462</v>
      </c>
      <c r="M162" s="142" t="s">
        <v>916</v>
      </c>
      <c r="N162" s="142" t="s">
        <v>388</v>
      </c>
      <c r="O162" s="142"/>
      <c r="P162" s="142" t="s">
        <v>386</v>
      </c>
      <c r="Q162" s="142" t="s">
        <v>917</v>
      </c>
      <c r="R162" s="142" t="s">
        <v>947</v>
      </c>
      <c r="S162" s="142" t="s">
        <v>53</v>
      </c>
    </row>
    <row r="163" spans="1:19">
      <c r="A163" s="142" t="s">
        <v>1463</v>
      </c>
      <c r="B163" s="142" t="s">
        <v>1464</v>
      </c>
      <c r="C163" s="142" t="s">
        <v>910</v>
      </c>
      <c r="D163" s="143">
        <v>0</v>
      </c>
      <c r="E163" s="142" t="s">
        <v>1465</v>
      </c>
      <c r="F163" s="142" t="s">
        <v>55</v>
      </c>
      <c r="G163" s="142" t="s">
        <v>962</v>
      </c>
      <c r="H163" s="142" t="s">
        <v>327</v>
      </c>
      <c r="I163" s="142" t="s">
        <v>382</v>
      </c>
      <c r="J163" s="142" t="s">
        <v>913</v>
      </c>
      <c r="K163" s="142" t="s">
        <v>1344</v>
      </c>
      <c r="L163" s="142" t="s">
        <v>1466</v>
      </c>
      <c r="M163" s="142" t="s">
        <v>916</v>
      </c>
      <c r="N163" s="142" t="s">
        <v>388</v>
      </c>
      <c r="O163" s="142"/>
      <c r="P163" s="142" t="s">
        <v>386</v>
      </c>
      <c r="Q163" s="142" t="s">
        <v>917</v>
      </c>
      <c r="R163" s="142" t="s">
        <v>966</v>
      </c>
      <c r="S163" s="142" t="s">
        <v>71</v>
      </c>
    </row>
    <row r="164" spans="1:19">
      <c r="A164" s="142" t="s">
        <v>1467</v>
      </c>
      <c r="B164" s="142" t="s">
        <v>1468</v>
      </c>
      <c r="C164" s="142" t="s">
        <v>910</v>
      </c>
      <c r="D164" s="143">
        <v>0</v>
      </c>
      <c r="E164" s="142" t="s">
        <v>1469</v>
      </c>
      <c r="F164" s="142" t="s">
        <v>53</v>
      </c>
      <c r="G164" s="142" t="s">
        <v>962</v>
      </c>
      <c r="H164" s="142" t="s">
        <v>327</v>
      </c>
      <c r="I164" s="142" t="s">
        <v>382</v>
      </c>
      <c r="J164" s="142" t="s">
        <v>913</v>
      </c>
      <c r="K164" s="142" t="s">
        <v>1344</v>
      </c>
      <c r="L164" s="142" t="s">
        <v>1358</v>
      </c>
      <c r="M164" s="142" t="s">
        <v>916</v>
      </c>
      <c r="N164" s="142" t="s">
        <v>388</v>
      </c>
      <c r="O164" s="142"/>
      <c r="P164" s="142" t="s">
        <v>386</v>
      </c>
      <c r="Q164" s="142" t="s">
        <v>917</v>
      </c>
      <c r="R164" s="142" t="s">
        <v>947</v>
      </c>
      <c r="S164" s="142" t="s">
        <v>83</v>
      </c>
    </row>
    <row r="165" spans="1:19">
      <c r="A165" s="142" t="s">
        <v>1470</v>
      </c>
      <c r="B165" s="142" t="s">
        <v>1471</v>
      </c>
      <c r="C165" s="142" t="s">
        <v>910</v>
      </c>
      <c r="D165" s="143">
        <v>0</v>
      </c>
      <c r="E165" s="142" t="s">
        <v>1472</v>
      </c>
      <c r="F165" s="142" t="s">
        <v>53</v>
      </c>
      <c r="G165" s="142" t="s">
        <v>962</v>
      </c>
      <c r="H165" s="142" t="s">
        <v>327</v>
      </c>
      <c r="I165" s="142" t="s">
        <v>382</v>
      </c>
      <c r="J165" s="142" t="s">
        <v>913</v>
      </c>
      <c r="K165" s="142" t="s">
        <v>1344</v>
      </c>
      <c r="L165" s="142" t="s">
        <v>1354</v>
      </c>
      <c r="M165" s="142" t="s">
        <v>916</v>
      </c>
      <c r="N165" s="142" t="s">
        <v>388</v>
      </c>
      <c r="O165" s="142"/>
      <c r="P165" s="142" t="s">
        <v>386</v>
      </c>
      <c r="Q165" s="142" t="s">
        <v>917</v>
      </c>
      <c r="R165" s="142" t="s">
        <v>947</v>
      </c>
      <c r="S165" s="142" t="s">
        <v>53</v>
      </c>
    </row>
    <row r="166" spans="1:19">
      <c r="A166" s="142" t="s">
        <v>1473</v>
      </c>
      <c r="B166" s="142" t="s">
        <v>1474</v>
      </c>
      <c r="C166" s="142" t="s">
        <v>910</v>
      </c>
      <c r="D166" s="143">
        <v>0</v>
      </c>
      <c r="E166" s="142" t="s">
        <v>1475</v>
      </c>
      <c r="F166" s="142" t="s">
        <v>53</v>
      </c>
      <c r="G166" s="142" t="s">
        <v>962</v>
      </c>
      <c r="H166" s="142" t="s">
        <v>327</v>
      </c>
      <c r="I166" s="142" t="s">
        <v>382</v>
      </c>
      <c r="J166" s="142" t="s">
        <v>913</v>
      </c>
      <c r="K166" s="142" t="s">
        <v>1344</v>
      </c>
      <c r="L166" s="142" t="s">
        <v>1476</v>
      </c>
      <c r="M166" s="142" t="s">
        <v>916</v>
      </c>
      <c r="N166" s="142" t="s">
        <v>388</v>
      </c>
      <c r="O166" s="142"/>
      <c r="P166" s="142" t="s">
        <v>386</v>
      </c>
      <c r="Q166" s="142" t="s">
        <v>917</v>
      </c>
      <c r="R166" s="142" t="s">
        <v>979</v>
      </c>
      <c r="S166" s="142" t="s">
        <v>53</v>
      </c>
    </row>
    <row r="167" spans="1:19">
      <c r="A167" s="142" t="s">
        <v>1477</v>
      </c>
      <c r="B167" s="142" t="s">
        <v>1478</v>
      </c>
      <c r="C167" s="142" t="s">
        <v>910</v>
      </c>
      <c r="D167" s="143">
        <v>0</v>
      </c>
      <c r="E167" s="142" t="s">
        <v>1479</v>
      </c>
      <c r="F167" s="142" t="s">
        <v>53</v>
      </c>
      <c r="G167" s="142" t="s">
        <v>962</v>
      </c>
      <c r="H167" s="142" t="s">
        <v>327</v>
      </c>
      <c r="I167" s="142" t="s">
        <v>382</v>
      </c>
      <c r="J167" s="142" t="s">
        <v>913</v>
      </c>
      <c r="K167" s="142" t="s">
        <v>1344</v>
      </c>
      <c r="L167" s="142" t="s">
        <v>1345</v>
      </c>
      <c r="M167" s="142" t="s">
        <v>916</v>
      </c>
      <c r="N167" s="142" t="s">
        <v>388</v>
      </c>
      <c r="O167" s="142"/>
      <c r="P167" s="142" t="s">
        <v>386</v>
      </c>
      <c r="Q167" s="142" t="s">
        <v>917</v>
      </c>
      <c r="R167" s="142" t="s">
        <v>985</v>
      </c>
      <c r="S167" s="142" t="s">
        <v>53</v>
      </c>
    </row>
    <row r="168" spans="1:19">
      <c r="A168" s="142" t="s">
        <v>1480</v>
      </c>
      <c r="B168" s="142" t="s">
        <v>1481</v>
      </c>
      <c r="C168" s="142" t="s">
        <v>910</v>
      </c>
      <c r="D168" s="143">
        <v>0</v>
      </c>
      <c r="E168" s="142" t="s">
        <v>1482</v>
      </c>
      <c r="F168" s="142" t="s">
        <v>53</v>
      </c>
      <c r="G168" s="142" t="s">
        <v>962</v>
      </c>
      <c r="H168" s="142" t="s">
        <v>327</v>
      </c>
      <c r="I168" s="142" t="s">
        <v>382</v>
      </c>
      <c r="J168" s="142" t="s">
        <v>913</v>
      </c>
      <c r="K168" s="142" t="s">
        <v>1344</v>
      </c>
      <c r="L168" s="142" t="s">
        <v>1437</v>
      </c>
      <c r="M168" s="142" t="s">
        <v>916</v>
      </c>
      <c r="N168" s="142" t="s">
        <v>388</v>
      </c>
      <c r="O168" s="142"/>
      <c r="P168" s="142" t="s">
        <v>386</v>
      </c>
      <c r="Q168" s="142" t="s">
        <v>917</v>
      </c>
      <c r="R168" s="142" t="s">
        <v>947</v>
      </c>
      <c r="S168" s="142" t="s">
        <v>53</v>
      </c>
    </row>
    <row r="169" spans="1:19">
      <c r="A169" s="142" t="s">
        <v>1483</v>
      </c>
      <c r="B169" s="142" t="s">
        <v>1484</v>
      </c>
      <c r="C169" s="142" t="s">
        <v>910</v>
      </c>
      <c r="D169" s="143">
        <v>0</v>
      </c>
      <c r="E169" s="142" t="s">
        <v>1485</v>
      </c>
      <c r="F169" s="142" t="s">
        <v>53</v>
      </c>
      <c r="G169" s="142" t="s">
        <v>962</v>
      </c>
      <c r="H169" s="142" t="s">
        <v>327</v>
      </c>
      <c r="I169" s="142" t="s">
        <v>382</v>
      </c>
      <c r="J169" s="142" t="s">
        <v>913</v>
      </c>
      <c r="K169" s="142" t="s">
        <v>1344</v>
      </c>
      <c r="L169" s="142" t="s">
        <v>1449</v>
      </c>
      <c r="M169" s="142" t="s">
        <v>916</v>
      </c>
      <c r="N169" s="142" t="s">
        <v>388</v>
      </c>
      <c r="O169" s="142"/>
      <c r="P169" s="142" t="s">
        <v>386</v>
      </c>
      <c r="Q169" s="142" t="s">
        <v>917</v>
      </c>
      <c r="R169" s="142" t="s">
        <v>979</v>
      </c>
      <c r="S169" s="142" t="s">
        <v>53</v>
      </c>
    </row>
    <row r="170" spans="1:19">
      <c r="A170" s="142" t="s">
        <v>1486</v>
      </c>
      <c r="B170" s="142" t="s">
        <v>1487</v>
      </c>
      <c r="C170" s="142" t="s">
        <v>910</v>
      </c>
      <c r="D170" s="143">
        <v>0</v>
      </c>
      <c r="E170" s="142" t="s">
        <v>1485</v>
      </c>
      <c r="F170" s="142" t="s">
        <v>286</v>
      </c>
      <c r="G170" s="142" t="s">
        <v>962</v>
      </c>
      <c r="H170" s="142" t="s">
        <v>327</v>
      </c>
      <c r="I170" s="142" t="s">
        <v>382</v>
      </c>
      <c r="J170" s="142" t="s">
        <v>913</v>
      </c>
      <c r="K170" s="142" t="s">
        <v>1344</v>
      </c>
      <c r="L170" s="142" t="s">
        <v>1449</v>
      </c>
      <c r="M170" s="142" t="s">
        <v>916</v>
      </c>
      <c r="N170" s="142" t="s">
        <v>388</v>
      </c>
      <c r="O170" s="142"/>
      <c r="P170" s="142" t="s">
        <v>386</v>
      </c>
      <c r="Q170" s="142" t="s">
        <v>917</v>
      </c>
      <c r="R170" s="142" t="s">
        <v>1488</v>
      </c>
      <c r="S170" s="142" t="s">
        <v>286</v>
      </c>
    </row>
    <row r="171" spans="1:19">
      <c r="A171" s="142" t="s">
        <v>1489</v>
      </c>
      <c r="B171" s="142" t="s">
        <v>1490</v>
      </c>
      <c r="C171" s="142" t="s">
        <v>910</v>
      </c>
      <c r="D171" s="143">
        <v>0</v>
      </c>
      <c r="E171" s="142" t="s">
        <v>1491</v>
      </c>
      <c r="F171" s="142" t="s">
        <v>53</v>
      </c>
      <c r="G171" s="142" t="s">
        <v>912</v>
      </c>
      <c r="H171" s="142" t="s">
        <v>327</v>
      </c>
      <c r="I171" s="142" t="s">
        <v>382</v>
      </c>
      <c r="J171" s="142" t="s">
        <v>913</v>
      </c>
      <c r="K171" s="142" t="s">
        <v>1344</v>
      </c>
      <c r="L171" s="142" t="s">
        <v>1354</v>
      </c>
      <c r="M171" s="142" t="s">
        <v>942</v>
      </c>
      <c r="N171" s="142" t="s">
        <v>388</v>
      </c>
      <c r="O171" s="142" t="s">
        <v>43</v>
      </c>
      <c r="P171" s="142" t="s">
        <v>386</v>
      </c>
      <c r="Q171" s="142" t="s">
        <v>917</v>
      </c>
      <c r="R171" s="142" t="s">
        <v>947</v>
      </c>
      <c r="S171" s="142" t="s">
        <v>53</v>
      </c>
    </row>
    <row r="172" spans="1:19">
      <c r="A172" s="142" t="s">
        <v>1492</v>
      </c>
      <c r="B172" s="142" t="s">
        <v>1493</v>
      </c>
      <c r="C172" s="142" t="s">
        <v>910</v>
      </c>
      <c r="D172" s="143">
        <v>0</v>
      </c>
      <c r="E172" s="142" t="s">
        <v>1494</v>
      </c>
      <c r="F172" s="142" t="s">
        <v>53</v>
      </c>
      <c r="G172" s="142" t="s">
        <v>962</v>
      </c>
      <c r="H172" s="142" t="s">
        <v>327</v>
      </c>
      <c r="I172" s="142" t="s">
        <v>382</v>
      </c>
      <c r="J172" s="142" t="s">
        <v>913</v>
      </c>
      <c r="K172" s="142" t="s">
        <v>1344</v>
      </c>
      <c r="L172" s="142" t="s">
        <v>1362</v>
      </c>
      <c r="M172" s="142" t="s">
        <v>916</v>
      </c>
      <c r="N172" s="142" t="s">
        <v>388</v>
      </c>
      <c r="O172" s="142"/>
      <c r="P172" s="142" t="s">
        <v>386</v>
      </c>
      <c r="Q172" s="142" t="s">
        <v>917</v>
      </c>
      <c r="R172" s="142" t="s">
        <v>1495</v>
      </c>
      <c r="S172" s="142" t="s">
        <v>53</v>
      </c>
    </row>
    <row r="173" spans="1:19">
      <c r="A173" s="142" t="s">
        <v>1496</v>
      </c>
      <c r="B173" s="142" t="s">
        <v>1497</v>
      </c>
      <c r="C173" s="142" t="s">
        <v>910</v>
      </c>
      <c r="D173" s="143">
        <v>0</v>
      </c>
      <c r="E173" s="142" t="s">
        <v>1498</v>
      </c>
      <c r="F173" s="142" t="s">
        <v>53</v>
      </c>
      <c r="G173" s="142" t="s">
        <v>962</v>
      </c>
      <c r="H173" s="142" t="s">
        <v>327</v>
      </c>
      <c r="I173" s="142" t="s">
        <v>382</v>
      </c>
      <c r="J173" s="142" t="s">
        <v>913</v>
      </c>
      <c r="K173" s="142" t="s">
        <v>1344</v>
      </c>
      <c r="L173" s="142" t="s">
        <v>1387</v>
      </c>
      <c r="M173" s="142" t="s">
        <v>916</v>
      </c>
      <c r="N173" s="142" t="s">
        <v>388</v>
      </c>
      <c r="O173" s="142"/>
      <c r="P173" s="142" t="s">
        <v>386</v>
      </c>
      <c r="Q173" s="142" t="s">
        <v>917</v>
      </c>
      <c r="R173" s="142" t="s">
        <v>1499</v>
      </c>
      <c r="S173" s="142" t="s">
        <v>53</v>
      </c>
    </row>
    <row r="174" spans="1:19">
      <c r="A174" s="142" t="s">
        <v>1500</v>
      </c>
      <c r="B174" s="142" t="s">
        <v>1501</v>
      </c>
      <c r="C174" s="142" t="s">
        <v>910</v>
      </c>
      <c r="D174" s="143">
        <v>0</v>
      </c>
      <c r="E174" s="142" t="s">
        <v>1502</v>
      </c>
      <c r="F174" s="142" t="s">
        <v>60</v>
      </c>
      <c r="G174" s="142" t="s">
        <v>962</v>
      </c>
      <c r="H174" s="142" t="s">
        <v>327</v>
      </c>
      <c r="I174" s="142" t="s">
        <v>382</v>
      </c>
      <c r="J174" s="142" t="s">
        <v>913</v>
      </c>
      <c r="K174" s="142" t="s">
        <v>1344</v>
      </c>
      <c r="L174" s="142" t="s">
        <v>1503</v>
      </c>
      <c r="M174" s="142" t="s">
        <v>916</v>
      </c>
      <c r="N174" s="142" t="s">
        <v>388</v>
      </c>
      <c r="O174" s="142"/>
      <c r="P174" s="142" t="s">
        <v>386</v>
      </c>
      <c r="Q174" s="142" t="s">
        <v>917</v>
      </c>
      <c r="R174" s="142" t="s">
        <v>1504</v>
      </c>
      <c r="S174" s="142" t="s">
        <v>60</v>
      </c>
    </row>
    <row r="175" spans="1:19">
      <c r="A175" s="142" t="s">
        <v>1505</v>
      </c>
      <c r="B175" s="142" t="s">
        <v>1506</v>
      </c>
      <c r="C175" s="142" t="s">
        <v>910</v>
      </c>
      <c r="D175" s="143">
        <v>0</v>
      </c>
      <c r="E175" s="142" t="s">
        <v>1507</v>
      </c>
      <c r="F175" s="142" t="s">
        <v>60</v>
      </c>
      <c r="G175" s="142" t="s">
        <v>962</v>
      </c>
      <c r="H175" s="142" t="s">
        <v>327</v>
      </c>
      <c r="I175" s="142" t="s">
        <v>382</v>
      </c>
      <c r="J175" s="142" t="s">
        <v>913</v>
      </c>
      <c r="K175" s="142" t="s">
        <v>1344</v>
      </c>
      <c r="L175" s="142" t="s">
        <v>1508</v>
      </c>
      <c r="M175" s="142" t="s">
        <v>916</v>
      </c>
      <c r="N175" s="142" t="s">
        <v>388</v>
      </c>
      <c r="O175" s="142"/>
      <c r="P175" s="142" t="s">
        <v>386</v>
      </c>
      <c r="Q175" s="142" t="s">
        <v>917</v>
      </c>
      <c r="R175" s="142" t="s">
        <v>1509</v>
      </c>
      <c r="S175" s="142" t="s">
        <v>60</v>
      </c>
    </row>
    <row r="176" spans="1:19">
      <c r="A176" s="142" t="s">
        <v>1510</v>
      </c>
      <c r="B176" s="142" t="s">
        <v>1511</v>
      </c>
      <c r="C176" s="142" t="s">
        <v>910</v>
      </c>
      <c r="D176" s="143">
        <v>0</v>
      </c>
      <c r="E176" s="142" t="s">
        <v>1512</v>
      </c>
      <c r="F176" s="142" t="s">
        <v>55</v>
      </c>
      <c r="G176" s="142" t="s">
        <v>962</v>
      </c>
      <c r="H176" s="142" t="s">
        <v>327</v>
      </c>
      <c r="I176" s="142" t="s">
        <v>382</v>
      </c>
      <c r="J176" s="142" t="s">
        <v>913</v>
      </c>
      <c r="K176" s="142" t="s">
        <v>1344</v>
      </c>
      <c r="L176" s="142" t="s">
        <v>1476</v>
      </c>
      <c r="M176" s="142" t="s">
        <v>916</v>
      </c>
      <c r="N176" s="142" t="s">
        <v>388</v>
      </c>
      <c r="O176" s="142"/>
      <c r="P176" s="142" t="s">
        <v>386</v>
      </c>
      <c r="Q176" s="142" t="s">
        <v>917</v>
      </c>
      <c r="R176" s="142" t="s">
        <v>1513</v>
      </c>
      <c r="S176" s="142" t="s">
        <v>71</v>
      </c>
    </row>
    <row r="177" spans="1:19">
      <c r="A177" s="142" t="s">
        <v>1514</v>
      </c>
      <c r="B177" s="142" t="s">
        <v>1515</v>
      </c>
      <c r="C177" s="142" t="s">
        <v>910</v>
      </c>
      <c r="D177" s="143">
        <v>0</v>
      </c>
      <c r="E177" s="142" t="s">
        <v>1516</v>
      </c>
      <c r="F177" s="142" t="s">
        <v>53</v>
      </c>
      <c r="G177" s="142" t="s">
        <v>1060</v>
      </c>
      <c r="H177" s="142" t="s">
        <v>327</v>
      </c>
      <c r="I177" s="142" t="s">
        <v>382</v>
      </c>
      <c r="J177" s="142" t="s">
        <v>913</v>
      </c>
      <c r="K177" s="142" t="s">
        <v>1517</v>
      </c>
      <c r="L177" s="142" t="s">
        <v>1328</v>
      </c>
      <c r="M177" s="142"/>
      <c r="N177" s="142" t="s">
        <v>388</v>
      </c>
      <c r="O177" s="142"/>
      <c r="P177" s="142" t="s">
        <v>386</v>
      </c>
      <c r="Q177" s="142" t="s">
        <v>917</v>
      </c>
      <c r="R177" s="142" t="s">
        <v>985</v>
      </c>
      <c r="S177" s="142" t="s">
        <v>53</v>
      </c>
    </row>
    <row r="178" spans="1:19">
      <c r="A178" s="142" t="s">
        <v>1518</v>
      </c>
      <c r="B178" s="142" t="s">
        <v>1519</v>
      </c>
      <c r="C178" s="142" t="s">
        <v>910</v>
      </c>
      <c r="D178" s="143">
        <v>0</v>
      </c>
      <c r="E178" s="142" t="s">
        <v>1520</v>
      </c>
      <c r="F178" s="142" t="s">
        <v>71</v>
      </c>
      <c r="G178" s="142" t="s">
        <v>962</v>
      </c>
      <c r="H178" s="142" t="s">
        <v>327</v>
      </c>
      <c r="I178" s="142" t="s">
        <v>382</v>
      </c>
      <c r="J178" s="142" t="s">
        <v>913</v>
      </c>
      <c r="K178" s="142" t="s">
        <v>914</v>
      </c>
      <c r="L178" s="142" t="s">
        <v>915</v>
      </c>
      <c r="M178" s="142"/>
      <c r="N178" s="142" t="s">
        <v>388</v>
      </c>
      <c r="O178" s="142"/>
      <c r="P178" s="142" t="s">
        <v>386</v>
      </c>
      <c r="Q178" s="142" t="s">
        <v>917</v>
      </c>
      <c r="R178" s="142" t="s">
        <v>1521</v>
      </c>
      <c r="S178" s="142" t="s">
        <v>71</v>
      </c>
    </row>
    <row r="179" spans="1:19">
      <c r="A179" s="142" t="s">
        <v>1522</v>
      </c>
      <c r="B179" s="142" t="s">
        <v>1523</v>
      </c>
      <c r="C179" s="142" t="s">
        <v>910</v>
      </c>
      <c r="D179" s="143">
        <v>0</v>
      </c>
      <c r="E179" s="142" t="s">
        <v>1524</v>
      </c>
      <c r="F179" s="142" t="s">
        <v>53</v>
      </c>
      <c r="G179" s="142" t="s">
        <v>962</v>
      </c>
      <c r="H179" s="142" t="s">
        <v>783</v>
      </c>
      <c r="I179" s="142" t="s">
        <v>382</v>
      </c>
      <c r="J179" s="142" t="s">
        <v>913</v>
      </c>
      <c r="K179" s="142" t="s">
        <v>1517</v>
      </c>
      <c r="L179" s="142" t="s">
        <v>1328</v>
      </c>
      <c r="M179" s="142"/>
      <c r="N179" s="142" t="s">
        <v>388</v>
      </c>
      <c r="O179" s="142"/>
      <c r="P179" s="142" t="s">
        <v>386</v>
      </c>
      <c r="Q179" s="142" t="s">
        <v>917</v>
      </c>
      <c r="R179" s="142" t="s">
        <v>971</v>
      </c>
      <c r="S179" s="142" t="s">
        <v>53</v>
      </c>
    </row>
    <row r="180" spans="1:19">
      <c r="A180" s="142" t="s">
        <v>1525</v>
      </c>
      <c r="B180" s="142" t="s">
        <v>1526</v>
      </c>
      <c r="C180" s="142" t="s">
        <v>910</v>
      </c>
      <c r="D180" s="143">
        <v>0</v>
      </c>
      <c r="E180" s="142" t="s">
        <v>1527</v>
      </c>
      <c r="F180" s="142" t="s">
        <v>53</v>
      </c>
      <c r="G180" s="142" t="s">
        <v>962</v>
      </c>
      <c r="H180" s="142" t="s">
        <v>327</v>
      </c>
      <c r="I180" s="142" t="s">
        <v>382</v>
      </c>
      <c r="J180" s="142" t="s">
        <v>913</v>
      </c>
      <c r="K180" s="142" t="s">
        <v>914</v>
      </c>
      <c r="L180" s="142" t="s">
        <v>963</v>
      </c>
      <c r="M180" s="142"/>
      <c r="N180" s="142" t="s">
        <v>388</v>
      </c>
      <c r="O180" s="142"/>
      <c r="P180" s="142" t="s">
        <v>386</v>
      </c>
      <c r="Q180" s="142" t="s">
        <v>917</v>
      </c>
      <c r="R180" s="142" t="s">
        <v>947</v>
      </c>
      <c r="S180" s="142" t="s">
        <v>53</v>
      </c>
    </row>
    <row r="181" spans="1:19">
      <c r="A181" s="142" t="s">
        <v>1528</v>
      </c>
      <c r="B181" s="142" t="s">
        <v>1529</v>
      </c>
      <c r="C181" s="142" t="s">
        <v>910</v>
      </c>
      <c r="D181" s="143">
        <v>0</v>
      </c>
      <c r="E181" s="142" t="s">
        <v>1530</v>
      </c>
      <c r="F181" s="142" t="s">
        <v>53</v>
      </c>
      <c r="G181" s="142" t="s">
        <v>962</v>
      </c>
      <c r="H181" s="142" t="s">
        <v>783</v>
      </c>
      <c r="I181" s="142" t="s">
        <v>382</v>
      </c>
      <c r="J181" s="142" t="s">
        <v>913</v>
      </c>
      <c r="K181" s="142" t="s">
        <v>914</v>
      </c>
      <c r="L181" s="142" t="s">
        <v>1013</v>
      </c>
      <c r="M181" s="142"/>
      <c r="N181" s="142" t="s">
        <v>388</v>
      </c>
      <c r="O181" s="142"/>
      <c r="P181" s="142" t="s">
        <v>386</v>
      </c>
      <c r="Q181" s="142" t="s">
        <v>917</v>
      </c>
      <c r="R181" s="142" t="s">
        <v>985</v>
      </c>
      <c r="S181" s="142" t="s">
        <v>53</v>
      </c>
    </row>
    <row r="182" spans="1:19">
      <c r="A182" s="142" t="s">
        <v>1531</v>
      </c>
      <c r="B182" s="142" t="s">
        <v>1532</v>
      </c>
      <c r="C182" s="142" t="s">
        <v>910</v>
      </c>
      <c r="D182" s="143">
        <v>0</v>
      </c>
      <c r="E182" s="142" t="s">
        <v>1533</v>
      </c>
      <c r="F182" s="142" t="s">
        <v>231</v>
      </c>
      <c r="G182" s="142" t="s">
        <v>962</v>
      </c>
      <c r="H182" s="142" t="s">
        <v>327</v>
      </c>
      <c r="I182" s="142" t="s">
        <v>382</v>
      </c>
      <c r="J182" s="142" t="s">
        <v>913</v>
      </c>
      <c r="K182" s="142" t="s">
        <v>914</v>
      </c>
      <c r="L182" s="142" t="s">
        <v>934</v>
      </c>
      <c r="M182" s="142"/>
      <c r="N182" s="142" t="s">
        <v>388</v>
      </c>
      <c r="O182" s="142"/>
      <c r="P182" s="142" t="s">
        <v>386</v>
      </c>
      <c r="Q182" s="142" t="s">
        <v>917</v>
      </c>
      <c r="R182" s="142" t="s">
        <v>918</v>
      </c>
      <c r="S182" s="142" t="s">
        <v>83</v>
      </c>
    </row>
    <row r="183" spans="1:19">
      <c r="A183" s="142" t="s">
        <v>1534</v>
      </c>
      <c r="B183" s="142" t="s">
        <v>1535</v>
      </c>
      <c r="C183" s="142" t="s">
        <v>910</v>
      </c>
      <c r="D183" s="143">
        <v>0</v>
      </c>
      <c r="E183" s="142" t="s">
        <v>1536</v>
      </c>
      <c r="F183" s="142" t="s">
        <v>232</v>
      </c>
      <c r="G183" s="142" t="s">
        <v>962</v>
      </c>
      <c r="H183" s="142" t="s">
        <v>327</v>
      </c>
      <c r="I183" s="142" t="s">
        <v>382</v>
      </c>
      <c r="J183" s="142" t="s">
        <v>913</v>
      </c>
      <c r="K183" s="142" t="s">
        <v>914</v>
      </c>
      <c r="L183" s="142" t="s">
        <v>963</v>
      </c>
      <c r="M183" s="142"/>
      <c r="N183" s="142" t="s">
        <v>388</v>
      </c>
      <c r="O183" s="142"/>
      <c r="P183" s="142" t="s">
        <v>386</v>
      </c>
      <c r="Q183" s="142" t="s">
        <v>917</v>
      </c>
      <c r="R183" s="142" t="s">
        <v>918</v>
      </c>
      <c r="S183" s="142" t="s">
        <v>83</v>
      </c>
    </row>
    <row r="184" spans="1:19">
      <c r="A184" s="142" t="s">
        <v>1537</v>
      </c>
      <c r="B184" s="142" t="s">
        <v>1538</v>
      </c>
      <c r="C184" s="142" t="s">
        <v>910</v>
      </c>
      <c r="D184" s="143">
        <v>0</v>
      </c>
      <c r="E184" s="142" t="s">
        <v>1539</v>
      </c>
      <c r="F184" s="142" t="s">
        <v>53</v>
      </c>
      <c r="G184" s="142" t="s">
        <v>912</v>
      </c>
      <c r="H184" s="142" t="s">
        <v>356</v>
      </c>
      <c r="I184" s="142" t="s">
        <v>382</v>
      </c>
      <c r="J184" s="142" t="s">
        <v>913</v>
      </c>
      <c r="K184" s="142" t="s">
        <v>914</v>
      </c>
      <c r="L184" s="142" t="s">
        <v>915</v>
      </c>
      <c r="M184" s="142"/>
      <c r="N184" s="142" t="s">
        <v>388</v>
      </c>
      <c r="O184" s="142" t="s">
        <v>43</v>
      </c>
      <c r="P184" s="142" t="s">
        <v>386</v>
      </c>
      <c r="Q184" s="142" t="s">
        <v>917</v>
      </c>
      <c r="R184" s="142" t="s">
        <v>985</v>
      </c>
      <c r="S184" s="142" t="s">
        <v>83</v>
      </c>
    </row>
    <row r="185" spans="1:19">
      <c r="A185" s="142" t="s">
        <v>1540</v>
      </c>
      <c r="B185" s="142" t="s">
        <v>1541</v>
      </c>
      <c r="C185" s="142" t="s">
        <v>910</v>
      </c>
      <c r="D185" s="143">
        <v>0</v>
      </c>
      <c r="E185" s="142" t="s">
        <v>1542</v>
      </c>
      <c r="F185" s="142" t="s">
        <v>83</v>
      </c>
      <c r="G185" s="142" t="s">
        <v>1543</v>
      </c>
      <c r="H185" s="142" t="s">
        <v>327</v>
      </c>
      <c r="I185" s="142" t="s">
        <v>382</v>
      </c>
      <c r="J185" s="142" t="s">
        <v>913</v>
      </c>
      <c r="K185" s="142" t="s">
        <v>914</v>
      </c>
      <c r="L185" s="142" t="s">
        <v>915</v>
      </c>
      <c r="M185" s="142"/>
      <c r="N185" s="142" t="s">
        <v>388</v>
      </c>
      <c r="O185" s="142"/>
      <c r="P185" s="142" t="s">
        <v>386</v>
      </c>
      <c r="Q185" s="142" t="s">
        <v>917</v>
      </c>
      <c r="R185" s="142" t="s">
        <v>943</v>
      </c>
      <c r="S185" s="142" t="s">
        <v>83</v>
      </c>
    </row>
    <row r="186" spans="1:19">
      <c r="A186" s="142" t="s">
        <v>1544</v>
      </c>
      <c r="B186" s="142" t="s">
        <v>1545</v>
      </c>
      <c r="C186" s="142" t="s">
        <v>910</v>
      </c>
      <c r="D186" s="143">
        <v>0</v>
      </c>
      <c r="E186" s="142" t="s">
        <v>1546</v>
      </c>
      <c r="F186" s="142" t="s">
        <v>53</v>
      </c>
      <c r="G186" s="142" t="s">
        <v>1543</v>
      </c>
      <c r="H186" s="142" t="s">
        <v>327</v>
      </c>
      <c r="I186" s="142" t="s">
        <v>382</v>
      </c>
      <c r="J186" s="142" t="s">
        <v>913</v>
      </c>
      <c r="K186" s="142" t="s">
        <v>914</v>
      </c>
      <c r="L186" s="142" t="s">
        <v>934</v>
      </c>
      <c r="M186" s="142"/>
      <c r="N186" s="142" t="s">
        <v>388</v>
      </c>
      <c r="O186" s="142"/>
      <c r="P186" s="142" t="s">
        <v>386</v>
      </c>
      <c r="Q186" s="142" t="s">
        <v>917</v>
      </c>
      <c r="R186" s="142" t="s">
        <v>947</v>
      </c>
      <c r="S186" s="142" t="s">
        <v>83</v>
      </c>
    </row>
    <row r="187" spans="1:19">
      <c r="A187" s="142" t="s">
        <v>1547</v>
      </c>
      <c r="B187" s="142" t="s">
        <v>1548</v>
      </c>
      <c r="C187" s="142" t="s">
        <v>910</v>
      </c>
      <c r="D187" s="143">
        <v>0</v>
      </c>
      <c r="E187" s="142" t="s">
        <v>1549</v>
      </c>
      <c r="F187" s="142" t="s">
        <v>53</v>
      </c>
      <c r="G187" s="142" t="s">
        <v>1543</v>
      </c>
      <c r="H187" s="142" t="s">
        <v>327</v>
      </c>
      <c r="I187" s="142" t="s">
        <v>382</v>
      </c>
      <c r="J187" s="142" t="s">
        <v>913</v>
      </c>
      <c r="K187" s="142" t="s">
        <v>914</v>
      </c>
      <c r="L187" s="142" t="s">
        <v>915</v>
      </c>
      <c r="M187" s="142"/>
      <c r="N187" s="142" t="s">
        <v>388</v>
      </c>
      <c r="O187" s="142"/>
      <c r="P187" s="142" t="s">
        <v>386</v>
      </c>
      <c r="Q187" s="142" t="s">
        <v>917</v>
      </c>
      <c r="R187" s="142" t="s">
        <v>985</v>
      </c>
      <c r="S187" s="142" t="s">
        <v>83</v>
      </c>
    </row>
    <row r="188" spans="1:19">
      <c r="A188" s="142" t="s">
        <v>1550</v>
      </c>
      <c r="B188" s="142" t="s">
        <v>1551</v>
      </c>
      <c r="C188" s="142" t="s">
        <v>910</v>
      </c>
      <c r="D188" s="143">
        <v>0</v>
      </c>
      <c r="E188" s="142" t="s">
        <v>1552</v>
      </c>
      <c r="F188" s="142" t="s">
        <v>55</v>
      </c>
      <c r="G188" s="142" t="s">
        <v>962</v>
      </c>
      <c r="H188" s="142" t="s">
        <v>783</v>
      </c>
      <c r="I188" s="142" t="s">
        <v>382</v>
      </c>
      <c r="J188" s="142" t="s">
        <v>913</v>
      </c>
      <c r="K188" s="142" t="s">
        <v>1344</v>
      </c>
      <c r="L188" s="142" t="s">
        <v>1553</v>
      </c>
      <c r="M188" s="142"/>
      <c r="N188" s="142" t="s">
        <v>388</v>
      </c>
      <c r="O188" s="142"/>
      <c r="P188" s="142" t="s">
        <v>386</v>
      </c>
      <c r="Q188" s="142" t="s">
        <v>917</v>
      </c>
      <c r="R188" s="142" t="s">
        <v>1350</v>
      </c>
      <c r="S188" s="142" t="s">
        <v>83</v>
      </c>
    </row>
    <row r="189" spans="1:19">
      <c r="A189" s="142" t="s">
        <v>1554</v>
      </c>
      <c r="B189" s="142" t="s">
        <v>1555</v>
      </c>
      <c r="C189" s="142" t="s">
        <v>910</v>
      </c>
      <c r="D189" s="143">
        <v>0</v>
      </c>
      <c r="E189" s="142" t="s">
        <v>1556</v>
      </c>
      <c r="F189" s="142" t="s">
        <v>53</v>
      </c>
      <c r="G189" s="142" t="s">
        <v>1557</v>
      </c>
      <c r="H189" s="142" t="s">
        <v>327</v>
      </c>
      <c r="I189" s="142" t="s">
        <v>382</v>
      </c>
      <c r="J189" s="142" t="s">
        <v>913</v>
      </c>
      <c r="K189" s="142" t="s">
        <v>1344</v>
      </c>
      <c r="L189" s="142" t="s">
        <v>1387</v>
      </c>
      <c r="M189" s="142"/>
      <c r="N189" s="142" t="s">
        <v>388</v>
      </c>
      <c r="O189" s="142"/>
      <c r="P189" s="142" t="s">
        <v>386</v>
      </c>
      <c r="Q189" s="142" t="s">
        <v>917</v>
      </c>
      <c r="R189" s="142" t="s">
        <v>947</v>
      </c>
      <c r="S189" s="142" t="s">
        <v>83</v>
      </c>
    </row>
    <row r="190" spans="1:19">
      <c r="A190" s="142" t="s">
        <v>1558</v>
      </c>
      <c r="B190" s="142" t="s">
        <v>1559</v>
      </c>
      <c r="C190" s="142" t="s">
        <v>910</v>
      </c>
      <c r="D190" s="143">
        <v>0</v>
      </c>
      <c r="E190" s="142" t="s">
        <v>1560</v>
      </c>
      <c r="F190" s="142" t="s">
        <v>53</v>
      </c>
      <c r="G190" s="142" t="s">
        <v>962</v>
      </c>
      <c r="H190" s="142" t="s">
        <v>327</v>
      </c>
      <c r="I190" s="142" t="s">
        <v>382</v>
      </c>
      <c r="J190" s="142" t="s">
        <v>913</v>
      </c>
      <c r="K190" s="142" t="s">
        <v>914</v>
      </c>
      <c r="L190" s="142" t="s">
        <v>1052</v>
      </c>
      <c r="M190" s="142"/>
      <c r="N190" s="142" t="s">
        <v>388</v>
      </c>
      <c r="O190" s="142"/>
      <c r="P190" s="142" t="s">
        <v>386</v>
      </c>
      <c r="Q190" s="142" t="s">
        <v>917</v>
      </c>
      <c r="R190" s="142" t="s">
        <v>947</v>
      </c>
      <c r="S190" s="142" t="s">
        <v>83</v>
      </c>
    </row>
    <row r="191" spans="1:19">
      <c r="A191" s="142" t="s">
        <v>1561</v>
      </c>
      <c r="B191" s="142" t="s">
        <v>1562</v>
      </c>
      <c r="C191" s="142" t="s">
        <v>910</v>
      </c>
      <c r="D191" s="143">
        <v>0</v>
      </c>
      <c r="E191" s="142" t="s">
        <v>1563</v>
      </c>
      <c r="F191" s="142" t="s">
        <v>53</v>
      </c>
      <c r="G191" s="142" t="s">
        <v>962</v>
      </c>
      <c r="H191" s="142" t="s">
        <v>327</v>
      </c>
      <c r="I191" s="142" t="s">
        <v>382</v>
      </c>
      <c r="J191" s="142" t="s">
        <v>913</v>
      </c>
      <c r="K191" s="142" t="s">
        <v>914</v>
      </c>
      <c r="L191" s="142" t="s">
        <v>1039</v>
      </c>
      <c r="M191" s="142"/>
      <c r="N191" s="142" t="s">
        <v>388</v>
      </c>
      <c r="O191" s="142"/>
      <c r="P191" s="142" t="s">
        <v>386</v>
      </c>
      <c r="Q191" s="142" t="s">
        <v>917</v>
      </c>
      <c r="R191" s="142" t="s">
        <v>971</v>
      </c>
      <c r="S191" s="142" t="s">
        <v>83</v>
      </c>
    </row>
    <row r="192" spans="1:19">
      <c r="A192" s="142" t="s">
        <v>1564</v>
      </c>
      <c r="B192" s="142" t="s">
        <v>1565</v>
      </c>
      <c r="C192" s="142" t="s">
        <v>910</v>
      </c>
      <c r="D192" s="143">
        <v>0</v>
      </c>
      <c r="E192" s="142" t="s">
        <v>1566</v>
      </c>
      <c r="F192" s="142" t="s">
        <v>53</v>
      </c>
      <c r="G192" s="142" t="s">
        <v>962</v>
      </c>
      <c r="H192" s="142" t="s">
        <v>327</v>
      </c>
      <c r="I192" s="142" t="s">
        <v>382</v>
      </c>
      <c r="J192" s="142" t="s">
        <v>913</v>
      </c>
      <c r="K192" s="142" t="s">
        <v>914</v>
      </c>
      <c r="L192" s="142" t="s">
        <v>1039</v>
      </c>
      <c r="M192" s="142"/>
      <c r="N192" s="142" t="s">
        <v>388</v>
      </c>
      <c r="O192" s="142"/>
      <c r="P192" s="142" t="s">
        <v>386</v>
      </c>
      <c r="Q192" s="142" t="s">
        <v>917</v>
      </c>
      <c r="R192" s="142" t="s">
        <v>1567</v>
      </c>
      <c r="S192" s="142" t="s">
        <v>83</v>
      </c>
    </row>
    <row r="193" spans="1:19">
      <c r="A193" s="142" t="s">
        <v>1568</v>
      </c>
      <c r="B193" s="142" t="s">
        <v>1569</v>
      </c>
      <c r="C193" s="142" t="s">
        <v>910</v>
      </c>
      <c r="D193" s="143">
        <v>0</v>
      </c>
      <c r="E193" s="142" t="s">
        <v>1570</v>
      </c>
      <c r="F193" s="142" t="s">
        <v>53</v>
      </c>
      <c r="G193" s="142" t="s">
        <v>962</v>
      </c>
      <c r="H193" s="142" t="s">
        <v>327</v>
      </c>
      <c r="I193" s="142" t="s">
        <v>382</v>
      </c>
      <c r="J193" s="142" t="s">
        <v>913</v>
      </c>
      <c r="K193" s="142" t="s">
        <v>1344</v>
      </c>
      <c r="L193" s="142" t="s">
        <v>1571</v>
      </c>
      <c r="M193" s="142"/>
      <c r="N193" s="142" t="s">
        <v>388</v>
      </c>
      <c r="O193" s="142"/>
      <c r="P193" s="142" t="s">
        <v>386</v>
      </c>
      <c r="Q193" s="142" t="s">
        <v>917</v>
      </c>
      <c r="R193" s="142" t="s">
        <v>985</v>
      </c>
      <c r="S193" s="142" t="s">
        <v>83</v>
      </c>
    </row>
    <row r="194" spans="1:19">
      <c r="A194" s="142" t="s">
        <v>1572</v>
      </c>
      <c r="B194" s="142" t="s">
        <v>1573</v>
      </c>
      <c r="C194" s="142" t="s">
        <v>910</v>
      </c>
      <c r="D194" s="143">
        <v>0</v>
      </c>
      <c r="E194" s="142" t="s">
        <v>1574</v>
      </c>
      <c r="F194" s="142" t="s">
        <v>53</v>
      </c>
      <c r="G194" s="142" t="s">
        <v>962</v>
      </c>
      <c r="H194" s="142" t="s">
        <v>327</v>
      </c>
      <c r="I194" s="142" t="s">
        <v>382</v>
      </c>
      <c r="J194" s="142" t="s">
        <v>913</v>
      </c>
      <c r="K194" s="142" t="s">
        <v>1344</v>
      </c>
      <c r="L194" s="142" t="s">
        <v>1575</v>
      </c>
      <c r="M194" s="142"/>
      <c r="N194" s="142" t="s">
        <v>388</v>
      </c>
      <c r="O194" s="142"/>
      <c r="P194" s="142" t="s">
        <v>386</v>
      </c>
      <c r="Q194" s="142" t="s">
        <v>917</v>
      </c>
      <c r="R194" s="142" t="s">
        <v>1576</v>
      </c>
      <c r="S194" s="142" t="s">
        <v>83</v>
      </c>
    </row>
    <row r="195" spans="1:19">
      <c r="A195" s="142" t="s">
        <v>1577</v>
      </c>
      <c r="B195" s="142" t="s">
        <v>1578</v>
      </c>
      <c r="C195" s="142" t="s">
        <v>910</v>
      </c>
      <c r="D195" s="143">
        <v>0</v>
      </c>
      <c r="E195" s="142" t="s">
        <v>1579</v>
      </c>
      <c r="F195" s="142" t="s">
        <v>53</v>
      </c>
      <c r="G195" s="142" t="s">
        <v>962</v>
      </c>
      <c r="H195" s="142" t="s">
        <v>327</v>
      </c>
      <c r="I195" s="142" t="s">
        <v>382</v>
      </c>
      <c r="J195" s="142" t="s">
        <v>913</v>
      </c>
      <c r="K195" s="142" t="s">
        <v>914</v>
      </c>
      <c r="L195" s="142" t="s">
        <v>1580</v>
      </c>
      <c r="M195" s="142"/>
      <c r="N195" s="142" t="s">
        <v>388</v>
      </c>
      <c r="O195" s="142"/>
      <c r="P195" s="142" t="s">
        <v>386</v>
      </c>
      <c r="Q195" s="142" t="s">
        <v>917</v>
      </c>
      <c r="R195" s="142" t="s">
        <v>1027</v>
      </c>
      <c r="S195" s="142" t="s">
        <v>83</v>
      </c>
    </row>
    <row r="196" spans="1:19">
      <c r="A196" s="142" t="s">
        <v>1581</v>
      </c>
      <c r="B196" s="142" t="s">
        <v>1582</v>
      </c>
      <c r="C196" s="142" t="s">
        <v>910</v>
      </c>
      <c r="D196" s="143">
        <v>0</v>
      </c>
      <c r="E196" s="142" t="s">
        <v>1583</v>
      </c>
      <c r="F196" s="142" t="s">
        <v>53</v>
      </c>
      <c r="G196" s="142" t="s">
        <v>962</v>
      </c>
      <c r="H196" s="142" t="s">
        <v>327</v>
      </c>
      <c r="I196" s="142" t="s">
        <v>382</v>
      </c>
      <c r="J196" s="142" t="s">
        <v>913</v>
      </c>
      <c r="K196" s="142" t="s">
        <v>1344</v>
      </c>
      <c r="L196" s="142" t="s">
        <v>1584</v>
      </c>
      <c r="M196" s="142"/>
      <c r="N196" s="142" t="s">
        <v>388</v>
      </c>
      <c r="O196" s="142"/>
      <c r="P196" s="142" t="s">
        <v>386</v>
      </c>
      <c r="Q196" s="142" t="s">
        <v>917</v>
      </c>
      <c r="R196" s="142" t="s">
        <v>971</v>
      </c>
      <c r="S196" s="142" t="s">
        <v>83</v>
      </c>
    </row>
    <row r="197" spans="1:19">
      <c r="A197" s="142" t="s">
        <v>1585</v>
      </c>
      <c r="B197" s="142" t="s">
        <v>1586</v>
      </c>
      <c r="C197" s="142" t="s">
        <v>910</v>
      </c>
      <c r="D197" s="143">
        <v>0</v>
      </c>
      <c r="E197" s="142" t="s">
        <v>1587</v>
      </c>
      <c r="F197" s="142" t="s">
        <v>55</v>
      </c>
      <c r="G197" s="142" t="s">
        <v>962</v>
      </c>
      <c r="H197" s="142" t="s">
        <v>327</v>
      </c>
      <c r="I197" s="142" t="s">
        <v>382</v>
      </c>
      <c r="J197" s="142" t="s">
        <v>913</v>
      </c>
      <c r="K197" s="142" t="s">
        <v>914</v>
      </c>
      <c r="L197" s="142" t="s">
        <v>1588</v>
      </c>
      <c r="M197" s="142"/>
      <c r="N197" s="142" t="s">
        <v>388</v>
      </c>
      <c r="O197" s="142"/>
      <c r="P197" s="142" t="s">
        <v>386</v>
      </c>
      <c r="Q197" s="142" t="s">
        <v>917</v>
      </c>
      <c r="R197" s="142" t="s">
        <v>1589</v>
      </c>
      <c r="S197" s="142" t="s">
        <v>83</v>
      </c>
    </row>
    <row r="198" spans="1:19">
      <c r="A198" s="142" t="s">
        <v>1590</v>
      </c>
      <c r="B198" s="142" t="s">
        <v>1591</v>
      </c>
      <c r="C198" s="142" t="s">
        <v>910</v>
      </c>
      <c r="D198" s="143">
        <v>0</v>
      </c>
      <c r="E198" s="142" t="s">
        <v>1592</v>
      </c>
      <c r="F198" s="142" t="s">
        <v>53</v>
      </c>
      <c r="G198" s="142" t="s">
        <v>962</v>
      </c>
      <c r="H198" s="142" t="s">
        <v>327</v>
      </c>
      <c r="I198" s="142" t="s">
        <v>382</v>
      </c>
      <c r="J198" s="142" t="s">
        <v>913</v>
      </c>
      <c r="K198" s="142" t="s">
        <v>914</v>
      </c>
      <c r="L198" s="142" t="s">
        <v>1039</v>
      </c>
      <c r="M198" s="142"/>
      <c r="N198" s="142" t="s">
        <v>388</v>
      </c>
      <c r="O198" s="142"/>
      <c r="P198" s="142" t="s">
        <v>386</v>
      </c>
      <c r="Q198" s="142" t="s">
        <v>917</v>
      </c>
      <c r="R198" s="142" t="s">
        <v>1567</v>
      </c>
      <c r="S198" s="142" t="s">
        <v>83</v>
      </c>
    </row>
    <row r="199" spans="1:19">
      <c r="A199" s="142" t="s">
        <v>1593</v>
      </c>
      <c r="B199" s="142" t="s">
        <v>1594</v>
      </c>
      <c r="C199" s="142" t="s">
        <v>910</v>
      </c>
      <c r="D199" s="143">
        <v>0</v>
      </c>
      <c r="E199" s="142" t="s">
        <v>1595</v>
      </c>
      <c r="F199" s="142" t="s">
        <v>777</v>
      </c>
      <c r="G199" s="142" t="s">
        <v>962</v>
      </c>
      <c r="H199" s="142" t="s">
        <v>327</v>
      </c>
      <c r="I199" s="142" t="s">
        <v>382</v>
      </c>
      <c r="J199" s="142" t="s">
        <v>913</v>
      </c>
      <c r="K199" s="142" t="s">
        <v>1596</v>
      </c>
      <c r="L199" s="142" t="s">
        <v>1597</v>
      </c>
      <c r="M199" s="142"/>
      <c r="N199" s="142" t="s">
        <v>388</v>
      </c>
      <c r="O199" s="142"/>
      <c r="P199" s="142" t="s">
        <v>386</v>
      </c>
      <c r="Q199" s="142" t="s">
        <v>917</v>
      </c>
      <c r="R199" s="142" t="s">
        <v>918</v>
      </c>
      <c r="S199" s="142" t="s">
        <v>83</v>
      </c>
    </row>
    <row r="200" spans="1:19">
      <c r="A200" s="142" t="s">
        <v>1598</v>
      </c>
      <c r="B200" s="142" t="s">
        <v>1599</v>
      </c>
      <c r="C200" s="142" t="s">
        <v>910</v>
      </c>
      <c r="D200" s="143">
        <v>0</v>
      </c>
      <c r="E200" s="142" t="s">
        <v>1595</v>
      </c>
      <c r="F200" s="142" t="s">
        <v>55</v>
      </c>
      <c r="G200" s="142" t="s">
        <v>962</v>
      </c>
      <c r="H200" s="142" t="s">
        <v>327</v>
      </c>
      <c r="I200" s="142" t="s">
        <v>382</v>
      </c>
      <c r="J200" s="142" t="s">
        <v>913</v>
      </c>
      <c r="K200" s="142" t="s">
        <v>1596</v>
      </c>
      <c r="L200" s="142" t="s">
        <v>1597</v>
      </c>
      <c r="M200" s="142"/>
      <c r="N200" s="142" t="s">
        <v>388</v>
      </c>
      <c r="O200" s="142"/>
      <c r="P200" s="142" t="s">
        <v>386</v>
      </c>
      <c r="Q200" s="142" t="s">
        <v>917</v>
      </c>
      <c r="R200" s="142" t="s">
        <v>1206</v>
      </c>
      <c r="S200" s="142" t="s">
        <v>83</v>
      </c>
    </row>
    <row r="201" spans="1:19">
      <c r="A201" s="142" t="s">
        <v>1600</v>
      </c>
      <c r="B201" s="142" t="s">
        <v>1601</v>
      </c>
      <c r="C201" s="142" t="s">
        <v>910</v>
      </c>
      <c r="D201" s="143">
        <v>0</v>
      </c>
      <c r="E201" s="142" t="s">
        <v>1595</v>
      </c>
      <c r="F201" s="142" t="s">
        <v>53</v>
      </c>
      <c r="G201" s="142" t="s">
        <v>962</v>
      </c>
      <c r="H201" s="142" t="s">
        <v>327</v>
      </c>
      <c r="I201" s="142" t="s">
        <v>382</v>
      </c>
      <c r="J201" s="142" t="s">
        <v>913</v>
      </c>
      <c r="K201" s="142" t="s">
        <v>1596</v>
      </c>
      <c r="L201" s="142" t="s">
        <v>1597</v>
      </c>
      <c r="M201" s="142"/>
      <c r="N201" s="142" t="s">
        <v>388</v>
      </c>
      <c r="O201" s="142"/>
      <c r="P201" s="142" t="s">
        <v>386</v>
      </c>
      <c r="Q201" s="142" t="s">
        <v>917</v>
      </c>
      <c r="R201" s="142" t="s">
        <v>985</v>
      </c>
      <c r="S201" s="142" t="s">
        <v>83</v>
      </c>
    </row>
    <row r="202" spans="1:19">
      <c r="A202" s="142" t="s">
        <v>1602</v>
      </c>
      <c r="B202" s="142" t="s">
        <v>1603</v>
      </c>
      <c r="C202" s="142" t="s">
        <v>910</v>
      </c>
      <c r="D202" s="143">
        <v>0</v>
      </c>
      <c r="E202" s="142" t="s">
        <v>1604</v>
      </c>
      <c r="F202" s="142" t="s">
        <v>53</v>
      </c>
      <c r="G202" s="142" t="s">
        <v>1543</v>
      </c>
      <c r="H202" s="142" t="s">
        <v>327</v>
      </c>
      <c r="I202" s="142" t="s">
        <v>382</v>
      </c>
      <c r="J202" s="142" t="s">
        <v>913</v>
      </c>
      <c r="K202" s="142" t="s">
        <v>1344</v>
      </c>
      <c r="L202" s="142" t="s">
        <v>1437</v>
      </c>
      <c r="M202" s="142"/>
      <c r="N202" s="142" t="s">
        <v>388</v>
      </c>
      <c r="O202" s="142"/>
      <c r="P202" s="142" t="s">
        <v>386</v>
      </c>
      <c r="Q202" s="142" t="s">
        <v>917</v>
      </c>
      <c r="R202" s="142" t="s">
        <v>947</v>
      </c>
      <c r="S202" s="142" t="s">
        <v>83</v>
      </c>
    </row>
    <row r="203" spans="1:19">
      <c r="A203" s="142" t="s">
        <v>1605</v>
      </c>
      <c r="B203" s="142" t="s">
        <v>1606</v>
      </c>
      <c r="C203" s="142" t="s">
        <v>910</v>
      </c>
      <c r="D203" s="143">
        <v>0</v>
      </c>
      <c r="E203" s="142" t="s">
        <v>1607</v>
      </c>
      <c r="F203" s="142" t="s">
        <v>53</v>
      </c>
      <c r="G203" s="142" t="s">
        <v>1543</v>
      </c>
      <c r="H203" s="142" t="s">
        <v>327</v>
      </c>
      <c r="I203" s="142" t="s">
        <v>382</v>
      </c>
      <c r="J203" s="142" t="s">
        <v>913</v>
      </c>
      <c r="K203" s="142" t="s">
        <v>914</v>
      </c>
      <c r="L203" s="142" t="s">
        <v>1039</v>
      </c>
      <c r="M203" s="142"/>
      <c r="N203" s="142" t="s">
        <v>388</v>
      </c>
      <c r="O203" s="142"/>
      <c r="P203" s="142" t="s">
        <v>386</v>
      </c>
      <c r="Q203" s="142" t="s">
        <v>917</v>
      </c>
      <c r="R203" s="142" t="s">
        <v>947</v>
      </c>
      <c r="S203" s="142" t="s">
        <v>83</v>
      </c>
    </row>
    <row r="204" spans="1:19">
      <c r="A204" s="142" t="s">
        <v>1608</v>
      </c>
      <c r="B204" s="142" t="s">
        <v>1609</v>
      </c>
      <c r="C204" s="142" t="s">
        <v>910</v>
      </c>
      <c r="D204" s="143">
        <v>0</v>
      </c>
      <c r="E204" s="142" t="s">
        <v>1610</v>
      </c>
      <c r="F204" s="142" t="s">
        <v>53</v>
      </c>
      <c r="G204" s="142" t="s">
        <v>1611</v>
      </c>
      <c r="H204" s="142" t="s">
        <v>327</v>
      </c>
      <c r="I204" s="142" t="s">
        <v>382</v>
      </c>
      <c r="J204" s="142" t="s">
        <v>913</v>
      </c>
      <c r="K204" s="142" t="s">
        <v>1517</v>
      </c>
      <c r="L204" s="142" t="s">
        <v>1328</v>
      </c>
      <c r="M204" s="142"/>
      <c r="N204" s="142" t="s">
        <v>388</v>
      </c>
      <c r="O204" s="142"/>
      <c r="P204" s="142" t="s">
        <v>386</v>
      </c>
      <c r="Q204" s="142" t="s">
        <v>917</v>
      </c>
      <c r="R204" s="142" t="s">
        <v>947</v>
      </c>
      <c r="S204" s="142" t="s">
        <v>83</v>
      </c>
    </row>
    <row r="205" spans="1:19">
      <c r="A205" s="142" t="s">
        <v>1612</v>
      </c>
      <c r="B205" s="142" t="s">
        <v>1613</v>
      </c>
      <c r="C205" s="142" t="s">
        <v>910</v>
      </c>
      <c r="D205" s="143">
        <v>0</v>
      </c>
      <c r="E205" s="142" t="s">
        <v>1614</v>
      </c>
      <c r="F205" s="142" t="s">
        <v>53</v>
      </c>
      <c r="G205" s="142" t="s">
        <v>912</v>
      </c>
      <c r="H205" s="142" t="s">
        <v>327</v>
      </c>
      <c r="I205" s="142" t="s">
        <v>382</v>
      </c>
      <c r="J205" s="142" t="s">
        <v>913</v>
      </c>
      <c r="K205" s="142" t="s">
        <v>1517</v>
      </c>
      <c r="L205" s="142" t="s">
        <v>1328</v>
      </c>
      <c r="M205" s="142"/>
      <c r="N205" s="142" t="s">
        <v>388</v>
      </c>
      <c r="O205" s="142" t="s">
        <v>43</v>
      </c>
      <c r="P205" s="142" t="s">
        <v>386</v>
      </c>
      <c r="Q205" s="142" t="s">
        <v>917</v>
      </c>
      <c r="R205" s="142" t="s">
        <v>985</v>
      </c>
      <c r="S205" s="142" t="s">
        <v>83</v>
      </c>
    </row>
    <row r="206" spans="1:19">
      <c r="A206" s="142" t="s">
        <v>1615</v>
      </c>
      <c r="B206" s="142" t="s">
        <v>1616</v>
      </c>
      <c r="C206" s="142" t="s">
        <v>910</v>
      </c>
      <c r="D206" s="143">
        <v>0</v>
      </c>
      <c r="E206" s="142" t="s">
        <v>1617</v>
      </c>
      <c r="F206" s="142" t="s">
        <v>60</v>
      </c>
      <c r="G206" s="142" t="s">
        <v>912</v>
      </c>
      <c r="H206" s="142" t="s">
        <v>356</v>
      </c>
      <c r="I206" s="142" t="s">
        <v>382</v>
      </c>
      <c r="J206" s="142" t="s">
        <v>913</v>
      </c>
      <c r="K206" s="142" t="s">
        <v>914</v>
      </c>
      <c r="L206" s="142" t="s">
        <v>970</v>
      </c>
      <c r="M206" s="142"/>
      <c r="N206" s="142" t="s">
        <v>388</v>
      </c>
      <c r="O206" s="142" t="s">
        <v>43</v>
      </c>
      <c r="P206" s="142" t="s">
        <v>386</v>
      </c>
      <c r="Q206" s="142" t="s">
        <v>917</v>
      </c>
      <c r="R206" s="142" t="s">
        <v>1618</v>
      </c>
      <c r="S206" s="142" t="s">
        <v>60</v>
      </c>
    </row>
    <row r="207" spans="1:19">
      <c r="A207" s="142" t="s">
        <v>1619</v>
      </c>
      <c r="B207" s="142" t="s">
        <v>1620</v>
      </c>
      <c r="C207" s="142" t="s">
        <v>910</v>
      </c>
      <c r="D207" s="143">
        <v>0</v>
      </c>
      <c r="E207" s="142" t="s">
        <v>1621</v>
      </c>
      <c r="F207" s="142" t="s">
        <v>53</v>
      </c>
      <c r="G207" s="142" t="s">
        <v>1060</v>
      </c>
      <c r="H207" s="142" t="s">
        <v>325</v>
      </c>
      <c r="I207" s="142" t="s">
        <v>382</v>
      </c>
      <c r="J207" s="142" t="s">
        <v>913</v>
      </c>
      <c r="K207" s="142" t="s">
        <v>914</v>
      </c>
      <c r="L207" s="142" t="s">
        <v>934</v>
      </c>
      <c r="M207" s="142"/>
      <c r="N207" s="142" t="s">
        <v>388</v>
      </c>
      <c r="O207" s="142"/>
      <c r="P207" s="142" t="s">
        <v>386</v>
      </c>
      <c r="Q207" s="142" t="s">
        <v>917</v>
      </c>
      <c r="R207" s="142" t="s">
        <v>947</v>
      </c>
      <c r="S207" s="142" t="s">
        <v>83</v>
      </c>
    </row>
    <row r="208" spans="1:19">
      <c r="A208" s="142" t="s">
        <v>1622</v>
      </c>
      <c r="B208" s="142" t="s">
        <v>1623</v>
      </c>
      <c r="C208" s="142" t="s">
        <v>910</v>
      </c>
      <c r="D208" s="143">
        <v>0</v>
      </c>
      <c r="E208" s="142" t="s">
        <v>1624</v>
      </c>
      <c r="F208" s="142" t="s">
        <v>55</v>
      </c>
      <c r="G208" s="142" t="s">
        <v>912</v>
      </c>
      <c r="H208" s="142" t="s">
        <v>327</v>
      </c>
      <c r="I208" s="142" t="s">
        <v>382</v>
      </c>
      <c r="J208" s="142" t="s">
        <v>913</v>
      </c>
      <c r="K208" s="142" t="s">
        <v>914</v>
      </c>
      <c r="L208" s="142" t="s">
        <v>934</v>
      </c>
      <c r="M208" s="142"/>
      <c r="N208" s="142" t="s">
        <v>388</v>
      </c>
      <c r="O208" s="142" t="s">
        <v>43</v>
      </c>
      <c r="P208" s="142" t="s">
        <v>386</v>
      </c>
      <c r="Q208" s="142" t="s">
        <v>917</v>
      </c>
      <c r="R208" s="142" t="s">
        <v>966</v>
      </c>
      <c r="S208" s="142" t="s">
        <v>83</v>
      </c>
    </row>
    <row r="209" spans="1:19">
      <c r="A209" s="142" t="s">
        <v>1625</v>
      </c>
      <c r="B209" s="142" t="s">
        <v>1626</v>
      </c>
      <c r="C209" s="142" t="s">
        <v>910</v>
      </c>
      <c r="D209" s="143">
        <v>0</v>
      </c>
      <c r="E209" s="142" t="s">
        <v>1627</v>
      </c>
      <c r="F209" s="142" t="s">
        <v>55</v>
      </c>
      <c r="G209" s="142" t="s">
        <v>912</v>
      </c>
      <c r="H209" s="142" t="s">
        <v>327</v>
      </c>
      <c r="I209" s="142" t="s">
        <v>382</v>
      </c>
      <c r="J209" s="142" t="s">
        <v>913</v>
      </c>
      <c r="K209" s="142" t="s">
        <v>914</v>
      </c>
      <c r="L209" s="142" t="s">
        <v>963</v>
      </c>
      <c r="M209" s="142"/>
      <c r="N209" s="142" t="s">
        <v>388</v>
      </c>
      <c r="O209" s="142" t="s">
        <v>43</v>
      </c>
      <c r="P209" s="142" t="s">
        <v>386</v>
      </c>
      <c r="Q209" s="142" t="s">
        <v>917</v>
      </c>
      <c r="R209" s="142" t="s">
        <v>966</v>
      </c>
      <c r="S209" s="142" t="s">
        <v>83</v>
      </c>
    </row>
    <row r="210" spans="1:19">
      <c r="A210" s="142" t="s">
        <v>1628</v>
      </c>
      <c r="B210" s="142" t="s">
        <v>1629</v>
      </c>
      <c r="C210" s="142" t="s">
        <v>910</v>
      </c>
      <c r="D210" s="143">
        <v>0</v>
      </c>
      <c r="E210" s="142" t="s">
        <v>1630</v>
      </c>
      <c r="F210" s="142" t="s">
        <v>53</v>
      </c>
      <c r="G210" s="142" t="s">
        <v>962</v>
      </c>
      <c r="H210" s="142" t="s">
        <v>327</v>
      </c>
      <c r="I210" s="142" t="s">
        <v>382</v>
      </c>
      <c r="J210" s="142" t="s">
        <v>913</v>
      </c>
      <c r="K210" s="142" t="s">
        <v>1344</v>
      </c>
      <c r="L210" s="142" t="s">
        <v>1358</v>
      </c>
      <c r="M210" s="142"/>
      <c r="N210" s="142" t="s">
        <v>388</v>
      </c>
      <c r="O210" s="142"/>
      <c r="P210" s="142" t="s">
        <v>386</v>
      </c>
      <c r="Q210" s="142" t="s">
        <v>917</v>
      </c>
      <c r="R210" s="142" t="s">
        <v>985</v>
      </c>
      <c r="S210" s="142" t="s">
        <v>83</v>
      </c>
    </row>
    <row r="211" spans="1:19">
      <c r="A211" s="142" t="s">
        <v>1631</v>
      </c>
      <c r="B211" s="142" t="s">
        <v>1632</v>
      </c>
      <c r="C211" s="142" t="s">
        <v>910</v>
      </c>
      <c r="D211" s="143">
        <v>0</v>
      </c>
      <c r="E211" s="142" t="s">
        <v>1633</v>
      </c>
      <c r="F211" s="142" t="s">
        <v>277</v>
      </c>
      <c r="G211" s="142" t="s">
        <v>962</v>
      </c>
      <c r="H211" s="142" t="s">
        <v>327</v>
      </c>
      <c r="I211" s="142" t="s">
        <v>382</v>
      </c>
      <c r="J211" s="142" t="s">
        <v>913</v>
      </c>
      <c r="K211" s="142" t="s">
        <v>1344</v>
      </c>
      <c r="L211" s="142" t="s">
        <v>1345</v>
      </c>
      <c r="M211" s="142"/>
      <c r="N211" s="142" t="s">
        <v>388</v>
      </c>
      <c r="O211" s="142"/>
      <c r="P211" s="142" t="s">
        <v>386</v>
      </c>
      <c r="Q211" s="142" t="s">
        <v>917</v>
      </c>
      <c r="R211" s="142" t="s">
        <v>1634</v>
      </c>
      <c r="S211" s="142" t="s">
        <v>83</v>
      </c>
    </row>
    <row r="212" spans="1:19">
      <c r="A212" s="142" t="s">
        <v>1635</v>
      </c>
      <c r="B212" s="142" t="s">
        <v>1636</v>
      </c>
      <c r="C212" s="142" t="s">
        <v>910</v>
      </c>
      <c r="D212" s="143">
        <v>0</v>
      </c>
      <c r="E212" s="142" t="s">
        <v>1637</v>
      </c>
      <c r="F212" s="142" t="s">
        <v>53</v>
      </c>
      <c r="G212" s="142" t="s">
        <v>962</v>
      </c>
      <c r="H212" s="142" t="s">
        <v>327</v>
      </c>
      <c r="I212" s="142" t="s">
        <v>382</v>
      </c>
      <c r="J212" s="142" t="s">
        <v>913</v>
      </c>
      <c r="K212" s="142" t="s">
        <v>1344</v>
      </c>
      <c r="L212" s="142" t="s">
        <v>1466</v>
      </c>
      <c r="M212" s="142"/>
      <c r="N212" s="142" t="s">
        <v>388</v>
      </c>
      <c r="O212" s="142"/>
      <c r="P212" s="142" t="s">
        <v>386</v>
      </c>
      <c r="Q212" s="142" t="s">
        <v>917</v>
      </c>
      <c r="R212" s="142" t="s">
        <v>947</v>
      </c>
      <c r="S212" s="142" t="s">
        <v>53</v>
      </c>
    </row>
    <row r="213" spans="1:19">
      <c r="A213" s="142" t="s">
        <v>1638</v>
      </c>
      <c r="B213" s="142" t="s">
        <v>1639</v>
      </c>
      <c r="C213" s="142" t="s">
        <v>910</v>
      </c>
      <c r="D213" s="143">
        <v>0</v>
      </c>
      <c r="E213" s="142" t="s">
        <v>1640</v>
      </c>
      <c r="F213" s="142" t="s">
        <v>111</v>
      </c>
      <c r="G213" s="142" t="s">
        <v>962</v>
      </c>
      <c r="H213" s="142" t="s">
        <v>356</v>
      </c>
      <c r="I213" s="142" t="s">
        <v>382</v>
      </c>
      <c r="J213" s="142" t="s">
        <v>913</v>
      </c>
      <c r="K213" s="142" t="s">
        <v>1344</v>
      </c>
      <c r="L213" s="142" t="s">
        <v>1431</v>
      </c>
      <c r="M213" s="142"/>
      <c r="N213" s="142" t="s">
        <v>388</v>
      </c>
      <c r="O213" s="142"/>
      <c r="P213" s="142" t="s">
        <v>386</v>
      </c>
      <c r="Q213" s="142" t="s">
        <v>917</v>
      </c>
      <c r="R213" s="142" t="s">
        <v>1641</v>
      </c>
      <c r="S213" s="142" t="s">
        <v>57</v>
      </c>
    </row>
    <row r="214" spans="1:19">
      <c r="A214" s="142" t="s">
        <v>1642</v>
      </c>
      <c r="B214" s="142" t="s">
        <v>1643</v>
      </c>
      <c r="C214" s="142" t="s">
        <v>910</v>
      </c>
      <c r="D214" s="143">
        <v>0</v>
      </c>
      <c r="E214" s="142" t="s">
        <v>1644</v>
      </c>
      <c r="F214" s="142" t="s">
        <v>107</v>
      </c>
      <c r="G214" s="142" t="s">
        <v>962</v>
      </c>
      <c r="H214" s="142" t="s">
        <v>356</v>
      </c>
      <c r="I214" s="142" t="s">
        <v>382</v>
      </c>
      <c r="J214" s="142" t="s">
        <v>913</v>
      </c>
      <c r="K214" s="142" t="s">
        <v>914</v>
      </c>
      <c r="L214" s="142" t="s">
        <v>1018</v>
      </c>
      <c r="M214" s="142"/>
      <c r="N214" s="142" t="s">
        <v>388</v>
      </c>
      <c r="O214" s="142"/>
      <c r="P214" s="142" t="s">
        <v>386</v>
      </c>
      <c r="Q214" s="142" t="s">
        <v>917</v>
      </c>
      <c r="R214" s="142" t="s">
        <v>1022</v>
      </c>
      <c r="S214" s="142" t="s">
        <v>57</v>
      </c>
    </row>
    <row r="215" spans="1:19">
      <c r="A215" s="142" t="s">
        <v>1645</v>
      </c>
      <c r="B215" s="142" t="s">
        <v>1646</v>
      </c>
      <c r="C215" s="142" t="s">
        <v>910</v>
      </c>
      <c r="D215" s="143">
        <v>0</v>
      </c>
      <c r="E215" s="142" t="s">
        <v>1647</v>
      </c>
      <c r="F215" s="142" t="s">
        <v>113</v>
      </c>
      <c r="G215" s="142" t="s">
        <v>962</v>
      </c>
      <c r="H215" s="142" t="s">
        <v>356</v>
      </c>
      <c r="I215" s="142" t="s">
        <v>382</v>
      </c>
      <c r="J215" s="142" t="s">
        <v>913</v>
      </c>
      <c r="K215" s="142" t="s">
        <v>914</v>
      </c>
      <c r="L215" s="142" t="s">
        <v>970</v>
      </c>
      <c r="M215" s="142"/>
      <c r="N215" s="142" t="s">
        <v>388</v>
      </c>
      <c r="O215" s="142"/>
      <c r="P215" s="142" t="s">
        <v>386</v>
      </c>
      <c r="Q215" s="142" t="s">
        <v>917</v>
      </c>
      <c r="R215" s="142" t="s">
        <v>1648</v>
      </c>
      <c r="S215" s="142" t="s">
        <v>57</v>
      </c>
    </row>
    <row r="216" spans="1:19">
      <c r="A216" s="142" t="s">
        <v>1649</v>
      </c>
      <c r="B216" s="142" t="s">
        <v>1650</v>
      </c>
      <c r="C216" s="142" t="s">
        <v>910</v>
      </c>
      <c r="D216" s="143">
        <v>0</v>
      </c>
      <c r="E216" s="142" t="s">
        <v>1651</v>
      </c>
      <c r="F216" s="142" t="s">
        <v>55</v>
      </c>
      <c r="G216" s="142" t="s">
        <v>962</v>
      </c>
      <c r="H216" s="142" t="s">
        <v>327</v>
      </c>
      <c r="I216" s="142" t="s">
        <v>382</v>
      </c>
      <c r="J216" s="142" t="s">
        <v>913</v>
      </c>
      <c r="K216" s="142" t="s">
        <v>1344</v>
      </c>
      <c r="L216" s="142" t="s">
        <v>1431</v>
      </c>
      <c r="M216" s="142"/>
      <c r="N216" s="142" t="s">
        <v>388</v>
      </c>
      <c r="O216" s="142"/>
      <c r="P216" s="142" t="s">
        <v>386</v>
      </c>
      <c r="Q216" s="142" t="s">
        <v>917</v>
      </c>
      <c r="R216" s="142" t="s">
        <v>966</v>
      </c>
      <c r="S216" s="142" t="s">
        <v>71</v>
      </c>
    </row>
    <row r="217" spans="1:19">
      <c r="A217" s="142" t="s">
        <v>1652</v>
      </c>
      <c r="B217" s="142" t="s">
        <v>1653</v>
      </c>
      <c r="C217" s="142" t="s">
        <v>910</v>
      </c>
      <c r="D217" s="143">
        <v>0</v>
      </c>
      <c r="E217" s="142" t="s">
        <v>1654</v>
      </c>
      <c r="F217" s="142" t="s">
        <v>53</v>
      </c>
      <c r="G217" s="142" t="s">
        <v>962</v>
      </c>
      <c r="H217" s="142" t="s">
        <v>327</v>
      </c>
      <c r="I217" s="142" t="s">
        <v>382</v>
      </c>
      <c r="J217" s="142" t="s">
        <v>913</v>
      </c>
      <c r="K217" s="142" t="s">
        <v>1344</v>
      </c>
      <c r="L217" s="142" t="s">
        <v>1358</v>
      </c>
      <c r="M217" s="142"/>
      <c r="N217" s="142" t="s">
        <v>388</v>
      </c>
      <c r="O217" s="142"/>
      <c r="P217" s="142" t="s">
        <v>386</v>
      </c>
      <c r="Q217" s="142" t="s">
        <v>917</v>
      </c>
      <c r="R217" s="142" t="s">
        <v>947</v>
      </c>
      <c r="S217" s="142" t="s">
        <v>53</v>
      </c>
    </row>
    <row r="218" spans="1:19">
      <c r="A218" s="142" t="s">
        <v>1655</v>
      </c>
      <c r="B218" s="142" t="s">
        <v>1656</v>
      </c>
      <c r="C218" s="142" t="s">
        <v>910</v>
      </c>
      <c r="D218" s="143">
        <v>0</v>
      </c>
      <c r="E218" s="142" t="s">
        <v>1657</v>
      </c>
      <c r="F218" s="142" t="s">
        <v>55</v>
      </c>
      <c r="G218" s="142" t="s">
        <v>962</v>
      </c>
      <c r="H218" s="142" t="s">
        <v>327</v>
      </c>
      <c r="I218" s="142" t="s">
        <v>382</v>
      </c>
      <c r="J218" s="142" t="s">
        <v>913</v>
      </c>
      <c r="K218" s="142" t="s">
        <v>1344</v>
      </c>
      <c r="L218" s="142" t="s">
        <v>1423</v>
      </c>
      <c r="M218" s="142"/>
      <c r="N218" s="142" t="s">
        <v>388</v>
      </c>
      <c r="O218" s="142"/>
      <c r="P218" s="142" t="s">
        <v>386</v>
      </c>
      <c r="Q218" s="142" t="s">
        <v>917</v>
      </c>
      <c r="R218" s="142" t="s">
        <v>966</v>
      </c>
      <c r="S218" s="142" t="s">
        <v>71</v>
      </c>
    </row>
    <row r="219" spans="1:19">
      <c r="A219" s="142" t="s">
        <v>1658</v>
      </c>
      <c r="B219" s="142" t="s">
        <v>1659</v>
      </c>
      <c r="C219" s="142" t="s">
        <v>910</v>
      </c>
      <c r="D219" s="143">
        <v>0</v>
      </c>
      <c r="E219" s="142" t="s">
        <v>1660</v>
      </c>
      <c r="F219" s="142" t="s">
        <v>53</v>
      </c>
      <c r="G219" s="142" t="s">
        <v>962</v>
      </c>
      <c r="H219" s="142" t="s">
        <v>327</v>
      </c>
      <c r="I219" s="142" t="s">
        <v>382</v>
      </c>
      <c r="J219" s="142" t="s">
        <v>913</v>
      </c>
      <c r="K219" s="142" t="s">
        <v>914</v>
      </c>
      <c r="L219" s="142" t="s">
        <v>1198</v>
      </c>
      <c r="M219" s="142"/>
      <c r="N219" s="142" t="s">
        <v>388</v>
      </c>
      <c r="O219" s="142"/>
      <c r="P219" s="142" t="s">
        <v>386</v>
      </c>
      <c r="Q219" s="142" t="s">
        <v>917</v>
      </c>
      <c r="R219" s="142" t="s">
        <v>1661</v>
      </c>
      <c r="S219" s="142" t="s">
        <v>53</v>
      </c>
    </row>
    <row r="220" spans="1:19">
      <c r="A220" s="142" t="s">
        <v>1662</v>
      </c>
      <c r="B220" s="142" t="s">
        <v>1663</v>
      </c>
      <c r="C220" s="142" t="s">
        <v>910</v>
      </c>
      <c r="D220" s="143">
        <v>0</v>
      </c>
      <c r="E220" s="142" t="s">
        <v>1664</v>
      </c>
      <c r="F220" s="142" t="s">
        <v>53</v>
      </c>
      <c r="G220" s="142" t="s">
        <v>962</v>
      </c>
      <c r="H220" s="142" t="s">
        <v>327</v>
      </c>
      <c r="I220" s="142" t="s">
        <v>382</v>
      </c>
      <c r="J220" s="142" t="s">
        <v>913</v>
      </c>
      <c r="K220" s="142" t="s">
        <v>914</v>
      </c>
      <c r="L220" s="142" t="s">
        <v>1091</v>
      </c>
      <c r="M220" s="142"/>
      <c r="N220" s="142" t="s">
        <v>388</v>
      </c>
      <c r="O220" s="142"/>
      <c r="P220" s="142" t="s">
        <v>386</v>
      </c>
      <c r="Q220" s="142" t="s">
        <v>917</v>
      </c>
      <c r="R220" s="142" t="s">
        <v>971</v>
      </c>
      <c r="S220" s="142" t="s">
        <v>53</v>
      </c>
    </row>
    <row r="221" spans="1:19">
      <c r="A221" s="142" t="s">
        <v>1665</v>
      </c>
      <c r="B221" s="142" t="s">
        <v>1666</v>
      </c>
      <c r="C221" s="142" t="s">
        <v>910</v>
      </c>
      <c r="D221" s="143">
        <v>0</v>
      </c>
      <c r="E221" s="142" t="s">
        <v>1667</v>
      </c>
      <c r="F221" s="142" t="s">
        <v>53</v>
      </c>
      <c r="G221" s="142" t="s">
        <v>962</v>
      </c>
      <c r="H221" s="142" t="s">
        <v>327</v>
      </c>
      <c r="I221" s="142" t="s">
        <v>382</v>
      </c>
      <c r="J221" s="142" t="s">
        <v>913</v>
      </c>
      <c r="K221" s="142" t="s">
        <v>1344</v>
      </c>
      <c r="L221" s="142" t="s">
        <v>1345</v>
      </c>
      <c r="M221" s="142"/>
      <c r="N221" s="142" t="s">
        <v>388</v>
      </c>
      <c r="O221" s="142"/>
      <c r="P221" s="142" t="s">
        <v>386</v>
      </c>
      <c r="Q221" s="142" t="s">
        <v>917</v>
      </c>
      <c r="R221" s="142" t="s">
        <v>985</v>
      </c>
      <c r="S221" s="142" t="s">
        <v>83</v>
      </c>
    </row>
    <row r="222" spans="1:19">
      <c r="A222" s="142" t="s">
        <v>1668</v>
      </c>
      <c r="B222" s="142" t="s">
        <v>1669</v>
      </c>
      <c r="C222" s="142" t="s">
        <v>910</v>
      </c>
      <c r="D222" s="143">
        <v>0</v>
      </c>
      <c r="E222" s="142" t="s">
        <v>1670</v>
      </c>
      <c r="F222" s="142" t="s">
        <v>53</v>
      </c>
      <c r="G222" s="142" t="s">
        <v>962</v>
      </c>
      <c r="H222" s="142" t="s">
        <v>327</v>
      </c>
      <c r="I222" s="142" t="s">
        <v>382</v>
      </c>
      <c r="J222" s="142" t="s">
        <v>913</v>
      </c>
      <c r="K222" s="142" t="s">
        <v>1344</v>
      </c>
      <c r="L222" s="142" t="s">
        <v>1412</v>
      </c>
      <c r="M222" s="142"/>
      <c r="N222" s="142" t="s">
        <v>388</v>
      </c>
      <c r="O222" s="142"/>
      <c r="P222" s="142" t="s">
        <v>386</v>
      </c>
      <c r="Q222" s="142" t="s">
        <v>917</v>
      </c>
      <c r="R222" s="142" t="s">
        <v>947</v>
      </c>
      <c r="S222" s="142" t="s">
        <v>83</v>
      </c>
    </row>
    <row r="223" spans="1:19">
      <c r="A223" s="142" t="s">
        <v>1671</v>
      </c>
      <c r="B223" s="142" t="s">
        <v>1672</v>
      </c>
      <c r="C223" s="142" t="s">
        <v>910</v>
      </c>
      <c r="D223" s="143">
        <v>0</v>
      </c>
      <c r="E223" s="142" t="s">
        <v>1673</v>
      </c>
      <c r="F223" s="142" t="s">
        <v>55</v>
      </c>
      <c r="G223" s="142" t="s">
        <v>962</v>
      </c>
      <c r="H223" s="142" t="s">
        <v>327</v>
      </c>
      <c r="I223" s="142" t="s">
        <v>382</v>
      </c>
      <c r="J223" s="142" t="s">
        <v>913</v>
      </c>
      <c r="K223" s="142" t="s">
        <v>1344</v>
      </c>
      <c r="L223" s="142" t="s">
        <v>1466</v>
      </c>
      <c r="M223" s="142"/>
      <c r="N223" s="142" t="s">
        <v>388</v>
      </c>
      <c r="O223" s="142"/>
      <c r="P223" s="142" t="s">
        <v>386</v>
      </c>
      <c r="Q223" s="142" t="s">
        <v>917</v>
      </c>
      <c r="R223" s="142" t="s">
        <v>966</v>
      </c>
      <c r="S223" s="142" t="s">
        <v>71</v>
      </c>
    </row>
    <row r="224" spans="1:19">
      <c r="A224" s="142" t="s">
        <v>1674</v>
      </c>
      <c r="B224" s="142" t="s">
        <v>1675</v>
      </c>
      <c r="C224" s="142" t="s">
        <v>910</v>
      </c>
      <c r="D224" s="143">
        <v>0</v>
      </c>
      <c r="E224" s="142" t="s">
        <v>1676</v>
      </c>
      <c r="F224" s="142" t="s">
        <v>55</v>
      </c>
      <c r="G224" s="142" t="s">
        <v>962</v>
      </c>
      <c r="H224" s="142" t="s">
        <v>327</v>
      </c>
      <c r="I224" s="142" t="s">
        <v>382</v>
      </c>
      <c r="J224" s="142" t="s">
        <v>913</v>
      </c>
      <c r="K224" s="142" t="s">
        <v>1344</v>
      </c>
      <c r="L224" s="142" t="s">
        <v>1553</v>
      </c>
      <c r="M224" s="142"/>
      <c r="N224" s="142" t="s">
        <v>388</v>
      </c>
      <c r="O224" s="142"/>
      <c r="P224" s="142" t="s">
        <v>386</v>
      </c>
      <c r="Q224" s="142" t="s">
        <v>917</v>
      </c>
      <c r="R224" s="142" t="s">
        <v>1677</v>
      </c>
      <c r="S224" s="142" t="s">
        <v>71</v>
      </c>
    </row>
    <row r="225" spans="1:19">
      <c r="A225" s="142" t="s">
        <v>1678</v>
      </c>
      <c r="B225" s="142" t="s">
        <v>1679</v>
      </c>
      <c r="C225" s="142" t="s">
        <v>910</v>
      </c>
      <c r="D225" s="143">
        <v>0</v>
      </c>
      <c r="E225" s="142" t="s">
        <v>1680</v>
      </c>
      <c r="F225" s="142" t="s">
        <v>53</v>
      </c>
      <c r="G225" s="142" t="s">
        <v>962</v>
      </c>
      <c r="H225" s="142" t="s">
        <v>327</v>
      </c>
      <c r="I225" s="142" t="s">
        <v>382</v>
      </c>
      <c r="J225" s="142" t="s">
        <v>913</v>
      </c>
      <c r="K225" s="142" t="s">
        <v>1344</v>
      </c>
      <c r="L225" s="142" t="s">
        <v>1387</v>
      </c>
      <c r="M225" s="142"/>
      <c r="N225" s="142" t="s">
        <v>388</v>
      </c>
      <c r="O225" s="142"/>
      <c r="P225" s="142" t="s">
        <v>386</v>
      </c>
      <c r="Q225" s="142" t="s">
        <v>917</v>
      </c>
      <c r="R225" s="142" t="s">
        <v>1681</v>
      </c>
      <c r="S225" s="142" t="s">
        <v>53</v>
      </c>
    </row>
    <row r="226" spans="1:19">
      <c r="A226" s="142" t="s">
        <v>1682</v>
      </c>
      <c r="B226" s="142" t="s">
        <v>1683</v>
      </c>
      <c r="C226" s="142" t="s">
        <v>910</v>
      </c>
      <c r="D226" s="143">
        <v>0</v>
      </c>
      <c r="E226" s="142" t="s">
        <v>1684</v>
      </c>
      <c r="F226" s="142" t="s">
        <v>53</v>
      </c>
      <c r="G226" s="142" t="s">
        <v>962</v>
      </c>
      <c r="H226" s="142" t="s">
        <v>327</v>
      </c>
      <c r="I226" s="142" t="s">
        <v>382</v>
      </c>
      <c r="J226" s="142" t="s">
        <v>913</v>
      </c>
      <c r="K226" s="142" t="s">
        <v>1344</v>
      </c>
      <c r="L226" s="142" t="s">
        <v>1387</v>
      </c>
      <c r="M226" s="142"/>
      <c r="N226" s="142" t="s">
        <v>388</v>
      </c>
      <c r="O226" s="142"/>
      <c r="P226" s="142" t="s">
        <v>386</v>
      </c>
      <c r="Q226" s="142" t="s">
        <v>917</v>
      </c>
      <c r="R226" s="142" t="s">
        <v>947</v>
      </c>
      <c r="S226" s="142" t="s">
        <v>53</v>
      </c>
    </row>
    <row r="227" spans="1:19">
      <c r="A227" s="142" t="s">
        <v>1685</v>
      </c>
      <c r="B227" s="142" t="s">
        <v>1686</v>
      </c>
      <c r="C227" s="142" t="s">
        <v>910</v>
      </c>
      <c r="D227" s="143">
        <v>0</v>
      </c>
      <c r="E227" s="142" t="s">
        <v>1687</v>
      </c>
      <c r="F227" s="142" t="s">
        <v>302</v>
      </c>
      <c r="G227" s="142" t="s">
        <v>962</v>
      </c>
      <c r="H227" s="142" t="s">
        <v>327</v>
      </c>
      <c r="I227" s="142" t="s">
        <v>382</v>
      </c>
      <c r="J227" s="142" t="s">
        <v>913</v>
      </c>
      <c r="K227" s="142" t="s">
        <v>1517</v>
      </c>
      <c r="L227" s="142" t="s">
        <v>1328</v>
      </c>
      <c r="M227" s="142"/>
      <c r="N227" s="142" t="s">
        <v>388</v>
      </c>
      <c r="O227" s="142"/>
      <c r="P227" s="142" t="s">
        <v>386</v>
      </c>
      <c r="Q227" s="142" t="s">
        <v>917</v>
      </c>
      <c r="R227" s="142" t="s">
        <v>947</v>
      </c>
      <c r="S227" s="142" t="s">
        <v>53</v>
      </c>
    </row>
    <row r="228" spans="1:19">
      <c r="A228" s="142" t="s">
        <v>1688</v>
      </c>
      <c r="B228" s="142" t="s">
        <v>1689</v>
      </c>
      <c r="C228" s="142" t="s">
        <v>910</v>
      </c>
      <c r="D228" s="143">
        <v>0</v>
      </c>
      <c r="E228" s="142" t="s">
        <v>1687</v>
      </c>
      <c r="F228" s="142" t="s">
        <v>53</v>
      </c>
      <c r="G228" s="142" t="s">
        <v>962</v>
      </c>
      <c r="H228" s="142" t="s">
        <v>327</v>
      </c>
      <c r="I228" s="142" t="s">
        <v>382</v>
      </c>
      <c r="J228" s="142" t="s">
        <v>913</v>
      </c>
      <c r="K228" s="142" t="s">
        <v>1517</v>
      </c>
      <c r="L228" s="142" t="s">
        <v>1328</v>
      </c>
      <c r="M228" s="142"/>
      <c r="N228" s="142" t="s">
        <v>388</v>
      </c>
      <c r="O228" s="142"/>
      <c r="P228" s="142" t="s">
        <v>386</v>
      </c>
      <c r="Q228" s="142" t="s">
        <v>917</v>
      </c>
      <c r="R228" s="142" t="s">
        <v>1392</v>
      </c>
      <c r="S228" s="142" t="s">
        <v>53</v>
      </c>
    </row>
    <row r="229" spans="1:19">
      <c r="A229" s="142" t="s">
        <v>1690</v>
      </c>
      <c r="B229" s="142" t="s">
        <v>1691</v>
      </c>
      <c r="C229" s="142" t="s">
        <v>910</v>
      </c>
      <c r="D229" s="143">
        <v>0</v>
      </c>
      <c r="E229" s="142" t="s">
        <v>1692</v>
      </c>
      <c r="F229" s="142" t="s">
        <v>53</v>
      </c>
      <c r="G229" s="142" t="s">
        <v>962</v>
      </c>
      <c r="H229" s="142" t="s">
        <v>327</v>
      </c>
      <c r="I229" s="142" t="s">
        <v>382</v>
      </c>
      <c r="J229" s="142" t="s">
        <v>913</v>
      </c>
      <c r="K229" s="142" t="s">
        <v>914</v>
      </c>
      <c r="L229" s="142" t="s">
        <v>1039</v>
      </c>
      <c r="M229" s="142"/>
      <c r="N229" s="142" t="s">
        <v>388</v>
      </c>
      <c r="O229" s="142"/>
      <c r="P229" s="142" t="s">
        <v>386</v>
      </c>
      <c r="Q229" s="142" t="s">
        <v>917</v>
      </c>
      <c r="R229" s="142" t="s">
        <v>947</v>
      </c>
      <c r="S229" s="142" t="s">
        <v>53</v>
      </c>
    </row>
    <row r="230" spans="1:19">
      <c r="A230" s="142" t="s">
        <v>1693</v>
      </c>
      <c r="B230" s="142" t="s">
        <v>1694</v>
      </c>
      <c r="C230" s="142" t="s">
        <v>910</v>
      </c>
      <c r="D230" s="143">
        <v>0</v>
      </c>
      <c r="E230" s="142" t="s">
        <v>1695</v>
      </c>
      <c r="F230" s="142" t="s">
        <v>53</v>
      </c>
      <c r="G230" s="142" t="s">
        <v>962</v>
      </c>
      <c r="H230" s="142" t="s">
        <v>327</v>
      </c>
      <c r="I230" s="142" t="s">
        <v>382</v>
      </c>
      <c r="J230" s="142" t="s">
        <v>913</v>
      </c>
      <c r="K230" s="142" t="s">
        <v>1344</v>
      </c>
      <c r="L230" s="142" t="s">
        <v>1383</v>
      </c>
      <c r="M230" s="142"/>
      <c r="N230" s="142" t="s">
        <v>388</v>
      </c>
      <c r="O230" s="142"/>
      <c r="P230" s="142" t="s">
        <v>386</v>
      </c>
      <c r="Q230" s="142" t="s">
        <v>917</v>
      </c>
      <c r="R230" s="142" t="s">
        <v>947</v>
      </c>
      <c r="S230" s="142" t="s">
        <v>53</v>
      </c>
    </row>
    <row r="231" spans="1:19">
      <c r="A231" s="142" t="s">
        <v>1696</v>
      </c>
      <c r="B231" s="142" t="s">
        <v>1697</v>
      </c>
      <c r="C231" s="142" t="s">
        <v>910</v>
      </c>
      <c r="D231" s="143">
        <v>0</v>
      </c>
      <c r="E231" s="142" t="s">
        <v>1698</v>
      </c>
      <c r="F231" s="142" t="s">
        <v>53</v>
      </c>
      <c r="G231" s="142" t="s">
        <v>962</v>
      </c>
      <c r="H231" s="142" t="s">
        <v>327</v>
      </c>
      <c r="I231" s="142" t="s">
        <v>382</v>
      </c>
      <c r="J231" s="142" t="s">
        <v>913</v>
      </c>
      <c r="K231" s="142" t="s">
        <v>1344</v>
      </c>
      <c r="L231" s="142" t="s">
        <v>1362</v>
      </c>
      <c r="M231" s="142"/>
      <c r="N231" s="142" t="s">
        <v>388</v>
      </c>
      <c r="O231" s="142"/>
      <c r="P231" s="142" t="s">
        <v>386</v>
      </c>
      <c r="Q231" s="142" t="s">
        <v>917</v>
      </c>
      <c r="R231" s="142" t="s">
        <v>947</v>
      </c>
      <c r="S231" s="142" t="s">
        <v>53</v>
      </c>
    </row>
    <row r="232" spans="1:19">
      <c r="A232" s="142" t="s">
        <v>1699</v>
      </c>
      <c r="B232" s="142" t="s">
        <v>1700</v>
      </c>
      <c r="C232" s="142" t="s">
        <v>910</v>
      </c>
      <c r="D232" s="143">
        <v>0</v>
      </c>
      <c r="E232" s="142" t="s">
        <v>1701</v>
      </c>
      <c r="F232" s="142" t="s">
        <v>53</v>
      </c>
      <c r="G232" s="142" t="s">
        <v>962</v>
      </c>
      <c r="H232" s="142" t="s">
        <v>327</v>
      </c>
      <c r="I232" s="142" t="s">
        <v>382</v>
      </c>
      <c r="J232" s="142" t="s">
        <v>913</v>
      </c>
      <c r="K232" s="142" t="s">
        <v>1344</v>
      </c>
      <c r="L232" s="142" t="s">
        <v>1702</v>
      </c>
      <c r="M232" s="142"/>
      <c r="N232" s="142" t="s">
        <v>388</v>
      </c>
      <c r="O232" s="142"/>
      <c r="P232" s="142" t="s">
        <v>386</v>
      </c>
      <c r="Q232" s="142" t="s">
        <v>917</v>
      </c>
      <c r="R232" s="142" t="s">
        <v>947</v>
      </c>
      <c r="S232" s="142" t="s">
        <v>53</v>
      </c>
    </row>
    <row r="233" spans="1:19">
      <c r="A233" s="142" t="s">
        <v>1703</v>
      </c>
      <c r="B233" s="142" t="s">
        <v>1704</v>
      </c>
      <c r="C233" s="142" t="s">
        <v>910</v>
      </c>
      <c r="D233" s="143">
        <v>0</v>
      </c>
      <c r="E233" s="142" t="s">
        <v>1705</v>
      </c>
      <c r="F233" s="142" t="s">
        <v>53</v>
      </c>
      <c r="G233" s="142" t="s">
        <v>962</v>
      </c>
      <c r="H233" s="142" t="s">
        <v>327</v>
      </c>
      <c r="I233" s="142" t="s">
        <v>382</v>
      </c>
      <c r="J233" s="142" t="s">
        <v>913</v>
      </c>
      <c r="K233" s="142" t="s">
        <v>1344</v>
      </c>
      <c r="L233" s="142" t="s">
        <v>1449</v>
      </c>
      <c r="M233" s="142"/>
      <c r="N233" s="142" t="s">
        <v>388</v>
      </c>
      <c r="O233" s="142"/>
      <c r="P233" s="142" t="s">
        <v>386</v>
      </c>
      <c r="Q233" s="142" t="s">
        <v>917</v>
      </c>
      <c r="R233" s="142" t="s">
        <v>979</v>
      </c>
      <c r="S233" s="142" t="s">
        <v>53</v>
      </c>
    </row>
    <row r="234" spans="1:19">
      <c r="A234" s="142" t="s">
        <v>1706</v>
      </c>
      <c r="B234" s="142" t="s">
        <v>1707</v>
      </c>
      <c r="C234" s="142" t="s">
        <v>910</v>
      </c>
      <c r="D234" s="143">
        <v>0</v>
      </c>
      <c r="E234" s="142" t="s">
        <v>1708</v>
      </c>
      <c r="F234" s="142" t="s">
        <v>55</v>
      </c>
      <c r="G234" s="142" t="s">
        <v>912</v>
      </c>
      <c r="H234" s="142" t="s">
        <v>327</v>
      </c>
      <c r="I234" s="142" t="s">
        <v>382</v>
      </c>
      <c r="J234" s="142" t="s">
        <v>913</v>
      </c>
      <c r="K234" s="142" t="s">
        <v>1344</v>
      </c>
      <c r="L234" s="142" t="s">
        <v>1431</v>
      </c>
      <c r="M234" s="142"/>
      <c r="N234" s="142" t="s">
        <v>388</v>
      </c>
      <c r="O234" s="142" t="s">
        <v>43</v>
      </c>
      <c r="P234" s="142" t="s">
        <v>386</v>
      </c>
      <c r="Q234" s="142" t="s">
        <v>917</v>
      </c>
      <c r="R234" s="142" t="s">
        <v>1206</v>
      </c>
      <c r="S234" s="142" t="s">
        <v>83</v>
      </c>
    </row>
    <row r="235" spans="1:19">
      <c r="A235" s="142" t="s">
        <v>1709</v>
      </c>
      <c r="B235" s="142" t="s">
        <v>1710</v>
      </c>
      <c r="C235" s="142" t="s">
        <v>910</v>
      </c>
      <c r="D235" s="143">
        <v>0</v>
      </c>
      <c r="E235" s="142" t="s">
        <v>1711</v>
      </c>
      <c r="F235" s="142" t="s">
        <v>53</v>
      </c>
      <c r="G235" s="142" t="s">
        <v>912</v>
      </c>
      <c r="H235" s="142" t="s">
        <v>327</v>
      </c>
      <c r="I235" s="142" t="s">
        <v>382</v>
      </c>
      <c r="J235" s="142" t="s">
        <v>913</v>
      </c>
      <c r="K235" s="142" t="s">
        <v>1344</v>
      </c>
      <c r="L235" s="142" t="s">
        <v>1358</v>
      </c>
      <c r="M235" s="142"/>
      <c r="N235" s="142" t="s">
        <v>388</v>
      </c>
      <c r="O235" s="142" t="s">
        <v>43</v>
      </c>
      <c r="P235" s="142" t="s">
        <v>386</v>
      </c>
      <c r="Q235" s="142" t="s">
        <v>917</v>
      </c>
      <c r="R235" s="142" t="s">
        <v>947</v>
      </c>
      <c r="S235" s="142" t="s">
        <v>53</v>
      </c>
    </row>
    <row r="236" spans="1:19">
      <c r="A236" s="142" t="s">
        <v>1712</v>
      </c>
      <c r="B236" s="142" t="s">
        <v>1713</v>
      </c>
      <c r="C236" s="142" t="s">
        <v>910</v>
      </c>
      <c r="D236" s="143">
        <v>0</v>
      </c>
      <c r="E236" s="142" t="s">
        <v>1714</v>
      </c>
      <c r="F236" s="142" t="s">
        <v>233</v>
      </c>
      <c r="G236" s="142" t="s">
        <v>912</v>
      </c>
      <c r="H236" s="142" t="s">
        <v>327</v>
      </c>
      <c r="I236" s="142" t="s">
        <v>382</v>
      </c>
      <c r="J236" s="142" t="s">
        <v>913</v>
      </c>
      <c r="K236" s="142" t="s">
        <v>1344</v>
      </c>
      <c r="L236" s="142" t="s">
        <v>1354</v>
      </c>
      <c r="M236" s="142"/>
      <c r="N236" s="142" t="s">
        <v>388</v>
      </c>
      <c r="O236" s="142" t="s">
        <v>43</v>
      </c>
      <c r="P236" s="142" t="s">
        <v>386</v>
      </c>
      <c r="Q236" s="142" t="s">
        <v>917</v>
      </c>
      <c r="R236" s="142" t="s">
        <v>1715</v>
      </c>
      <c r="S236" s="142" t="s">
        <v>71</v>
      </c>
    </row>
    <row r="237" spans="1:19">
      <c r="A237" s="142" t="s">
        <v>1716</v>
      </c>
      <c r="B237" s="142" t="s">
        <v>1717</v>
      </c>
      <c r="C237" s="142" t="s">
        <v>910</v>
      </c>
      <c r="D237" s="143">
        <v>0</v>
      </c>
      <c r="E237" s="142" t="s">
        <v>1714</v>
      </c>
      <c r="F237" s="142" t="s">
        <v>55</v>
      </c>
      <c r="G237" s="142" t="s">
        <v>912</v>
      </c>
      <c r="H237" s="142" t="s">
        <v>327</v>
      </c>
      <c r="I237" s="142" t="s">
        <v>382</v>
      </c>
      <c r="J237" s="142" t="s">
        <v>913</v>
      </c>
      <c r="K237" s="142" t="s">
        <v>1344</v>
      </c>
      <c r="L237" s="142" t="s">
        <v>1354</v>
      </c>
      <c r="M237" s="142"/>
      <c r="N237" s="142" t="s">
        <v>388</v>
      </c>
      <c r="O237" s="142" t="s">
        <v>43</v>
      </c>
      <c r="P237" s="142" t="s">
        <v>386</v>
      </c>
      <c r="Q237" s="142" t="s">
        <v>917</v>
      </c>
      <c r="R237" s="142" t="s">
        <v>966</v>
      </c>
      <c r="S237" s="142" t="s">
        <v>71</v>
      </c>
    </row>
    <row r="238" spans="1:19">
      <c r="A238" s="142" t="s">
        <v>1718</v>
      </c>
      <c r="B238" s="142" t="s">
        <v>1719</v>
      </c>
      <c r="C238" s="142" t="s">
        <v>910</v>
      </c>
      <c r="D238" s="143">
        <v>0</v>
      </c>
      <c r="E238" s="142" t="s">
        <v>1720</v>
      </c>
      <c r="F238" s="142" t="s">
        <v>53</v>
      </c>
      <c r="G238" s="142" t="s">
        <v>912</v>
      </c>
      <c r="H238" s="142" t="s">
        <v>327</v>
      </c>
      <c r="I238" s="142" t="s">
        <v>382</v>
      </c>
      <c r="J238" s="142" t="s">
        <v>913</v>
      </c>
      <c r="K238" s="142" t="s">
        <v>1344</v>
      </c>
      <c r="L238" s="142" t="s">
        <v>1437</v>
      </c>
      <c r="M238" s="142"/>
      <c r="N238" s="142" t="s">
        <v>388</v>
      </c>
      <c r="O238" s="142" t="s">
        <v>43</v>
      </c>
      <c r="P238" s="142" t="s">
        <v>386</v>
      </c>
      <c r="Q238" s="142" t="s">
        <v>917</v>
      </c>
      <c r="R238" s="142" t="s">
        <v>947</v>
      </c>
      <c r="S238" s="142" t="s">
        <v>53</v>
      </c>
    </row>
    <row r="239" spans="1:19">
      <c r="A239" s="142" t="s">
        <v>1721</v>
      </c>
      <c r="B239" s="142" t="s">
        <v>1722</v>
      </c>
      <c r="C239" s="142" t="s">
        <v>910</v>
      </c>
      <c r="D239" s="143">
        <v>0</v>
      </c>
      <c r="E239" s="142" t="s">
        <v>1723</v>
      </c>
      <c r="F239" s="142" t="s">
        <v>53</v>
      </c>
      <c r="G239" s="142" t="s">
        <v>912</v>
      </c>
      <c r="H239" s="142" t="s">
        <v>327</v>
      </c>
      <c r="I239" s="142" t="s">
        <v>382</v>
      </c>
      <c r="J239" s="142" t="s">
        <v>913</v>
      </c>
      <c r="K239" s="142" t="s">
        <v>914</v>
      </c>
      <c r="L239" s="142" t="s">
        <v>1198</v>
      </c>
      <c r="M239" s="142"/>
      <c r="N239" s="142" t="s">
        <v>388</v>
      </c>
      <c r="O239" s="142" t="s">
        <v>43</v>
      </c>
      <c r="P239" s="142" t="s">
        <v>386</v>
      </c>
      <c r="Q239" s="142" t="s">
        <v>917</v>
      </c>
      <c r="R239" s="142" t="s">
        <v>947</v>
      </c>
      <c r="S239" s="142" t="s">
        <v>53</v>
      </c>
    </row>
    <row r="240" spans="1:19">
      <c r="A240" s="142" t="s">
        <v>1724</v>
      </c>
      <c r="B240" s="142" t="s">
        <v>1725</v>
      </c>
      <c r="C240" s="142" t="s">
        <v>910</v>
      </c>
      <c r="D240" s="143">
        <v>0</v>
      </c>
      <c r="E240" s="142" t="s">
        <v>1726</v>
      </c>
      <c r="F240" s="142" t="s">
        <v>53</v>
      </c>
      <c r="G240" s="142" t="s">
        <v>912</v>
      </c>
      <c r="H240" s="142" t="s">
        <v>327</v>
      </c>
      <c r="I240" s="142" t="s">
        <v>382</v>
      </c>
      <c r="J240" s="142" t="s">
        <v>913</v>
      </c>
      <c r="K240" s="142" t="s">
        <v>1344</v>
      </c>
      <c r="L240" s="142" t="s">
        <v>1345</v>
      </c>
      <c r="M240" s="142"/>
      <c r="N240" s="142" t="s">
        <v>388</v>
      </c>
      <c r="O240" s="142" t="s">
        <v>43</v>
      </c>
      <c r="P240" s="142" t="s">
        <v>386</v>
      </c>
      <c r="Q240" s="142" t="s">
        <v>917</v>
      </c>
      <c r="R240" s="142" t="s">
        <v>971</v>
      </c>
      <c r="S240" s="142" t="s">
        <v>53</v>
      </c>
    </row>
    <row r="241" spans="1:19">
      <c r="A241" s="142" t="s">
        <v>1727</v>
      </c>
      <c r="B241" s="142" t="s">
        <v>1728</v>
      </c>
      <c r="C241" s="142" t="s">
        <v>910</v>
      </c>
      <c r="D241" s="143">
        <v>0</v>
      </c>
      <c r="E241" s="142" t="s">
        <v>1729</v>
      </c>
      <c r="F241" s="142" t="s">
        <v>302</v>
      </c>
      <c r="G241" s="142" t="s">
        <v>912</v>
      </c>
      <c r="H241" s="142" t="s">
        <v>327</v>
      </c>
      <c r="I241" s="142" t="s">
        <v>382</v>
      </c>
      <c r="J241" s="142" t="s">
        <v>913</v>
      </c>
      <c r="K241" s="142" t="s">
        <v>1517</v>
      </c>
      <c r="L241" s="142" t="s">
        <v>1328</v>
      </c>
      <c r="M241" s="142"/>
      <c r="N241" s="142" t="s">
        <v>388</v>
      </c>
      <c r="O241" s="142" t="s">
        <v>43</v>
      </c>
      <c r="P241" s="142" t="s">
        <v>386</v>
      </c>
      <c r="Q241" s="142" t="s">
        <v>917</v>
      </c>
      <c r="R241" s="142" t="s">
        <v>947</v>
      </c>
      <c r="S241" s="142" t="s">
        <v>53</v>
      </c>
    </row>
    <row r="242" spans="1:19">
      <c r="A242" s="142" t="s">
        <v>1730</v>
      </c>
      <c r="B242" s="142" t="s">
        <v>1731</v>
      </c>
      <c r="C242" s="142" t="s">
        <v>910</v>
      </c>
      <c r="D242" s="143">
        <v>0</v>
      </c>
      <c r="E242" s="142" t="s">
        <v>1729</v>
      </c>
      <c r="F242" s="142" t="s">
        <v>53</v>
      </c>
      <c r="G242" s="142" t="s">
        <v>912</v>
      </c>
      <c r="H242" s="142" t="s">
        <v>327</v>
      </c>
      <c r="I242" s="142" t="s">
        <v>382</v>
      </c>
      <c r="J242" s="142" t="s">
        <v>913</v>
      </c>
      <c r="K242" s="142" t="s">
        <v>1517</v>
      </c>
      <c r="L242" s="142" t="s">
        <v>1328</v>
      </c>
      <c r="M242" s="142"/>
      <c r="N242" s="142" t="s">
        <v>388</v>
      </c>
      <c r="O242" s="142" t="s">
        <v>43</v>
      </c>
      <c r="P242" s="142" t="s">
        <v>386</v>
      </c>
      <c r="Q242" s="142" t="s">
        <v>917</v>
      </c>
      <c r="R242" s="142" t="s">
        <v>985</v>
      </c>
      <c r="S242" s="142" t="s">
        <v>53</v>
      </c>
    </row>
    <row r="243" spans="1:19">
      <c r="A243" s="142" t="s">
        <v>1732</v>
      </c>
      <c r="B243" s="142" t="s">
        <v>1733</v>
      </c>
      <c r="C243" s="142" t="s">
        <v>910</v>
      </c>
      <c r="D243" s="143">
        <v>0</v>
      </c>
      <c r="E243" s="142" t="s">
        <v>1734</v>
      </c>
      <c r="F243" s="142" t="s">
        <v>53</v>
      </c>
      <c r="G243" s="142" t="s">
        <v>912</v>
      </c>
      <c r="H243" s="142" t="s">
        <v>327</v>
      </c>
      <c r="I243" s="142" t="s">
        <v>382</v>
      </c>
      <c r="J243" s="142" t="s">
        <v>913</v>
      </c>
      <c r="K243" s="142" t="s">
        <v>914</v>
      </c>
      <c r="L243" s="142" t="s">
        <v>970</v>
      </c>
      <c r="M243" s="142"/>
      <c r="N243" s="142" t="s">
        <v>388</v>
      </c>
      <c r="O243" s="142" t="s">
        <v>43</v>
      </c>
      <c r="P243" s="142" t="s">
        <v>386</v>
      </c>
      <c r="Q243" s="142" t="s">
        <v>917</v>
      </c>
      <c r="R243" s="142" t="s">
        <v>947</v>
      </c>
      <c r="S243" s="142" t="s">
        <v>53</v>
      </c>
    </row>
    <row r="244" spans="1:19">
      <c r="A244" s="142" t="s">
        <v>1735</v>
      </c>
      <c r="B244" s="142" t="s">
        <v>1736</v>
      </c>
      <c r="C244" s="142" t="s">
        <v>910</v>
      </c>
      <c r="D244" s="143">
        <v>0</v>
      </c>
      <c r="E244" s="142" t="s">
        <v>1737</v>
      </c>
      <c r="F244" s="142" t="s">
        <v>53</v>
      </c>
      <c r="G244" s="142" t="s">
        <v>912</v>
      </c>
      <c r="H244" s="142" t="s">
        <v>327</v>
      </c>
      <c r="I244" s="142" t="s">
        <v>382</v>
      </c>
      <c r="J244" s="142" t="s">
        <v>913</v>
      </c>
      <c r="K244" s="142" t="s">
        <v>1344</v>
      </c>
      <c r="L244" s="142" t="s">
        <v>1376</v>
      </c>
      <c r="M244" s="142"/>
      <c r="N244" s="142" t="s">
        <v>388</v>
      </c>
      <c r="O244" s="142" t="s">
        <v>43</v>
      </c>
      <c r="P244" s="142" t="s">
        <v>386</v>
      </c>
      <c r="Q244" s="142" t="s">
        <v>917</v>
      </c>
      <c r="R244" s="142" t="s">
        <v>947</v>
      </c>
      <c r="S244" s="142" t="s">
        <v>53</v>
      </c>
    </row>
    <row r="245" spans="1:19">
      <c r="A245" s="142" t="s">
        <v>1738</v>
      </c>
      <c r="B245" s="142" t="s">
        <v>1739</v>
      </c>
      <c r="C245" s="142" t="s">
        <v>910</v>
      </c>
      <c r="D245" s="143">
        <v>0</v>
      </c>
      <c r="E245" s="142" t="s">
        <v>1740</v>
      </c>
      <c r="F245" s="142" t="s">
        <v>53</v>
      </c>
      <c r="G245" s="142" t="s">
        <v>912</v>
      </c>
      <c r="H245" s="142" t="s">
        <v>327</v>
      </c>
      <c r="I245" s="142" t="s">
        <v>382</v>
      </c>
      <c r="J245" s="142" t="s">
        <v>913</v>
      </c>
      <c r="K245" s="142" t="s">
        <v>914</v>
      </c>
      <c r="L245" s="142" t="s">
        <v>1039</v>
      </c>
      <c r="M245" s="142"/>
      <c r="N245" s="142" t="s">
        <v>388</v>
      </c>
      <c r="O245" s="142" t="s">
        <v>43</v>
      </c>
      <c r="P245" s="142" t="s">
        <v>386</v>
      </c>
      <c r="Q245" s="142" t="s">
        <v>917</v>
      </c>
      <c r="R245" s="142" t="s">
        <v>971</v>
      </c>
      <c r="S245" s="142" t="s">
        <v>53</v>
      </c>
    </row>
    <row r="246" spans="1:19">
      <c r="A246" s="142" t="s">
        <v>1741</v>
      </c>
      <c r="B246" s="142" t="s">
        <v>1742</v>
      </c>
      <c r="C246" s="142" t="s">
        <v>910</v>
      </c>
      <c r="D246" s="143">
        <v>0</v>
      </c>
      <c r="E246" s="142" t="s">
        <v>1743</v>
      </c>
      <c r="F246" s="142" t="s">
        <v>53</v>
      </c>
      <c r="G246" s="142" t="s">
        <v>912</v>
      </c>
      <c r="H246" s="142" t="s">
        <v>327</v>
      </c>
      <c r="I246" s="142" t="s">
        <v>382</v>
      </c>
      <c r="J246" s="142" t="s">
        <v>913</v>
      </c>
      <c r="K246" s="142" t="s">
        <v>914</v>
      </c>
      <c r="L246" s="142" t="s">
        <v>963</v>
      </c>
      <c r="M246" s="142"/>
      <c r="N246" s="142" t="s">
        <v>388</v>
      </c>
      <c r="O246" s="142" t="s">
        <v>43</v>
      </c>
      <c r="P246" s="142" t="s">
        <v>386</v>
      </c>
      <c r="Q246" s="142" t="s">
        <v>917</v>
      </c>
      <c r="R246" s="142" t="s">
        <v>1744</v>
      </c>
      <c r="S246" s="142" t="s">
        <v>53</v>
      </c>
    </row>
    <row r="247" spans="1:19">
      <c r="A247" s="142" t="s">
        <v>1745</v>
      </c>
      <c r="B247" s="142" t="s">
        <v>1746</v>
      </c>
      <c r="C247" s="142" t="s">
        <v>910</v>
      </c>
      <c r="D247" s="143">
        <v>0</v>
      </c>
      <c r="E247" s="142" t="s">
        <v>1747</v>
      </c>
      <c r="F247" s="142" t="s">
        <v>53</v>
      </c>
      <c r="G247" s="142" t="s">
        <v>912</v>
      </c>
      <c r="H247" s="142" t="s">
        <v>327</v>
      </c>
      <c r="I247" s="142" t="s">
        <v>382</v>
      </c>
      <c r="J247" s="142" t="s">
        <v>913</v>
      </c>
      <c r="K247" s="142" t="s">
        <v>1344</v>
      </c>
      <c r="L247" s="142" t="s">
        <v>1362</v>
      </c>
      <c r="M247" s="142"/>
      <c r="N247" s="142" t="s">
        <v>388</v>
      </c>
      <c r="O247" s="142" t="s">
        <v>43</v>
      </c>
      <c r="P247" s="142" t="s">
        <v>386</v>
      </c>
      <c r="Q247" s="142" t="s">
        <v>917</v>
      </c>
      <c r="R247" s="142" t="s">
        <v>947</v>
      </c>
      <c r="S247" s="142" t="s">
        <v>53</v>
      </c>
    </row>
    <row r="248" spans="1:19">
      <c r="A248" s="142" t="s">
        <v>1748</v>
      </c>
      <c r="B248" s="142" t="s">
        <v>1749</v>
      </c>
      <c r="C248" s="142" t="s">
        <v>910</v>
      </c>
      <c r="D248" s="143">
        <v>0</v>
      </c>
      <c r="E248" s="142" t="s">
        <v>1750</v>
      </c>
      <c r="F248" s="142" t="s">
        <v>55</v>
      </c>
      <c r="G248" s="142" t="s">
        <v>912</v>
      </c>
      <c r="H248" s="142" t="s">
        <v>327</v>
      </c>
      <c r="I248" s="142" t="s">
        <v>382</v>
      </c>
      <c r="J248" s="142" t="s">
        <v>913</v>
      </c>
      <c r="K248" s="142" t="s">
        <v>914</v>
      </c>
      <c r="L248" s="142" t="s">
        <v>1013</v>
      </c>
      <c r="M248" s="142"/>
      <c r="N248" s="142" t="s">
        <v>388</v>
      </c>
      <c r="O248" s="142" t="s">
        <v>43</v>
      </c>
      <c r="P248" s="142" t="s">
        <v>386</v>
      </c>
      <c r="Q248" s="142" t="s">
        <v>917</v>
      </c>
      <c r="R248" s="142" t="s">
        <v>1113</v>
      </c>
      <c r="S248" s="142" t="s">
        <v>83</v>
      </c>
    </row>
    <row r="249" spans="1:19">
      <c r="A249" s="142" t="s">
        <v>1751</v>
      </c>
      <c r="B249" s="142" t="s">
        <v>1752</v>
      </c>
      <c r="C249" s="142" t="s">
        <v>910</v>
      </c>
      <c r="D249" s="143">
        <v>0</v>
      </c>
      <c r="E249" s="142" t="s">
        <v>1753</v>
      </c>
      <c r="F249" s="142" t="s">
        <v>53</v>
      </c>
      <c r="G249" s="142" t="s">
        <v>912</v>
      </c>
      <c r="H249" s="142" t="s">
        <v>327</v>
      </c>
      <c r="I249" s="142" t="s">
        <v>382</v>
      </c>
      <c r="J249" s="142" t="s">
        <v>913</v>
      </c>
      <c r="K249" s="142" t="s">
        <v>1344</v>
      </c>
      <c r="L249" s="142" t="s">
        <v>1449</v>
      </c>
      <c r="M249" s="142"/>
      <c r="N249" s="142" t="s">
        <v>388</v>
      </c>
      <c r="O249" s="142" t="s">
        <v>43</v>
      </c>
      <c r="P249" s="142" t="s">
        <v>386</v>
      </c>
      <c r="Q249" s="142" t="s">
        <v>917</v>
      </c>
      <c r="R249" s="142" t="s">
        <v>1392</v>
      </c>
      <c r="S249" s="142" t="s">
        <v>53</v>
      </c>
    </row>
    <row r="250" spans="1:19">
      <c r="A250" s="142" t="s">
        <v>1754</v>
      </c>
      <c r="B250" s="142" t="s">
        <v>1755</v>
      </c>
      <c r="C250" s="142" t="s">
        <v>910</v>
      </c>
      <c r="D250" s="143">
        <v>0</v>
      </c>
      <c r="E250" s="142" t="s">
        <v>1756</v>
      </c>
      <c r="F250" s="142" t="s">
        <v>60</v>
      </c>
      <c r="G250" s="142" t="s">
        <v>962</v>
      </c>
      <c r="H250" s="142" t="s">
        <v>327</v>
      </c>
      <c r="I250" s="142" t="s">
        <v>382</v>
      </c>
      <c r="J250" s="142" t="s">
        <v>913</v>
      </c>
      <c r="K250" s="142" t="s">
        <v>914</v>
      </c>
      <c r="L250" s="142" t="s">
        <v>934</v>
      </c>
      <c r="M250" s="142"/>
      <c r="N250" s="142" t="s">
        <v>388</v>
      </c>
      <c r="O250" s="142"/>
      <c r="P250" s="142" t="s">
        <v>386</v>
      </c>
      <c r="Q250" s="142" t="s">
        <v>917</v>
      </c>
      <c r="R250" s="142" t="s">
        <v>1757</v>
      </c>
      <c r="S250" s="142" t="s">
        <v>60</v>
      </c>
    </row>
    <row r="251" spans="1:19">
      <c r="A251" s="142" t="s">
        <v>1758</v>
      </c>
      <c r="B251" s="142" t="s">
        <v>1759</v>
      </c>
      <c r="C251" s="142" t="s">
        <v>910</v>
      </c>
      <c r="D251" s="143">
        <v>0</v>
      </c>
      <c r="E251" s="142" t="s">
        <v>1760</v>
      </c>
      <c r="F251" s="142" t="s">
        <v>53</v>
      </c>
      <c r="G251" s="142" t="s">
        <v>962</v>
      </c>
      <c r="H251" s="142" t="s">
        <v>327</v>
      </c>
      <c r="I251" s="142" t="s">
        <v>382</v>
      </c>
      <c r="J251" s="142" t="s">
        <v>913</v>
      </c>
      <c r="K251" s="142" t="s">
        <v>914</v>
      </c>
      <c r="L251" s="142" t="s">
        <v>915</v>
      </c>
      <c r="M251" s="142"/>
      <c r="N251" s="142" t="s">
        <v>388</v>
      </c>
      <c r="O251" s="142"/>
      <c r="P251" s="142" t="s">
        <v>386</v>
      </c>
      <c r="Q251" s="142" t="s">
        <v>917</v>
      </c>
      <c r="R251" s="142" t="s">
        <v>1761</v>
      </c>
      <c r="S251" s="142" t="s">
        <v>53</v>
      </c>
    </row>
    <row r="252" spans="1:19">
      <c r="A252" s="142" t="s">
        <v>1762</v>
      </c>
      <c r="B252" s="142" t="s">
        <v>1763</v>
      </c>
      <c r="C252" s="142" t="s">
        <v>910</v>
      </c>
      <c r="D252" s="143">
        <v>0</v>
      </c>
      <c r="E252" s="142" t="s">
        <v>1764</v>
      </c>
      <c r="F252" s="142" t="s">
        <v>53</v>
      </c>
      <c r="G252" s="142" t="s">
        <v>912</v>
      </c>
      <c r="H252" s="142" t="s">
        <v>325</v>
      </c>
      <c r="I252" s="142" t="s">
        <v>382</v>
      </c>
      <c r="J252" s="142" t="s">
        <v>913</v>
      </c>
      <c r="K252" s="142" t="s">
        <v>914</v>
      </c>
      <c r="L252" s="142" t="s">
        <v>934</v>
      </c>
      <c r="M252" s="142"/>
      <c r="N252" s="142" t="s">
        <v>388</v>
      </c>
      <c r="O252" s="142" t="s">
        <v>43</v>
      </c>
      <c r="P252" s="142" t="s">
        <v>386</v>
      </c>
      <c r="Q252" s="142" t="s">
        <v>917</v>
      </c>
      <c r="R252" s="142" t="s">
        <v>985</v>
      </c>
      <c r="S252" s="142" t="s">
        <v>53</v>
      </c>
    </row>
    <row r="253" spans="1:19">
      <c r="A253" s="142" t="s">
        <v>1765</v>
      </c>
      <c r="B253" s="142" t="s">
        <v>1766</v>
      </c>
      <c r="C253" s="142" t="s">
        <v>910</v>
      </c>
      <c r="D253" s="143">
        <v>0</v>
      </c>
      <c r="E253" s="142" t="s">
        <v>1767</v>
      </c>
      <c r="F253" s="142" t="s">
        <v>71</v>
      </c>
      <c r="G253" s="142" t="s">
        <v>1070</v>
      </c>
      <c r="H253" s="142" t="s">
        <v>356</v>
      </c>
      <c r="I253" s="142" t="s">
        <v>382</v>
      </c>
      <c r="J253" s="142" t="s">
        <v>913</v>
      </c>
      <c r="K253" s="142" t="s">
        <v>1344</v>
      </c>
      <c r="L253" s="142" t="s">
        <v>1575</v>
      </c>
      <c r="M253" s="142"/>
      <c r="N253" s="142" t="s">
        <v>388</v>
      </c>
      <c r="O253" s="142"/>
      <c r="P253" s="142" t="s">
        <v>386</v>
      </c>
      <c r="Q253" s="142" t="s">
        <v>917</v>
      </c>
      <c r="R253" s="142" t="s">
        <v>1768</v>
      </c>
      <c r="S253" s="142" t="s">
        <v>71</v>
      </c>
    </row>
    <row r="254" spans="1:19">
      <c r="A254" s="142" t="s">
        <v>1769</v>
      </c>
      <c r="B254" s="142" t="s">
        <v>1770</v>
      </c>
      <c r="C254" s="142" t="s">
        <v>910</v>
      </c>
      <c r="D254" s="143">
        <v>0</v>
      </c>
      <c r="E254" s="142" t="s">
        <v>1771</v>
      </c>
      <c r="F254" s="142" t="s">
        <v>55</v>
      </c>
      <c r="G254" s="142" t="s">
        <v>1070</v>
      </c>
      <c r="H254" s="142" t="s">
        <v>356</v>
      </c>
      <c r="I254" s="142" t="s">
        <v>382</v>
      </c>
      <c r="J254" s="142" t="s">
        <v>913</v>
      </c>
      <c r="K254" s="142" t="s">
        <v>1344</v>
      </c>
      <c r="L254" s="142" t="s">
        <v>1423</v>
      </c>
      <c r="M254" s="142"/>
      <c r="N254" s="142" t="s">
        <v>388</v>
      </c>
      <c r="O254" s="142"/>
      <c r="P254" s="142" t="s">
        <v>386</v>
      </c>
      <c r="Q254" s="142" t="s">
        <v>917</v>
      </c>
      <c r="R254" s="142" t="s">
        <v>966</v>
      </c>
      <c r="S254" s="142" t="s">
        <v>71</v>
      </c>
    </row>
    <row r="255" spans="1:19">
      <c r="A255" s="142" t="s">
        <v>1772</v>
      </c>
      <c r="B255" s="142" t="s">
        <v>1773</v>
      </c>
      <c r="C255" s="142" t="s">
        <v>910</v>
      </c>
      <c r="D255" s="143">
        <v>0</v>
      </c>
      <c r="E255" s="142" t="s">
        <v>1774</v>
      </c>
      <c r="F255" s="142" t="s">
        <v>293</v>
      </c>
      <c r="G255" s="142" t="s">
        <v>1070</v>
      </c>
      <c r="H255" s="142" t="s">
        <v>356</v>
      </c>
      <c r="I255" s="142" t="s">
        <v>382</v>
      </c>
      <c r="J255" s="142" t="s">
        <v>913</v>
      </c>
      <c r="K255" s="142" t="s">
        <v>914</v>
      </c>
      <c r="L255" s="142" t="s">
        <v>1198</v>
      </c>
      <c r="M255" s="142"/>
      <c r="N255" s="142" t="s">
        <v>388</v>
      </c>
      <c r="O255" s="142"/>
      <c r="P255" s="142" t="s">
        <v>386</v>
      </c>
      <c r="Q255" s="142" t="s">
        <v>917</v>
      </c>
      <c r="R255" s="142" t="s">
        <v>947</v>
      </c>
      <c r="S255" s="142" t="s">
        <v>53</v>
      </c>
    </row>
    <row r="256" spans="1:19">
      <c r="A256" s="142" t="s">
        <v>1775</v>
      </c>
      <c r="B256" s="142" t="s">
        <v>1776</v>
      </c>
      <c r="C256" s="142" t="s">
        <v>910</v>
      </c>
      <c r="D256" s="143">
        <v>0</v>
      </c>
      <c r="E256" s="142" t="s">
        <v>1777</v>
      </c>
      <c r="F256" s="142" t="s">
        <v>53</v>
      </c>
      <c r="G256" s="142" t="s">
        <v>1070</v>
      </c>
      <c r="H256" s="142" t="s">
        <v>356</v>
      </c>
      <c r="I256" s="142" t="s">
        <v>382</v>
      </c>
      <c r="J256" s="142" t="s">
        <v>913</v>
      </c>
      <c r="K256" s="142" t="s">
        <v>1517</v>
      </c>
      <c r="L256" s="142" t="s">
        <v>1328</v>
      </c>
      <c r="M256" s="142"/>
      <c r="N256" s="142" t="s">
        <v>388</v>
      </c>
      <c r="O256" s="142"/>
      <c r="P256" s="142" t="s">
        <v>386</v>
      </c>
      <c r="Q256" s="142" t="s">
        <v>917</v>
      </c>
      <c r="R256" s="142" t="s">
        <v>971</v>
      </c>
      <c r="S256" s="142" t="s">
        <v>53</v>
      </c>
    </row>
    <row r="257" spans="1:19">
      <c r="A257" s="142" t="s">
        <v>1778</v>
      </c>
      <c r="B257" s="142" t="s">
        <v>1779</v>
      </c>
      <c r="C257" s="142" t="s">
        <v>910</v>
      </c>
      <c r="D257" s="143">
        <v>0</v>
      </c>
      <c r="E257" s="142" t="s">
        <v>1485</v>
      </c>
      <c r="F257" s="142" t="s">
        <v>223</v>
      </c>
      <c r="G257" s="142" t="s">
        <v>962</v>
      </c>
      <c r="H257" s="142" t="s">
        <v>327</v>
      </c>
      <c r="I257" s="142" t="s">
        <v>382</v>
      </c>
      <c r="J257" s="142" t="s">
        <v>913</v>
      </c>
      <c r="K257" s="142" t="s">
        <v>1344</v>
      </c>
      <c r="L257" s="142" t="s">
        <v>1449</v>
      </c>
      <c r="M257" s="142"/>
      <c r="N257" s="142" t="s">
        <v>388</v>
      </c>
      <c r="O257" s="142"/>
      <c r="P257" s="142" t="s">
        <v>386</v>
      </c>
      <c r="Q257" s="142" t="s">
        <v>917</v>
      </c>
      <c r="R257" s="142" t="s">
        <v>1780</v>
      </c>
      <c r="S257" s="142" t="s">
        <v>65</v>
      </c>
    </row>
    <row r="258" spans="1:19">
      <c r="A258" s="142" t="s">
        <v>1781</v>
      </c>
      <c r="B258" s="142" t="s">
        <v>1782</v>
      </c>
      <c r="C258" s="142" t="s">
        <v>910</v>
      </c>
      <c r="D258" s="143">
        <v>0</v>
      </c>
      <c r="E258" s="142" t="s">
        <v>1485</v>
      </c>
      <c r="F258" s="142" t="s">
        <v>293</v>
      </c>
      <c r="G258" s="142" t="s">
        <v>962</v>
      </c>
      <c r="H258" s="142" t="s">
        <v>327</v>
      </c>
      <c r="I258" s="142" t="s">
        <v>382</v>
      </c>
      <c r="J258" s="142" t="s">
        <v>913</v>
      </c>
      <c r="K258" s="142" t="s">
        <v>1344</v>
      </c>
      <c r="L258" s="142" t="s">
        <v>1449</v>
      </c>
      <c r="M258" s="142"/>
      <c r="N258" s="142" t="s">
        <v>388</v>
      </c>
      <c r="O258" s="142"/>
      <c r="P258" s="142" t="s">
        <v>386</v>
      </c>
      <c r="Q258" s="142" t="s">
        <v>917</v>
      </c>
      <c r="R258" s="142" t="s">
        <v>985</v>
      </c>
      <c r="S258" s="142" t="s">
        <v>53</v>
      </c>
    </row>
    <row r="259" spans="1:19">
      <c r="A259" s="142" t="s">
        <v>1783</v>
      </c>
      <c r="B259" s="142" t="s">
        <v>1784</v>
      </c>
      <c r="C259" s="142" t="s">
        <v>910</v>
      </c>
      <c r="D259" s="143">
        <v>0</v>
      </c>
      <c r="E259" s="142" t="s">
        <v>1353</v>
      </c>
      <c r="F259" s="142" t="s">
        <v>55</v>
      </c>
      <c r="G259" s="142" t="s">
        <v>962</v>
      </c>
      <c r="H259" s="142" t="s">
        <v>327</v>
      </c>
      <c r="I259" s="142" t="s">
        <v>382</v>
      </c>
      <c r="J259" s="142" t="s">
        <v>913</v>
      </c>
      <c r="K259" s="142" t="s">
        <v>1344</v>
      </c>
      <c r="L259" s="142" t="s">
        <v>1354</v>
      </c>
      <c r="M259" s="142"/>
      <c r="N259" s="142" t="s">
        <v>388</v>
      </c>
      <c r="O259" s="142"/>
      <c r="P259" s="142" t="s">
        <v>386</v>
      </c>
      <c r="Q259" s="142" t="s">
        <v>917</v>
      </c>
      <c r="R259" s="142" t="s">
        <v>966</v>
      </c>
      <c r="S259" s="142" t="s">
        <v>71</v>
      </c>
    </row>
    <row r="260" spans="1:19">
      <c r="A260" s="142" t="s">
        <v>1785</v>
      </c>
      <c r="B260" s="142" t="s">
        <v>1786</v>
      </c>
      <c r="C260" s="142" t="s">
        <v>910</v>
      </c>
      <c r="D260" s="143">
        <v>0</v>
      </c>
      <c r="E260" s="142" t="s">
        <v>1339</v>
      </c>
      <c r="F260" s="142" t="s">
        <v>277</v>
      </c>
      <c r="G260" s="142" t="s">
        <v>962</v>
      </c>
      <c r="H260" s="142" t="s">
        <v>327</v>
      </c>
      <c r="I260" s="142" t="s">
        <v>382</v>
      </c>
      <c r="J260" s="142" t="s">
        <v>913</v>
      </c>
      <c r="K260" s="142" t="s">
        <v>1517</v>
      </c>
      <c r="L260" s="142" t="s">
        <v>1340</v>
      </c>
      <c r="M260" s="142"/>
      <c r="N260" s="142" t="s">
        <v>388</v>
      </c>
      <c r="O260" s="142"/>
      <c r="P260" s="142" t="s">
        <v>386</v>
      </c>
      <c r="Q260" s="142" t="s">
        <v>917</v>
      </c>
      <c r="R260" s="142" t="s">
        <v>918</v>
      </c>
      <c r="S260" s="142" t="s">
        <v>83</v>
      </c>
    </row>
    <row r="261" spans="1:19">
      <c r="A261" s="142" t="s">
        <v>1787</v>
      </c>
      <c r="B261" s="142" t="s">
        <v>1788</v>
      </c>
      <c r="C261" s="142" t="s">
        <v>910</v>
      </c>
      <c r="D261" s="143">
        <v>0</v>
      </c>
      <c r="E261" s="142" t="s">
        <v>1339</v>
      </c>
      <c r="F261" s="142" t="s">
        <v>78</v>
      </c>
      <c r="G261" s="142" t="s">
        <v>962</v>
      </c>
      <c r="H261" s="142" t="s">
        <v>327</v>
      </c>
      <c r="I261" s="142" t="s">
        <v>382</v>
      </c>
      <c r="J261" s="142" t="s">
        <v>913</v>
      </c>
      <c r="K261" s="142" t="s">
        <v>1517</v>
      </c>
      <c r="L261" s="142" t="s">
        <v>1340</v>
      </c>
      <c r="M261" s="142"/>
      <c r="N261" s="142" t="s">
        <v>388</v>
      </c>
      <c r="O261" s="142"/>
      <c r="P261" s="142" t="s">
        <v>386</v>
      </c>
      <c r="Q261" s="142" t="s">
        <v>917</v>
      </c>
      <c r="R261" s="142" t="s">
        <v>1188</v>
      </c>
      <c r="S261" s="142" t="s">
        <v>78</v>
      </c>
    </row>
    <row r="262" spans="1:19">
      <c r="A262" s="142" t="s">
        <v>1789</v>
      </c>
      <c r="B262" s="142" t="s">
        <v>1790</v>
      </c>
      <c r="C262" s="142" t="s">
        <v>910</v>
      </c>
      <c r="D262" s="143">
        <v>0</v>
      </c>
      <c r="E262" s="142" t="s">
        <v>1326</v>
      </c>
      <c r="F262" s="142" t="s">
        <v>590</v>
      </c>
      <c r="G262" s="142" t="s">
        <v>962</v>
      </c>
      <c r="H262" s="142" t="s">
        <v>327</v>
      </c>
      <c r="I262" s="142" t="s">
        <v>382</v>
      </c>
      <c r="J262" s="142" t="s">
        <v>913</v>
      </c>
      <c r="K262" s="142" t="s">
        <v>1517</v>
      </c>
      <c r="L262" s="142" t="s">
        <v>1328</v>
      </c>
      <c r="M262" s="142"/>
      <c r="N262" s="142" t="s">
        <v>388</v>
      </c>
      <c r="O262" s="142"/>
      <c r="P262" s="142" t="s">
        <v>386</v>
      </c>
      <c r="Q262" s="142" t="s">
        <v>917</v>
      </c>
      <c r="R262" s="142" t="s">
        <v>971</v>
      </c>
      <c r="S262" s="142" t="s">
        <v>53</v>
      </c>
    </row>
    <row r="263" spans="1:19">
      <c r="A263" s="142" t="s">
        <v>1791</v>
      </c>
      <c r="B263" s="142" t="s">
        <v>1792</v>
      </c>
      <c r="C263" s="142" t="s">
        <v>910</v>
      </c>
      <c r="D263" s="143">
        <v>0</v>
      </c>
      <c r="E263" s="142" t="s">
        <v>1326</v>
      </c>
      <c r="F263" s="142" t="s">
        <v>308</v>
      </c>
      <c r="G263" s="142" t="s">
        <v>962</v>
      </c>
      <c r="H263" s="142" t="s">
        <v>327</v>
      </c>
      <c r="I263" s="142" t="s">
        <v>382</v>
      </c>
      <c r="J263" s="142" t="s">
        <v>913</v>
      </c>
      <c r="K263" s="142" t="s">
        <v>1517</v>
      </c>
      <c r="L263" s="142" t="s">
        <v>1328</v>
      </c>
      <c r="M263" s="142"/>
      <c r="N263" s="142" t="s">
        <v>388</v>
      </c>
      <c r="O263" s="142"/>
      <c r="P263" s="142" t="s">
        <v>386</v>
      </c>
      <c r="Q263" s="142" t="s">
        <v>917</v>
      </c>
      <c r="R263" s="142" t="s">
        <v>979</v>
      </c>
      <c r="S263" s="142" t="s">
        <v>53</v>
      </c>
    </row>
    <row r="264" spans="1:19">
      <c r="A264" s="142" t="s">
        <v>1793</v>
      </c>
      <c r="B264" s="142" t="s">
        <v>1794</v>
      </c>
      <c r="C264" s="142" t="s">
        <v>910</v>
      </c>
      <c r="D264" s="143">
        <v>0</v>
      </c>
      <c r="E264" s="142" t="s">
        <v>1281</v>
      </c>
      <c r="F264" s="142" t="s">
        <v>83</v>
      </c>
      <c r="G264" s="142" t="s">
        <v>912</v>
      </c>
      <c r="H264" s="142" t="s">
        <v>327</v>
      </c>
      <c r="I264" s="142" t="s">
        <v>382</v>
      </c>
      <c r="J264" s="142" t="s">
        <v>913</v>
      </c>
      <c r="K264" s="142" t="s">
        <v>914</v>
      </c>
      <c r="L264" s="142" t="s">
        <v>915</v>
      </c>
      <c r="M264" s="142"/>
      <c r="N264" s="142" t="s">
        <v>388</v>
      </c>
      <c r="O264" s="142" t="s">
        <v>43</v>
      </c>
      <c r="P264" s="142" t="s">
        <v>386</v>
      </c>
      <c r="Q264" s="142" t="s">
        <v>917</v>
      </c>
      <c r="R264" s="142" t="s">
        <v>1795</v>
      </c>
      <c r="S264" s="142" t="s">
        <v>83</v>
      </c>
    </row>
    <row r="265" spans="1:19">
      <c r="A265" s="142" t="s">
        <v>1796</v>
      </c>
      <c r="B265" s="142" t="s">
        <v>1797</v>
      </c>
      <c r="C265" s="142" t="s">
        <v>910</v>
      </c>
      <c r="D265" s="143">
        <v>0</v>
      </c>
      <c r="E265" s="142" t="s">
        <v>1201</v>
      </c>
      <c r="F265" s="142" t="s">
        <v>71</v>
      </c>
      <c r="G265" s="142" t="s">
        <v>962</v>
      </c>
      <c r="H265" s="142" t="s">
        <v>327</v>
      </c>
      <c r="I265" s="142" t="s">
        <v>382</v>
      </c>
      <c r="J265" s="142" t="s">
        <v>913</v>
      </c>
      <c r="K265" s="142" t="s">
        <v>914</v>
      </c>
      <c r="L265" s="142" t="s">
        <v>1202</v>
      </c>
      <c r="M265" s="142"/>
      <c r="N265" s="142" t="s">
        <v>388</v>
      </c>
      <c r="O265" s="142"/>
      <c r="P265" s="142" t="s">
        <v>386</v>
      </c>
      <c r="Q265" s="142" t="s">
        <v>917</v>
      </c>
      <c r="R265" s="142" t="s">
        <v>1798</v>
      </c>
      <c r="S265" s="142" t="s">
        <v>71</v>
      </c>
    </row>
    <row r="266" spans="1:19">
      <c r="A266" s="142" t="s">
        <v>1799</v>
      </c>
      <c r="B266" s="142" t="s">
        <v>1800</v>
      </c>
      <c r="C266" s="142" t="s">
        <v>910</v>
      </c>
      <c r="D266" s="143">
        <v>0</v>
      </c>
      <c r="E266" s="142" t="s">
        <v>1178</v>
      </c>
      <c r="F266" s="142" t="s">
        <v>83</v>
      </c>
      <c r="G266" s="142" t="s">
        <v>962</v>
      </c>
      <c r="H266" s="142" t="s">
        <v>327</v>
      </c>
      <c r="I266" s="142" t="s">
        <v>382</v>
      </c>
      <c r="J266" s="142" t="s">
        <v>913</v>
      </c>
      <c r="K266" s="142" t="s">
        <v>914</v>
      </c>
      <c r="L266" s="142" t="s">
        <v>1006</v>
      </c>
      <c r="M266" s="142"/>
      <c r="N266" s="142" t="s">
        <v>388</v>
      </c>
      <c r="O266" s="142"/>
      <c r="P266" s="142" t="s">
        <v>386</v>
      </c>
      <c r="Q266" s="142" t="s">
        <v>917</v>
      </c>
      <c r="R266" s="142" t="s">
        <v>943</v>
      </c>
      <c r="S266" s="142" t="s">
        <v>83</v>
      </c>
    </row>
    <row r="267" spans="1:19">
      <c r="A267" s="142" t="s">
        <v>1801</v>
      </c>
      <c r="B267" s="142" t="s">
        <v>1802</v>
      </c>
      <c r="C267" s="142" t="s">
        <v>910</v>
      </c>
      <c r="D267" s="143">
        <v>0</v>
      </c>
      <c r="E267" s="142" t="s">
        <v>1148</v>
      </c>
      <c r="F267" s="142" t="s">
        <v>55</v>
      </c>
      <c r="G267" s="142" t="s">
        <v>962</v>
      </c>
      <c r="H267" s="142" t="s">
        <v>327</v>
      </c>
      <c r="I267" s="142" t="s">
        <v>382</v>
      </c>
      <c r="J267" s="142" t="s">
        <v>913</v>
      </c>
      <c r="K267" s="142" t="s">
        <v>914</v>
      </c>
      <c r="L267" s="142" t="s">
        <v>1149</v>
      </c>
      <c r="M267" s="142"/>
      <c r="N267" s="142" t="s">
        <v>388</v>
      </c>
      <c r="O267" s="142"/>
      <c r="P267" s="142" t="s">
        <v>386</v>
      </c>
      <c r="Q267" s="142" t="s">
        <v>917</v>
      </c>
      <c r="R267" s="142" t="s">
        <v>1206</v>
      </c>
      <c r="S267" s="142" t="s">
        <v>71</v>
      </c>
    </row>
    <row r="268" spans="1:19">
      <c r="A268" s="142" t="s">
        <v>1803</v>
      </c>
      <c r="B268" s="142" t="s">
        <v>1804</v>
      </c>
      <c r="C268" s="142" t="s">
        <v>910</v>
      </c>
      <c r="D268" s="143">
        <v>0</v>
      </c>
      <c r="E268" s="142" t="s">
        <v>1128</v>
      </c>
      <c r="F268" s="142" t="s">
        <v>678</v>
      </c>
      <c r="G268" s="142" t="s">
        <v>962</v>
      </c>
      <c r="H268" s="142" t="s">
        <v>327</v>
      </c>
      <c r="I268" s="142" t="s">
        <v>382</v>
      </c>
      <c r="J268" s="142" t="s">
        <v>913</v>
      </c>
      <c r="K268" s="142" t="s">
        <v>914</v>
      </c>
      <c r="L268" s="142" t="s">
        <v>970</v>
      </c>
      <c r="M268" s="142"/>
      <c r="N268" s="142" t="s">
        <v>388</v>
      </c>
      <c r="O268" s="142"/>
      <c r="P268" s="142" t="s">
        <v>386</v>
      </c>
      <c r="Q268" s="142" t="s">
        <v>917</v>
      </c>
      <c r="R268" s="142" t="s">
        <v>1589</v>
      </c>
      <c r="S268" s="142" t="s">
        <v>71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F3ED9-581E-4B6B-9B94-EBC730A6BC2C}">
  <sheetPr codeName="Лист11"/>
  <dimension ref="A1:E150"/>
  <sheetViews>
    <sheetView workbookViewId="0">
      <selection activeCell="G7" sqref="G7"/>
    </sheetView>
  </sheetViews>
  <sheetFormatPr defaultRowHeight="15"/>
  <sheetData>
    <row r="1" spans="1:5">
      <c r="A1" s="156" t="s">
        <v>1859</v>
      </c>
      <c r="B1" s="156" t="s">
        <v>1860</v>
      </c>
      <c r="C1" t="s">
        <v>2158</v>
      </c>
    </row>
    <row r="2" spans="1:5">
      <c r="A2" s="157" t="s">
        <v>1861</v>
      </c>
      <c r="B2" s="157" t="s">
        <v>1862</v>
      </c>
      <c r="C2" t="str">
        <f>LEFT(B2,2)</f>
        <v>96</v>
      </c>
      <c r="E2" t="s">
        <v>656</v>
      </c>
    </row>
    <row r="3" spans="1:5">
      <c r="A3" s="157" t="s">
        <v>1863</v>
      </c>
      <c r="B3" s="157" t="s">
        <v>1864</v>
      </c>
      <c r="C3" t="str">
        <f t="shared" ref="C3:C66" si="0">LEFT(B3,2)</f>
        <v>96</v>
      </c>
      <c r="E3" t="s">
        <v>668</v>
      </c>
    </row>
    <row r="4" spans="1:5">
      <c r="A4" s="157" t="s">
        <v>1865</v>
      </c>
      <c r="B4" s="157" t="s">
        <v>1866</v>
      </c>
      <c r="C4" t="str">
        <f t="shared" si="0"/>
        <v>95</v>
      </c>
      <c r="E4" t="s">
        <v>655</v>
      </c>
    </row>
    <row r="5" spans="1:5">
      <c r="A5" s="157" t="s">
        <v>1867</v>
      </c>
      <c r="B5" s="157" t="s">
        <v>1868</v>
      </c>
      <c r="C5" t="str">
        <f t="shared" si="0"/>
        <v>92</v>
      </c>
      <c r="E5" t="s">
        <v>671</v>
      </c>
    </row>
    <row r="6" spans="1:5">
      <c r="A6" s="157" t="s">
        <v>1869</v>
      </c>
      <c r="B6" s="157" t="s">
        <v>1870</v>
      </c>
      <c r="C6" t="str">
        <f t="shared" si="0"/>
        <v>91</v>
      </c>
      <c r="E6" t="s">
        <v>728</v>
      </c>
    </row>
    <row r="7" spans="1:5">
      <c r="A7" s="157" t="s">
        <v>1871</v>
      </c>
      <c r="B7" s="157" t="s">
        <v>1872</v>
      </c>
      <c r="C7" t="str">
        <f t="shared" si="0"/>
        <v>91</v>
      </c>
      <c r="E7" t="s">
        <v>693</v>
      </c>
    </row>
    <row r="8" spans="1:5">
      <c r="A8" s="157" t="s">
        <v>1873</v>
      </c>
      <c r="B8" s="157" t="s">
        <v>1874</v>
      </c>
      <c r="C8" t="str">
        <f t="shared" si="0"/>
        <v>91</v>
      </c>
      <c r="E8" t="s">
        <v>735</v>
      </c>
    </row>
    <row r="9" spans="1:5">
      <c r="A9" s="157" t="s">
        <v>1875</v>
      </c>
      <c r="B9" s="157" t="s">
        <v>1876</v>
      </c>
      <c r="C9" t="str">
        <f t="shared" si="0"/>
        <v>91</v>
      </c>
      <c r="E9" t="s">
        <v>688</v>
      </c>
    </row>
    <row r="10" spans="1:5">
      <c r="A10" s="157" t="s">
        <v>1877</v>
      </c>
      <c r="B10" s="157" t="s">
        <v>1878</v>
      </c>
      <c r="C10" t="str">
        <f t="shared" si="0"/>
        <v>91</v>
      </c>
      <c r="E10" t="s">
        <v>670</v>
      </c>
    </row>
    <row r="11" spans="1:5">
      <c r="A11" s="157" t="s">
        <v>1879</v>
      </c>
      <c r="B11" s="157" t="s">
        <v>1880</v>
      </c>
      <c r="C11" t="str">
        <f t="shared" si="0"/>
        <v>91</v>
      </c>
      <c r="E11" t="s">
        <v>675</v>
      </c>
    </row>
    <row r="12" spans="1:5">
      <c r="A12" s="157" t="s">
        <v>1881</v>
      </c>
      <c r="B12" s="157" t="s">
        <v>1882</v>
      </c>
      <c r="C12" t="str">
        <f t="shared" si="0"/>
        <v>91</v>
      </c>
      <c r="E12" t="s">
        <v>600</v>
      </c>
    </row>
    <row r="13" spans="1:5">
      <c r="A13" s="157" t="s">
        <v>1883</v>
      </c>
      <c r="B13" s="157" t="s">
        <v>1884</v>
      </c>
      <c r="C13" t="str">
        <f t="shared" si="0"/>
        <v>91</v>
      </c>
      <c r="E13" t="s">
        <v>602</v>
      </c>
    </row>
    <row r="14" spans="1:5">
      <c r="A14" s="157" t="s">
        <v>1885</v>
      </c>
      <c r="B14" s="157" t="s">
        <v>1886</v>
      </c>
      <c r="C14" t="str">
        <f t="shared" si="0"/>
        <v>91</v>
      </c>
      <c r="E14" t="s">
        <v>640</v>
      </c>
    </row>
    <row r="15" spans="1:5">
      <c r="A15" s="157" t="s">
        <v>1887</v>
      </c>
      <c r="B15" s="157" t="s">
        <v>1888</v>
      </c>
      <c r="C15" t="str">
        <f t="shared" si="0"/>
        <v>91</v>
      </c>
      <c r="E15" t="s">
        <v>650</v>
      </c>
    </row>
    <row r="16" spans="1:5">
      <c r="A16" s="157" t="s">
        <v>1889</v>
      </c>
      <c r="B16" s="157" t="s">
        <v>1890</v>
      </c>
      <c r="C16" t="str">
        <f t="shared" si="0"/>
        <v>91</v>
      </c>
      <c r="E16" t="s">
        <v>612</v>
      </c>
    </row>
    <row r="17" spans="1:5">
      <c r="A17" s="157" t="s">
        <v>1891</v>
      </c>
      <c r="B17" s="157" t="s">
        <v>1892</v>
      </c>
      <c r="C17" t="str">
        <f t="shared" si="0"/>
        <v>91</v>
      </c>
      <c r="E17" t="s">
        <v>613</v>
      </c>
    </row>
    <row r="18" spans="1:5">
      <c r="A18" s="157" t="s">
        <v>1893</v>
      </c>
      <c r="B18" s="157" t="s">
        <v>1894</v>
      </c>
      <c r="C18" t="str">
        <f t="shared" si="0"/>
        <v>90</v>
      </c>
      <c r="E18" t="s">
        <v>669</v>
      </c>
    </row>
    <row r="19" spans="1:5">
      <c r="A19" s="157" t="s">
        <v>1895</v>
      </c>
      <c r="B19" s="157" t="s">
        <v>1896</v>
      </c>
      <c r="C19" t="str">
        <f t="shared" si="0"/>
        <v>90</v>
      </c>
      <c r="E19" t="s">
        <v>647</v>
      </c>
    </row>
    <row r="20" spans="1:5">
      <c r="A20" s="157" t="s">
        <v>1897</v>
      </c>
      <c r="B20" s="157" t="s">
        <v>1898</v>
      </c>
      <c r="C20" t="str">
        <f t="shared" si="0"/>
        <v>90</v>
      </c>
      <c r="E20" t="s">
        <v>620</v>
      </c>
    </row>
    <row r="21" spans="1:5">
      <c r="A21" s="157" t="s">
        <v>1899</v>
      </c>
      <c r="B21" s="157" t="s">
        <v>1900</v>
      </c>
      <c r="C21" t="str">
        <f t="shared" si="0"/>
        <v>90</v>
      </c>
      <c r="E21" t="s">
        <v>628</v>
      </c>
    </row>
    <row r="22" spans="1:5">
      <c r="A22" s="157" t="s">
        <v>1901</v>
      </c>
      <c r="B22" s="157" t="s">
        <v>1902</v>
      </c>
      <c r="C22" t="str">
        <f t="shared" si="0"/>
        <v>90</v>
      </c>
      <c r="E22" t="s">
        <v>630</v>
      </c>
    </row>
    <row r="23" spans="1:5">
      <c r="A23" s="157" t="s">
        <v>1903</v>
      </c>
      <c r="B23" s="157" t="s">
        <v>1904</v>
      </c>
      <c r="C23" t="str">
        <f t="shared" si="0"/>
        <v>90</v>
      </c>
      <c r="E23" t="s">
        <v>631</v>
      </c>
    </row>
    <row r="24" spans="1:5">
      <c r="A24" s="157" t="s">
        <v>1905</v>
      </c>
      <c r="B24" s="157" t="s">
        <v>1906</v>
      </c>
      <c r="C24" t="str">
        <f t="shared" si="0"/>
        <v>90</v>
      </c>
    </row>
    <row r="25" spans="1:5">
      <c r="A25" s="157" t="s">
        <v>1907</v>
      </c>
      <c r="B25" s="157" t="s">
        <v>1908</v>
      </c>
      <c r="C25" t="str">
        <f t="shared" si="0"/>
        <v>88</v>
      </c>
    </row>
    <row r="26" spans="1:5">
      <c r="A26" s="157" t="s">
        <v>1909</v>
      </c>
      <c r="B26" s="157" t="s">
        <v>1910</v>
      </c>
      <c r="C26" t="str">
        <f t="shared" si="0"/>
        <v>88</v>
      </c>
    </row>
    <row r="27" spans="1:5">
      <c r="A27" s="157" t="s">
        <v>1911</v>
      </c>
      <c r="B27" s="157" t="s">
        <v>1912</v>
      </c>
      <c r="C27" t="str">
        <f t="shared" si="0"/>
        <v>88</v>
      </c>
    </row>
    <row r="28" spans="1:5">
      <c r="A28" s="157" t="s">
        <v>1913</v>
      </c>
      <c r="B28" s="157" t="s">
        <v>1914</v>
      </c>
      <c r="C28" t="str">
        <f t="shared" si="0"/>
        <v>81</v>
      </c>
    </row>
    <row r="29" spans="1:5">
      <c r="A29" s="157" t="s">
        <v>1915</v>
      </c>
      <c r="B29" s="157" t="s">
        <v>1916</v>
      </c>
      <c r="C29" t="str">
        <f t="shared" si="0"/>
        <v>81</v>
      </c>
    </row>
    <row r="30" spans="1:5">
      <c r="A30" s="157" t="s">
        <v>1917</v>
      </c>
      <c r="B30" s="157" t="s">
        <v>1918</v>
      </c>
      <c r="C30" t="str">
        <f t="shared" si="0"/>
        <v>80</v>
      </c>
    </row>
    <row r="31" spans="1:5">
      <c r="A31" s="157" t="s">
        <v>1919</v>
      </c>
      <c r="B31" s="157" t="s">
        <v>1920</v>
      </c>
      <c r="C31" t="str">
        <f t="shared" si="0"/>
        <v>80</v>
      </c>
    </row>
    <row r="32" spans="1:5">
      <c r="A32" s="157" t="s">
        <v>1921</v>
      </c>
      <c r="B32" s="157" t="s">
        <v>1922</v>
      </c>
      <c r="C32" t="str">
        <f t="shared" si="0"/>
        <v>80</v>
      </c>
    </row>
    <row r="33" spans="1:3">
      <c r="A33" s="157" t="s">
        <v>1923</v>
      </c>
      <c r="B33" s="157" t="s">
        <v>1924</v>
      </c>
      <c r="C33" t="str">
        <f t="shared" si="0"/>
        <v>80</v>
      </c>
    </row>
    <row r="34" spans="1:3">
      <c r="A34" s="157" t="s">
        <v>1925</v>
      </c>
      <c r="B34" s="157" t="s">
        <v>1926</v>
      </c>
      <c r="C34" t="str">
        <f t="shared" si="0"/>
        <v>80</v>
      </c>
    </row>
    <row r="35" spans="1:3">
      <c r="A35" s="157" t="s">
        <v>1927</v>
      </c>
      <c r="B35" s="157" t="s">
        <v>1928</v>
      </c>
      <c r="C35" t="str">
        <f t="shared" si="0"/>
        <v>80</v>
      </c>
    </row>
    <row r="36" spans="1:3">
      <c r="A36" s="157" t="s">
        <v>1929</v>
      </c>
      <c r="B36" s="157" t="s">
        <v>1930</v>
      </c>
      <c r="C36" t="str">
        <f t="shared" si="0"/>
        <v>80</v>
      </c>
    </row>
    <row r="37" spans="1:3">
      <c r="A37" s="157" t="s">
        <v>1931</v>
      </c>
      <c r="B37" s="157" t="s">
        <v>1932</v>
      </c>
      <c r="C37" t="str">
        <f t="shared" si="0"/>
        <v>80</v>
      </c>
    </row>
    <row r="38" spans="1:3">
      <c r="A38" s="157" t="s">
        <v>1933</v>
      </c>
      <c r="B38" s="157" t="s">
        <v>1934</v>
      </c>
      <c r="C38" t="str">
        <f t="shared" si="0"/>
        <v>80</v>
      </c>
    </row>
    <row r="39" spans="1:3">
      <c r="A39" s="157" t="s">
        <v>1935</v>
      </c>
      <c r="B39" s="157" t="s">
        <v>1936</v>
      </c>
      <c r="C39" t="str">
        <f t="shared" si="0"/>
        <v>80</v>
      </c>
    </row>
    <row r="40" spans="1:3">
      <c r="A40" s="157" t="s">
        <v>1937</v>
      </c>
      <c r="B40" s="157" t="s">
        <v>1938</v>
      </c>
      <c r="C40" t="str">
        <f t="shared" si="0"/>
        <v>77</v>
      </c>
    </row>
    <row r="41" spans="1:3">
      <c r="A41" s="157" t="s">
        <v>1939</v>
      </c>
      <c r="B41" s="157" t="s">
        <v>1940</v>
      </c>
      <c r="C41" t="str">
        <f t="shared" si="0"/>
        <v>77</v>
      </c>
    </row>
    <row r="42" spans="1:3">
      <c r="A42" s="157" t="s">
        <v>1941</v>
      </c>
      <c r="B42" s="157" t="s">
        <v>1942</v>
      </c>
      <c r="C42" t="str">
        <f t="shared" si="0"/>
        <v>77</v>
      </c>
    </row>
    <row r="43" spans="1:3">
      <c r="A43" s="157" t="s">
        <v>1943</v>
      </c>
      <c r="B43" s="157" t="s">
        <v>1944</v>
      </c>
      <c r="C43" t="str">
        <f t="shared" si="0"/>
        <v>77</v>
      </c>
    </row>
    <row r="44" spans="1:3">
      <c r="A44" s="157" t="s">
        <v>1945</v>
      </c>
      <c r="B44" s="157" t="s">
        <v>1946</v>
      </c>
      <c r="C44" t="str">
        <f t="shared" si="0"/>
        <v>77</v>
      </c>
    </row>
    <row r="45" spans="1:3">
      <c r="A45" s="157" t="s">
        <v>1947</v>
      </c>
      <c r="B45" s="157" t="s">
        <v>1948</v>
      </c>
      <c r="C45" t="str">
        <f t="shared" si="0"/>
        <v>77</v>
      </c>
    </row>
    <row r="46" spans="1:3">
      <c r="A46" s="157" t="s">
        <v>1949</v>
      </c>
      <c r="B46" s="157" t="s">
        <v>1950</v>
      </c>
      <c r="C46" t="str">
        <f t="shared" si="0"/>
        <v>77</v>
      </c>
    </row>
    <row r="47" spans="1:3">
      <c r="A47" s="157" t="s">
        <v>1951</v>
      </c>
      <c r="B47" s="157" t="s">
        <v>1952</v>
      </c>
      <c r="C47" t="str">
        <f t="shared" si="0"/>
        <v>77</v>
      </c>
    </row>
    <row r="48" spans="1:3">
      <c r="A48" s="157" t="s">
        <v>1953</v>
      </c>
      <c r="B48" s="157" t="s">
        <v>1954</v>
      </c>
      <c r="C48" t="str">
        <f t="shared" si="0"/>
        <v>71</v>
      </c>
    </row>
    <row r="49" spans="1:3">
      <c r="A49" s="157" t="s">
        <v>1955</v>
      </c>
      <c r="B49" s="157" t="s">
        <v>1956</v>
      </c>
      <c r="C49" t="str">
        <f t="shared" si="0"/>
        <v>71</v>
      </c>
    </row>
    <row r="50" spans="1:3">
      <c r="A50" s="157" t="s">
        <v>1957</v>
      </c>
      <c r="B50" s="157" t="s">
        <v>1958</v>
      </c>
      <c r="C50" t="str">
        <f t="shared" si="0"/>
        <v>71</v>
      </c>
    </row>
    <row r="51" spans="1:3">
      <c r="A51" s="157" t="s">
        <v>1959</v>
      </c>
      <c r="B51" s="157" t="s">
        <v>1960</v>
      </c>
      <c r="C51" t="str">
        <f t="shared" si="0"/>
        <v>71</v>
      </c>
    </row>
    <row r="52" spans="1:3">
      <c r="A52" s="157" t="s">
        <v>1961</v>
      </c>
      <c r="B52" s="157" t="s">
        <v>1962</v>
      </c>
      <c r="C52" t="str">
        <f t="shared" si="0"/>
        <v>60</v>
      </c>
    </row>
    <row r="53" spans="1:3">
      <c r="A53" s="157" t="s">
        <v>1963</v>
      </c>
      <c r="B53" s="157" t="s">
        <v>1964</v>
      </c>
      <c r="C53" t="str">
        <f t="shared" si="0"/>
        <v>60</v>
      </c>
    </row>
    <row r="54" spans="1:3">
      <c r="A54" s="157" t="s">
        <v>1965</v>
      </c>
      <c r="B54" s="157" t="s">
        <v>1966</v>
      </c>
      <c r="C54" t="str">
        <f t="shared" si="0"/>
        <v>60</v>
      </c>
    </row>
    <row r="55" spans="1:3">
      <c r="A55" s="157" t="s">
        <v>1967</v>
      </c>
      <c r="B55" s="157" t="s">
        <v>1968</v>
      </c>
      <c r="C55" t="str">
        <f t="shared" si="0"/>
        <v>60</v>
      </c>
    </row>
    <row r="56" spans="1:3">
      <c r="A56" s="157" t="s">
        <v>1969</v>
      </c>
      <c r="B56" s="157" t="s">
        <v>1970</v>
      </c>
      <c r="C56" t="str">
        <f t="shared" si="0"/>
        <v>60</v>
      </c>
    </row>
    <row r="57" spans="1:3">
      <c r="A57" s="157" t="s">
        <v>1971</v>
      </c>
      <c r="B57" s="157" t="s">
        <v>1972</v>
      </c>
      <c r="C57" t="str">
        <f t="shared" si="0"/>
        <v>60</v>
      </c>
    </row>
    <row r="58" spans="1:3">
      <c r="A58" s="157" t="s">
        <v>1973</v>
      </c>
      <c r="B58" s="157" t="s">
        <v>1974</v>
      </c>
      <c r="C58" t="str">
        <f t="shared" si="0"/>
        <v>58</v>
      </c>
    </row>
    <row r="59" spans="1:3">
      <c r="A59" s="157" t="s">
        <v>1975</v>
      </c>
      <c r="B59" s="157" t="s">
        <v>1976</v>
      </c>
      <c r="C59" t="str">
        <f t="shared" si="0"/>
        <v>58</v>
      </c>
    </row>
    <row r="60" spans="1:3">
      <c r="A60" s="157" t="s">
        <v>1977</v>
      </c>
      <c r="B60" s="157" t="s">
        <v>1978</v>
      </c>
      <c r="C60" t="str">
        <f t="shared" si="0"/>
        <v>58</v>
      </c>
    </row>
    <row r="61" spans="1:3">
      <c r="A61" s="157" t="s">
        <v>1979</v>
      </c>
      <c r="B61" s="157" t="s">
        <v>1980</v>
      </c>
      <c r="C61" t="str">
        <f t="shared" si="0"/>
        <v>58</v>
      </c>
    </row>
    <row r="62" spans="1:3">
      <c r="A62" s="157" t="s">
        <v>1981</v>
      </c>
      <c r="B62" s="157" t="s">
        <v>1982</v>
      </c>
      <c r="C62" t="str">
        <f t="shared" si="0"/>
        <v>58</v>
      </c>
    </row>
    <row r="63" spans="1:3">
      <c r="A63" s="157" t="s">
        <v>1983</v>
      </c>
      <c r="B63" s="157" t="s">
        <v>1984</v>
      </c>
      <c r="C63" t="str">
        <f t="shared" si="0"/>
        <v>58</v>
      </c>
    </row>
    <row r="64" spans="1:3">
      <c r="A64" s="157" t="s">
        <v>1985</v>
      </c>
      <c r="B64" s="157" t="s">
        <v>1986</v>
      </c>
      <c r="C64" t="str">
        <f t="shared" si="0"/>
        <v>58</v>
      </c>
    </row>
    <row r="65" spans="1:3">
      <c r="A65" s="157" t="s">
        <v>1987</v>
      </c>
      <c r="B65" s="157" t="s">
        <v>1988</v>
      </c>
      <c r="C65" t="str">
        <f t="shared" si="0"/>
        <v>58</v>
      </c>
    </row>
    <row r="66" spans="1:3">
      <c r="A66" s="157" t="s">
        <v>1989</v>
      </c>
      <c r="B66" s="157" t="s">
        <v>1990</v>
      </c>
      <c r="C66" t="str">
        <f t="shared" si="0"/>
        <v>50</v>
      </c>
    </row>
    <row r="67" spans="1:3">
      <c r="A67" s="157" t="s">
        <v>1991</v>
      </c>
      <c r="B67" s="157" t="s">
        <v>1992</v>
      </c>
      <c r="C67" t="str">
        <f t="shared" ref="C67:C130" si="1">LEFT(B67,2)</f>
        <v>50</v>
      </c>
    </row>
    <row r="68" spans="1:3">
      <c r="A68" s="157" t="s">
        <v>1993</v>
      </c>
      <c r="B68" s="157" t="s">
        <v>1994</v>
      </c>
      <c r="C68" t="str">
        <f t="shared" si="1"/>
        <v>42</v>
      </c>
    </row>
    <row r="69" spans="1:3">
      <c r="A69" s="157" t="s">
        <v>1995</v>
      </c>
      <c r="B69" s="157" t="s">
        <v>1996</v>
      </c>
      <c r="C69" t="str">
        <f t="shared" si="1"/>
        <v>42</v>
      </c>
    </row>
    <row r="70" spans="1:3">
      <c r="A70" s="157" t="s">
        <v>1997</v>
      </c>
      <c r="B70" s="157" t="s">
        <v>1998</v>
      </c>
      <c r="C70" t="str">
        <f t="shared" si="1"/>
        <v>42</v>
      </c>
    </row>
    <row r="71" spans="1:3">
      <c r="A71" s="157" t="s">
        <v>1999</v>
      </c>
      <c r="B71" s="157" t="s">
        <v>2000</v>
      </c>
      <c r="C71" t="str">
        <f t="shared" si="1"/>
        <v>42</v>
      </c>
    </row>
    <row r="72" spans="1:3">
      <c r="A72" s="157" t="s">
        <v>2001</v>
      </c>
      <c r="B72" s="157" t="s">
        <v>2002</v>
      </c>
      <c r="C72" t="str">
        <f t="shared" si="1"/>
        <v>42</v>
      </c>
    </row>
    <row r="73" spans="1:3">
      <c r="A73" s="157" t="s">
        <v>2003</v>
      </c>
      <c r="B73" s="157" t="s">
        <v>2004</v>
      </c>
      <c r="C73" t="str">
        <f t="shared" si="1"/>
        <v>42</v>
      </c>
    </row>
    <row r="74" spans="1:3">
      <c r="A74" s="157" t="s">
        <v>2005</v>
      </c>
      <c r="B74" s="157" t="s">
        <v>2006</v>
      </c>
      <c r="C74" t="str">
        <f t="shared" si="1"/>
        <v>42</v>
      </c>
    </row>
    <row r="75" spans="1:3">
      <c r="A75" s="157" t="s">
        <v>2007</v>
      </c>
      <c r="B75" s="157" t="s">
        <v>2008</v>
      </c>
      <c r="C75" t="str">
        <f t="shared" si="1"/>
        <v>42</v>
      </c>
    </row>
    <row r="76" spans="1:3">
      <c r="A76" s="157" t="s">
        <v>2009</v>
      </c>
      <c r="B76" s="157" t="s">
        <v>2010</v>
      </c>
      <c r="C76" t="str">
        <f t="shared" si="1"/>
        <v>42</v>
      </c>
    </row>
    <row r="77" spans="1:3">
      <c r="A77" s="157" t="s">
        <v>2011</v>
      </c>
      <c r="B77" s="157" t="s">
        <v>2012</v>
      </c>
      <c r="C77" t="str">
        <f t="shared" si="1"/>
        <v>42</v>
      </c>
    </row>
    <row r="78" spans="1:3">
      <c r="A78" s="157" t="s">
        <v>2013</v>
      </c>
      <c r="B78" s="157" t="s">
        <v>2014</v>
      </c>
      <c r="C78" t="str">
        <f t="shared" si="1"/>
        <v>42</v>
      </c>
    </row>
    <row r="79" spans="1:3">
      <c r="A79" s="157" t="s">
        <v>2015</v>
      </c>
      <c r="B79" s="157" t="s">
        <v>2016</v>
      </c>
      <c r="C79" t="str">
        <f t="shared" si="1"/>
        <v>42</v>
      </c>
    </row>
    <row r="80" spans="1:3">
      <c r="A80" s="157" t="s">
        <v>2017</v>
      </c>
      <c r="B80" s="157" t="s">
        <v>2018</v>
      </c>
      <c r="C80" t="str">
        <f t="shared" si="1"/>
        <v>36</v>
      </c>
    </row>
    <row r="81" spans="1:3">
      <c r="A81" s="157" t="s">
        <v>1426</v>
      </c>
      <c r="B81" s="157" t="s">
        <v>2019</v>
      </c>
      <c r="C81" t="str">
        <f t="shared" si="1"/>
        <v>36</v>
      </c>
    </row>
    <row r="82" spans="1:3">
      <c r="A82" s="157" t="s">
        <v>2020</v>
      </c>
      <c r="B82" s="157" t="s">
        <v>2021</v>
      </c>
      <c r="C82" t="str">
        <f t="shared" si="1"/>
        <v>31</v>
      </c>
    </row>
    <row r="83" spans="1:3">
      <c r="A83" s="157" t="s">
        <v>2022</v>
      </c>
      <c r="B83" s="157" t="s">
        <v>2023</v>
      </c>
      <c r="C83" t="str">
        <f t="shared" si="1"/>
        <v>31</v>
      </c>
    </row>
    <row r="84" spans="1:3">
      <c r="A84" s="157" t="s">
        <v>2024</v>
      </c>
      <c r="B84" s="157" t="s">
        <v>2025</v>
      </c>
      <c r="C84" t="str">
        <f t="shared" si="1"/>
        <v>31</v>
      </c>
    </row>
    <row r="85" spans="1:3">
      <c r="A85" s="157" t="s">
        <v>2026</v>
      </c>
      <c r="B85" s="157" t="s">
        <v>2027</v>
      </c>
      <c r="C85" t="str">
        <f t="shared" si="1"/>
        <v>31</v>
      </c>
    </row>
    <row r="86" spans="1:3">
      <c r="A86" s="157" t="s">
        <v>2028</v>
      </c>
      <c r="B86" s="157" t="s">
        <v>2029</v>
      </c>
      <c r="C86" t="str">
        <f t="shared" si="1"/>
        <v>31</v>
      </c>
    </row>
    <row r="87" spans="1:3">
      <c r="A87" s="157" t="s">
        <v>2030</v>
      </c>
      <c r="B87" s="157" t="s">
        <v>2031</v>
      </c>
      <c r="C87" t="str">
        <f t="shared" si="1"/>
        <v>31</v>
      </c>
    </row>
    <row r="88" spans="1:3">
      <c r="A88" s="157" t="s">
        <v>2032</v>
      </c>
      <c r="B88" s="157" t="s">
        <v>2033</v>
      </c>
      <c r="C88" t="str">
        <f t="shared" si="1"/>
        <v>31</v>
      </c>
    </row>
    <row r="89" spans="1:3">
      <c r="A89" s="157" t="s">
        <v>2034</v>
      </c>
      <c r="B89" s="157" t="s">
        <v>2035</v>
      </c>
      <c r="C89" t="str">
        <f t="shared" si="1"/>
        <v>31</v>
      </c>
    </row>
    <row r="90" spans="1:3">
      <c r="A90" s="157" t="s">
        <v>2036</v>
      </c>
      <c r="B90" s="157" t="s">
        <v>2037</v>
      </c>
      <c r="C90" t="str">
        <f t="shared" si="1"/>
        <v>31</v>
      </c>
    </row>
    <row r="91" spans="1:3">
      <c r="A91" s="157" t="s">
        <v>2038</v>
      </c>
      <c r="B91" s="157" t="s">
        <v>2039</v>
      </c>
      <c r="C91" t="str">
        <f t="shared" si="1"/>
        <v>21</v>
      </c>
    </row>
    <row r="92" spans="1:3">
      <c r="A92" s="157" t="s">
        <v>2040</v>
      </c>
      <c r="B92" s="157" t="s">
        <v>2041</v>
      </c>
      <c r="C92" t="str">
        <f t="shared" si="1"/>
        <v>21</v>
      </c>
    </row>
    <row r="93" spans="1:3">
      <c r="A93" s="157" t="s">
        <v>2042</v>
      </c>
      <c r="B93" s="157" t="s">
        <v>2043</v>
      </c>
      <c r="C93" t="str">
        <f t="shared" si="1"/>
        <v>21</v>
      </c>
    </row>
    <row r="94" spans="1:3">
      <c r="A94" s="157" t="s">
        <v>2044</v>
      </c>
      <c r="B94" s="157" t="s">
        <v>2045</v>
      </c>
      <c r="C94" t="str">
        <f t="shared" si="1"/>
        <v>21</v>
      </c>
    </row>
    <row r="95" spans="1:3">
      <c r="A95" s="157" t="s">
        <v>2046</v>
      </c>
      <c r="B95" s="157" t="s">
        <v>2047</v>
      </c>
      <c r="C95" t="str">
        <f t="shared" si="1"/>
        <v>21</v>
      </c>
    </row>
    <row r="96" spans="1:3">
      <c r="A96" s="157" t="s">
        <v>2048</v>
      </c>
      <c r="B96" s="157" t="s">
        <v>2049</v>
      </c>
      <c r="C96" t="str">
        <f t="shared" si="1"/>
        <v>21</v>
      </c>
    </row>
    <row r="97" spans="1:3">
      <c r="A97" s="157" t="s">
        <v>2050</v>
      </c>
      <c r="B97" s="157" t="s">
        <v>2051</v>
      </c>
      <c r="C97" t="str">
        <f t="shared" si="1"/>
        <v>21</v>
      </c>
    </row>
    <row r="98" spans="1:3">
      <c r="A98" s="157" t="s">
        <v>2052</v>
      </c>
      <c r="B98" s="157" t="s">
        <v>2053</v>
      </c>
      <c r="C98" t="str">
        <f t="shared" si="1"/>
        <v>21</v>
      </c>
    </row>
    <row r="99" spans="1:3">
      <c r="A99" s="157" t="s">
        <v>2054</v>
      </c>
      <c r="B99" s="157" t="s">
        <v>2055</v>
      </c>
      <c r="C99" t="str">
        <f t="shared" si="1"/>
        <v>21</v>
      </c>
    </row>
    <row r="100" spans="1:3">
      <c r="A100" s="157" t="s">
        <v>2056</v>
      </c>
      <c r="B100" s="157" t="s">
        <v>2057</v>
      </c>
      <c r="C100" t="str">
        <f t="shared" si="1"/>
        <v>21</v>
      </c>
    </row>
    <row r="101" spans="1:3">
      <c r="A101" s="157" t="s">
        <v>2058</v>
      </c>
      <c r="B101" s="157" t="s">
        <v>2059</v>
      </c>
      <c r="C101" t="str">
        <f t="shared" si="1"/>
        <v>21</v>
      </c>
    </row>
    <row r="102" spans="1:3">
      <c r="A102" s="157" t="s">
        <v>2060</v>
      </c>
      <c r="B102" s="157" t="s">
        <v>2061</v>
      </c>
      <c r="C102" t="str">
        <f t="shared" si="1"/>
        <v>21</v>
      </c>
    </row>
    <row r="103" spans="1:3">
      <c r="A103" s="157" t="s">
        <v>2062</v>
      </c>
      <c r="B103" s="157" t="s">
        <v>2063</v>
      </c>
      <c r="C103" t="str">
        <f t="shared" si="1"/>
        <v>21</v>
      </c>
    </row>
    <row r="104" spans="1:3">
      <c r="A104" s="157" t="s">
        <v>2064</v>
      </c>
      <c r="B104" s="157" t="s">
        <v>2065</v>
      </c>
      <c r="C104" t="str">
        <f t="shared" si="1"/>
        <v>21</v>
      </c>
    </row>
    <row r="105" spans="1:3">
      <c r="A105" s="157" t="s">
        <v>2066</v>
      </c>
      <c r="B105" s="157" t="s">
        <v>2067</v>
      </c>
      <c r="C105" t="str">
        <f t="shared" si="1"/>
        <v>21</v>
      </c>
    </row>
    <row r="106" spans="1:3">
      <c r="A106" s="157" t="s">
        <v>2068</v>
      </c>
      <c r="B106" s="157" t="s">
        <v>2069</v>
      </c>
      <c r="C106" t="str">
        <f t="shared" si="1"/>
        <v>21</v>
      </c>
    </row>
    <row r="107" spans="1:3">
      <c r="A107" s="157" t="s">
        <v>2070</v>
      </c>
      <c r="B107" s="157" t="s">
        <v>2071</v>
      </c>
      <c r="C107" t="str">
        <f t="shared" si="1"/>
        <v>21</v>
      </c>
    </row>
    <row r="108" spans="1:3">
      <c r="A108" s="157" t="s">
        <v>2072</v>
      </c>
      <c r="B108" s="157" t="s">
        <v>2073</v>
      </c>
      <c r="C108" t="str">
        <f t="shared" si="1"/>
        <v>21</v>
      </c>
    </row>
    <row r="109" spans="1:3">
      <c r="A109" s="157" t="s">
        <v>2074</v>
      </c>
      <c r="B109" s="157" t="s">
        <v>2075</v>
      </c>
      <c r="C109" t="str">
        <f t="shared" si="1"/>
        <v>21</v>
      </c>
    </row>
    <row r="110" spans="1:3">
      <c r="A110" s="157" t="s">
        <v>2076</v>
      </c>
      <c r="B110" s="157" t="s">
        <v>2077</v>
      </c>
      <c r="C110" t="str">
        <f t="shared" si="1"/>
        <v>20</v>
      </c>
    </row>
    <row r="111" spans="1:3">
      <c r="A111" s="157" t="s">
        <v>2078</v>
      </c>
      <c r="B111" s="157" t="s">
        <v>2079</v>
      </c>
      <c r="C111" t="str">
        <f t="shared" si="1"/>
        <v>20</v>
      </c>
    </row>
    <row r="112" spans="1:3">
      <c r="A112" s="157" t="s">
        <v>2080</v>
      </c>
      <c r="B112" s="157" t="s">
        <v>2081</v>
      </c>
      <c r="C112" t="str">
        <f t="shared" si="1"/>
        <v>20</v>
      </c>
    </row>
    <row r="113" spans="1:3">
      <c r="A113" s="157" t="s">
        <v>2082</v>
      </c>
      <c r="B113" s="157" t="s">
        <v>2083</v>
      </c>
      <c r="C113" t="str">
        <f t="shared" si="1"/>
        <v>16</v>
      </c>
    </row>
    <row r="114" spans="1:3">
      <c r="A114" s="157" t="s">
        <v>2084</v>
      </c>
      <c r="B114" s="157" t="s">
        <v>2085</v>
      </c>
      <c r="C114" t="str">
        <f t="shared" si="1"/>
        <v>16</v>
      </c>
    </row>
    <row r="115" spans="1:3">
      <c r="A115" s="157" t="s">
        <v>2086</v>
      </c>
      <c r="B115" s="157" t="s">
        <v>2087</v>
      </c>
      <c r="C115" t="str">
        <f t="shared" si="1"/>
        <v>16</v>
      </c>
    </row>
    <row r="116" spans="1:3">
      <c r="A116" s="157" t="s">
        <v>2088</v>
      </c>
      <c r="B116" s="157" t="s">
        <v>2089</v>
      </c>
      <c r="C116" t="str">
        <f t="shared" si="1"/>
        <v>16</v>
      </c>
    </row>
    <row r="117" spans="1:3">
      <c r="A117" s="157" t="s">
        <v>2090</v>
      </c>
      <c r="B117" s="157" t="s">
        <v>2091</v>
      </c>
      <c r="C117" t="str">
        <f t="shared" si="1"/>
        <v>16</v>
      </c>
    </row>
    <row r="118" spans="1:3">
      <c r="A118" s="157" t="s">
        <v>2092</v>
      </c>
      <c r="B118" s="157" t="s">
        <v>2093</v>
      </c>
      <c r="C118" t="str">
        <f t="shared" si="1"/>
        <v>16</v>
      </c>
    </row>
    <row r="119" spans="1:3">
      <c r="A119" s="157" t="s">
        <v>2094</v>
      </c>
      <c r="B119" s="157" t="s">
        <v>2095</v>
      </c>
      <c r="C119" t="str">
        <f t="shared" si="1"/>
        <v>16</v>
      </c>
    </row>
    <row r="120" spans="1:3">
      <c r="A120" s="157" t="s">
        <v>2096</v>
      </c>
      <c r="B120" s="157" t="s">
        <v>2097</v>
      </c>
      <c r="C120" t="str">
        <f t="shared" si="1"/>
        <v>16</v>
      </c>
    </row>
    <row r="121" spans="1:3">
      <c r="A121" s="157" t="s">
        <v>2098</v>
      </c>
      <c r="B121" s="157" t="s">
        <v>2099</v>
      </c>
      <c r="C121" t="str">
        <f t="shared" si="1"/>
        <v>16</v>
      </c>
    </row>
    <row r="122" spans="1:3">
      <c r="A122" s="157" t="s">
        <v>2100</v>
      </c>
      <c r="B122" s="157" t="s">
        <v>2101</v>
      </c>
      <c r="C122" t="str">
        <f t="shared" si="1"/>
        <v>16</v>
      </c>
    </row>
    <row r="123" spans="1:3">
      <c r="A123" s="157" t="s">
        <v>2102</v>
      </c>
      <c r="B123" s="157" t="s">
        <v>2103</v>
      </c>
      <c r="C123" t="str">
        <f t="shared" si="1"/>
        <v>06</v>
      </c>
    </row>
    <row r="124" spans="1:3">
      <c r="A124" s="157" t="s">
        <v>2104</v>
      </c>
      <c r="B124" s="157" t="s">
        <v>2105</v>
      </c>
      <c r="C124" t="str">
        <f t="shared" si="1"/>
        <v>06</v>
      </c>
    </row>
    <row r="125" spans="1:3">
      <c r="A125" s="157" t="s">
        <v>2106</v>
      </c>
      <c r="B125" s="157" t="s">
        <v>2107</v>
      </c>
      <c r="C125" t="str">
        <f t="shared" si="1"/>
        <v>06</v>
      </c>
    </row>
    <row r="126" spans="1:3">
      <c r="A126" s="157" t="s">
        <v>2108</v>
      </c>
      <c r="B126" s="157" t="s">
        <v>2109</v>
      </c>
      <c r="C126" t="str">
        <f t="shared" si="1"/>
        <v>06</v>
      </c>
    </row>
    <row r="127" spans="1:3">
      <c r="A127" s="157" t="s">
        <v>2110</v>
      </c>
      <c r="B127" s="157" t="s">
        <v>2111</v>
      </c>
      <c r="C127" t="str">
        <f t="shared" si="1"/>
        <v>03</v>
      </c>
    </row>
    <row r="128" spans="1:3">
      <c r="A128" s="157" t="s">
        <v>2112</v>
      </c>
      <c r="B128" s="157" t="s">
        <v>2113</v>
      </c>
      <c r="C128" t="str">
        <f t="shared" si="1"/>
        <v>02</v>
      </c>
    </row>
    <row r="129" spans="1:3">
      <c r="A129" s="157" t="s">
        <v>2114</v>
      </c>
      <c r="B129" s="157" t="s">
        <v>2115</v>
      </c>
      <c r="C129" t="str">
        <f t="shared" si="1"/>
        <v>02</v>
      </c>
    </row>
    <row r="130" spans="1:3">
      <c r="A130" s="157" t="s">
        <v>2116</v>
      </c>
      <c r="B130" s="157" t="s">
        <v>2117</v>
      </c>
      <c r="C130" t="str">
        <f t="shared" si="1"/>
        <v>02</v>
      </c>
    </row>
    <row r="131" spans="1:3">
      <c r="A131" s="157" t="s">
        <v>2118</v>
      </c>
      <c r="B131" s="157" t="s">
        <v>2119</v>
      </c>
      <c r="C131" t="str">
        <f t="shared" ref="C131:C150" si="2">LEFT(B131,2)</f>
        <v>02</v>
      </c>
    </row>
    <row r="132" spans="1:3">
      <c r="A132" s="157" t="s">
        <v>2120</v>
      </c>
      <c r="B132" s="157" t="s">
        <v>2121</v>
      </c>
      <c r="C132" t="str">
        <f t="shared" si="2"/>
        <v>02</v>
      </c>
    </row>
    <row r="133" spans="1:3">
      <c r="A133" s="157" t="s">
        <v>2122</v>
      </c>
      <c r="B133" s="157" t="s">
        <v>2123</v>
      </c>
      <c r="C133" t="str">
        <f t="shared" si="2"/>
        <v>02</v>
      </c>
    </row>
    <row r="134" spans="1:3">
      <c r="A134" s="157" t="s">
        <v>2124</v>
      </c>
      <c r="B134" s="157" t="s">
        <v>2125</v>
      </c>
      <c r="C134" t="str">
        <f t="shared" si="2"/>
        <v>02</v>
      </c>
    </row>
    <row r="135" spans="1:3">
      <c r="A135" s="157" t="s">
        <v>2126</v>
      </c>
      <c r="B135" s="157" t="s">
        <v>2127</v>
      </c>
      <c r="C135" t="str">
        <f t="shared" si="2"/>
        <v>02</v>
      </c>
    </row>
    <row r="136" spans="1:3">
      <c r="A136" s="157" t="s">
        <v>2128</v>
      </c>
      <c r="B136" s="157" t="s">
        <v>2129</v>
      </c>
      <c r="C136" t="str">
        <f t="shared" si="2"/>
        <v>02</v>
      </c>
    </row>
    <row r="137" spans="1:3">
      <c r="A137" s="157" t="s">
        <v>2130</v>
      </c>
      <c r="B137" s="157" t="s">
        <v>2131</v>
      </c>
      <c r="C137" t="str">
        <f t="shared" si="2"/>
        <v>02</v>
      </c>
    </row>
    <row r="138" spans="1:3">
      <c r="A138" s="157" t="s">
        <v>2132</v>
      </c>
      <c r="B138" s="157" t="s">
        <v>2133</v>
      </c>
      <c r="C138" t="str">
        <f t="shared" si="2"/>
        <v>02</v>
      </c>
    </row>
    <row r="139" spans="1:3">
      <c r="A139" s="157" t="s">
        <v>2134</v>
      </c>
      <c r="B139" s="157" t="s">
        <v>2135</v>
      </c>
      <c r="C139" t="str">
        <f t="shared" si="2"/>
        <v>02</v>
      </c>
    </row>
    <row r="140" spans="1:3">
      <c r="A140" s="157" t="s">
        <v>2136</v>
      </c>
      <c r="B140" s="157" t="s">
        <v>2137</v>
      </c>
      <c r="C140" t="str">
        <f t="shared" si="2"/>
        <v>02</v>
      </c>
    </row>
    <row r="141" spans="1:3">
      <c r="A141" s="157" t="s">
        <v>2138</v>
      </c>
      <c r="B141" s="157" t="s">
        <v>2139</v>
      </c>
      <c r="C141" t="str">
        <f t="shared" si="2"/>
        <v>02</v>
      </c>
    </row>
    <row r="142" spans="1:3">
      <c r="A142" s="157" t="s">
        <v>2140</v>
      </c>
      <c r="B142" s="157" t="s">
        <v>2141</v>
      </c>
      <c r="C142" t="str">
        <f t="shared" si="2"/>
        <v>02</v>
      </c>
    </row>
    <row r="143" spans="1:3">
      <c r="A143" s="157" t="s">
        <v>2142</v>
      </c>
      <c r="B143" s="157" t="s">
        <v>2143</v>
      </c>
      <c r="C143" t="str">
        <f t="shared" si="2"/>
        <v>02</v>
      </c>
    </row>
    <row r="144" spans="1:3">
      <c r="A144" s="157" t="s">
        <v>2144</v>
      </c>
      <c r="B144" s="157" t="s">
        <v>2145</v>
      </c>
      <c r="C144" t="str">
        <f t="shared" si="2"/>
        <v>02</v>
      </c>
    </row>
    <row r="145" spans="1:3">
      <c r="A145" s="157" t="s">
        <v>2146</v>
      </c>
      <c r="B145" s="157" t="s">
        <v>2147</v>
      </c>
      <c r="C145" t="str">
        <f t="shared" si="2"/>
        <v>02</v>
      </c>
    </row>
    <row r="146" spans="1:3">
      <c r="A146" s="157" t="s">
        <v>2148</v>
      </c>
      <c r="B146" s="157" t="s">
        <v>2149</v>
      </c>
      <c r="C146" t="str">
        <f t="shared" si="2"/>
        <v>02</v>
      </c>
    </row>
    <row r="147" spans="1:3">
      <c r="A147" s="157" t="s">
        <v>2150</v>
      </c>
      <c r="B147" s="157" t="s">
        <v>2151</v>
      </c>
      <c r="C147" t="str">
        <f t="shared" si="2"/>
        <v>02</v>
      </c>
    </row>
    <row r="148" spans="1:3">
      <c r="A148" s="157" t="s">
        <v>2152</v>
      </c>
      <c r="B148" s="157" t="s">
        <v>2153</v>
      </c>
      <c r="C148" t="str">
        <f t="shared" si="2"/>
        <v>02</v>
      </c>
    </row>
    <row r="149" spans="1:3">
      <c r="A149" s="157" t="s">
        <v>2154</v>
      </c>
      <c r="B149" s="157" t="s">
        <v>2155</v>
      </c>
      <c r="C149" t="str">
        <f t="shared" si="2"/>
        <v>02</v>
      </c>
    </row>
    <row r="150" spans="1:3">
      <c r="A150" s="157" t="s">
        <v>2156</v>
      </c>
      <c r="B150" s="157" t="s">
        <v>2157</v>
      </c>
      <c r="C150" t="str">
        <f t="shared" si="2"/>
        <v>02</v>
      </c>
    </row>
  </sheetData>
  <autoFilter ref="A1:C150" xr:uid="{709F3ED9-581E-4B6B-9B94-EBC730A6BC2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89</vt:i4>
      </vt:variant>
    </vt:vector>
  </HeadingPairs>
  <TitlesOfParts>
    <vt:vector size="100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Лист1</vt:lpstr>
      <vt:lpstr>_1C</vt:lpstr>
      <vt:lpstr>_47BrandCountriesCodes</vt:lpstr>
      <vt:lpstr>_47BrandManufactures</vt:lpstr>
      <vt:lpstr>AdidasCountriesCodes</vt:lpstr>
      <vt:lpstr>AdidasManufactures</vt:lpstr>
      <vt:lpstr>AisCountriesCodes</vt:lpstr>
      <vt:lpstr>AisManufactures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2022-08-25T07:51:07Z</dcterms:modified>
</cp:coreProperties>
</file>