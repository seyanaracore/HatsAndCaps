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B31FED1B-6588-4D01-9C27-47AD1358D912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NAME" hidden="1" xlm="1">#NAME?</definedName>
    <definedName name="_xlnm._FilterDatabase" localSheetId="4" hidden="1">Colors!$A$1:$B$1</definedName>
    <definedName name="_xlnm._FilterDatabase" localSheetId="2" hidden="1">MaterialsTranslate!$B$1:$C$26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A801" i="8"/>
  <c r="A802" i="8"/>
  <c r="A803" i="8"/>
  <c r="A804" i="8"/>
  <c r="A805" i="8"/>
  <c r="A806" i="8"/>
  <c r="A807" i="8"/>
  <c r="A808" i="8"/>
  <c r="A809" i="8"/>
  <c r="A810" i="8"/>
  <c r="A811" i="8"/>
  <c r="A812" i="8"/>
  <c r="A813" i="8"/>
  <c r="A814" i="8"/>
  <c r="A815" i="8"/>
  <c r="A816" i="8"/>
  <c r="A817" i="8"/>
  <c r="A818" i="8"/>
  <c r="A819" i="8"/>
  <c r="A820" i="8"/>
  <c r="A821" i="8"/>
  <c r="A822" i="8"/>
  <c r="A823" i="8"/>
  <c r="A824" i="8"/>
  <c r="A825" i="8"/>
  <c r="A826" i="8"/>
  <c r="A827" i="8"/>
  <c r="A828" i="8"/>
  <c r="A829" i="8"/>
  <c r="A830" i="8"/>
  <c r="A831" i="8"/>
  <c r="A832" i="8"/>
  <c r="A833" i="8"/>
  <c r="A834" i="8"/>
  <c r="A835" i="8"/>
  <c r="A836" i="8"/>
  <c r="A837" i="8"/>
  <c r="A838" i="8"/>
  <c r="A839" i="8"/>
  <c r="A840" i="8"/>
  <c r="A841" i="8"/>
  <c r="A842" i="8"/>
  <c r="A843" i="8"/>
  <c r="A844" i="8"/>
  <c r="A845" i="8"/>
  <c r="A846" i="8"/>
  <c r="A847" i="8"/>
  <c r="A848" i="8"/>
  <c r="A849" i="8"/>
  <c r="A850" i="8"/>
  <c r="A851" i="8"/>
  <c r="A852" i="8"/>
  <c r="A853" i="8"/>
  <c r="A854" i="8"/>
  <c r="A855" i="8"/>
  <c r="A856" i="8"/>
  <c r="A857" i="8"/>
  <c r="A858" i="8"/>
  <c r="A859" i="8"/>
  <c r="A860" i="8"/>
  <c r="A861" i="8"/>
  <c r="A862" i="8"/>
  <c r="A863" i="8"/>
  <c r="A864" i="8"/>
  <c r="A865" i="8"/>
  <c r="A866" i="8"/>
  <c r="A867" i="8"/>
  <c r="A868" i="8"/>
  <c r="A869" i="8"/>
  <c r="A870" i="8"/>
  <c r="A871" i="8"/>
  <c r="A872" i="8"/>
  <c r="A873" i="8"/>
  <c r="A874" i="8"/>
  <c r="A875" i="8"/>
  <c r="A876" i="8"/>
  <c r="A877" i="8"/>
  <c r="A878" i="8"/>
  <c r="A879" i="8"/>
  <c r="A880" i="8"/>
  <c r="A881" i="8"/>
  <c r="A882" i="8"/>
  <c r="A883" i="8"/>
  <c r="A884" i="8"/>
  <c r="A885" i="8"/>
  <c r="A886" i="8"/>
  <c r="A887" i="8"/>
  <c r="A888" i="8"/>
  <c r="A889" i="8"/>
  <c r="A890" i="8"/>
  <c r="A891" i="8"/>
  <c r="A892" i="8"/>
  <c r="A893" i="8"/>
  <c r="A894" i="8"/>
  <c r="A895" i="8"/>
  <c r="A896" i="8"/>
  <c r="A897" i="8"/>
  <c r="A898" i="8"/>
  <c r="A899" i="8"/>
  <c r="A900" i="8"/>
  <c r="A901" i="8"/>
  <c r="A902" i="8"/>
  <c r="A903" i="8"/>
  <c r="A904" i="8"/>
  <c r="A905" i="8"/>
  <c r="A906" i="8"/>
  <c r="A907" i="8"/>
  <c r="A908" i="8"/>
  <c r="A909" i="8"/>
  <c r="A910" i="8"/>
  <c r="A911" i="8"/>
  <c r="A912" i="8"/>
  <c r="A913" i="8"/>
  <c r="A914" i="8"/>
  <c r="A915" i="8"/>
  <c r="A916" i="8"/>
  <c r="A917" i="8"/>
  <c r="A918" i="8"/>
  <c r="A919" i="8"/>
  <c r="A920" i="8"/>
  <c r="A921" i="8"/>
  <c r="A922" i="8"/>
  <c r="A923" i="8"/>
  <c r="A924" i="8"/>
  <c r="A925" i="8"/>
  <c r="A926" i="8"/>
  <c r="A927" i="8"/>
  <c r="A928" i="8"/>
  <c r="A929" i="8"/>
  <c r="A930" i="8"/>
  <c r="A931" i="8"/>
  <c r="A932" i="8"/>
  <c r="A933" i="8"/>
  <c r="A934" i="8"/>
  <c r="A935" i="8"/>
  <c r="A936" i="8"/>
  <c r="A937" i="8"/>
  <c r="A938" i="8"/>
  <c r="A939" i="8"/>
  <c r="A940" i="8"/>
  <c r="A941" i="8"/>
  <c r="A942" i="8"/>
  <c r="A943" i="8"/>
  <c r="A944" i="8"/>
  <c r="A945" i="8"/>
  <c r="A946" i="8"/>
  <c r="A947" i="8"/>
  <c r="A948" i="8"/>
  <c r="A949" i="8"/>
  <c r="A950" i="8"/>
  <c r="A951" i="8"/>
  <c r="A952" i="8"/>
  <c r="A953" i="8"/>
  <c r="A954" i="8"/>
  <c r="A955" i="8"/>
  <c r="A956" i="8"/>
  <c r="A957" i="8"/>
  <c r="A958" i="8"/>
  <c r="A959" i="8"/>
  <c r="A960" i="8"/>
  <c r="A961" i="8"/>
  <c r="A962" i="8"/>
  <c r="A963" i="8"/>
  <c r="A964" i="8"/>
  <c r="A965" i="8"/>
  <c r="A966" i="8"/>
  <c r="A967" i="8"/>
  <c r="A968" i="8"/>
  <c r="A969" i="8"/>
  <c r="A970" i="8"/>
  <c r="A971" i="8"/>
  <c r="A972" i="8"/>
  <c r="A973" i="8"/>
  <c r="A974" i="8"/>
  <c r="A975" i="8"/>
  <c r="A976" i="8"/>
  <c r="A977" i="8"/>
  <c r="A978" i="8"/>
  <c r="A979" i="8"/>
  <c r="A980" i="8"/>
  <c r="A981" i="8"/>
  <c r="A982" i="8"/>
  <c r="A983" i="8"/>
  <c r="A984" i="8"/>
  <c r="A985" i="8"/>
  <c r="A986" i="8"/>
  <c r="A987" i="8"/>
  <c r="A988" i="8"/>
  <c r="A989" i="8"/>
  <c r="A990" i="8"/>
  <c r="A991" i="8"/>
  <c r="A992" i="8"/>
  <c r="A993" i="8"/>
  <c r="A994" i="8"/>
  <c r="A995" i="8"/>
  <c r="A996" i="8"/>
  <c r="A997" i="8"/>
  <c r="A998" i="8"/>
  <c r="A999" i="8"/>
  <c r="A1000" i="8"/>
  <c r="A1001" i="8"/>
  <c r="A1002" i="8"/>
  <c r="A1003" i="8"/>
  <c r="A1004" i="8"/>
  <c r="A1005" i="8"/>
  <c r="A1006" i="8"/>
  <c r="A1007" i="8"/>
  <c r="A1008" i="8"/>
  <c r="A1009" i="8"/>
  <c r="A1010" i="8"/>
  <c r="A1011" i="8"/>
  <c r="A1012" i="8"/>
  <c r="A1013" i="8"/>
  <c r="A1014" i="8"/>
  <c r="A1015" i="8"/>
  <c r="A1016" i="8"/>
  <c r="A1017" i="8"/>
  <c r="A1018" i="8"/>
  <c r="A1019" i="8"/>
  <c r="A1020" i="8"/>
  <c r="A1021" i="8"/>
  <c r="A1022" i="8"/>
  <c r="A1023" i="8"/>
  <c r="A1024" i="8"/>
  <c r="A1025" i="8"/>
  <c r="A1026" i="8"/>
  <c r="A1027" i="8"/>
  <c r="A1028" i="8"/>
  <c r="A1029" i="8"/>
  <c r="A1030" i="8"/>
  <c r="A1031" i="8"/>
  <c r="A1032" i="8"/>
  <c r="A1033" i="8"/>
  <c r="A1034" i="8"/>
  <c r="A1035" i="8"/>
  <c r="A1036" i="8"/>
  <c r="A1037" i="8"/>
  <c r="A1038" i="8"/>
  <c r="A1039" i="8"/>
  <c r="A1040" i="8"/>
  <c r="A1041" i="8"/>
  <c r="A1042" i="8"/>
  <c r="A1043" i="8"/>
  <c r="A1044" i="8"/>
  <c r="A1045" i="8"/>
  <c r="A1046" i="8"/>
  <c r="A1047" i="8"/>
  <c r="A1048" i="8"/>
  <c r="A1049" i="8"/>
  <c r="A1050" i="8"/>
  <c r="A1051" i="8"/>
  <c r="A1052" i="8"/>
  <c r="A1053" i="8"/>
  <c r="A1054" i="8"/>
  <c r="A1055" i="8"/>
  <c r="A1056" i="8"/>
  <c r="A1057" i="8"/>
  <c r="A1058" i="8"/>
  <c r="A1059" i="8"/>
  <c r="A1060" i="8"/>
  <c r="A1061" i="8"/>
  <c r="A1062" i="8"/>
  <c r="A1063" i="8"/>
  <c r="A1064" i="8"/>
  <c r="A1065" i="8"/>
  <c r="A1066" i="8"/>
  <c r="A1067" i="8"/>
  <c r="A1068" i="8"/>
  <c r="A1069" i="8"/>
  <c r="A1070" i="8"/>
  <c r="A1071" i="8"/>
  <c r="A1072" i="8"/>
  <c r="A1073" i="8"/>
  <c r="A1074" i="8"/>
  <c r="A1075" i="8"/>
  <c r="A1076" i="8"/>
  <c r="A1077" i="8"/>
  <c r="A1078" i="8"/>
  <c r="A1079" i="8"/>
  <c r="A1080" i="8"/>
  <c r="A1081" i="8"/>
  <c r="A1082" i="8"/>
  <c r="A1083" i="8"/>
  <c r="A1084" i="8"/>
  <c r="A1085" i="8"/>
  <c r="A1086" i="8"/>
  <c r="A1087" i="8"/>
  <c r="A1088" i="8"/>
  <c r="A1089" i="8"/>
  <c r="A1090" i="8"/>
  <c r="A1091" i="8"/>
  <c r="A1092" i="8"/>
  <c r="A1093" i="8"/>
  <c r="A1094" i="8"/>
  <c r="A1095" i="8"/>
  <c r="A1096" i="8"/>
  <c r="A1097" i="8"/>
  <c r="A1098" i="8"/>
  <c r="A1099" i="8"/>
  <c r="A1100" i="8"/>
  <c r="A1101" i="8"/>
  <c r="A1102" i="8"/>
  <c r="A1103" i="8"/>
  <c r="A1104" i="8"/>
  <c r="A1105" i="8"/>
  <c r="A1106" i="8"/>
  <c r="A1107" i="8"/>
  <c r="A1108" i="8"/>
  <c r="A1109" i="8"/>
  <c r="A1110" i="8"/>
  <c r="A1111" i="8"/>
  <c r="A1112" i="8"/>
  <c r="A1113" i="8"/>
  <c r="A1114" i="8"/>
  <c r="A1115" i="8"/>
  <c r="A1116" i="8"/>
  <c r="A1117" i="8"/>
  <c r="A1118" i="8"/>
  <c r="A1119" i="8"/>
  <c r="A1120" i="8"/>
  <c r="A1121" i="8"/>
  <c r="A1122" i="8"/>
  <c r="A1123" i="8"/>
  <c r="A1124" i="8"/>
  <c r="A1125" i="8"/>
  <c r="A1126" i="8"/>
  <c r="A1127" i="8"/>
  <c r="A1128" i="8"/>
  <c r="A1129" i="8"/>
  <c r="A1130" i="8"/>
  <c r="A1131" i="8"/>
  <c r="A1132" i="8"/>
  <c r="A1133" i="8"/>
  <c r="A1134" i="8"/>
  <c r="A1135" i="8"/>
  <c r="A1136" i="8"/>
  <c r="A1137" i="8"/>
  <c r="A1138" i="8"/>
  <c r="A1139" i="8"/>
  <c r="A1140" i="8"/>
  <c r="A1141" i="8"/>
  <c r="A1142" i="8"/>
  <c r="A1143" i="8"/>
  <c r="A1144" i="8"/>
  <c r="A1145" i="8"/>
  <c r="A1146" i="8"/>
  <c r="A1147" i="8"/>
  <c r="A1148" i="8"/>
  <c r="A1149" i="8"/>
  <c r="A1150" i="8"/>
  <c r="A1151" i="8"/>
  <c r="A1152" i="8"/>
  <c r="A1153" i="8"/>
  <c r="A1154" i="8"/>
  <c r="A1155" i="8"/>
  <c r="A1156" i="8"/>
  <c r="A1157" i="8"/>
  <c r="A1158" i="8"/>
  <c r="A1159" i="8"/>
  <c r="A1160" i="8"/>
  <c r="A1161" i="8"/>
  <c r="A1162" i="8"/>
  <c r="A1163" i="8"/>
  <c r="A1164" i="8"/>
  <c r="A1165" i="8"/>
  <c r="A1166" i="8"/>
  <c r="A1167" i="8"/>
  <c r="A1168" i="8"/>
  <c r="A1169" i="8"/>
  <c r="A1170" i="8"/>
  <c r="A1171" i="8"/>
  <c r="A1172" i="8"/>
  <c r="A1173" i="8"/>
  <c r="A1174" i="8"/>
  <c r="A1175" i="8"/>
  <c r="A1176" i="8"/>
  <c r="A1177" i="8"/>
  <c r="A1178" i="8"/>
  <c r="A1179" i="8"/>
  <c r="A1180" i="8"/>
  <c r="A1181" i="8"/>
  <c r="A1182" i="8"/>
  <c r="A1183" i="8"/>
  <c r="A1184" i="8"/>
  <c r="A1185" i="8"/>
  <c r="A1186" i="8"/>
  <c r="A1187" i="8"/>
  <c r="A1188" i="8"/>
  <c r="A1189" i="8"/>
  <c r="A1190" i="8"/>
  <c r="A1191" i="8"/>
  <c r="A1192" i="8"/>
  <c r="A1193" i="8"/>
  <c r="A1194" i="8"/>
  <c r="A1195" i="8"/>
  <c r="A1196" i="8"/>
  <c r="A1197" i="8"/>
  <c r="A1198" i="8"/>
  <c r="A1199" i="8"/>
  <c r="A1200" i="8"/>
  <c r="A1201" i="8"/>
  <c r="A1202" i="8"/>
  <c r="A1203" i="8"/>
  <c r="A1204" i="8"/>
  <c r="A1205" i="8"/>
  <c r="A1206" i="8"/>
  <c r="A1207" i="8"/>
  <c r="A1208" i="8"/>
  <c r="A1209" i="8"/>
  <c r="A1210" i="8"/>
  <c r="A1211" i="8"/>
  <c r="A1212" i="8"/>
  <c r="A1213" i="8"/>
  <c r="A1214" i="8"/>
  <c r="A1215" i="8"/>
  <c r="A1216" i="8"/>
  <c r="A1217" i="8"/>
  <c r="A1218" i="8"/>
  <c r="A1219" i="8"/>
  <c r="A1220" i="8"/>
  <c r="A1221" i="8"/>
  <c r="A1222" i="8"/>
  <c r="A1223" i="8"/>
  <c r="A1224" i="8"/>
  <c r="A1225" i="8"/>
  <c r="A1226" i="8"/>
  <c r="A1227" i="8"/>
  <c r="A1228" i="8"/>
  <c r="A1229" i="8"/>
  <c r="A1230" i="8"/>
  <c r="A1231" i="8"/>
  <c r="A1232" i="8"/>
  <c r="A1233" i="8"/>
  <c r="A1234" i="8"/>
  <c r="A1235" i="8"/>
  <c r="A1236" i="8"/>
  <c r="A1237" i="8"/>
  <c r="A1238" i="8"/>
  <c r="A1239" i="8"/>
  <c r="A1240" i="8"/>
  <c r="A1241" i="8"/>
  <c r="A1242" i="8"/>
  <c r="A1243" i="8"/>
  <c r="A1244" i="8"/>
  <c r="A1245" i="8"/>
  <c r="A1246" i="8"/>
  <c r="A1247" i="8"/>
  <c r="A1248" i="8"/>
  <c r="A1249" i="8"/>
  <c r="A1250" i="8"/>
  <c r="A1251" i="8"/>
  <c r="A1252" i="8"/>
  <c r="A1253" i="8"/>
  <c r="A1254" i="8"/>
  <c r="A1255" i="8"/>
  <c r="A1256" i="8"/>
  <c r="A1257" i="8"/>
  <c r="A1258" i="8"/>
  <c r="A1259" i="8"/>
  <c r="A1260" i="8"/>
  <c r="A1261" i="8"/>
  <c r="A1262" i="8"/>
  <c r="A1263" i="8"/>
  <c r="A1264" i="8"/>
  <c r="A1265" i="8"/>
  <c r="A1266" i="8"/>
  <c r="A1267" i="8"/>
  <c r="A1268" i="8"/>
  <c r="A1269" i="8"/>
  <c r="A1270" i="8"/>
  <c r="A1271" i="8"/>
  <c r="A1272" i="8"/>
  <c r="A1273" i="8"/>
  <c r="A1274" i="8"/>
  <c r="A1275" i="8"/>
  <c r="A1276" i="8"/>
  <c r="A1277" i="8"/>
  <c r="A1278" i="8"/>
  <c r="A1279" i="8"/>
  <c r="A1280" i="8"/>
  <c r="A1281" i="8"/>
  <c r="A1282" i="8"/>
  <c r="A1283" i="8"/>
  <c r="A1284" i="8"/>
  <c r="A1285" i="8"/>
  <c r="A1286" i="8"/>
  <c r="A1287" i="8"/>
  <c r="A1288" i="8"/>
  <c r="A1289" i="8"/>
  <c r="A1290" i="8"/>
  <c r="A1291" i="8"/>
  <c r="A1292" i="8"/>
  <c r="A1293" i="8"/>
  <c r="A1294" i="8"/>
  <c r="A1295" i="8"/>
  <c r="A1296" i="8"/>
  <c r="A1297" i="8"/>
  <c r="A1298" i="8"/>
  <c r="A1299" i="8"/>
  <c r="A1300" i="8"/>
  <c r="A1301" i="8"/>
  <c r="A1302" i="8"/>
  <c r="A1303" i="8"/>
  <c r="A1304" i="8"/>
  <c r="A1305" i="8"/>
  <c r="A1306" i="8"/>
  <c r="A1307" i="8"/>
  <c r="A1308" i="8"/>
  <c r="A1309" i="8"/>
  <c r="A1310" i="8"/>
  <c r="A1311" i="8"/>
  <c r="A1312" i="8"/>
  <c r="A1313" i="8"/>
  <c r="A1314" i="8"/>
  <c r="A1315" i="8"/>
  <c r="A1316" i="8"/>
  <c r="A1317" i="8"/>
  <c r="A1318" i="8"/>
  <c r="A1319" i="8"/>
  <c r="A1320" i="8"/>
  <c r="A1321" i="8"/>
  <c r="A1322" i="8"/>
  <c r="A1323" i="8"/>
  <c r="A1324" i="8"/>
  <c r="A1325" i="8"/>
  <c r="A1326" i="8"/>
  <c r="A1327" i="8"/>
  <c r="A1328" i="8"/>
  <c r="A1329" i="8"/>
  <c r="A1330" i="8"/>
  <c r="A1331" i="8"/>
  <c r="A1332" i="8"/>
  <c r="A1333" i="8"/>
  <c r="A1334" i="8"/>
  <c r="A1335" i="8"/>
  <c r="A1336" i="8"/>
  <c r="A1337" i="8"/>
  <c r="A1338" i="8"/>
  <c r="A1339" i="8"/>
  <c r="A1340" i="8"/>
  <c r="A1341" i="8"/>
  <c r="A1342" i="8"/>
  <c r="A1343" i="8"/>
  <c r="A1344" i="8"/>
  <c r="A1345" i="8"/>
  <c r="A1346" i="8"/>
  <c r="A1347" i="8"/>
  <c r="A1348" i="8"/>
  <c r="A1349" i="8"/>
  <c r="A1350" i="8"/>
  <c r="A1351" i="8"/>
  <c r="A1352" i="8"/>
  <c r="A1353" i="8"/>
  <c r="A1354" i="8"/>
  <c r="A1355" i="8"/>
  <c r="A1356" i="8"/>
  <c r="A1357" i="8"/>
  <c r="A1358" i="8"/>
  <c r="A1359" i="8"/>
  <c r="A1360" i="8"/>
  <c r="A1361" i="8"/>
  <c r="A1362" i="8"/>
  <c r="A1363" i="8"/>
  <c r="A1364" i="8"/>
  <c r="A1365" i="8"/>
  <c r="A1366" i="8"/>
  <c r="A1367" i="8"/>
  <c r="A1368" i="8"/>
  <c r="A1369" i="8"/>
  <c r="A1370" i="8"/>
  <c r="A1371" i="8"/>
  <c r="A1372" i="8"/>
  <c r="A1373" i="8"/>
  <c r="A1374" i="8"/>
  <c r="A1375" i="8"/>
  <c r="A1376" i="8"/>
  <c r="A1377" i="8"/>
  <c r="A1378" i="8"/>
  <c r="A1379" i="8"/>
  <c r="A1380" i="8"/>
  <c r="A1381" i="8"/>
  <c r="A1382" i="8"/>
  <c r="A1383" i="8"/>
  <c r="A1384" i="8"/>
  <c r="A1385" i="8"/>
  <c r="A1386" i="8"/>
  <c r="A1387" i="8"/>
  <c r="A1388" i="8"/>
  <c r="A1389" i="8"/>
  <c r="A1390" i="8"/>
  <c r="A1391" i="8"/>
  <c r="A1392" i="8"/>
  <c r="A1393" i="8"/>
  <c r="A1394" i="8"/>
  <c r="A1395" i="8"/>
  <c r="A1396" i="8"/>
  <c r="A1397" i="8"/>
  <c r="A1398" i="8"/>
  <c r="A1399" i="8"/>
  <c r="A1400" i="8"/>
  <c r="A1401" i="8"/>
  <c r="A1402" i="8"/>
  <c r="A1403" i="8"/>
  <c r="A1404" i="8"/>
  <c r="A1405" i="8"/>
  <c r="A1406" i="8"/>
  <c r="A1407" i="8"/>
  <c r="A1408" i="8"/>
  <c r="A1409" i="8"/>
  <c r="A1410" i="8"/>
  <c r="A1411" i="8"/>
  <c r="A1412" i="8"/>
  <c r="A1413" i="8"/>
  <c r="A1414" i="8"/>
  <c r="A1415" i="8"/>
  <c r="A1416" i="8"/>
  <c r="A1417" i="8"/>
  <c r="A1418" i="8"/>
  <c r="A1419" i="8"/>
  <c r="A1420" i="8"/>
  <c r="A1421" i="8"/>
  <c r="A1422" i="8"/>
  <c r="A1423" i="8"/>
  <c r="A1424" i="8"/>
  <c r="A1425" i="8"/>
  <c r="A1426" i="8"/>
  <c r="A1427" i="8"/>
  <c r="A1428" i="8"/>
  <c r="A1429" i="8"/>
  <c r="A1430" i="8"/>
  <c r="A1431" i="8"/>
  <c r="A1432" i="8"/>
  <c r="A1433" i="8"/>
  <c r="A1434" i="8"/>
  <c r="A1435" i="8"/>
  <c r="A1436" i="8"/>
  <c r="A1437" i="8"/>
  <c r="A1438" i="8"/>
  <c r="A1439" i="8"/>
  <c r="A1440" i="8"/>
  <c r="A1441" i="8"/>
  <c r="A1442" i="8"/>
  <c r="A1443" i="8"/>
  <c r="A1444" i="8"/>
  <c r="A1445" i="8"/>
  <c r="A1446" i="8"/>
  <c r="A1447" i="8"/>
  <c r="A1448" i="8"/>
  <c r="A1449" i="8"/>
  <c r="A1450" i="8"/>
  <c r="A1451" i="8"/>
  <c r="A1452" i="8"/>
  <c r="A1453" i="8"/>
  <c r="A1454" i="8"/>
  <c r="A1455" i="8"/>
  <c r="A1456" i="8"/>
  <c r="A1457" i="8"/>
  <c r="A1458" i="8"/>
  <c r="A1459" i="8"/>
  <c r="A1460" i="8"/>
  <c r="A1461" i="8"/>
  <c r="A1462" i="8"/>
  <c r="A1463" i="8"/>
  <c r="A1464" i="8"/>
  <c r="A1465" i="8"/>
  <c r="A1466" i="8"/>
  <c r="A1467" i="8"/>
  <c r="A1468" i="8"/>
  <c r="A1469" i="8"/>
  <c r="A1470" i="8"/>
  <c r="A1471" i="8"/>
  <c r="A1472" i="8"/>
  <c r="A1473" i="8"/>
  <c r="A1474" i="8"/>
  <c r="A1475" i="8"/>
  <c r="A1476" i="8"/>
  <c r="A1477" i="8"/>
  <c r="A1478" i="8"/>
  <c r="A1479" i="8"/>
  <c r="A1480" i="8"/>
  <c r="A1481" i="8"/>
  <c r="A1482" i="8"/>
  <c r="A1483" i="8"/>
  <c r="A1484" i="8"/>
  <c r="A1485" i="8"/>
  <c r="A1486" i="8"/>
  <c r="A1487" i="8"/>
  <c r="A1488" i="8"/>
  <c r="A1489" i="8"/>
  <c r="A1490" i="8"/>
  <c r="A1491" i="8"/>
  <c r="A1492" i="8"/>
  <c r="A1493" i="8"/>
  <c r="A1494" i="8"/>
  <c r="A1495" i="8"/>
  <c r="A1496" i="8"/>
  <c r="A1497" i="8"/>
  <c r="A1498" i="8"/>
  <c r="A1499" i="8"/>
  <c r="A1500" i="8"/>
  <c r="A1501" i="8"/>
  <c r="A1502" i="8"/>
  <c r="A1503" i="8"/>
  <c r="A1504" i="8"/>
  <c r="A1505" i="8"/>
  <c r="A1506" i="8"/>
  <c r="A1507" i="8"/>
  <c r="A1508" i="8"/>
  <c r="A1509" i="8"/>
  <c r="A1510" i="8"/>
  <c r="A1511" i="8"/>
  <c r="A1512" i="8"/>
  <c r="A1513" i="8"/>
  <c r="A1514" i="8"/>
  <c r="A1515" i="8"/>
  <c r="A1516" i="8"/>
  <c r="A1517" i="8"/>
  <c r="A1518" i="8"/>
  <c r="A1519" i="8"/>
  <c r="A1520" i="8"/>
  <c r="A1521" i="8"/>
  <c r="A1522" i="8"/>
  <c r="A1523" i="8"/>
  <c r="A1524" i="8"/>
  <c r="A1525" i="8"/>
  <c r="A1526" i="8"/>
  <c r="A1527" i="8"/>
  <c r="A1528" i="8"/>
  <c r="A1529" i="8"/>
  <c r="A1530" i="8"/>
  <c r="A1531" i="8"/>
  <c r="A1532" i="8"/>
  <c r="A1533" i="8"/>
  <c r="A1534" i="8"/>
  <c r="A1535" i="8"/>
  <c r="A1536" i="8"/>
  <c r="A1537" i="8"/>
  <c r="A1538" i="8"/>
  <c r="A1539" i="8"/>
  <c r="A1540" i="8"/>
  <c r="A1541" i="8"/>
  <c r="A1542" i="8"/>
  <c r="A1543" i="8"/>
  <c r="A1544" i="8"/>
  <c r="A1545" i="8"/>
  <c r="A1546" i="8"/>
  <c r="A1547" i="8"/>
  <c r="A1548" i="8"/>
  <c r="A1549" i="8"/>
  <c r="A1550" i="8"/>
  <c r="A1551" i="8"/>
  <c r="A1552" i="8"/>
  <c r="A1553" i="8"/>
  <c r="A1554" i="8"/>
  <c r="A1555" i="8"/>
  <c r="A1556" i="8"/>
  <c r="A1557" i="8"/>
  <c r="A1558" i="8"/>
  <c r="A1559" i="8"/>
  <c r="A1560" i="8"/>
  <c r="A1561" i="8"/>
  <c r="A1562" i="8"/>
  <c r="A1563" i="8"/>
  <c r="A1564" i="8"/>
  <c r="A1565" i="8"/>
  <c r="A1566" i="8"/>
  <c r="A1567" i="8"/>
  <c r="A1568" i="8"/>
  <c r="A1569" i="8"/>
  <c r="A1570" i="8"/>
  <c r="A1571" i="8"/>
  <c r="A1572" i="8"/>
  <c r="A1573" i="8"/>
  <c r="A1574" i="8"/>
  <c r="A1575" i="8"/>
  <c r="A1576" i="8"/>
  <c r="A1577" i="8"/>
  <c r="A1578" i="8"/>
  <c r="A1579" i="8"/>
  <c r="A1580" i="8"/>
  <c r="A1581" i="8"/>
  <c r="A1582" i="8"/>
  <c r="A1583" i="8"/>
  <c r="A1584" i="8"/>
  <c r="A1585" i="8"/>
  <c r="A1586" i="8"/>
  <c r="A1587" i="8"/>
  <c r="A1588" i="8"/>
  <c r="A1589" i="8"/>
  <c r="A1590" i="8"/>
  <c r="A1591" i="8"/>
  <c r="A1592" i="8"/>
  <c r="A1593" i="8"/>
  <c r="A1594" i="8"/>
  <c r="A1595" i="8"/>
  <c r="A1596" i="8"/>
  <c r="A1597" i="8"/>
  <c r="A1598" i="8"/>
  <c r="A1599" i="8"/>
  <c r="A1600" i="8"/>
  <c r="A1601" i="8"/>
  <c r="A1602" i="8"/>
  <c r="A1603" i="8"/>
  <c r="A1604" i="8"/>
  <c r="A1605" i="8"/>
  <c r="A1606" i="8"/>
  <c r="A1607" i="8"/>
  <c r="A1608" i="8"/>
  <c r="A1609" i="8"/>
  <c r="A1610" i="8"/>
  <c r="A1611" i="8"/>
  <c r="A1612" i="8"/>
  <c r="A1613" i="8"/>
  <c r="A1614" i="8"/>
  <c r="A1615" i="8"/>
  <c r="A1616" i="8"/>
  <c r="A1617" i="8"/>
  <c r="A1618" i="8"/>
  <c r="A1619" i="8"/>
  <c r="A1620" i="8"/>
  <c r="A1621" i="8"/>
  <c r="A1622" i="8"/>
  <c r="A1623" i="8"/>
  <c r="A1624" i="8"/>
  <c r="A1625" i="8"/>
  <c r="A1626" i="8"/>
  <c r="A1627" i="8"/>
  <c r="A1628" i="8"/>
  <c r="A1629" i="8"/>
  <c r="A1630" i="8"/>
  <c r="A1631" i="8"/>
  <c r="A1632" i="8"/>
  <c r="A1633" i="8"/>
  <c r="A1634" i="8"/>
  <c r="A1635" i="8"/>
  <c r="A1636" i="8"/>
  <c r="A1637" i="8"/>
  <c r="A1638" i="8"/>
  <c r="A1639" i="8"/>
  <c r="A1640" i="8"/>
  <c r="A1641" i="8"/>
  <c r="A1642" i="8"/>
  <c r="A1643" i="8"/>
  <c r="A1644" i="8"/>
  <c r="A1645" i="8"/>
  <c r="A1646" i="8"/>
  <c r="A1647" i="8"/>
  <c r="A1648" i="8"/>
  <c r="A1649" i="8"/>
  <c r="A1650" i="8"/>
  <c r="A1651" i="8"/>
  <c r="A1652" i="8"/>
  <c r="A1653" i="8"/>
  <c r="A1654" i="8"/>
  <c r="A1655" i="8"/>
  <c r="A1656" i="8"/>
  <c r="A1657" i="8"/>
  <c r="A1658" i="8"/>
  <c r="A1659" i="8"/>
  <c r="A1660" i="8"/>
  <c r="A1661" i="8"/>
  <c r="A1662" i="8"/>
  <c r="A1663" i="8"/>
  <c r="A1664" i="8"/>
  <c r="A1665" i="8"/>
  <c r="A1666" i="8"/>
  <c r="A1667" i="8"/>
  <c r="A1668" i="8"/>
  <c r="A1669" i="8"/>
  <c r="A1670" i="8"/>
  <c r="A1671" i="8"/>
  <c r="A1672" i="8"/>
  <c r="A1673" i="8"/>
  <c r="A1674" i="8"/>
  <c r="A1675" i="8"/>
  <c r="A1676" i="8"/>
  <c r="A1677" i="8"/>
  <c r="A1678" i="8"/>
  <c r="A1679" i="8"/>
  <c r="A1680" i="8"/>
  <c r="A1681" i="8"/>
  <c r="A1682" i="8"/>
  <c r="A1683" i="8"/>
  <c r="A1684" i="8"/>
  <c r="A1685" i="8"/>
  <c r="A1686" i="8"/>
  <c r="A1687" i="8"/>
  <c r="A1688" i="8"/>
  <c r="A1689" i="8"/>
  <c r="A1690" i="8"/>
  <c r="A1691" i="8"/>
  <c r="A1692" i="8"/>
  <c r="A1693" i="8"/>
  <c r="A1694" i="8"/>
  <c r="A1695" i="8"/>
  <c r="A1696" i="8"/>
  <c r="A1697" i="8"/>
  <c r="A1698" i="8"/>
  <c r="A1699" i="8"/>
  <c r="A1700" i="8"/>
  <c r="A1701" i="8"/>
  <c r="A1702" i="8"/>
  <c r="A1703" i="8"/>
  <c r="A1704" i="8"/>
  <c r="A1705" i="8"/>
  <c r="A1706" i="8"/>
  <c r="A1707" i="8"/>
  <c r="A1708" i="8"/>
  <c r="A1709" i="8"/>
  <c r="A1710" i="8"/>
  <c r="A1711" i="8"/>
  <c r="A1712" i="8"/>
  <c r="A1713" i="8"/>
  <c r="A1714" i="8"/>
  <c r="A1715" i="8"/>
  <c r="A1716" i="8"/>
  <c r="A1717" i="8"/>
  <c r="A1718" i="8"/>
  <c r="A1719" i="8"/>
  <c r="A1720" i="8"/>
  <c r="A1721" i="8"/>
  <c r="A1722" i="8"/>
  <c r="A1723" i="8"/>
  <c r="A1724" i="8"/>
  <c r="A1725" i="8"/>
  <c r="A1726" i="8"/>
  <c r="A1727" i="8"/>
  <c r="A1728" i="8"/>
  <c r="A1729" i="8"/>
  <c r="A1730" i="8"/>
  <c r="A1731" i="8"/>
  <c r="A1732" i="8"/>
  <c r="A1733" i="8"/>
  <c r="A1734" i="8"/>
  <c r="A1735" i="8"/>
  <c r="A1736" i="8"/>
  <c r="A1737" i="8"/>
  <c r="A1738" i="8"/>
  <c r="A1739" i="8"/>
  <c r="A1740" i="8"/>
  <c r="A1741" i="8"/>
  <c r="A1742" i="8"/>
  <c r="A1743" i="8"/>
  <c r="A1744" i="8"/>
  <c r="A1745" i="8"/>
  <c r="A1746" i="8"/>
  <c r="A1747" i="8"/>
  <c r="A1748" i="8"/>
  <c r="A1749" i="8"/>
  <c r="A1750" i="8"/>
  <c r="A1751" i="8"/>
  <c r="A1752" i="8"/>
  <c r="A1753" i="8"/>
  <c r="A1754" i="8"/>
  <c r="A1755" i="8"/>
  <c r="A1756" i="8"/>
  <c r="A1757" i="8"/>
  <c r="A1758" i="8"/>
  <c r="A1759" i="8"/>
  <c r="A1760" i="8"/>
  <c r="A1761" i="8"/>
  <c r="A1762" i="8"/>
  <c r="A1763" i="8"/>
  <c r="A1764" i="8"/>
  <c r="A1765" i="8"/>
  <c r="A1766" i="8"/>
  <c r="A1767" i="8"/>
  <c r="A1768" i="8"/>
  <c r="A1769" i="8"/>
  <c r="A1770" i="8"/>
  <c r="A1771" i="8"/>
  <c r="A1772" i="8"/>
  <c r="A1773" i="8"/>
  <c r="A1774" i="8"/>
  <c r="A1775" i="8"/>
  <c r="A1776" i="8"/>
  <c r="A1777" i="8"/>
  <c r="A1778" i="8"/>
  <c r="A1779" i="8"/>
  <c r="A1780" i="8"/>
  <c r="A1781" i="8"/>
  <c r="A1782" i="8"/>
  <c r="A1783" i="8"/>
  <c r="A1784" i="8"/>
  <c r="A1785" i="8"/>
  <c r="A1786" i="8"/>
  <c r="A1787" i="8"/>
  <c r="A1788" i="8"/>
  <c r="A1789" i="8"/>
  <c r="A1790" i="8"/>
  <c r="A1791" i="8"/>
  <c r="A1792" i="8"/>
  <c r="A1793" i="8"/>
  <c r="A1794" i="8"/>
  <c r="A1795" i="8"/>
  <c r="A1796" i="8"/>
  <c r="A1797" i="8"/>
  <c r="A1798" i="8"/>
  <c r="A1799" i="8"/>
  <c r="A1800" i="8"/>
  <c r="A1801" i="8"/>
  <c r="A1802" i="8"/>
  <c r="A1803" i="8"/>
  <c r="A1804" i="8"/>
  <c r="A1805" i="8"/>
  <c r="A1806" i="8"/>
  <c r="A1807" i="8"/>
  <c r="A1808" i="8"/>
  <c r="A1809" i="8"/>
  <c r="A1810" i="8"/>
  <c r="A1811" i="8"/>
  <c r="A1812" i="8"/>
  <c r="A1813" i="8"/>
  <c r="A1814" i="8"/>
  <c r="A1815" i="8"/>
  <c r="A1816" i="8"/>
  <c r="A1817" i="8"/>
  <c r="A1818" i="8"/>
  <c r="A1819" i="8"/>
  <c r="A1820" i="8"/>
  <c r="A1821" i="8"/>
  <c r="A1822" i="8"/>
  <c r="A1823" i="8"/>
  <c r="A1824" i="8"/>
  <c r="A1825" i="8"/>
  <c r="A1826" i="8"/>
  <c r="A1827" i="8"/>
  <c r="A1828" i="8"/>
  <c r="A1829" i="8"/>
  <c r="A1830" i="8"/>
  <c r="A1831" i="8"/>
  <c r="A1832" i="8"/>
  <c r="A1833" i="8"/>
  <c r="A1834" i="8"/>
  <c r="A1835" i="8"/>
  <c r="A1836" i="8"/>
  <c r="A1837" i="8"/>
  <c r="A1838" i="8"/>
  <c r="A1839" i="8"/>
  <c r="A1840" i="8"/>
  <c r="A1841" i="8"/>
  <c r="A1842" i="8"/>
  <c r="A1843" i="8"/>
  <c r="A1844" i="8"/>
  <c r="A1845" i="8"/>
  <c r="A1846" i="8"/>
  <c r="A1847" i="8"/>
  <c r="A1848" i="8"/>
  <c r="A1849" i="8"/>
  <c r="A1850" i="8"/>
  <c r="A1851" i="8"/>
  <c r="A1852" i="8"/>
  <c r="A1853" i="8"/>
  <c r="A1854" i="8"/>
  <c r="A1855" i="8"/>
  <c r="A1856" i="8"/>
  <c r="A1857" i="8"/>
  <c r="A1858" i="8"/>
  <c r="A1859" i="8"/>
  <c r="A1860" i="8"/>
  <c r="A1861" i="8"/>
  <c r="A1862" i="8"/>
  <c r="A1863" i="8"/>
  <c r="A1864" i="8"/>
  <c r="A1865" i="8"/>
  <c r="A1866" i="8"/>
  <c r="A1867" i="8"/>
  <c r="A1868" i="8"/>
  <c r="A1869" i="8"/>
  <c r="A1870" i="8"/>
  <c r="A1871" i="8"/>
  <c r="A1872" i="8"/>
  <c r="A1873" i="8"/>
  <c r="A1874" i="8"/>
  <c r="A1875" i="8"/>
  <c r="A1876" i="8"/>
  <c r="A1877" i="8"/>
  <c r="A1878" i="8"/>
  <c r="A1879" i="8"/>
  <c r="A1880" i="8"/>
  <c r="A1881" i="8"/>
  <c r="A1882" i="8"/>
  <c r="A1883" i="8"/>
  <c r="A1884" i="8"/>
  <c r="A1885" i="8"/>
  <c r="A1886" i="8"/>
  <c r="A1887" i="8"/>
  <c r="A1888" i="8"/>
  <c r="A1889" i="8"/>
  <c r="A1890" i="8"/>
  <c r="A1891" i="8"/>
  <c r="A1892" i="8"/>
  <c r="A1893" i="8"/>
  <c r="A1894" i="8"/>
  <c r="A1895" i="8"/>
  <c r="A1896" i="8"/>
  <c r="A1897" i="8"/>
  <c r="A1898" i="8"/>
  <c r="A1899" i="8"/>
  <c r="A1900" i="8"/>
  <c r="A1901" i="8"/>
  <c r="A1902" i="8"/>
  <c r="A1903" i="8"/>
  <c r="A1904" i="8"/>
  <c r="A1905" i="8"/>
  <c r="A1906" i="8"/>
  <c r="A1907" i="8"/>
  <c r="A1908" i="8"/>
  <c r="A1909" i="8"/>
  <c r="A1910" i="8"/>
  <c r="A1911" i="8"/>
  <c r="A1912" i="8"/>
  <c r="A1913" i="8"/>
  <c r="A1914" i="8"/>
  <c r="A1915" i="8"/>
  <c r="A1916" i="8"/>
  <c r="A1917" i="8"/>
  <c r="A1918" i="8"/>
  <c r="A1919" i="8"/>
  <c r="A1920" i="8"/>
  <c r="A1921" i="8"/>
  <c r="A1922" i="8"/>
  <c r="A1923" i="8"/>
  <c r="A1924" i="8"/>
  <c r="A1925" i="8"/>
  <c r="A1926" i="8"/>
  <c r="A1927" i="8"/>
  <c r="A1928" i="8"/>
  <c r="A1929" i="8"/>
  <c r="A1930" i="8"/>
  <c r="A1931" i="8"/>
  <c r="A1932" i="8"/>
  <c r="A1933" i="8"/>
  <c r="A1934" i="8"/>
  <c r="A1935" i="8"/>
  <c r="A1936" i="8"/>
  <c r="A1937" i="8"/>
  <c r="A1938" i="8"/>
  <c r="A1939" i="8"/>
  <c r="A1940" i="8"/>
  <c r="A1941" i="8"/>
  <c r="A1942" i="8"/>
  <c r="A1943" i="8"/>
  <c r="A1944" i="8"/>
  <c r="A1945" i="8"/>
  <c r="A1946" i="8"/>
  <c r="A1947" i="8"/>
  <c r="A1948" i="8"/>
  <c r="A1949" i="8"/>
  <c r="A1950" i="8"/>
  <c r="A1951" i="8"/>
  <c r="A1952" i="8"/>
  <c r="A1953" i="8"/>
  <c r="A1954" i="8"/>
  <c r="A1955" i="8"/>
  <c r="A1956" i="8"/>
  <c r="A1957" i="8"/>
  <c r="A1958" i="8"/>
  <c r="A1959" i="8"/>
  <c r="A1960" i="8"/>
  <c r="A1961" i="8"/>
  <c r="A1962" i="8"/>
  <c r="A1963" i="8"/>
  <c r="A1964" i="8"/>
  <c r="A1965" i="8"/>
  <c r="A1966" i="8"/>
  <c r="A1967" i="8"/>
  <c r="A1968" i="8"/>
  <c r="A1969" i="8"/>
  <c r="A1970" i="8"/>
  <c r="A1971" i="8"/>
  <c r="A1972" i="8"/>
  <c r="A1973" i="8"/>
  <c r="A1974" i="8"/>
  <c r="A1975" i="8"/>
  <c r="A1976" i="8"/>
  <c r="A1977" i="8"/>
  <c r="A1978" i="8"/>
  <c r="A1979" i="8"/>
  <c r="A1980" i="8"/>
  <c r="A1981" i="8"/>
  <c r="A1982" i="8"/>
  <c r="A1983" i="8"/>
  <c r="A1984" i="8"/>
  <c r="A1985" i="8"/>
  <c r="A1986" i="8"/>
  <c r="A1987" i="8"/>
  <c r="A1988" i="8"/>
  <c r="A1989" i="8"/>
  <c r="A1990" i="8"/>
  <c r="A1991" i="8"/>
  <c r="A1992" i="8"/>
  <c r="A1993" i="8"/>
  <c r="A1994" i="8"/>
  <c r="A1995" i="8"/>
  <c r="A1996" i="8"/>
  <c r="A1997" i="8"/>
  <c r="A1998" i="8"/>
  <c r="A1999" i="8"/>
  <c r="A2000" i="8"/>
  <c r="A2001" i="8"/>
  <c r="A2002" i="8"/>
  <c r="A2003" i="8"/>
  <c r="A2004" i="8"/>
  <c r="A2005" i="8"/>
  <c r="A2006" i="8"/>
  <c r="A2007" i="8"/>
  <c r="A2008" i="8"/>
  <c r="A2009" i="8"/>
  <c r="A2010" i="8"/>
  <c r="A2011" i="8"/>
  <c r="A2012" i="8"/>
  <c r="A2013" i="8"/>
  <c r="A2014" i="8"/>
  <c r="A2015" i="8"/>
  <c r="A2016" i="8"/>
  <c r="A2017" i="8"/>
  <c r="A2018" i="8"/>
  <c r="A2019" i="8"/>
  <c r="A2020" i="8"/>
  <c r="A2021" i="8"/>
  <c r="A2022" i="8"/>
  <c r="A2023" i="8"/>
  <c r="A2024" i="8"/>
  <c r="A2025" i="8"/>
  <c r="A2026" i="8"/>
  <c r="A2027" i="8"/>
  <c r="A2028" i="8"/>
  <c r="A2029" i="8"/>
  <c r="A2030" i="8"/>
  <c r="A2031" i="8"/>
  <c r="A2032" i="8"/>
  <c r="A2033" i="8"/>
  <c r="A2034" i="8"/>
  <c r="A2035" i="8"/>
  <c r="A2036" i="8"/>
  <c r="A2037" i="8"/>
  <c r="A2038" i="8"/>
  <c r="A2039" i="8"/>
  <c r="A2040" i="8"/>
  <c r="A2041" i="8"/>
  <c r="A2042" i="8"/>
  <c r="A2043" i="8"/>
  <c r="A2044" i="8"/>
  <c r="A2045" i="8"/>
  <c r="A2046" i="8"/>
  <c r="A2047" i="8"/>
  <c r="A2048" i="8"/>
  <c r="A2049" i="8"/>
  <c r="A2050" i="8"/>
  <c r="A2051" i="8"/>
  <c r="A2052" i="8"/>
  <c r="A2053" i="8"/>
  <c r="A2054" i="8"/>
  <c r="A2055" i="8"/>
  <c r="A2056" i="8"/>
  <c r="A2057" i="8"/>
  <c r="A2058" i="8"/>
  <c r="A2059" i="8"/>
  <c r="A2060" i="8"/>
  <c r="A2061" i="8"/>
  <c r="A2062" i="8"/>
  <c r="A2063" i="8"/>
  <c r="A2064" i="8"/>
  <c r="A2065" i="8"/>
  <c r="A2066" i="8"/>
  <c r="A2067" i="8"/>
  <c r="A2068" i="8"/>
  <c r="A2069" i="8"/>
  <c r="A2070" i="8"/>
  <c r="A2071" i="8"/>
  <c r="A2072" i="8"/>
  <c r="A2073" i="8"/>
  <c r="A2074" i="8"/>
  <c r="A2075" i="8"/>
  <c r="A2076" i="8"/>
  <c r="A2077" i="8"/>
  <c r="A2078" i="8"/>
  <c r="A2079" i="8"/>
  <c r="A2080" i="8"/>
  <c r="A2081" i="8"/>
  <c r="A2082" i="8"/>
  <c r="A2083" i="8"/>
  <c r="A2084" i="8"/>
  <c r="A2085" i="8"/>
  <c r="A2086" i="8"/>
  <c r="A2087" i="8"/>
  <c r="A2088" i="8"/>
  <c r="A2089" i="8"/>
  <c r="A2090" i="8"/>
  <c r="A2091" i="8"/>
  <c r="A2092" i="8"/>
  <c r="A2093" i="8"/>
  <c r="A2094" i="8"/>
  <c r="A2095" i="8"/>
  <c r="A2096" i="8"/>
  <c r="A2097" i="8"/>
  <c r="A2098" i="8"/>
  <c r="A2099" i="8"/>
  <c r="A2100" i="8"/>
  <c r="A2101" i="8"/>
  <c r="A2102" i="8"/>
  <c r="A2103" i="8"/>
  <c r="A2104" i="8"/>
  <c r="A2105" i="8"/>
  <c r="A2106" i="8"/>
  <c r="A2107" i="8"/>
  <c r="A2108" i="8"/>
  <c r="A2109" i="8"/>
  <c r="A2110" i="8"/>
  <c r="A2111" i="8"/>
  <c r="A2112" i="8"/>
  <c r="A2113" i="8"/>
  <c r="A2114" i="8"/>
  <c r="A2115" i="8"/>
  <c r="A2116" i="8"/>
  <c r="A2117" i="8"/>
  <c r="A2118" i="8"/>
  <c r="A2119" i="8"/>
  <c r="A2120" i="8"/>
  <c r="A2121" i="8"/>
  <c r="A2122" i="8"/>
  <c r="A2123" i="8"/>
  <c r="A2124" i="8"/>
  <c r="A2125" i="8"/>
  <c r="A2126" i="8"/>
  <c r="A2127" i="8"/>
  <c r="A2128" i="8"/>
  <c r="A2129" i="8"/>
  <c r="A2130" i="8"/>
  <c r="A2131" i="8"/>
  <c r="A2132" i="8"/>
  <c r="A2133" i="8"/>
  <c r="A2134" i="8"/>
  <c r="A2135" i="8"/>
  <c r="A2136" i="8"/>
  <c r="A2137" i="8"/>
  <c r="A2138" i="8"/>
  <c r="A2139" i="8"/>
  <c r="A2140" i="8"/>
  <c r="A2141" i="8"/>
  <c r="A2142" i="8"/>
  <c r="A2143" i="8"/>
  <c r="A2144" i="8"/>
  <c r="A2145" i="8"/>
  <c r="A2146" i="8"/>
  <c r="A2147" i="8"/>
  <c r="A2148" i="8"/>
  <c r="A2149" i="8"/>
  <c r="A2150" i="8"/>
  <c r="A2151" i="8"/>
  <c r="A2152" i="8"/>
  <c r="A2153" i="8"/>
  <c r="A2154" i="8"/>
  <c r="A2155" i="8"/>
  <c r="A2156" i="8"/>
  <c r="A2157" i="8"/>
  <c r="A2158" i="8"/>
  <c r="A2159" i="8"/>
  <c r="A2160" i="8"/>
  <c r="A2161" i="8"/>
  <c r="A2162" i="8"/>
  <c r="A2163" i="8"/>
  <c r="A2164" i="8"/>
  <c r="A2165" i="8"/>
  <c r="A2166" i="8"/>
  <c r="A2167" i="8"/>
  <c r="A2168" i="8"/>
  <c r="A2169" i="8"/>
  <c r="A2170" i="8"/>
  <c r="A2171" i="8"/>
  <c r="A2172" i="8"/>
  <c r="A2173" i="8"/>
  <c r="A2174" i="8"/>
  <c r="A2175" i="8"/>
  <c r="A2176" i="8"/>
  <c r="A2177" i="8"/>
  <c r="A2178" i="8"/>
  <c r="A2179" i="8"/>
  <c r="A2180" i="8"/>
  <c r="A2181" i="8"/>
  <c r="A2182" i="8"/>
  <c r="A2183" i="8"/>
  <c r="A2184" i="8"/>
  <c r="A2185" i="8"/>
  <c r="A2186" i="8"/>
  <c r="A2187" i="8"/>
  <c r="A2188" i="8"/>
  <c r="A2189" i="8"/>
  <c r="A2190" i="8"/>
  <c r="A2191" i="8"/>
  <c r="A2192" i="8"/>
  <c r="A2193" i="8"/>
  <c r="A2194" i="8"/>
  <c r="A2195" i="8"/>
  <c r="A2196" i="8"/>
  <c r="A2197" i="8"/>
  <c r="A2198" i="8"/>
  <c r="A2199" i="8"/>
  <c r="A2200" i="8"/>
  <c r="A2201" i="8"/>
  <c r="A2202" i="8"/>
  <c r="A2203" i="8"/>
  <c r="A2204" i="8"/>
  <c r="A2205" i="8"/>
  <c r="A2206" i="8"/>
  <c r="A2207" i="8"/>
  <c r="A2208" i="8"/>
  <c r="A2209" i="8"/>
  <c r="A2210" i="8"/>
  <c r="A2211" i="8"/>
  <c r="A2212" i="8"/>
  <c r="A2213" i="8"/>
  <c r="A2214" i="8"/>
  <c r="A2215" i="8"/>
  <c r="A2216" i="8"/>
  <c r="A2217" i="8"/>
  <c r="A2218" i="8"/>
  <c r="A2219" i="8"/>
  <c r="A2220" i="8"/>
  <c r="A2221" i="8"/>
  <c r="A2222" i="8"/>
  <c r="A2223" i="8"/>
  <c r="A2224" i="8"/>
  <c r="A2225" i="8"/>
  <c r="A2226" i="8"/>
  <c r="A2227" i="8"/>
  <c r="A2228" i="8"/>
  <c r="A2229" i="8"/>
  <c r="A2230" i="8"/>
  <c r="A2231" i="8"/>
  <c r="A2232" i="8"/>
  <c r="A2233" i="8"/>
  <c r="A2234" i="8"/>
  <c r="A2235" i="8"/>
  <c r="A2236" i="8"/>
  <c r="A2237" i="8"/>
  <c r="A2238" i="8"/>
  <c r="A2239" i="8"/>
  <c r="A2240" i="8"/>
  <c r="A2241" i="8"/>
  <c r="A2242" i="8"/>
  <c r="A2243" i="8"/>
  <c r="A2244" i="8"/>
  <c r="A2245" i="8"/>
  <c r="A2246" i="8"/>
  <c r="A2247" i="8"/>
  <c r="A2248" i="8"/>
  <c r="A2249" i="8"/>
  <c r="A2250" i="8"/>
  <c r="A2251" i="8"/>
  <c r="A2252" i="8"/>
  <c r="A2253" i="8"/>
  <c r="A2254" i="8"/>
  <c r="A2255" i="8"/>
  <c r="A2256" i="8"/>
  <c r="A2257" i="8"/>
  <c r="A2258" i="8"/>
  <c r="A2259" i="8"/>
  <c r="A2260" i="8"/>
  <c r="A2261" i="8"/>
  <c r="A2262" i="8"/>
  <c r="A2263" i="8"/>
  <c r="A2264" i="8"/>
  <c r="A2265" i="8"/>
  <c r="A2266" i="8"/>
  <c r="A2267" i="8"/>
  <c r="A2268" i="8"/>
  <c r="A2269" i="8"/>
  <c r="A2270" i="8"/>
  <c r="A2271" i="8"/>
  <c r="A2272" i="8"/>
  <c r="A2273" i="8"/>
  <c r="A2274" i="8"/>
  <c r="A2275" i="8"/>
  <c r="A2276" i="8"/>
  <c r="A2277" i="8"/>
  <c r="A2278" i="8"/>
  <c r="A2279" i="8"/>
  <c r="A2280" i="8"/>
  <c r="A2281" i="8"/>
  <c r="A2282" i="8"/>
  <c r="A2283" i="8"/>
  <c r="A2284" i="8"/>
  <c r="A2285" i="8"/>
  <c r="A2286" i="8"/>
  <c r="A2287" i="8"/>
  <c r="A2288" i="8"/>
  <c r="A2289" i="8"/>
  <c r="A2290" i="8"/>
  <c r="A2291" i="8"/>
  <c r="A2292" i="8"/>
  <c r="A2293" i="8"/>
  <c r="A2294" i="8"/>
  <c r="A2295" i="8"/>
  <c r="A2296" i="8"/>
  <c r="A2297" i="8"/>
  <c r="A2298" i="8"/>
  <c r="A2299" i="8"/>
  <c r="A2300" i="8"/>
  <c r="A2301" i="8"/>
  <c r="A2302" i="8"/>
  <c r="A2303" i="8"/>
  <c r="A2304" i="8"/>
  <c r="A2305" i="8"/>
  <c r="A2306" i="8"/>
  <c r="A2307" i="8"/>
  <c r="A2308" i="8"/>
  <c r="A2309" i="8"/>
  <c r="A2310" i="8"/>
  <c r="A2311" i="8"/>
  <c r="A2312" i="8"/>
  <c r="A2313" i="8"/>
  <c r="A2314" i="8"/>
  <c r="A2315" i="8"/>
  <c r="A2316" i="8"/>
  <c r="A2317" i="8"/>
  <c r="A2318" i="8"/>
  <c r="A2319" i="8"/>
  <c r="A2320" i="8"/>
  <c r="A2321" i="8"/>
  <c r="A2322" i="8"/>
  <c r="A2323" i="8"/>
  <c r="A2324" i="8"/>
  <c r="A2325" i="8"/>
  <c r="A2326" i="8"/>
  <c r="A2327" i="8"/>
  <c r="A2328" i="8"/>
  <c r="A2329" i="8"/>
  <c r="A2330" i="8"/>
  <c r="A2331" i="8"/>
  <c r="A2332" i="8"/>
  <c r="A2333" i="8"/>
  <c r="A2334" i="8"/>
  <c r="A2335" i="8"/>
  <c r="A2336" i="8"/>
  <c r="A2337" i="8"/>
  <c r="A2338" i="8"/>
  <c r="A2339" i="8"/>
  <c r="A2340" i="8"/>
  <c r="A2341" i="8"/>
  <c r="A2342" i="8"/>
  <c r="A2343" i="8"/>
  <c r="A2344" i="8"/>
  <c r="A2345" i="8"/>
  <c r="A2346" i="8"/>
  <c r="A2347" i="8"/>
  <c r="A2348" i="8"/>
  <c r="A2349" i="8"/>
  <c r="A2350" i="8"/>
  <c r="A2351" i="8"/>
  <c r="A2352" i="8"/>
  <c r="A2353" i="8"/>
  <c r="A2354" i="8"/>
  <c r="A2355" i="8"/>
  <c r="A2356" i="8"/>
  <c r="A2357" i="8"/>
  <c r="A2358" i="8"/>
  <c r="A2359" i="8"/>
  <c r="A2360" i="8"/>
  <c r="A2361" i="8"/>
  <c r="A2362" i="8"/>
  <c r="A2363" i="8"/>
  <c r="A2364" i="8"/>
  <c r="A2365" i="8"/>
  <c r="A2366" i="8"/>
  <c r="A2367" i="8"/>
  <c r="A2368" i="8"/>
  <c r="A2369" i="8"/>
  <c r="A2370" i="8"/>
  <c r="A2371" i="8"/>
  <c r="A2372" i="8"/>
  <c r="A2373" i="8"/>
  <c r="A2374" i="8"/>
  <c r="A2375" i="8"/>
  <c r="A2376" i="8"/>
  <c r="A2377" i="8"/>
  <c r="A2378" i="8"/>
  <c r="A2379" i="8"/>
  <c r="A2380" i="8"/>
  <c r="A2381" i="8"/>
  <c r="A2382" i="8"/>
  <c r="A2383" i="8"/>
  <c r="A2384" i="8"/>
  <c r="A2385" i="8"/>
  <c r="A2386" i="8"/>
  <c r="A2387" i="8"/>
  <c r="A2388" i="8"/>
  <c r="A2389" i="8"/>
  <c r="A2390" i="8"/>
  <c r="A2391" i="8"/>
  <c r="A2392" i="8"/>
  <c r="A2393" i="8"/>
  <c r="A2394" i="8"/>
  <c r="A2395" i="8"/>
  <c r="A2396" i="8"/>
  <c r="A2397" i="8"/>
  <c r="A2398" i="8"/>
  <c r="A2399" i="8"/>
  <c r="A2400" i="8"/>
  <c r="A2401" i="8"/>
  <c r="A2402" i="8"/>
  <c r="A2403" i="8"/>
  <c r="A2404" i="8"/>
  <c r="A2405" i="8"/>
  <c r="A2406" i="8"/>
  <c r="A2407" i="8"/>
  <c r="A2408" i="8"/>
  <c r="A2409" i="8"/>
  <c r="A2410" i="8"/>
  <c r="A2411" i="8"/>
  <c r="A2412" i="8"/>
  <c r="A2413" i="8"/>
  <c r="A2414" i="8"/>
  <c r="A2415" i="8"/>
  <c r="A2416" i="8"/>
  <c r="A2417" i="8"/>
  <c r="A2418" i="8"/>
  <c r="A2419" i="8"/>
  <c r="A2420" i="8"/>
  <c r="A2421" i="8"/>
  <c r="A2422" i="8"/>
  <c r="A2423" i="8"/>
  <c r="A2424" i="8"/>
  <c r="A2425" i="8"/>
  <c r="A2426" i="8"/>
  <c r="A2427" i="8"/>
  <c r="A2428" i="8"/>
  <c r="A2429" i="8"/>
  <c r="A2430" i="8"/>
  <c r="A2431" i="8"/>
  <c r="A2432" i="8"/>
  <c r="A2433" i="8"/>
  <c r="A2434" i="8"/>
  <c r="A2435" i="8"/>
  <c r="A2436" i="8"/>
  <c r="A2437" i="8"/>
  <c r="A2438" i="8"/>
  <c r="A2439" i="8"/>
  <c r="A2440" i="8"/>
  <c r="A2441" i="8"/>
  <c r="A2442" i="8"/>
  <c r="A2443" i="8"/>
  <c r="A2444" i="8"/>
  <c r="A2445" i="8"/>
  <c r="A2446" i="8"/>
  <c r="A2447" i="8"/>
  <c r="A2448" i="8"/>
  <c r="A2449" i="8"/>
  <c r="A2450" i="8"/>
  <c r="A2451" i="8"/>
  <c r="A2452" i="8"/>
  <c r="A2453" i="8"/>
  <c r="A2454" i="8"/>
  <c r="A2455" i="8"/>
  <c r="A2456" i="8"/>
  <c r="A2457" i="8"/>
  <c r="A2458" i="8"/>
  <c r="A2459" i="8"/>
  <c r="A2460" i="8"/>
  <c r="A2461" i="8"/>
  <c r="A2462" i="8"/>
  <c r="A2463" i="8"/>
  <c r="A2464" i="8"/>
  <c r="A2465" i="8"/>
  <c r="A2466" i="8"/>
  <c r="A2467" i="8"/>
  <c r="A2468" i="8"/>
  <c r="A2469" i="8"/>
  <c r="A2470" i="8"/>
  <c r="A2471" i="8"/>
  <c r="A2472" i="8"/>
  <c r="A2473" i="8"/>
  <c r="A2474" i="8"/>
  <c r="A2475" i="8"/>
  <c r="A2476" i="8"/>
  <c r="A2477" i="8"/>
  <c r="A2478" i="8"/>
  <c r="A2479" i="8"/>
  <c r="A2480" i="8"/>
  <c r="A2481" i="8"/>
  <c r="A2482" i="8"/>
  <c r="A2483" i="8"/>
  <c r="A2484" i="8"/>
  <c r="A2485" i="8"/>
  <c r="A2486" i="8"/>
  <c r="A2487" i="8"/>
  <c r="A2488" i="8"/>
  <c r="A2489" i="8"/>
  <c r="A2490" i="8"/>
  <c r="A2491" i="8"/>
  <c r="A2492" i="8"/>
  <c r="A2493" i="8"/>
  <c r="A2494" i="8"/>
  <c r="A2495" i="8"/>
  <c r="A2496" i="8"/>
  <c r="A2497" i="8"/>
  <c r="A2498" i="8"/>
  <c r="A2499" i="8"/>
  <c r="A2500" i="8"/>
  <c r="A2501" i="8"/>
  <c r="A2502" i="8"/>
  <c r="A2503" i="8"/>
  <c r="A2504" i="8"/>
  <c r="A2505" i="8"/>
  <c r="A2506" i="8"/>
  <c r="A2507" i="8"/>
  <c r="A2508" i="8"/>
  <c r="A2509" i="8"/>
  <c r="A2510" i="8"/>
  <c r="A2511" i="8"/>
  <c r="A2512" i="8"/>
  <c r="A2513" i="8"/>
  <c r="A2514" i="8"/>
  <c r="A2515" i="8"/>
  <c r="A2516" i="8"/>
  <c r="A2517" i="8"/>
  <c r="A2518" i="8"/>
  <c r="A2519" i="8"/>
  <c r="A2520" i="8"/>
  <c r="A2521" i="8"/>
  <c r="A2522" i="8"/>
  <c r="A2523" i="8"/>
  <c r="A2524" i="8"/>
  <c r="A2525" i="8"/>
  <c r="A2526" i="8"/>
  <c r="A2527" i="8"/>
  <c r="A2528" i="8"/>
  <c r="A2529" i="8"/>
  <c r="A2530" i="8"/>
  <c r="A2531" i="8"/>
  <c r="A2532" i="8"/>
  <c r="A2533" i="8"/>
  <c r="A2534" i="8"/>
  <c r="A2535" i="8"/>
  <c r="A2536" i="8"/>
  <c r="A2537" i="8"/>
  <c r="A2538" i="8"/>
  <c r="A2539" i="8"/>
  <c r="A2540" i="8"/>
  <c r="A2541" i="8"/>
  <c r="A2542" i="8"/>
  <c r="A2543" i="8"/>
  <c r="A2544" i="8"/>
  <c r="A2545" i="8"/>
  <c r="A2546" i="8"/>
  <c r="A2547" i="8"/>
  <c r="A2548" i="8"/>
  <c r="A2549" i="8"/>
  <c r="A2550" i="8"/>
  <c r="A2551" i="8"/>
  <c r="A2552" i="8"/>
  <c r="A2553" i="8"/>
  <c r="A2554" i="8"/>
  <c r="A2555" i="8"/>
  <c r="A2556" i="8"/>
  <c r="A2557" i="8"/>
  <c r="A2558" i="8"/>
  <c r="A2559" i="8"/>
  <c r="A2560" i="8"/>
  <c r="A2561" i="8"/>
  <c r="A2562" i="8"/>
  <c r="A2563" i="8"/>
  <c r="A2564" i="8"/>
  <c r="A2565" i="8"/>
  <c r="A2566" i="8"/>
  <c r="A2567" i="8"/>
  <c r="A2568" i="8"/>
  <c r="A2569" i="8"/>
  <c r="A2570" i="8"/>
  <c r="A2571" i="8"/>
  <c r="A2572" i="8"/>
  <c r="A2573" i="8"/>
  <c r="A2574" i="8"/>
  <c r="A2575" i="8"/>
  <c r="A2576" i="8"/>
  <c r="A2577" i="8"/>
  <c r="A2578" i="8"/>
  <c r="A2579" i="8"/>
  <c r="A2580" i="8"/>
  <c r="A2581" i="8"/>
  <c r="A2582" i="8"/>
  <c r="A2583" i="8"/>
  <c r="A2584" i="8"/>
  <c r="A2585" i="8"/>
  <c r="A2586" i="8"/>
  <c r="A2587" i="8"/>
  <c r="A2588" i="8"/>
  <c r="A2589" i="8"/>
  <c r="A2590" i="8"/>
  <c r="A2591" i="8"/>
  <c r="A2592" i="8"/>
  <c r="A2593" i="8"/>
  <c r="A2594" i="8"/>
  <c r="A2595" i="8"/>
  <c r="A2596" i="8"/>
  <c r="A2597" i="8"/>
  <c r="A2598" i="8"/>
  <c r="A2599" i="8"/>
  <c r="A2600" i="8"/>
  <c r="A2601" i="8"/>
  <c r="A2602" i="8"/>
  <c r="A2603" i="8"/>
  <c r="A2604" i="8"/>
  <c r="A2605" i="8"/>
  <c r="A2606" i="8"/>
  <c r="A2607" i="8"/>
  <c r="A2608" i="8"/>
  <c r="A2609" i="8"/>
  <c r="A2610" i="8"/>
  <c r="A2611" i="8"/>
  <c r="A2612" i="8"/>
  <c r="A2613" i="8"/>
  <c r="A2614" i="8"/>
  <c r="A2615" i="8"/>
  <c r="A2616" i="8"/>
  <c r="A2617" i="8"/>
  <c r="A2618" i="8"/>
  <c r="A2619" i="8"/>
  <c r="A2620" i="8"/>
  <c r="A2621" i="8"/>
  <c r="A2622" i="8"/>
  <c r="A2623" i="8"/>
  <c r="A2624" i="8"/>
  <c r="A2625" i="8"/>
  <c r="A2626" i="8"/>
  <c r="A2627" i="8"/>
  <c r="A2628" i="8"/>
  <c r="A2629" i="8"/>
  <c r="A2630" i="8"/>
  <c r="A2631" i="8"/>
  <c r="A2632" i="8"/>
  <c r="A2633" i="8"/>
  <c r="A2634" i="8"/>
  <c r="A2635" i="8"/>
  <c r="A2636" i="8"/>
  <c r="A2637" i="8"/>
  <c r="A2638" i="8"/>
  <c r="A2639" i="8"/>
  <c r="A2640" i="8"/>
  <c r="A2641" i="8"/>
  <c r="A2642" i="8"/>
  <c r="A2643" i="8"/>
  <c r="A2644" i="8"/>
  <c r="A2645" i="8"/>
  <c r="A2646" i="8"/>
  <c r="A2647" i="8"/>
  <c r="A2648" i="8"/>
  <c r="A2649" i="8"/>
  <c r="A2650" i="8"/>
  <c r="A2651" i="8"/>
  <c r="A2652" i="8"/>
  <c r="A2653" i="8"/>
  <c r="A2654" i="8"/>
  <c r="A2655" i="8"/>
  <c r="A2656" i="8"/>
  <c r="A2657" i="8"/>
  <c r="A2658" i="8"/>
  <c r="A2659" i="8"/>
  <c r="A2660" i="8"/>
  <c r="A2661" i="8"/>
  <c r="A2662" i="8"/>
  <c r="A2663" i="8"/>
  <c r="A2664" i="8"/>
  <c r="A2665" i="8"/>
  <c r="A2666" i="8"/>
  <c r="A2667" i="8"/>
  <c r="A2668" i="8"/>
  <c r="A2669" i="8"/>
  <c r="A2670" i="8"/>
  <c r="A2671" i="8"/>
  <c r="A2672" i="8"/>
  <c r="A2673" i="8"/>
  <c r="A2674" i="8"/>
  <c r="A2675" i="8"/>
  <c r="A2676" i="8"/>
  <c r="A2677" i="8"/>
  <c r="A2678" i="8"/>
  <c r="A2679" i="8"/>
  <c r="A2680" i="8"/>
  <c r="A2681" i="8"/>
  <c r="A2682" i="8"/>
  <c r="A2683" i="8"/>
  <c r="A2684" i="8"/>
  <c r="A2685" i="8"/>
  <c r="A2686" i="8"/>
  <c r="A2687" i="8"/>
  <c r="A2688" i="8"/>
  <c r="A2689" i="8"/>
  <c r="A2690" i="8"/>
  <c r="A2691" i="8"/>
  <c r="A2692" i="8"/>
  <c r="A2693" i="8"/>
  <c r="A2694" i="8"/>
  <c r="A2695" i="8"/>
  <c r="A2696" i="8"/>
  <c r="A2697" i="8"/>
  <c r="A2698" i="8"/>
  <c r="A2699" i="8"/>
  <c r="A2700" i="8"/>
  <c r="A2701" i="8"/>
  <c r="A2702" i="8"/>
  <c r="A2703" i="8"/>
  <c r="A2704" i="8"/>
  <c r="A2705" i="8"/>
  <c r="A2706" i="8"/>
  <c r="A2707" i="8"/>
  <c r="A2708" i="8"/>
  <c r="A2709" i="8"/>
  <c r="A2710" i="8"/>
  <c r="A2711" i="8"/>
  <c r="A2712" i="8"/>
  <c r="A2713" i="8"/>
  <c r="A2714" i="8"/>
  <c r="A2715" i="8"/>
  <c r="A2716" i="8"/>
  <c r="A2717" i="8"/>
  <c r="A2718" i="8"/>
  <c r="A2719" i="8"/>
  <c r="A2720" i="8"/>
  <c r="A2721" i="8"/>
  <c r="A2722" i="8"/>
  <c r="A2723" i="8"/>
  <c r="A2724" i="8"/>
  <c r="A2725" i="8"/>
  <c r="A2726" i="8"/>
  <c r="A2727" i="8"/>
  <c r="A2728" i="8"/>
  <c r="A2729" i="8"/>
  <c r="A2730" i="8"/>
  <c r="A2731" i="8"/>
  <c r="A2732" i="8"/>
  <c r="A2733" i="8"/>
  <c r="A2734" i="8"/>
  <c r="A2735" i="8"/>
  <c r="A2736" i="8"/>
  <c r="A2737" i="8"/>
  <c r="A2738" i="8"/>
  <c r="A2739" i="8"/>
  <c r="A2740" i="8"/>
  <c r="A2741" i="8"/>
  <c r="A2742" i="8"/>
  <c r="A2743" i="8"/>
  <c r="A2744" i="8"/>
  <c r="A2745" i="8"/>
  <c r="A2746" i="8"/>
  <c r="A2747" i="8"/>
  <c r="A2748" i="8"/>
  <c r="A2749" i="8"/>
  <c r="A2750" i="8"/>
  <c r="A2751" i="8"/>
  <c r="A2752" i="8"/>
  <c r="A2753" i="8"/>
  <c r="A2754" i="8"/>
  <c r="A2755" i="8"/>
  <c r="A2756" i="8"/>
  <c r="A2757" i="8"/>
  <c r="A2758" i="8"/>
  <c r="A2759" i="8"/>
  <c r="A2760" i="8"/>
  <c r="A2761" i="8"/>
  <c r="A2762" i="8"/>
  <c r="A2763" i="8"/>
  <c r="A2764" i="8"/>
  <c r="A2765" i="8"/>
  <c r="A2766" i="8"/>
  <c r="A2767" i="8"/>
  <c r="A2768" i="8"/>
  <c r="A2769" i="8"/>
  <c r="A2770" i="8"/>
  <c r="A2771" i="8"/>
  <c r="A2772" i="8"/>
  <c r="A2773" i="8"/>
  <c r="A2774" i="8"/>
  <c r="A2775" i="8"/>
  <c r="A2776" i="8"/>
  <c r="A2777" i="8"/>
  <c r="A2778" i="8"/>
  <c r="A2779" i="8"/>
  <c r="A2780" i="8"/>
  <c r="A2781" i="8"/>
  <c r="A2782" i="8"/>
  <c r="A2783" i="8"/>
  <c r="A2784" i="8"/>
  <c r="A2785" i="8"/>
  <c r="A2786" i="8"/>
  <c r="A2787" i="8"/>
  <c r="A2788" i="8"/>
  <c r="A2789" i="8"/>
  <c r="A2790" i="8"/>
  <c r="A2791" i="8"/>
  <c r="A2792" i="8"/>
  <c r="A2793" i="8"/>
  <c r="A2794" i="8"/>
  <c r="A2795" i="8"/>
  <c r="A2796" i="8"/>
  <c r="A2797" i="8"/>
  <c r="A2798" i="8"/>
  <c r="A2799" i="8"/>
  <c r="A2800" i="8"/>
  <c r="A2801" i="8"/>
  <c r="A2802" i="8"/>
  <c r="A2803" i="8"/>
  <c r="A2804" i="8"/>
  <c r="A2805" i="8"/>
  <c r="A2806" i="8"/>
  <c r="A2807" i="8"/>
  <c r="A2808" i="8"/>
  <c r="A2809" i="8"/>
  <c r="A2810" i="8"/>
  <c r="A2811" i="8"/>
  <c r="A2812" i="8"/>
  <c r="A2813" i="8"/>
  <c r="A2814" i="8"/>
  <c r="A2815" i="8"/>
  <c r="A2816" i="8"/>
  <c r="A2817" i="8"/>
  <c r="A2818" i="8"/>
  <c r="A2819" i="8"/>
  <c r="A2820" i="8"/>
  <c r="A2821" i="8"/>
  <c r="A2822" i="8"/>
  <c r="A2823" i="8"/>
  <c r="A2824" i="8"/>
  <c r="A2825" i="8"/>
  <c r="A2826" i="8"/>
  <c r="A2827" i="8"/>
  <c r="A2828" i="8"/>
  <c r="A2829" i="8"/>
  <c r="A2830" i="8"/>
  <c r="A2831" i="8"/>
  <c r="A2832" i="8"/>
  <c r="A2833" i="8"/>
  <c r="A2834" i="8"/>
  <c r="A2835" i="8"/>
  <c r="A2836" i="8"/>
  <c r="A2837" i="8"/>
  <c r="A2838" i="8"/>
  <c r="A2839" i="8"/>
  <c r="A2840" i="8"/>
  <c r="A2841" i="8"/>
  <c r="A2842" i="8"/>
  <c r="A2843" i="8"/>
  <c r="A2844" i="8"/>
  <c r="A2845" i="8"/>
  <c r="A2846" i="8"/>
  <c r="A2847" i="8"/>
  <c r="A2848" i="8"/>
  <c r="A2849" i="8"/>
  <c r="A2850" i="8"/>
  <c r="A2851" i="8"/>
  <c r="A2852" i="8"/>
  <c r="A2853" i="8"/>
  <c r="A2854" i="8"/>
  <c r="A2855" i="8"/>
  <c r="A2856" i="8"/>
  <c r="A2857" i="8"/>
  <c r="A2858" i="8"/>
  <c r="A2859" i="8"/>
  <c r="A2860" i="8"/>
  <c r="A2861" i="8"/>
  <c r="A2862" i="8"/>
  <c r="A2863" i="8"/>
  <c r="A2864" i="8"/>
  <c r="A2865" i="8"/>
  <c r="A2866" i="8"/>
  <c r="A2867" i="8"/>
  <c r="A2868" i="8"/>
  <c r="A2869" i="8"/>
  <c r="A2870" i="8"/>
  <c r="A2871" i="8"/>
  <c r="A2872" i="8"/>
  <c r="A2873" i="8"/>
  <c r="A2874" i="8"/>
  <c r="A2875" i="8"/>
  <c r="A2876" i="8"/>
  <c r="A2877" i="8"/>
  <c r="A2878" i="8"/>
  <c r="A2879" i="8"/>
  <c r="A2880" i="8"/>
  <c r="A2881" i="8"/>
  <c r="A2882" i="8"/>
  <c r="A2883" i="8"/>
  <c r="A2884" i="8"/>
  <c r="A2885" i="8"/>
  <c r="A2886" i="8"/>
  <c r="A2887" i="8"/>
  <c r="A2888" i="8"/>
  <c r="A2889" i="8"/>
  <c r="A2890" i="8"/>
  <c r="A2891" i="8"/>
  <c r="A2892" i="8"/>
  <c r="A2893" i="8"/>
  <c r="A2894" i="8"/>
  <c r="A2895" i="8"/>
  <c r="A2896" i="8"/>
  <c r="A2897" i="8"/>
  <c r="A2898" i="8"/>
  <c r="A2899" i="8"/>
  <c r="A2900" i="8"/>
  <c r="A2901" i="8"/>
  <c r="A2902" i="8"/>
  <c r="A2903" i="8"/>
  <c r="A2904" i="8"/>
  <c r="A2905" i="8"/>
  <c r="A2906" i="8"/>
  <c r="A2907" i="8"/>
  <c r="A2908" i="8"/>
  <c r="A2909" i="8"/>
  <c r="A2910" i="8"/>
  <c r="A2911" i="8"/>
  <c r="A2912" i="8"/>
  <c r="A2913" i="8"/>
  <c r="A2914" i="8"/>
  <c r="A2915" i="8"/>
  <c r="A2916" i="8"/>
  <c r="A2917" i="8"/>
  <c r="A2918" i="8"/>
  <c r="A2919" i="8"/>
  <c r="A2920" i="8"/>
  <c r="A2921" i="8"/>
  <c r="A2922" i="8"/>
  <c r="A2923" i="8"/>
  <c r="A2924" i="8"/>
  <c r="A2925" i="8"/>
  <c r="A2926" i="8"/>
  <c r="A2927" i="8"/>
  <c r="A2928" i="8"/>
  <c r="A2929" i="8"/>
  <c r="A2930" i="8"/>
  <c r="A2931" i="8"/>
  <c r="A2932" i="8"/>
  <c r="A2933" i="8"/>
  <c r="A2934" i="8"/>
  <c r="A2935" i="8"/>
  <c r="A2936" i="8"/>
  <c r="A2937" i="8"/>
  <c r="A2938" i="8"/>
  <c r="A2939" i="8"/>
  <c r="A2940" i="8"/>
  <c r="A2941" i="8"/>
  <c r="A2942" i="8"/>
  <c r="A2943" i="8"/>
  <c r="A2944" i="8"/>
  <c r="A2945" i="8"/>
  <c r="A2946" i="8"/>
  <c r="A2947" i="8"/>
  <c r="A2948" i="8"/>
  <c r="A2949" i="8"/>
  <c r="A2950" i="8"/>
  <c r="A2951" i="8"/>
  <c r="A2952" i="8"/>
  <c r="A2953" i="8"/>
  <c r="A2954" i="8"/>
  <c r="A2955" i="8"/>
  <c r="A2956" i="8"/>
  <c r="A2957" i="8"/>
  <c r="A2958" i="8"/>
  <c r="A2959" i="8"/>
  <c r="A2960" i="8"/>
  <c r="A2961" i="8"/>
  <c r="A2962" i="8"/>
  <c r="A2963" i="8"/>
  <c r="A2964" i="8"/>
  <c r="A2965" i="8"/>
  <c r="A2966" i="8"/>
  <c r="A2967" i="8"/>
  <c r="A2968" i="8"/>
  <c r="A2969" i="8"/>
  <c r="A2970" i="8"/>
  <c r="A2971" i="8"/>
  <c r="A2972" i="8"/>
  <c r="A2973" i="8"/>
  <c r="A2974" i="8"/>
  <c r="A2975" i="8"/>
  <c r="A2976" i="8"/>
  <c r="A2977" i="8"/>
  <c r="A2978" i="8"/>
  <c r="A2979" i="8"/>
  <c r="A2980" i="8"/>
  <c r="A2981" i="8"/>
  <c r="A2982" i="8"/>
  <c r="A2983" i="8"/>
  <c r="A2984" i="8"/>
  <c r="A2985" i="8"/>
  <c r="A2986" i="8"/>
  <c r="A2987" i="8"/>
  <c r="A2988" i="8"/>
  <c r="A2989" i="8"/>
  <c r="A2990" i="8"/>
  <c r="A2991" i="8"/>
  <c r="A2992" i="8"/>
  <c r="A2993" i="8"/>
  <c r="A2994" i="8"/>
  <c r="A2995" i="8"/>
  <c r="A2996" i="8"/>
  <c r="A2997" i="8"/>
  <c r="A2998" i="8"/>
  <c r="A2999" i="8"/>
  <c r="A3000" i="8"/>
  <c r="A3001" i="8"/>
  <c r="A3002" i="8"/>
  <c r="A3003" i="8"/>
  <c r="A3004" i="8"/>
  <c r="A3005" i="8"/>
  <c r="A3006" i="8"/>
  <c r="A3007" i="8"/>
  <c r="A3008" i="8"/>
  <c r="A3009" i="8"/>
  <c r="A3010" i="8"/>
  <c r="A3011" i="8"/>
  <c r="A3012" i="8"/>
  <c r="A3013" i="8"/>
  <c r="A3014" i="8"/>
  <c r="A3015" i="8"/>
  <c r="A3016" i="8"/>
  <c r="A3017" i="8"/>
  <c r="A3018" i="8"/>
  <c r="A3019" i="8"/>
  <c r="A3020" i="8"/>
  <c r="A3021" i="8"/>
  <c r="A3022" i="8"/>
  <c r="A3023" i="8"/>
  <c r="A3024" i="8"/>
  <c r="A3025" i="8"/>
  <c r="A3026" i="8"/>
  <c r="A3027" i="8"/>
  <c r="A3028" i="8"/>
  <c r="A3029" i="8"/>
  <c r="A3030" i="8"/>
  <c r="A3031" i="8"/>
  <c r="A3032" i="8"/>
  <c r="A3033" i="8"/>
  <c r="A3034" i="8"/>
  <c r="A3035" i="8"/>
  <c r="A3036" i="8"/>
  <c r="A3037" i="8"/>
  <c r="A3038" i="8"/>
  <c r="A3039" i="8"/>
  <c r="A3040" i="8"/>
  <c r="A3041" i="8"/>
  <c r="A3042" i="8"/>
  <c r="A3043" i="8"/>
  <c r="A3044" i="8"/>
  <c r="A3045" i="8"/>
  <c r="A3046" i="8"/>
  <c r="A3047" i="8"/>
  <c r="A3048" i="8"/>
  <c r="A3049" i="8"/>
  <c r="A3050" i="8"/>
  <c r="A3051" i="8"/>
  <c r="A3052" i="8"/>
  <c r="A3053" i="8"/>
  <c r="A3054" i="8"/>
  <c r="A3055" i="8"/>
  <c r="A3056" i="8"/>
  <c r="A3057" i="8"/>
  <c r="A3058" i="8"/>
  <c r="A3059" i="8"/>
  <c r="A3060" i="8"/>
  <c r="A3061" i="8"/>
  <c r="A3062" i="8"/>
  <c r="A3063" i="8"/>
  <c r="A3064" i="8"/>
  <c r="A3065" i="8"/>
  <c r="A3066" i="8"/>
  <c r="A3067" i="8"/>
  <c r="A3068" i="8"/>
  <c r="A3069" i="8"/>
  <c r="A3070" i="8"/>
  <c r="A3071" i="8"/>
  <c r="A3072" i="8"/>
  <c r="A3073" i="8"/>
  <c r="A3074" i="8"/>
  <c r="A3075" i="8"/>
  <c r="A3076" i="8"/>
  <c r="A3077" i="8"/>
  <c r="A3078" i="8"/>
  <c r="A3079" i="8"/>
  <c r="A3080" i="8"/>
  <c r="A3081" i="8"/>
  <c r="A3082" i="8"/>
  <c r="A3083" i="8"/>
  <c r="A3084" i="8"/>
  <c r="A3085" i="8"/>
  <c r="A3086" i="8"/>
  <c r="A3087" i="8"/>
  <c r="A3088" i="8"/>
  <c r="A3089" i="8"/>
  <c r="A3090" i="8"/>
  <c r="A3091" i="8"/>
  <c r="A3092" i="8"/>
  <c r="A3093" i="8"/>
  <c r="A3094" i="8"/>
  <c r="A3095" i="8"/>
  <c r="A3096" i="8"/>
  <c r="A3097" i="8"/>
  <c r="A3098" i="8"/>
  <c r="A3099" i="8"/>
  <c r="A3100" i="8"/>
  <c r="A3101" i="8"/>
  <c r="A3102" i="8"/>
  <c r="A3103" i="8"/>
  <c r="A3104" i="8"/>
  <c r="A3105" i="8"/>
  <c r="A3106" i="8"/>
  <c r="A3107" i="8"/>
  <c r="A3108" i="8"/>
  <c r="A3109" i="8"/>
  <c r="A3110" i="8"/>
  <c r="A3111" i="8"/>
  <c r="A3112" i="8"/>
  <c r="A3113" i="8"/>
  <c r="A3114" i="8"/>
  <c r="A3115" i="8"/>
  <c r="A3116" i="8"/>
  <c r="A3117" i="8"/>
  <c r="A3118" i="8"/>
  <c r="A3119" i="8"/>
  <c r="A3120" i="8"/>
  <c r="A3121" i="8"/>
  <c r="A3122" i="8"/>
  <c r="A3123" i="8"/>
  <c r="A3124" i="8"/>
  <c r="A3125" i="8"/>
  <c r="A3126" i="8"/>
  <c r="A3127" i="8"/>
  <c r="A3128" i="8"/>
  <c r="A3129" i="8"/>
  <c r="A3130" i="8"/>
  <c r="A3131" i="8"/>
  <c r="A3132" i="8"/>
  <c r="A3133" i="8"/>
  <c r="A3134" i="8"/>
  <c r="A3135" i="8"/>
  <c r="A3136" i="8"/>
  <c r="A3137" i="8"/>
  <c r="A3138" i="8"/>
  <c r="A3139" i="8"/>
  <c r="A3140" i="8"/>
  <c r="A3141" i="8"/>
  <c r="A3142" i="8"/>
  <c r="A3143" i="8"/>
  <c r="A3144" i="8"/>
  <c r="A3145" i="8"/>
  <c r="A3146" i="8"/>
  <c r="A3147" i="8"/>
  <c r="A3148" i="8"/>
  <c r="A3149" i="8"/>
  <c r="A3150" i="8"/>
  <c r="A3151" i="8"/>
  <c r="A3152" i="8"/>
  <c r="A3153" i="8"/>
  <c r="A3154" i="8"/>
  <c r="A3155" i="8"/>
  <c r="A3156" i="8"/>
  <c r="A3157" i="8"/>
  <c r="A3158" i="8"/>
  <c r="A3159" i="8"/>
  <c r="A3160" i="8"/>
  <c r="A3161" i="8"/>
  <c r="A3162" i="8"/>
  <c r="A3163" i="8"/>
  <c r="A3164" i="8"/>
  <c r="A3165" i="8"/>
  <c r="A3166" i="8"/>
  <c r="A3167" i="8"/>
  <c r="A3168" i="8"/>
  <c r="A3169" i="8"/>
  <c r="A3170" i="8"/>
  <c r="A3171" i="8"/>
  <c r="A3172" i="8"/>
  <c r="A3173" i="8"/>
  <c r="A3174" i="8"/>
  <c r="A3175" i="8"/>
  <c r="A3176" i="8"/>
  <c r="A3177" i="8"/>
  <c r="A3178" i="8"/>
  <c r="A3179" i="8"/>
  <c r="A3180" i="8"/>
  <c r="A3181" i="8"/>
  <c r="A3182" i="8"/>
  <c r="A3183" i="8"/>
  <c r="A3184" i="8"/>
  <c r="A3185" i="8"/>
  <c r="A3186" i="8"/>
  <c r="A3187" i="8"/>
  <c r="A3188" i="8"/>
  <c r="A3189" i="8"/>
  <c r="A3190" i="8"/>
  <c r="A3191" i="8"/>
  <c r="A3192" i="8"/>
  <c r="A3193" i="8"/>
  <c r="A3194" i="8"/>
  <c r="A3195" i="8"/>
  <c r="A3196" i="8"/>
  <c r="A3197" i="8"/>
  <c r="A3198" i="8"/>
  <c r="A3199" i="8"/>
  <c r="A3200" i="8"/>
  <c r="A3201" i="8"/>
  <c r="A3202" i="8"/>
  <c r="A3203" i="8"/>
  <c r="A3204" i="8"/>
  <c r="A3205" i="8"/>
  <c r="A3206" i="8"/>
  <c r="A3207" i="8"/>
  <c r="A3208" i="8"/>
  <c r="A3209" i="8"/>
  <c r="A3210" i="8"/>
  <c r="A3211" i="8"/>
  <c r="A3212" i="8"/>
  <c r="A3213" i="8"/>
  <c r="A3214" i="8"/>
  <c r="A3215" i="8"/>
  <c r="A3216" i="8"/>
  <c r="A3217" i="8"/>
  <c r="A3218" i="8"/>
  <c r="A3219" i="8"/>
  <c r="A3220" i="8"/>
  <c r="A3221" i="8"/>
  <c r="A3222" i="8"/>
  <c r="A3223" i="8"/>
  <c r="A3224" i="8"/>
  <c r="A3225" i="8"/>
  <c r="A3226" i="8"/>
  <c r="A3227" i="8"/>
  <c r="A3228" i="8"/>
  <c r="A3229" i="8"/>
  <c r="A3230" i="8"/>
  <c r="A3231" i="8"/>
  <c r="A3232" i="8"/>
  <c r="A3233" i="8"/>
  <c r="A3234" i="8"/>
  <c r="A3235" i="8"/>
  <c r="A3236" i="8"/>
  <c r="A3237" i="8"/>
  <c r="A3238" i="8"/>
  <c r="A3239" i="8"/>
  <c r="A3240" i="8"/>
  <c r="A3241" i="8"/>
  <c r="A3242" i="8"/>
  <c r="A3243" i="8"/>
  <c r="A3244" i="8"/>
  <c r="A3245" i="8"/>
  <c r="A3246" i="8"/>
  <c r="A3247" i="8"/>
  <c r="A3248" i="8"/>
  <c r="A3249" i="8"/>
  <c r="A3250" i="8"/>
  <c r="A3251" i="8"/>
  <c r="A3252" i="8"/>
  <c r="A3253" i="8"/>
  <c r="A3254" i="8"/>
  <c r="A3255" i="8"/>
  <c r="A3256" i="8"/>
  <c r="A3257" i="8"/>
  <c r="A3258" i="8"/>
  <c r="A3259" i="8"/>
  <c r="A3260" i="8"/>
  <c r="A3261" i="8"/>
  <c r="A3262" i="8"/>
  <c r="A3263" i="8"/>
  <c r="A3264" i="8"/>
  <c r="A3265" i="8"/>
  <c r="A3266" i="8"/>
  <c r="A3267" i="8"/>
  <c r="A3268" i="8"/>
  <c r="A3269" i="8"/>
  <c r="A3270" i="8"/>
  <c r="A3271" i="8"/>
  <c r="A3272" i="8"/>
  <c r="A3273" i="8"/>
  <c r="A3274" i="8"/>
  <c r="A3275" i="8"/>
  <c r="A3276" i="8"/>
  <c r="A3277" i="8"/>
  <c r="A3278" i="8"/>
  <c r="A3279" i="8"/>
  <c r="A3280" i="8"/>
  <c r="A3281" i="8"/>
  <c r="A3282" i="8"/>
  <c r="A3283" i="8"/>
  <c r="A3284" i="8"/>
  <c r="A3285" i="8"/>
  <c r="A3286" i="8"/>
  <c r="A3287" i="8"/>
  <c r="A3288" i="8"/>
  <c r="A3289" i="8"/>
  <c r="A3290" i="8"/>
  <c r="A3291" i="8"/>
  <c r="A3292" i="8"/>
  <c r="A3293" i="8"/>
  <c r="A3294" i="8"/>
  <c r="A3295" i="8"/>
  <c r="A3296" i="8"/>
  <c r="A3297" i="8"/>
  <c r="A3298" i="8"/>
  <c r="A3299" i="8"/>
  <c r="A3300" i="8"/>
  <c r="A3301" i="8"/>
  <c r="A3302" i="8"/>
  <c r="A3303" i="8"/>
  <c r="A3304" i="8"/>
  <c r="A3305" i="8"/>
  <c r="A3306" i="8"/>
  <c r="A3307" i="8"/>
  <c r="A3308" i="8"/>
  <c r="A3309" i="8"/>
  <c r="A3310" i="8"/>
  <c r="A3311" i="8"/>
  <c r="A3312" i="8"/>
  <c r="A3313" i="8"/>
  <c r="A3314" i="8"/>
  <c r="A3315" i="8"/>
  <c r="A3316" i="8"/>
  <c r="A3317" i="8"/>
  <c r="A3318" i="8"/>
  <c r="A3319" i="8"/>
  <c r="A3320" i="8"/>
  <c r="A3321" i="8"/>
  <c r="A3322" i="8"/>
  <c r="A3323" i="8"/>
  <c r="A3324" i="8"/>
  <c r="A3325" i="8"/>
  <c r="A3326" i="8"/>
  <c r="A3327" i="8"/>
  <c r="A3328" i="8"/>
  <c r="A3329" i="8"/>
  <c r="A3330" i="8"/>
  <c r="A3331" i="8"/>
  <c r="A3332" i="8"/>
  <c r="A3333" i="8"/>
  <c r="A3334" i="8"/>
  <c r="A3335" i="8"/>
  <c r="A3336" i="8"/>
  <c r="A3337" i="8"/>
  <c r="A3338" i="8"/>
  <c r="A3339" i="8"/>
  <c r="A3340" i="8"/>
  <c r="A3341" i="8"/>
  <c r="A3342" i="8"/>
  <c r="A3343" i="8"/>
  <c r="A3344" i="8"/>
  <c r="A3345" i="8"/>
  <c r="A3346" i="8"/>
  <c r="A3347" i="8"/>
  <c r="A3348" i="8"/>
  <c r="A3349" i="8"/>
  <c r="A3350" i="8"/>
  <c r="A3351" i="8"/>
  <c r="A3352" i="8"/>
  <c r="A3353" i="8"/>
  <c r="A3354" i="8"/>
  <c r="A3355" i="8"/>
  <c r="A3356" i="8"/>
  <c r="A3357" i="8"/>
  <c r="A3358" i="8"/>
  <c r="A3359" i="8"/>
  <c r="A3360" i="8"/>
  <c r="A3361" i="8"/>
  <c r="A3362" i="8"/>
  <c r="A3363" i="8"/>
  <c r="A3364" i="8"/>
  <c r="A3365" i="8"/>
  <c r="A3366" i="8"/>
  <c r="A3367" i="8"/>
  <c r="A3368" i="8"/>
  <c r="A3369" i="8"/>
  <c r="A3370" i="8"/>
  <c r="A3371" i="8"/>
  <c r="A3372" i="8"/>
  <c r="A3373" i="8"/>
  <c r="A3374" i="8"/>
  <c r="A3375" i="8"/>
  <c r="A3376" i="8"/>
  <c r="A3377" i="8"/>
  <c r="A3378" i="8"/>
  <c r="A3379" i="8"/>
  <c r="A3380" i="8"/>
  <c r="A3381" i="8"/>
  <c r="A3382" i="8"/>
  <c r="A3383" i="8"/>
  <c r="A3384" i="8"/>
  <c r="A3385" i="8"/>
  <c r="A3386" i="8"/>
  <c r="A3387" i="8"/>
  <c r="A3388" i="8"/>
  <c r="A3389" i="8"/>
  <c r="A3390" i="8"/>
  <c r="A3391" i="8"/>
  <c r="A3392" i="8"/>
  <c r="A3393" i="8"/>
  <c r="A3394" i="8"/>
  <c r="A3395" i="8"/>
  <c r="A3396" i="8"/>
  <c r="A3397" i="8"/>
  <c r="A3398" i="8"/>
  <c r="A3399" i="8"/>
  <c r="A3400" i="8"/>
  <c r="A3401" i="8"/>
  <c r="A3402" i="8"/>
  <c r="A3403" i="8"/>
  <c r="A3404" i="8"/>
  <c r="A3405" i="8"/>
  <c r="A3406" i="8"/>
  <c r="A3407" i="8"/>
  <c r="A3408" i="8"/>
  <c r="A3409" i="8"/>
  <c r="A3410" i="8"/>
  <c r="A3411" i="8"/>
  <c r="A3412" i="8"/>
  <c r="A3413" i="8"/>
  <c r="A3414" i="8"/>
  <c r="A3415" i="8"/>
  <c r="A3416" i="8"/>
  <c r="A3417" i="8"/>
  <c r="A3418" i="8"/>
  <c r="A3419" i="8"/>
  <c r="A3420" i="8"/>
  <c r="A3421" i="8"/>
  <c r="A3422" i="8"/>
  <c r="A3423" i="8"/>
  <c r="A3424" i="8"/>
  <c r="A3425" i="8"/>
  <c r="A3426" i="8"/>
  <c r="A3427" i="8"/>
  <c r="A3428" i="8"/>
  <c r="A3429" i="8"/>
  <c r="A3430" i="8"/>
  <c r="A3431" i="8"/>
  <c r="A3432" i="8"/>
  <c r="A3433" i="8"/>
  <c r="A3434" i="8"/>
  <c r="A3435" i="8"/>
  <c r="A3436" i="8"/>
  <c r="A3437" i="8"/>
  <c r="A3438" i="8"/>
  <c r="A3439" i="8"/>
  <c r="A3440" i="8"/>
  <c r="A3441" i="8"/>
  <c r="A3442" i="8"/>
  <c r="A3443" i="8"/>
  <c r="A3444" i="8"/>
  <c r="A3445" i="8"/>
  <c r="A3446" i="8"/>
  <c r="A3447" i="8"/>
  <c r="A3448" i="8"/>
  <c r="A3449" i="8"/>
  <c r="A3450" i="8"/>
  <c r="A3451" i="8"/>
  <c r="A3452" i="8"/>
  <c r="A3453" i="8"/>
  <c r="A3454" i="8"/>
  <c r="A3455" i="8"/>
  <c r="A3456" i="8"/>
  <c r="A3457" i="8"/>
  <c r="A3458" i="8"/>
  <c r="A3459" i="8"/>
  <c r="A3460" i="8"/>
  <c r="A3461" i="8"/>
  <c r="A3462" i="8"/>
  <c r="A3463" i="8"/>
  <c r="A3464" i="8"/>
  <c r="A3465" i="8"/>
  <c r="A3466" i="8"/>
  <c r="A3467" i="8"/>
  <c r="A3468" i="8"/>
  <c r="A3469" i="8"/>
  <c r="A3470" i="8"/>
  <c r="A3471" i="8"/>
  <c r="A3472" i="8"/>
  <c r="A3473" i="8"/>
  <c r="A3474" i="8"/>
  <c r="A3475" i="8"/>
  <c r="A3476" i="8"/>
  <c r="A3477" i="8"/>
  <c r="A3478" i="8"/>
  <c r="A3479" i="8"/>
  <c r="A3480" i="8"/>
  <c r="A3481" i="8"/>
  <c r="A3482" i="8"/>
  <c r="A3483" i="8"/>
  <c r="A3484" i="8"/>
  <c r="A3485" i="8"/>
  <c r="A3486" i="8"/>
  <c r="A3487" i="8"/>
  <c r="A3488" i="8"/>
  <c r="A3489" i="8"/>
  <c r="A3490" i="8"/>
  <c r="A3491" i="8"/>
  <c r="A3492" i="8"/>
  <c r="A3493" i="8"/>
  <c r="A3494" i="8"/>
  <c r="A3495" i="8"/>
  <c r="A3496" i="8"/>
  <c r="A3497" i="8"/>
  <c r="A3498" i="8"/>
  <c r="A3499" i="8"/>
  <c r="A3500" i="8"/>
  <c r="A3501" i="8"/>
  <c r="A3502" i="8"/>
  <c r="A3503" i="8"/>
  <c r="A3504" i="8"/>
  <c r="A3505" i="8"/>
  <c r="A3506" i="8"/>
  <c r="A3507" i="8"/>
  <c r="A3508" i="8"/>
  <c r="A3509" i="8"/>
  <c r="A3510" i="8"/>
  <c r="A3511" i="8"/>
  <c r="A3512" i="8"/>
  <c r="A3513" i="8"/>
  <c r="A3514" i="8"/>
  <c r="A3515" i="8"/>
  <c r="A3516" i="8"/>
  <c r="A3517" i="8"/>
  <c r="A3518" i="8"/>
  <c r="A3519" i="8"/>
  <c r="A3520" i="8"/>
  <c r="A3521" i="8"/>
  <c r="A3522" i="8"/>
  <c r="A3523" i="8"/>
  <c r="A3524" i="8"/>
  <c r="A3525" i="8"/>
  <c r="A3526" i="8"/>
  <c r="A3527" i="8"/>
  <c r="A3528" i="8"/>
  <c r="A3529" i="8"/>
  <c r="A3530" i="8"/>
  <c r="A3531" i="8"/>
  <c r="A3532" i="8"/>
  <c r="A3533" i="8"/>
  <c r="A3534" i="8"/>
  <c r="A3535" i="8"/>
  <c r="A3536" i="8"/>
  <c r="A3537" i="8"/>
  <c r="A3538" i="8"/>
  <c r="A3539" i="8"/>
  <c r="A3540" i="8"/>
  <c r="A3541" i="8"/>
  <c r="A3542" i="8"/>
  <c r="A3543" i="8"/>
  <c r="A3544" i="8"/>
  <c r="A3545" i="8"/>
  <c r="A3546" i="8"/>
  <c r="A3547" i="8"/>
  <c r="A3548" i="8"/>
  <c r="A3549" i="8"/>
  <c r="A3550" i="8"/>
  <c r="A3551" i="8"/>
  <c r="A3552" i="8"/>
  <c r="A3553" i="8"/>
  <c r="A3554" i="8"/>
  <c r="A3555" i="8"/>
  <c r="A3556" i="8"/>
  <c r="A3557" i="8"/>
  <c r="A3558" i="8"/>
  <c r="A3559" i="8"/>
  <c r="A3560" i="8"/>
  <c r="A3561" i="8"/>
  <c r="A3562" i="8"/>
  <c r="A3563" i="8"/>
  <c r="A3564" i="8"/>
  <c r="A3565" i="8"/>
  <c r="A3566" i="8"/>
  <c r="A3567" i="8"/>
  <c r="A3568" i="8"/>
  <c r="A3569" i="8"/>
  <c r="A3570" i="8"/>
  <c r="A3571" i="8"/>
  <c r="A3572" i="8"/>
  <c r="A3573" i="8"/>
  <c r="A3574" i="8"/>
  <c r="A3575" i="8"/>
  <c r="A3576" i="8"/>
  <c r="A3577" i="8"/>
  <c r="A3578" i="8"/>
  <c r="A3579" i="8"/>
  <c r="A3580" i="8"/>
  <c r="A3581" i="8"/>
  <c r="A3582" i="8"/>
  <c r="A3583" i="8"/>
  <c r="A3584" i="8"/>
  <c r="A3585" i="8"/>
  <c r="A3586" i="8"/>
  <c r="A3587" i="8"/>
  <c r="A3588" i="8"/>
  <c r="A3589" i="8"/>
  <c r="A3590" i="8"/>
  <c r="A3591" i="8"/>
  <c r="A3592" i="8"/>
  <c r="A3593" i="8"/>
  <c r="A3594" i="8"/>
  <c r="A3595" i="8"/>
  <c r="A3596" i="8"/>
  <c r="A3597" i="8"/>
  <c r="A3598" i="8"/>
  <c r="A3599" i="8"/>
  <c r="A3600" i="8"/>
  <c r="A3601" i="8"/>
  <c r="A3602" i="8"/>
  <c r="A3603" i="8"/>
  <c r="A3604" i="8"/>
  <c r="A3605" i="8"/>
  <c r="A3606" i="8"/>
  <c r="A3607" i="8"/>
  <c r="A3608" i="8"/>
  <c r="A3609" i="8"/>
  <c r="A3610" i="8"/>
  <c r="A3611" i="8"/>
  <c r="A3612" i="8"/>
  <c r="A3613" i="8"/>
  <c r="A3614" i="8"/>
  <c r="A3615" i="8"/>
  <c r="A3616" i="8"/>
  <c r="A3617" i="8"/>
  <c r="A3618" i="8"/>
  <c r="A3619" i="8"/>
  <c r="A3620" i="8"/>
  <c r="A3621" i="8"/>
  <c r="A3622" i="8"/>
  <c r="A3623" i="8"/>
  <c r="A3624" i="8"/>
  <c r="A3625" i="8"/>
  <c r="A3626" i="8"/>
  <c r="A3627" i="8"/>
  <c r="A3628" i="8"/>
  <c r="A3629" i="8"/>
  <c r="A3630" i="8"/>
  <c r="A3631" i="8"/>
  <c r="A3632" i="8"/>
  <c r="A3633" i="8"/>
  <c r="A3634" i="8"/>
  <c r="A3635" i="8"/>
  <c r="A3636" i="8"/>
  <c r="A3637" i="8"/>
  <c r="A3638" i="8"/>
  <c r="A3639" i="8"/>
  <c r="A3640" i="8"/>
  <c r="A3641" i="8"/>
  <c r="A3642" i="8"/>
  <c r="A3643" i="8"/>
  <c r="A3644" i="8"/>
  <c r="A3645" i="8"/>
  <c r="A3646" i="8"/>
  <c r="A3647" i="8"/>
  <c r="A3648" i="8"/>
  <c r="A3649" i="8"/>
  <c r="A3650" i="8"/>
  <c r="A3651" i="8"/>
  <c r="A3652" i="8"/>
  <c r="A3653" i="8"/>
  <c r="A3654" i="8"/>
  <c r="A3655" i="8"/>
  <c r="A3656" i="8"/>
  <c r="A3657" i="8"/>
  <c r="A3658" i="8"/>
  <c r="A3659" i="8"/>
  <c r="A3660" i="8"/>
  <c r="A3661" i="8"/>
  <c r="A3662" i="8"/>
  <c r="A3663" i="8"/>
  <c r="A3664" i="8"/>
  <c r="A3665" i="8"/>
  <c r="A3666" i="8"/>
  <c r="A3667" i="8"/>
  <c r="A3668" i="8"/>
  <c r="A3669" i="8"/>
  <c r="A3670" i="8"/>
  <c r="A3671" i="8"/>
  <c r="A3672" i="8"/>
  <c r="A3673" i="8"/>
  <c r="A3674" i="8"/>
  <c r="A3675" i="8"/>
  <c r="A3676" i="8"/>
  <c r="A3677" i="8"/>
  <c r="A3678" i="8"/>
  <c r="A3679" i="8"/>
  <c r="A3680" i="8"/>
  <c r="A3681" i="8"/>
  <c r="A3682" i="8"/>
  <c r="A3683" i="8"/>
  <c r="A3684" i="8"/>
  <c r="A3685" i="8"/>
  <c r="A3686" i="8"/>
  <c r="A3687" i="8"/>
  <c r="A3688" i="8"/>
  <c r="A3689" i="8"/>
  <c r="A3690" i="8"/>
  <c r="A3691" i="8"/>
  <c r="A3692" i="8"/>
  <c r="A3693" i="8"/>
  <c r="A3694" i="8"/>
  <c r="A3695" i="8"/>
  <c r="A3696" i="8"/>
  <c r="A3697" i="8"/>
  <c r="A3698" i="8"/>
  <c r="A3699" i="8"/>
  <c r="A3700" i="8"/>
  <c r="A3701" i="8"/>
  <c r="A3702" i="8"/>
  <c r="A3703" i="8"/>
  <c r="A3704" i="8"/>
  <c r="A3705" i="8"/>
  <c r="A3706" i="8"/>
  <c r="A3707" i="8"/>
  <c r="A3708" i="8"/>
  <c r="A3709" i="8"/>
  <c r="A3710" i="8"/>
  <c r="A3711" i="8"/>
  <c r="A3712" i="8"/>
  <c r="A3713" i="8"/>
  <c r="A3714" i="8"/>
  <c r="A3715" i="8"/>
  <c r="A3716" i="8"/>
  <c r="A3717" i="8"/>
  <c r="A3718" i="8"/>
  <c r="A3719" i="8"/>
  <c r="A3720" i="8"/>
  <c r="A3721" i="8"/>
  <c r="A3722" i="8"/>
  <c r="A3723" i="8"/>
  <c r="A3724" i="8"/>
  <c r="A3725" i="8"/>
  <c r="A3726" i="8"/>
  <c r="A3727" i="8"/>
  <c r="A3728" i="8"/>
  <c r="A3729" i="8"/>
  <c r="A3730" i="8"/>
  <c r="A3731" i="8"/>
  <c r="A3732" i="8"/>
  <c r="A3733" i="8"/>
  <c r="A3734" i="8"/>
  <c r="A3735" i="8"/>
  <c r="A3736" i="8"/>
  <c r="A3737" i="8"/>
  <c r="A3738" i="8"/>
  <c r="A3739" i="8"/>
  <c r="A3740" i="8"/>
  <c r="A3741" i="8"/>
  <c r="A3742" i="8"/>
  <c r="A3743" i="8"/>
  <c r="A3744" i="8"/>
  <c r="A3745" i="8"/>
  <c r="A3746" i="8"/>
  <c r="A3747" i="8"/>
  <c r="A3748" i="8"/>
  <c r="A3749" i="8"/>
  <c r="A3750" i="8"/>
  <c r="A3751" i="8"/>
  <c r="A3752" i="8"/>
  <c r="A3753" i="8"/>
  <c r="A3754" i="8"/>
  <c r="A3755" i="8"/>
  <c r="A3756" i="8"/>
  <c r="A3757" i="8"/>
  <c r="A3758" i="8"/>
  <c r="A3759" i="8"/>
  <c r="A3760" i="8"/>
  <c r="A3761" i="8"/>
  <c r="A3762" i="8"/>
  <c r="A3763" i="8"/>
  <c r="A3764" i="8"/>
  <c r="A3765" i="8"/>
  <c r="A3766" i="8"/>
  <c r="A3767" i="8"/>
  <c r="A3768" i="8"/>
  <c r="A3769" i="8"/>
  <c r="A3770" i="8"/>
  <c r="A3771" i="8"/>
  <c r="A3772" i="8"/>
  <c r="A3773" i="8"/>
  <c r="A3774" i="8"/>
  <c r="A3775" i="8"/>
  <c r="A3776" i="8"/>
  <c r="A3777" i="8"/>
  <c r="A3778" i="8"/>
  <c r="A3779" i="8"/>
  <c r="A3780" i="8"/>
  <c r="A3781" i="8"/>
  <c r="A3782" i="8"/>
  <c r="A3783" i="8"/>
  <c r="A3784" i="8"/>
  <c r="A3785" i="8"/>
  <c r="A3786" i="8"/>
  <c r="A3787" i="8"/>
  <c r="A3788" i="8"/>
  <c r="A3789" i="8"/>
  <c r="A3790" i="8"/>
  <c r="A3791" i="8"/>
  <c r="A3792" i="8"/>
  <c r="A3793" i="8"/>
  <c r="A3794" i="8"/>
  <c r="A3795" i="8"/>
  <c r="A3796" i="8"/>
  <c r="A3797" i="8"/>
  <c r="A3798" i="8"/>
  <c r="A3799" i="8"/>
  <c r="A3800" i="8"/>
  <c r="A3801" i="8"/>
  <c r="A3802" i="8"/>
  <c r="A3803" i="8"/>
  <c r="A3804" i="8"/>
  <c r="A3805" i="8"/>
  <c r="A3806" i="8"/>
  <c r="A3807" i="8"/>
  <c r="A3808" i="8"/>
  <c r="A3809" i="8"/>
  <c r="A3810" i="8"/>
  <c r="A3811" i="8"/>
  <c r="A3812" i="8"/>
  <c r="A3813" i="8"/>
  <c r="A3814" i="8"/>
  <c r="A3815" i="8"/>
  <c r="A3816" i="8"/>
  <c r="A3817" i="8"/>
  <c r="A3818" i="8"/>
  <c r="A3819" i="8"/>
  <c r="A3820" i="8"/>
  <c r="A3821" i="8"/>
  <c r="A3822" i="8"/>
  <c r="A3823" i="8"/>
  <c r="A3824" i="8"/>
  <c r="A3825" i="8"/>
  <c r="A3826" i="8"/>
  <c r="A3827" i="8"/>
  <c r="A3828" i="8"/>
  <c r="A3829" i="8"/>
  <c r="A3830" i="8"/>
  <c r="A3831" i="8"/>
  <c r="A3832" i="8"/>
  <c r="A3833" i="8"/>
  <c r="A3834" i="8"/>
  <c r="A3835" i="8"/>
  <c r="A3836" i="8"/>
  <c r="A3837" i="8"/>
  <c r="A3838" i="8"/>
  <c r="A3839" i="8"/>
  <c r="A3840" i="8"/>
  <c r="A3841" i="8"/>
  <c r="A3842" i="8"/>
  <c r="A3843" i="8"/>
  <c r="A3844" i="8"/>
  <c r="A3845" i="8"/>
  <c r="A3846" i="8"/>
  <c r="A3847" i="8"/>
  <c r="A3848" i="8"/>
  <c r="A3849" i="8"/>
  <c r="A3850" i="8"/>
  <c r="A3851" i="8"/>
  <c r="A3852" i="8"/>
  <c r="A3853" i="8"/>
  <c r="A3854" i="8"/>
  <c r="A3855" i="8"/>
  <c r="A3856" i="8"/>
  <c r="A3857" i="8"/>
  <c r="A3858" i="8"/>
  <c r="A3859" i="8"/>
  <c r="A3860" i="8"/>
  <c r="A3861" i="8"/>
  <c r="A3862" i="8"/>
  <c r="A3863" i="8"/>
  <c r="A3864" i="8"/>
  <c r="A3865" i="8"/>
  <c r="A3866" i="8"/>
  <c r="A3867" i="8"/>
  <c r="A3868" i="8"/>
  <c r="A3869" i="8"/>
  <c r="A3870" i="8"/>
  <c r="A3871" i="8"/>
  <c r="A3872" i="8"/>
  <c r="A3873" i="8"/>
  <c r="A3874" i="8"/>
  <c r="A3875" i="8"/>
  <c r="A3876" i="8"/>
  <c r="A3877" i="8"/>
  <c r="A3878" i="8"/>
  <c r="A3879" i="8"/>
  <c r="A3880" i="8"/>
  <c r="A3881" i="8"/>
  <c r="A3882" i="8"/>
  <c r="A3883" i="8"/>
  <c r="A3884" i="8"/>
  <c r="A3885" i="8"/>
  <c r="A3886" i="8"/>
  <c r="A3887" i="8"/>
  <c r="A3888" i="8"/>
  <c r="A3889" i="8"/>
  <c r="A3890" i="8"/>
  <c r="A3891" i="8"/>
  <c r="A3892" i="8"/>
  <c r="A3893" i="8"/>
  <c r="A3894" i="8"/>
  <c r="A3895" i="8"/>
  <c r="A3896" i="8"/>
  <c r="A3897" i="8"/>
  <c r="A3898" i="8"/>
  <c r="A3899" i="8"/>
  <c r="A3900" i="8"/>
  <c r="A3901" i="8"/>
  <c r="A3902" i="8"/>
  <c r="A3903" i="8"/>
  <c r="A3904" i="8"/>
  <c r="A3905" i="8"/>
  <c r="A3906" i="8"/>
  <c r="A3907" i="8"/>
  <c r="A3908" i="8"/>
  <c r="A3909" i="8"/>
  <c r="A3910" i="8"/>
  <c r="A3911" i="8"/>
  <c r="A3912" i="8"/>
  <c r="A3913" i="8"/>
  <c r="A3914" i="8"/>
  <c r="A3915" i="8"/>
  <c r="A3916" i="8"/>
  <c r="A3917" i="8"/>
  <c r="A3918" i="8"/>
  <c r="A3919" i="8"/>
  <c r="A3920" i="8"/>
  <c r="A3921" i="8"/>
  <c r="A3922" i="8"/>
  <c r="A3923" i="8"/>
  <c r="A3924" i="8"/>
  <c r="A3925" i="8"/>
  <c r="A3926" i="8"/>
  <c r="A3927" i="8"/>
  <c r="A3928" i="8"/>
  <c r="A3929" i="8"/>
  <c r="A3930" i="8"/>
  <c r="A3931" i="8"/>
  <c r="A3932" i="8"/>
  <c r="A3933" i="8"/>
  <c r="A3934" i="8"/>
  <c r="A3935" i="8"/>
  <c r="A3936" i="8"/>
  <c r="A3937" i="8"/>
  <c r="A3938" i="8"/>
  <c r="A3939" i="8"/>
  <c r="A3940" i="8"/>
  <c r="A3941" i="8"/>
  <c r="A3942" i="8"/>
  <c r="A3943" i="8"/>
  <c r="A3944" i="8"/>
  <c r="A3945" i="8"/>
  <c r="A3946" i="8"/>
  <c r="A3947" i="8"/>
  <c r="A3948" i="8"/>
  <c r="A3949" i="8"/>
  <c r="A3950" i="8"/>
  <c r="A3951" i="8"/>
  <c r="A3952" i="8"/>
  <c r="A3953" i="8"/>
  <c r="A3954" i="8"/>
  <c r="A3955" i="8"/>
  <c r="A3956" i="8"/>
  <c r="A3957" i="8"/>
  <c r="A3958" i="8"/>
  <c r="A3959" i="8"/>
  <c r="A3960" i="8"/>
  <c r="A3961" i="8"/>
  <c r="A3962" i="8"/>
  <c r="A3963" i="8"/>
  <c r="A3964" i="8"/>
  <c r="A3965" i="8"/>
  <c r="A3966" i="8"/>
  <c r="A3967" i="8"/>
  <c r="A3968" i="8"/>
  <c r="A3969" i="8"/>
  <c r="A3970" i="8"/>
  <c r="A3971" i="8"/>
  <c r="A3972" i="8"/>
  <c r="A3973" i="8"/>
  <c r="A3974" i="8"/>
  <c r="A3975" i="8"/>
  <c r="A3976" i="8"/>
  <c r="A3977" i="8"/>
  <c r="A3978" i="8"/>
  <c r="A3979" i="8"/>
  <c r="A3980" i="8"/>
  <c r="A3981" i="8"/>
  <c r="A3982" i="8"/>
  <c r="A3983" i="8"/>
  <c r="A3984" i="8"/>
  <c r="A3985" i="8"/>
  <c r="A3986" i="8"/>
  <c r="A3987" i="8"/>
  <c r="A3988" i="8"/>
  <c r="A3989" i="8"/>
  <c r="A3990" i="8"/>
  <c r="A3991" i="8"/>
  <c r="A3992" i="8"/>
  <c r="A3993" i="8"/>
  <c r="A3994" i="8"/>
  <c r="A3995" i="8"/>
  <c r="A3996" i="8"/>
  <c r="A3997" i="8"/>
  <c r="A3998" i="8"/>
  <c r="A3999" i="8"/>
  <c r="A4000" i="8"/>
  <c r="A4001" i="8"/>
  <c r="A4002" i="8"/>
  <c r="A4003" i="8"/>
  <c r="A4004" i="8"/>
  <c r="A4005" i="8"/>
  <c r="A4006" i="8"/>
  <c r="A4007" i="8"/>
  <c r="A4008" i="8"/>
  <c r="A4009" i="8"/>
  <c r="A4010" i="8"/>
  <c r="A4011" i="8"/>
  <c r="A4012" i="8"/>
  <c r="A4013" i="8"/>
  <c r="A4014" i="8"/>
  <c r="A4015" i="8"/>
  <c r="A4016" i="8"/>
  <c r="A4017" i="8"/>
  <c r="A4018" i="8"/>
  <c r="A4019" i="8"/>
  <c r="A4020" i="8"/>
  <c r="A4021" i="8"/>
  <c r="A4022" i="8"/>
  <c r="A4023" i="8"/>
  <c r="A4024" i="8"/>
  <c r="A4025" i="8"/>
  <c r="A4026" i="8"/>
  <c r="A4027" i="8"/>
  <c r="A4028" i="8"/>
  <c r="A4029" i="8"/>
  <c r="A4030" i="8"/>
  <c r="A4031" i="8"/>
  <c r="A4032" i="8"/>
  <c r="A4033" i="8"/>
  <c r="A4034" i="8"/>
  <c r="A4035" i="8"/>
  <c r="A4036" i="8"/>
  <c r="A4037" i="8"/>
  <c r="A4038" i="8"/>
  <c r="A4039" i="8"/>
  <c r="A4040" i="8"/>
  <c r="A4041" i="8"/>
  <c r="A4042" i="8"/>
  <c r="A4043" i="8"/>
  <c r="A4044" i="8"/>
  <c r="A4045" i="8"/>
  <c r="A4046" i="8"/>
  <c r="A4047" i="8"/>
  <c r="A4048" i="8"/>
  <c r="A4049" i="8"/>
  <c r="A4050" i="8"/>
  <c r="A4051" i="8"/>
  <c r="A4052" i="8"/>
  <c r="A4053" i="8"/>
  <c r="A4054" i="8"/>
  <c r="A4055" i="8"/>
  <c r="A4056" i="8"/>
  <c r="A4057" i="8"/>
  <c r="A4058" i="8"/>
  <c r="A4059" i="8"/>
  <c r="A4060" i="8"/>
  <c r="A4061" i="8"/>
  <c r="A4062" i="8"/>
  <c r="A4063" i="8"/>
  <c r="A4064" i="8"/>
  <c r="A4065" i="8"/>
  <c r="A4066" i="8"/>
  <c r="A4067" i="8"/>
  <c r="A4068" i="8"/>
  <c r="A4069" i="8"/>
  <c r="A4070" i="8"/>
  <c r="A4071" i="8"/>
  <c r="A4072" i="8"/>
  <c r="A4073" i="8"/>
  <c r="A4074" i="8"/>
  <c r="A4075" i="8"/>
  <c r="A4076" i="8"/>
  <c r="A4077" i="8"/>
  <c r="A4078" i="8"/>
  <c r="A4079" i="8"/>
  <c r="A4080" i="8"/>
  <c r="A4081" i="8"/>
  <c r="A4082" i="8"/>
  <c r="A4083" i="8"/>
  <c r="A4084" i="8"/>
  <c r="A4085" i="8"/>
  <c r="A4086" i="8"/>
  <c r="A4087" i="8"/>
  <c r="A4088" i="8"/>
  <c r="A4089" i="8"/>
  <c r="A4090" i="8"/>
  <c r="A4091" i="8"/>
  <c r="A4092" i="8"/>
  <c r="A4093" i="8"/>
  <c r="A4094" i="8"/>
  <c r="A4095" i="8"/>
  <c r="A4096" i="8"/>
  <c r="A4097" i="8"/>
  <c r="A4098" i="8"/>
  <c r="A4099" i="8"/>
  <c r="A4100" i="8"/>
  <c r="A4101" i="8"/>
  <c r="A4102" i="8"/>
  <c r="A4103" i="8"/>
  <c r="A4104" i="8"/>
  <c r="A4105" i="8"/>
  <c r="A4106" i="8"/>
  <c r="A4107" i="8"/>
  <c r="A4108" i="8"/>
  <c r="A4109" i="8"/>
  <c r="A4110" i="8"/>
  <c r="A4111" i="8"/>
  <c r="A4112" i="8"/>
  <c r="A4113" i="8"/>
  <c r="A4114" i="8"/>
  <c r="A4115" i="8"/>
  <c r="A4116" i="8"/>
  <c r="A4117" i="8"/>
  <c r="A4118" i="8"/>
  <c r="A4119" i="8"/>
  <c r="A4120" i="8"/>
  <c r="A4121" i="8"/>
  <c r="A4122" i="8"/>
  <c r="A4123" i="8"/>
  <c r="A4124" i="8"/>
  <c r="A4125" i="8"/>
  <c r="A4126" i="8"/>
  <c r="A4127" i="8"/>
  <c r="A4128" i="8"/>
  <c r="A4129" i="8"/>
  <c r="A4130" i="8"/>
  <c r="A4131" i="8"/>
  <c r="A4132" i="8"/>
  <c r="A4133" i="8"/>
  <c r="A4134" i="8"/>
  <c r="A4135" i="8"/>
  <c r="A4136" i="8"/>
  <c r="A4137" i="8"/>
  <c r="A4138" i="8"/>
  <c r="A4139" i="8"/>
  <c r="A4140" i="8"/>
  <c r="A4141" i="8"/>
  <c r="A4142" i="8"/>
  <c r="A4143" i="8"/>
  <c r="A4144" i="8"/>
  <c r="A4145" i="8"/>
  <c r="A4146" i="8"/>
  <c r="A4147" i="8"/>
  <c r="A4148" i="8"/>
  <c r="A4149" i="8"/>
  <c r="A4150" i="8"/>
  <c r="A4151" i="8"/>
  <c r="A4152" i="8"/>
  <c r="A4153" i="8"/>
  <c r="A4154" i="8"/>
  <c r="A4155" i="8"/>
  <c r="A4156" i="8"/>
  <c r="A4157" i="8"/>
  <c r="A4158" i="8"/>
  <c r="A4159" i="8"/>
  <c r="A4160" i="8"/>
  <c r="A4161" i="8"/>
  <c r="A4162" i="8"/>
  <c r="A4163" i="8"/>
  <c r="A4164" i="8"/>
  <c r="A4165" i="8"/>
  <c r="A4166" i="8"/>
  <c r="A4167" i="8"/>
  <c r="A4168" i="8"/>
  <c r="A4169" i="8"/>
  <c r="A4170" i="8"/>
  <c r="A4171" i="8"/>
  <c r="A4172" i="8"/>
  <c r="A4173" i="8"/>
  <c r="A4174" i="8"/>
  <c r="A4175" i="8"/>
  <c r="A4176" i="8"/>
  <c r="A4177" i="8"/>
  <c r="A4178" i="8"/>
  <c r="A4179" i="8"/>
  <c r="A4180" i="8"/>
  <c r="A4181" i="8"/>
  <c r="A4182" i="8"/>
  <c r="A4183" i="8"/>
  <c r="A4184" i="8"/>
  <c r="A4185" i="8"/>
  <c r="A4186" i="8"/>
  <c r="A4187" i="8"/>
  <c r="A4188" i="8"/>
  <c r="A4189" i="8"/>
  <c r="A4190" i="8"/>
  <c r="A4191" i="8"/>
  <c r="A4192" i="8"/>
  <c r="A4193" i="8"/>
  <c r="A4194" i="8"/>
  <c r="A4195" i="8"/>
  <c r="A4196" i="8"/>
  <c r="A4197" i="8"/>
  <c r="A4198" i="8"/>
  <c r="A4199" i="8"/>
  <c r="A4200" i="8"/>
  <c r="A4201" i="8"/>
  <c r="A4202" i="8"/>
  <c r="A4203" i="8"/>
  <c r="A4204" i="8"/>
  <c r="A4205" i="8"/>
  <c r="A4206" i="8"/>
  <c r="A4207" i="8"/>
  <c r="A4208" i="8"/>
  <c r="A4209" i="8"/>
  <c r="A4210" i="8"/>
  <c r="A4211" i="8"/>
  <c r="A4212" i="8"/>
  <c r="A4213" i="8"/>
  <c r="A4214" i="8"/>
  <c r="A4215" i="8"/>
  <c r="A4216" i="8"/>
  <c r="A4217" i="8"/>
  <c r="A4218" i="8"/>
  <c r="A4219" i="8"/>
  <c r="A4220" i="8"/>
  <c r="A4221" i="8"/>
  <c r="A4222" i="8"/>
  <c r="A4223" i="8"/>
  <c r="A4224" i="8"/>
  <c r="A4225" i="8"/>
  <c r="A4226" i="8"/>
  <c r="A4227" i="8"/>
  <c r="A4228" i="8"/>
  <c r="A4229" i="8"/>
  <c r="A4230" i="8"/>
  <c r="A4231" i="8"/>
  <c r="A4232" i="8"/>
  <c r="A4233" i="8"/>
  <c r="A4234" i="8"/>
  <c r="A4235" i="8"/>
  <c r="A4236" i="8"/>
  <c r="A4237" i="8"/>
  <c r="A4238" i="8"/>
  <c r="A4239" i="8"/>
  <c r="A4240" i="8"/>
  <c r="A4241" i="8"/>
  <c r="A4242" i="8"/>
  <c r="A4243" i="8"/>
  <c r="A4244" i="8"/>
  <c r="A4245" i="8"/>
  <c r="A4246" i="8"/>
  <c r="A4247" i="8"/>
  <c r="A4248" i="8"/>
  <c r="A4249" i="8"/>
  <c r="A4250" i="8"/>
  <c r="A4251" i="8"/>
  <c r="A4252" i="8"/>
  <c r="A4253" i="8"/>
  <c r="A4254" i="8"/>
  <c r="A4255" i="8"/>
  <c r="A4256" i="8"/>
  <c r="A4257" i="8"/>
  <c r="A4258" i="8"/>
  <c r="A4259" i="8"/>
  <c r="A4260" i="8"/>
  <c r="A4261" i="8"/>
  <c r="A4262" i="8"/>
  <c r="A4263" i="8"/>
  <c r="A4264" i="8"/>
  <c r="A4265" i="8"/>
  <c r="A4266" i="8"/>
  <c r="A4267" i="8"/>
  <c r="A4268" i="8"/>
  <c r="A4269" i="8"/>
  <c r="A4270" i="8"/>
  <c r="A4271" i="8"/>
  <c r="A4272" i="8"/>
  <c r="A4273" i="8"/>
  <c r="A4274" i="8"/>
  <c r="A4275" i="8"/>
  <c r="A4276" i="8"/>
  <c r="A4277" i="8"/>
  <c r="A4278" i="8"/>
  <c r="A4279" i="8"/>
  <c r="A4280" i="8"/>
  <c r="A4281" i="8"/>
  <c r="A4282" i="8"/>
  <c r="A4283" i="8"/>
  <c r="A4284" i="8"/>
  <c r="A4285" i="8"/>
  <c r="A4286" i="8"/>
  <c r="A4287" i="8"/>
  <c r="A4288" i="8"/>
  <c r="A4289" i="8"/>
  <c r="A4290" i="8"/>
  <c r="A4291" i="8"/>
  <c r="A4292" i="8"/>
  <c r="A4293" i="8"/>
  <c r="A4294" i="8"/>
  <c r="A4295" i="8"/>
  <c r="A4296" i="8"/>
  <c r="A4297" i="8"/>
  <c r="A4298" i="8"/>
  <c r="A4299" i="8"/>
  <c r="A4300" i="8"/>
  <c r="A4301" i="8"/>
  <c r="A4302" i="8"/>
  <c r="A4303" i="8"/>
  <c r="A4304" i="8"/>
  <c r="A4305" i="8"/>
  <c r="A4306" i="8"/>
  <c r="A4307" i="8"/>
  <c r="A4308" i="8"/>
  <c r="A4309" i="8"/>
  <c r="A4310" i="8"/>
  <c r="A4311" i="8"/>
  <c r="A4312" i="8"/>
  <c r="A4313" i="8"/>
  <c r="A4314" i="8"/>
  <c r="A4315" i="8"/>
  <c r="A4316" i="8"/>
  <c r="A4317" i="8"/>
  <c r="A4318" i="8"/>
  <c r="A4319" i="8"/>
  <c r="A4320" i="8"/>
  <c r="A4321" i="8"/>
  <c r="A4322" i="8"/>
  <c r="A4323" i="8"/>
  <c r="A4324" i="8"/>
  <c r="A4325" i="8"/>
  <c r="A4326" i="8"/>
  <c r="A4327" i="8"/>
  <c r="A4328" i="8"/>
  <c r="A4329" i="8"/>
  <c r="A4330" i="8"/>
  <c r="A4331" i="8"/>
  <c r="A4332" i="8"/>
  <c r="A4333" i="8"/>
  <c r="A4334" i="8"/>
  <c r="A4335" i="8"/>
  <c r="A4336" i="8"/>
  <c r="A4337" i="8"/>
  <c r="A4338" i="8"/>
  <c r="A4339" i="8"/>
  <c r="A4340" i="8"/>
  <c r="A4341" i="8"/>
  <c r="A4342" i="8"/>
  <c r="A4343" i="8"/>
  <c r="A4344" i="8"/>
  <c r="A4345" i="8"/>
  <c r="A4346" i="8"/>
  <c r="A4347" i="8"/>
  <c r="A4348" i="8"/>
  <c r="A4349" i="8"/>
  <c r="A4350" i="8"/>
  <c r="A4351" i="8"/>
  <c r="A4352" i="8"/>
  <c r="A4353" i="8"/>
  <c r="A4354" i="8"/>
  <c r="A4355" i="8"/>
  <c r="A4356" i="8"/>
  <c r="A4357" i="8"/>
  <c r="A4358" i="8"/>
  <c r="A4359" i="8"/>
  <c r="A4360" i="8"/>
  <c r="A4361" i="8"/>
  <c r="A4362" i="8"/>
  <c r="A4363" i="8"/>
  <c r="A4364" i="8"/>
  <c r="A4365" i="8"/>
  <c r="A4366" i="8"/>
  <c r="A4367" i="8"/>
  <c r="A4368" i="8"/>
  <c r="A4369" i="8"/>
  <c r="A4370" i="8"/>
  <c r="A4371" i="8"/>
  <c r="A4372" i="8"/>
  <c r="A4373" i="8"/>
  <c r="A4374" i="8"/>
  <c r="A4375" i="8"/>
  <c r="A4376" i="8"/>
  <c r="A4377" i="8"/>
  <c r="A4378" i="8"/>
  <c r="A4379" i="8"/>
  <c r="A4380" i="8"/>
  <c r="A4381" i="8"/>
  <c r="A4382" i="8"/>
  <c r="A4383" i="8"/>
  <c r="A4384" i="8"/>
  <c r="A4385" i="8"/>
  <c r="A4386" i="8"/>
  <c r="A4387" i="8"/>
  <c r="A4388" i="8"/>
  <c r="A4389" i="8"/>
  <c r="A4390" i="8"/>
  <c r="A4391" i="8"/>
  <c r="A4392" i="8"/>
  <c r="A4393" i="8"/>
  <c r="A4394" i="8"/>
  <c r="A4395" i="8"/>
  <c r="A4396" i="8"/>
  <c r="A4397" i="8"/>
  <c r="A4398" i="8"/>
  <c r="A4399" i="8"/>
  <c r="A4400" i="8"/>
  <c r="A4401" i="8"/>
  <c r="A4402" i="8"/>
  <c r="A4403" i="8"/>
  <c r="A4404" i="8"/>
  <c r="A4405" i="8"/>
  <c r="A4406" i="8"/>
  <c r="A4407" i="8"/>
  <c r="A4408" i="8"/>
  <c r="A4409" i="8"/>
  <c r="A4410" i="8"/>
  <c r="A4411" i="8"/>
  <c r="A4412" i="8"/>
  <c r="A4413" i="8"/>
  <c r="A4414" i="8"/>
  <c r="A4415" i="8"/>
  <c r="A4416" i="8"/>
  <c r="A4417" i="8"/>
  <c r="A4418" i="8"/>
  <c r="A4419" i="8"/>
  <c r="A4420" i="8"/>
  <c r="A4421" i="8"/>
  <c r="A4422" i="8"/>
  <c r="A4423" i="8"/>
  <c r="A4424" i="8"/>
  <c r="A4425" i="8"/>
  <c r="A4426" i="8"/>
  <c r="A4427" i="8"/>
  <c r="A4428" i="8"/>
  <c r="A4429" i="8"/>
  <c r="A4430" i="8"/>
  <c r="A4431" i="8"/>
  <c r="A4432" i="8"/>
  <c r="A4433" i="8"/>
  <c r="A4434" i="8"/>
  <c r="A4435" i="8"/>
  <c r="A4436" i="8"/>
  <c r="A4437" i="8"/>
  <c r="A4438" i="8"/>
  <c r="A4439" i="8"/>
  <c r="A4440" i="8"/>
  <c r="A4441" i="8"/>
  <c r="A4442" i="8"/>
  <c r="A4443" i="8"/>
  <c r="A4444" i="8"/>
  <c r="A4445" i="8"/>
  <c r="A4446" i="8"/>
  <c r="A4447" i="8"/>
  <c r="A4448" i="8"/>
  <c r="A4449" i="8"/>
  <c r="A4450" i="8"/>
  <c r="A4451" i="8"/>
  <c r="A4452" i="8"/>
  <c r="A4453" i="8"/>
  <c r="A4454" i="8"/>
  <c r="A4455" i="8"/>
  <c r="A4456" i="8"/>
  <c r="A4457" i="8"/>
  <c r="A4458" i="8"/>
  <c r="A4459" i="8"/>
  <c r="A4460" i="8"/>
  <c r="A4461" i="8"/>
  <c r="A4462" i="8"/>
  <c r="A4463" i="8"/>
  <c r="A4464" i="8"/>
  <c r="A4465" i="8"/>
  <c r="A4466" i="8"/>
  <c r="A4467" i="8"/>
  <c r="A4468" i="8"/>
  <c r="A4469" i="8"/>
  <c r="A4470" i="8"/>
  <c r="A4471" i="8"/>
  <c r="A4472" i="8"/>
  <c r="A4473" i="8"/>
  <c r="A4474" i="8"/>
  <c r="A4475" i="8"/>
  <c r="A4476" i="8"/>
  <c r="A4477" i="8"/>
  <c r="A4478" i="8"/>
  <c r="A4479" i="8"/>
  <c r="A4480" i="8"/>
  <c r="A4481" i="8"/>
  <c r="A4482" i="8"/>
  <c r="A4483" i="8"/>
  <c r="A4484" i="8"/>
  <c r="A4485" i="8"/>
  <c r="A4486" i="8"/>
  <c r="A4487" i="8"/>
  <c r="A4488" i="8"/>
  <c r="A4489" i="8"/>
  <c r="A4490" i="8"/>
  <c r="A4491" i="8"/>
  <c r="A4492" i="8"/>
  <c r="A4493" i="8"/>
  <c r="A4494" i="8"/>
  <c r="A4495" i="8"/>
  <c r="A4496" i="8"/>
  <c r="A4497" i="8"/>
  <c r="A4498" i="8"/>
  <c r="A4499" i="8"/>
  <c r="A4500" i="8"/>
  <c r="A4501" i="8"/>
  <c r="A4502" i="8"/>
  <c r="A4503" i="8"/>
  <c r="A4504" i="8"/>
  <c r="A4505" i="8"/>
  <c r="A4506" i="8"/>
  <c r="A4507" i="8"/>
  <c r="A4508" i="8"/>
  <c r="A4509" i="8"/>
  <c r="A4510" i="8"/>
  <c r="A4511" i="8"/>
  <c r="A4512" i="8"/>
  <c r="A4513" i="8"/>
  <c r="A4514" i="8"/>
  <c r="A4515" i="8"/>
  <c r="A4516" i="8"/>
  <c r="A4517" i="8"/>
  <c r="A4518" i="8"/>
  <c r="A4519" i="8"/>
  <c r="A4520" i="8"/>
  <c r="A4521" i="8"/>
  <c r="A4522" i="8"/>
  <c r="A4523" i="8"/>
  <c r="A4524" i="8"/>
  <c r="A4525" i="8"/>
  <c r="A4526" i="8"/>
  <c r="A4527" i="8"/>
  <c r="A4528" i="8"/>
  <c r="A4529" i="8"/>
  <c r="A4530" i="8"/>
  <c r="A4531" i="8"/>
  <c r="A4532" i="8"/>
  <c r="A4533" i="8"/>
  <c r="A4534" i="8"/>
  <c r="A4535" i="8"/>
  <c r="A4536" i="8"/>
  <c r="A4537" i="8"/>
  <c r="A4538" i="8"/>
  <c r="A4539" i="8"/>
  <c r="A4540" i="8"/>
  <c r="A4541" i="8"/>
  <c r="A4542" i="8"/>
  <c r="A4543" i="8"/>
  <c r="A4544" i="8"/>
  <c r="A4545" i="8"/>
  <c r="A4546" i="8"/>
  <c r="A4547" i="8"/>
  <c r="A4548" i="8"/>
  <c r="A4549" i="8"/>
  <c r="A4550" i="8"/>
  <c r="A4551" i="8"/>
  <c r="A4552" i="8"/>
  <c r="A4553" i="8"/>
  <c r="A4554" i="8"/>
  <c r="A4555" i="8"/>
  <c r="A4556" i="8"/>
  <c r="A4557" i="8"/>
  <c r="A4558" i="8"/>
  <c r="A4559" i="8"/>
  <c r="A4560" i="8"/>
  <c r="A4561" i="8"/>
  <c r="A4562" i="8"/>
  <c r="A4563" i="8"/>
  <c r="A4564" i="8"/>
  <c r="A4565" i="8"/>
  <c r="A4566" i="8"/>
  <c r="A4567" i="8"/>
  <c r="A4568" i="8"/>
  <c r="A4569" i="8"/>
  <c r="A4570" i="8"/>
  <c r="A4571" i="8"/>
  <c r="A4572" i="8"/>
  <c r="A4573" i="8"/>
  <c r="A4574" i="8"/>
  <c r="A4575" i="8"/>
  <c r="A4576" i="8"/>
  <c r="A4577" i="8"/>
  <c r="A4578" i="8"/>
  <c r="A4579" i="8"/>
  <c r="A4580" i="8"/>
  <c r="A4581" i="8"/>
  <c r="A4582" i="8"/>
  <c r="A4583" i="8"/>
  <c r="A4584" i="8"/>
  <c r="A4585" i="8"/>
  <c r="A4586" i="8"/>
  <c r="A4587" i="8"/>
  <c r="A4588" i="8"/>
  <c r="A4589" i="8"/>
  <c r="A4590" i="8"/>
  <c r="A4591" i="8"/>
  <c r="A4592" i="8"/>
  <c r="A4593" i="8"/>
  <c r="A4594" i="8"/>
  <c r="A4595" i="8"/>
  <c r="A4596" i="8"/>
  <c r="A4597" i="8"/>
  <c r="A4598" i="8"/>
  <c r="A4599" i="8"/>
  <c r="A4600" i="8"/>
  <c r="A4601" i="8"/>
  <c r="A4602" i="8"/>
  <c r="A4603" i="8"/>
  <c r="A4604" i="8"/>
  <c r="A4605" i="8"/>
  <c r="A4606" i="8"/>
  <c r="A4607" i="8"/>
  <c r="A4608" i="8"/>
  <c r="A4609" i="8"/>
  <c r="A4610" i="8"/>
  <c r="A4611" i="8"/>
  <c r="A4612" i="8"/>
  <c r="A4613" i="8"/>
  <c r="A4614" i="8"/>
  <c r="A4615" i="8"/>
  <c r="A4616" i="8"/>
  <c r="A4617" i="8"/>
  <c r="A4618" i="8"/>
  <c r="A4619" i="8"/>
  <c r="A4620" i="8"/>
  <c r="A4621" i="8"/>
  <c r="A4622" i="8"/>
  <c r="A4623" i="8"/>
  <c r="A4624" i="8"/>
  <c r="A4625" i="8"/>
  <c r="A4626" i="8"/>
  <c r="A4627" i="8"/>
  <c r="A4628" i="8"/>
  <c r="A4629" i="8"/>
  <c r="A4630" i="8"/>
  <c r="A4631" i="8"/>
  <c r="A4632" i="8"/>
  <c r="A4633" i="8"/>
  <c r="A4634" i="8"/>
  <c r="A4635" i="8"/>
  <c r="A4636" i="8"/>
  <c r="A4637" i="8"/>
  <c r="A4638" i="8"/>
  <c r="A4639" i="8"/>
  <c r="A4640" i="8"/>
  <c r="A4641" i="8"/>
  <c r="A4642" i="8"/>
  <c r="A4643" i="8"/>
  <c r="A4644" i="8"/>
  <c r="A4645" i="8"/>
  <c r="A4646" i="8"/>
  <c r="A4647" i="8"/>
  <c r="A4648" i="8"/>
  <c r="A4649" i="8"/>
  <c r="A4650" i="8"/>
  <c r="A4651" i="8"/>
  <c r="A4652" i="8"/>
  <c r="A4653" i="8"/>
  <c r="A4654" i="8"/>
  <c r="A4655" i="8"/>
  <c r="A4656" i="8"/>
  <c r="A4657" i="8"/>
  <c r="A4658" i="8"/>
  <c r="A4659" i="8"/>
  <c r="A4660" i="8"/>
  <c r="A4661" i="8"/>
  <c r="A4662" i="8"/>
  <c r="A4663" i="8"/>
  <c r="A4664" i="8"/>
  <c r="A4665" i="8"/>
  <c r="A4666" i="8"/>
  <c r="A4667" i="8"/>
  <c r="A4668" i="8"/>
  <c r="A4669" i="8"/>
  <c r="A4670" i="8"/>
  <c r="A4671" i="8"/>
  <c r="A4672" i="8"/>
  <c r="A4673" i="8"/>
  <c r="A4674" i="8"/>
  <c r="A4675" i="8"/>
  <c r="A4676" i="8"/>
  <c r="A4677" i="8"/>
  <c r="A4678" i="8"/>
  <c r="A4679" i="8"/>
  <c r="A4680" i="8"/>
  <c r="A4681" i="8"/>
  <c r="A4682" i="8"/>
  <c r="A4683" i="8"/>
  <c r="A4684" i="8"/>
  <c r="A4685" i="8"/>
  <c r="A4686" i="8"/>
  <c r="A4687" i="8"/>
  <c r="A4688" i="8"/>
  <c r="A4689" i="8"/>
  <c r="A4690" i="8"/>
  <c r="A4691" i="8"/>
  <c r="A4692" i="8"/>
  <c r="A4693" i="8"/>
  <c r="A4694" i="8"/>
  <c r="A4695" i="8"/>
  <c r="A4696" i="8"/>
  <c r="A4697" i="8"/>
  <c r="A4698" i="8"/>
  <c r="A4699" i="8"/>
  <c r="A4700" i="8"/>
  <c r="A4701" i="8"/>
  <c r="A4702" i="8"/>
  <c r="A4703" i="8"/>
  <c r="A4704" i="8"/>
  <c r="A4705" i="8"/>
  <c r="A4706" i="8"/>
  <c r="A4707" i="8"/>
  <c r="A4708" i="8"/>
  <c r="A4709" i="8"/>
  <c r="A4710" i="8"/>
  <c r="A4711" i="8"/>
  <c r="A4712" i="8"/>
  <c r="A4713" i="8"/>
  <c r="A4714" i="8"/>
  <c r="A4715" i="8"/>
  <c r="A4716" i="8"/>
  <c r="A4717" i="8"/>
  <c r="A4718" i="8"/>
  <c r="A4719" i="8"/>
  <c r="A4720" i="8"/>
  <c r="A4721" i="8"/>
  <c r="A4722" i="8"/>
  <c r="A4723" i="8"/>
  <c r="A4724" i="8"/>
  <c r="A4725" i="8"/>
  <c r="A4726" i="8"/>
  <c r="A4727" i="8"/>
  <c r="A4728" i="8"/>
  <c r="A4729" i="8"/>
  <c r="A4730" i="8"/>
  <c r="A4731" i="8"/>
  <c r="A4732" i="8"/>
  <c r="A4733" i="8"/>
  <c r="A4734" i="8"/>
  <c r="A4735" i="8"/>
  <c r="A4736" i="8"/>
  <c r="A4737" i="8"/>
  <c r="A4738" i="8"/>
  <c r="A4739" i="8"/>
  <c r="A4740" i="8"/>
  <c r="A4741" i="8"/>
  <c r="A4742" i="8"/>
  <c r="A4743" i="8"/>
  <c r="A4744" i="8"/>
  <c r="A4745" i="8"/>
  <c r="A4746" i="8"/>
  <c r="A4747" i="8"/>
  <c r="A4748" i="8"/>
  <c r="A4749" i="8"/>
  <c r="A4750" i="8"/>
  <c r="A4751" i="8"/>
  <c r="A4752" i="8"/>
  <c r="A4753" i="8"/>
  <c r="A4754" i="8"/>
  <c r="A4755" i="8"/>
  <c r="A4756" i="8"/>
  <c r="A4757" i="8"/>
  <c r="A4758" i="8"/>
  <c r="A4759" i="8"/>
  <c r="A4760" i="8"/>
  <c r="A4761" i="8"/>
  <c r="A4762" i="8"/>
  <c r="A4763" i="8"/>
  <c r="A4764" i="8"/>
  <c r="A4765" i="8"/>
  <c r="A4766" i="8"/>
  <c r="A4767" i="8"/>
  <c r="A4768" i="8"/>
  <c r="A4769" i="8"/>
  <c r="A4770" i="8"/>
  <c r="A4771" i="8"/>
  <c r="A4772" i="8"/>
  <c r="A4773" i="8"/>
  <c r="A4774" i="8"/>
  <c r="A4775" i="8"/>
  <c r="A4776" i="8"/>
  <c r="A4777" i="8"/>
  <c r="A4778" i="8"/>
  <c r="A4779" i="8"/>
  <c r="A4780" i="8"/>
  <c r="A4781" i="8"/>
  <c r="A4782" i="8"/>
  <c r="A4783" i="8"/>
  <c r="A4784" i="8"/>
  <c r="A4785" i="8"/>
  <c r="A4786" i="8"/>
  <c r="A4787" i="8"/>
  <c r="A4788" i="8"/>
  <c r="A4789" i="8"/>
  <c r="A4790" i="8"/>
  <c r="A4791" i="8"/>
  <c r="A4792" i="8"/>
  <c r="A4793" i="8"/>
  <c r="A4794" i="8"/>
  <c r="A4795" i="8"/>
  <c r="A4796" i="8"/>
  <c r="A4797" i="8"/>
  <c r="A4798" i="8"/>
  <c r="A4799" i="8"/>
  <c r="A4800" i="8"/>
  <c r="A4801" i="8"/>
  <c r="A4802" i="8"/>
  <c r="A4803" i="8"/>
  <c r="A4804" i="8"/>
  <c r="A4805" i="8"/>
  <c r="A4806" i="8"/>
  <c r="A4807" i="8"/>
  <c r="A4808" i="8"/>
  <c r="A4809" i="8"/>
  <c r="A4810" i="8"/>
  <c r="A4811" i="8"/>
  <c r="A4812" i="8"/>
  <c r="A4813" i="8"/>
  <c r="A4814" i="8"/>
  <c r="A4815" i="8"/>
  <c r="A4816" i="8"/>
  <c r="A4817" i="8"/>
  <c r="A4818" i="8"/>
  <c r="A4819" i="8"/>
  <c r="A4820" i="8"/>
  <c r="A4821" i="8"/>
  <c r="A4822" i="8"/>
  <c r="A4823" i="8"/>
  <c r="A4824" i="8"/>
  <c r="A4825" i="8"/>
  <c r="A4826" i="8"/>
  <c r="A4827" i="8"/>
  <c r="A4828" i="8"/>
  <c r="A4829" i="8"/>
  <c r="A4830" i="8"/>
  <c r="A4831" i="8"/>
  <c r="A4832" i="8"/>
  <c r="A4833" i="8"/>
  <c r="A4834" i="8"/>
  <c r="A4835" i="8"/>
  <c r="A4836" i="8"/>
  <c r="A4837" i="8"/>
  <c r="A4838" i="8"/>
  <c r="A4839" i="8"/>
  <c r="A4840" i="8"/>
  <c r="A4841" i="8"/>
  <c r="A4842" i="8"/>
  <c r="A4843" i="8"/>
  <c r="A4844" i="8"/>
  <c r="A4845" i="8"/>
  <c r="A4846" i="8"/>
  <c r="A4847" i="8"/>
  <c r="A4848" i="8"/>
  <c r="A4849" i="8"/>
  <c r="A4850" i="8"/>
  <c r="A4851" i="8"/>
  <c r="A4852" i="8"/>
  <c r="A4853" i="8"/>
  <c r="A4854" i="8"/>
  <c r="A4855" i="8"/>
  <c r="A4856" i="8"/>
  <c r="A4857" i="8"/>
  <c r="A4858" i="8"/>
  <c r="A4859" i="8"/>
  <c r="A4860" i="8"/>
  <c r="A4861" i="8"/>
  <c r="A4862" i="8"/>
  <c r="A4863" i="8"/>
  <c r="A4864" i="8"/>
  <c r="A4865" i="8"/>
  <c r="A4866" i="8"/>
  <c r="A4867" i="8"/>
  <c r="A4868" i="8"/>
  <c r="A4869" i="8"/>
  <c r="A4870" i="8"/>
  <c r="A4871" i="8"/>
  <c r="A4872" i="8"/>
  <c r="A4873" i="8"/>
  <c r="A4874" i="8"/>
  <c r="A4875" i="8"/>
  <c r="A4876" i="8"/>
  <c r="A4877" i="8"/>
  <c r="A4878" i="8"/>
  <c r="A4879" i="8"/>
  <c r="A4880" i="8"/>
  <c r="A4881" i="8"/>
  <c r="A4882" i="8"/>
  <c r="A4883" i="8"/>
  <c r="A4884" i="8"/>
  <c r="A4885" i="8"/>
  <c r="A4886" i="8"/>
  <c r="A4887" i="8"/>
  <c r="A4888" i="8"/>
  <c r="A4889" i="8"/>
  <c r="A4890" i="8"/>
  <c r="A4891" i="8"/>
  <c r="A4892" i="8"/>
  <c r="A4893" i="8"/>
  <c r="A4894" i="8"/>
  <c r="A4895" i="8"/>
  <c r="A4896" i="8"/>
  <c r="A4897" i="8"/>
  <c r="A4898" i="8"/>
  <c r="A4899" i="8"/>
  <c r="A4900" i="8"/>
  <c r="A4901" i="8"/>
  <c r="A4902" i="8"/>
  <c r="A4903" i="8"/>
  <c r="A4904" i="8"/>
  <c r="A4905" i="8"/>
  <c r="A4906" i="8"/>
  <c r="A4907" i="8"/>
  <c r="A4908" i="8"/>
  <c r="A4909" i="8"/>
  <c r="A4910" i="8"/>
  <c r="A4911" i="8"/>
  <c r="A4912" i="8"/>
  <c r="A4913" i="8"/>
  <c r="A4914" i="8"/>
  <c r="A4915" i="8"/>
  <c r="A4916" i="8"/>
  <c r="A4917" i="8"/>
  <c r="A4918" i="8"/>
  <c r="A4919" i="8"/>
  <c r="A4920" i="8"/>
  <c r="A4921" i="8"/>
  <c r="A4922" i="8"/>
  <c r="A4923" i="8"/>
  <c r="A4924" i="8"/>
  <c r="A4925" i="8"/>
  <c r="A4926" i="8"/>
  <c r="A4927" i="8"/>
  <c r="A4928" i="8"/>
  <c r="A4929" i="8"/>
  <c r="A4930" i="8"/>
  <c r="A4931" i="8"/>
  <c r="A4932" i="8"/>
  <c r="A4933" i="8"/>
  <c r="A4934" i="8"/>
  <c r="A4935" i="8"/>
  <c r="A4936" i="8"/>
  <c r="A4937" i="8"/>
  <c r="A4938" i="8"/>
  <c r="A4939" i="8"/>
  <c r="A4940" i="8"/>
  <c r="A4941" i="8"/>
  <c r="A4942" i="8"/>
  <c r="A4943" i="8"/>
  <c r="A4944" i="8"/>
  <c r="A4945" i="8"/>
  <c r="A4946" i="8"/>
  <c r="A4947" i="8"/>
  <c r="A4948" i="8"/>
  <c r="A4949" i="8"/>
  <c r="A4950" i="8"/>
  <c r="A4951" i="8"/>
  <c r="A4952" i="8"/>
  <c r="A4953" i="8"/>
  <c r="A4954" i="8"/>
  <c r="A4955" i="8"/>
  <c r="A4956" i="8"/>
  <c r="A4957" i="8"/>
  <c r="A4958" i="8"/>
  <c r="A4959" i="8"/>
  <c r="A4960" i="8"/>
  <c r="A4961" i="8"/>
  <c r="A4962" i="8"/>
  <c r="A4963" i="8"/>
  <c r="A4964" i="8"/>
  <c r="A4965" i="8"/>
  <c r="A4966" i="8"/>
  <c r="A4967" i="8"/>
  <c r="A4968" i="8"/>
  <c r="A4969" i="8"/>
  <c r="A4970" i="8"/>
  <c r="A4971" i="8"/>
  <c r="A4972" i="8"/>
  <c r="A4973" i="8"/>
  <c r="A4974" i="8"/>
  <c r="A4975" i="8"/>
  <c r="A4976" i="8"/>
  <c r="A4977" i="8"/>
  <c r="A4978" i="8"/>
  <c r="A4979" i="8"/>
  <c r="A4980" i="8"/>
  <c r="A4981" i="8"/>
  <c r="A4982" i="8"/>
  <c r="A4983" i="8"/>
  <c r="A4984" i="8"/>
  <c r="A4985" i="8"/>
  <c r="A4986" i="8"/>
  <c r="A4987" i="8"/>
  <c r="A4988" i="8"/>
  <c r="A4989" i="8"/>
  <c r="A4990" i="8"/>
  <c r="A4991" i="8"/>
  <c r="A4992" i="8"/>
  <c r="A4993" i="8"/>
  <c r="A4994" i="8"/>
  <c r="A4995" i="8"/>
  <c r="A4996" i="8"/>
  <c r="A4997" i="8"/>
  <c r="A4998" i="8"/>
  <c r="A4999" i="8"/>
  <c r="A5000" i="8"/>
  <c r="A5001" i="8"/>
  <c r="A5002" i="8"/>
  <c r="A5003" i="8"/>
  <c r="A5004" i="8"/>
  <c r="A5005" i="8"/>
  <c r="A5006" i="8"/>
  <c r="A5007" i="8"/>
  <c r="A5008" i="8"/>
  <c r="A5009" i="8"/>
  <c r="A5010" i="8"/>
  <c r="A5011" i="8"/>
  <c r="A5012" i="8"/>
  <c r="A5013" i="8"/>
  <c r="A5014" i="8"/>
  <c r="A5015" i="8"/>
  <c r="A5016" i="8"/>
  <c r="A5017" i="8"/>
  <c r="A5018" i="8"/>
  <c r="A5019" i="8"/>
  <c r="A5020" i="8"/>
  <c r="A5021" i="8"/>
  <c r="A5022" i="8"/>
  <c r="A5023" i="8"/>
  <c r="A5024" i="8"/>
  <c r="A5025" i="8"/>
  <c r="A5026" i="8"/>
  <c r="A5027" i="8"/>
  <c r="A5028" i="8"/>
  <c r="A5029" i="8"/>
  <c r="A5030" i="8"/>
  <c r="A5031" i="8"/>
  <c r="A5032" i="8"/>
  <c r="A5033" i="8"/>
  <c r="A5034" i="8"/>
  <c r="A5035" i="8"/>
  <c r="A5036" i="8"/>
  <c r="A5037" i="8"/>
  <c r="A5038" i="8"/>
  <c r="A5039" i="8"/>
  <c r="A5040" i="8"/>
  <c r="A5041" i="8"/>
  <c r="A5042" i="8"/>
  <c r="A5043" i="8"/>
  <c r="A5044" i="8"/>
  <c r="A5045" i="8"/>
  <c r="A5046" i="8"/>
  <c r="A5047" i="8"/>
  <c r="A5048" i="8"/>
  <c r="A5049" i="8"/>
  <c r="A5050" i="8"/>
  <c r="A5051" i="8"/>
  <c r="A5052" i="8"/>
  <c r="A5053" i="8"/>
  <c r="A5054" i="8"/>
  <c r="A5055" i="8"/>
  <c r="A5056" i="8"/>
  <c r="A5057" i="8"/>
  <c r="A5058" i="8"/>
  <c r="A5059" i="8"/>
  <c r="A5060" i="8"/>
  <c r="A5061" i="8"/>
  <c r="A5062" i="8"/>
  <c r="A5063" i="8"/>
  <c r="A5064" i="8"/>
  <c r="A5065" i="8"/>
  <c r="A5066" i="8"/>
  <c r="A5067" i="8"/>
  <c r="A5068" i="8"/>
  <c r="A5069" i="8"/>
  <c r="A5070" i="8"/>
  <c r="A5071" i="8"/>
  <c r="A5072" i="8"/>
  <c r="A5073" i="8"/>
  <c r="A5074" i="8"/>
  <c r="A5075" i="8"/>
  <c r="A5076" i="8"/>
  <c r="A5077" i="8"/>
  <c r="A5078" i="8"/>
  <c r="A5079" i="8"/>
  <c r="A5080" i="8"/>
  <c r="A5081" i="8"/>
  <c r="A5082" i="8"/>
  <c r="A5083" i="8"/>
  <c r="A5084" i="8"/>
  <c r="A5085" i="8"/>
  <c r="A5086" i="8"/>
  <c r="A5087" i="8"/>
  <c r="A5088" i="8"/>
  <c r="A5089" i="8"/>
  <c r="A5090" i="8"/>
  <c r="A5091" i="8"/>
  <c r="A5092" i="8"/>
  <c r="A5093" i="8"/>
  <c r="A5094" i="8"/>
  <c r="A5095" i="8"/>
  <c r="A5096" i="8"/>
  <c r="A5097" i="8"/>
  <c r="A5098" i="8"/>
  <c r="A5099" i="8"/>
  <c r="A5100" i="8"/>
  <c r="A5101" i="8"/>
  <c r="A5102" i="8"/>
  <c r="A5103" i="8"/>
  <c r="A5104" i="8"/>
  <c r="A5105" i="8"/>
  <c r="A5106" i="8"/>
  <c r="A5107" i="8"/>
  <c r="A5108" i="8"/>
  <c r="A5109" i="8"/>
  <c r="A5110" i="8"/>
  <c r="A5111" i="8"/>
  <c r="A5112" i="8"/>
  <c r="A5113" i="8"/>
  <c r="A5114" i="8"/>
  <c r="A5115" i="8"/>
  <c r="A5116" i="8"/>
  <c r="A5117" i="8"/>
  <c r="A5118" i="8"/>
  <c r="A5119" i="8"/>
  <c r="A5120" i="8"/>
  <c r="A5121" i="8"/>
  <c r="A5122" i="8"/>
  <c r="A5123" i="8"/>
  <c r="A5124" i="8"/>
  <c r="A5125" i="8"/>
  <c r="A5126" i="8"/>
  <c r="A5127" i="8"/>
  <c r="A5128" i="8"/>
  <c r="A5129" i="8"/>
  <c r="A5130" i="8"/>
  <c r="A5131" i="8"/>
  <c r="A5132" i="8"/>
  <c r="A5133" i="8"/>
  <c r="A5134" i="8"/>
  <c r="A5135" i="8"/>
  <c r="A5136" i="8"/>
  <c r="A5137" i="8"/>
  <c r="A5138" i="8"/>
  <c r="A5139" i="8"/>
  <c r="A5140" i="8"/>
  <c r="A5141" i="8"/>
  <c r="A5142" i="8"/>
  <c r="A5143" i="8"/>
  <c r="A5144" i="8"/>
  <c r="A5145" i="8"/>
  <c r="A5146" i="8"/>
  <c r="A5147" i="8"/>
  <c r="A5148" i="8"/>
  <c r="A5149" i="8"/>
  <c r="A5150" i="8"/>
  <c r="A5151" i="8"/>
  <c r="A5152" i="8"/>
  <c r="A5153" i="8"/>
  <c r="A5154" i="8"/>
  <c r="A5155" i="8"/>
  <c r="A5156" i="8"/>
  <c r="A5157" i="8"/>
  <c r="A5158" i="8"/>
  <c r="A5159" i="8"/>
  <c r="A5160" i="8"/>
  <c r="A5161" i="8"/>
  <c r="A5162" i="8"/>
  <c r="A5163" i="8"/>
  <c r="A5164" i="8"/>
  <c r="A5165" i="8"/>
  <c r="A5166" i="8"/>
  <c r="A5167" i="8"/>
  <c r="A5168" i="8"/>
  <c r="A5169" i="8"/>
  <c r="A5170" i="8"/>
  <c r="A5171" i="8"/>
  <c r="A5172" i="8"/>
  <c r="A5173" i="8"/>
  <c r="A5174" i="8"/>
  <c r="A5175" i="8"/>
  <c r="A5176" i="8"/>
  <c r="A5177" i="8"/>
  <c r="A5178" i="8"/>
  <c r="A5179" i="8"/>
  <c r="A5180" i="8"/>
  <c r="A5181" i="8"/>
  <c r="A5182" i="8"/>
  <c r="A5183" i="8"/>
  <c r="A5184" i="8"/>
  <c r="A5185" i="8"/>
  <c r="A5186" i="8"/>
  <c r="A5187" i="8"/>
  <c r="A5188" i="8"/>
  <c r="A5189" i="8"/>
  <c r="A5190" i="8"/>
  <c r="A5191" i="8"/>
  <c r="A5192" i="8"/>
  <c r="A5193" i="8"/>
  <c r="A5194" i="8"/>
  <c r="A5195" i="8"/>
  <c r="A5196" i="8"/>
  <c r="A5197" i="8"/>
  <c r="A5198" i="8"/>
  <c r="A5199" i="8"/>
  <c r="A5200" i="8"/>
  <c r="A5201" i="8"/>
  <c r="A5202" i="8"/>
  <c r="A5203" i="8"/>
  <c r="A5204" i="8"/>
  <c r="A5205" i="8"/>
  <c r="A5206" i="8"/>
  <c r="A5207" i="8"/>
  <c r="A5208" i="8"/>
  <c r="A5209" i="8"/>
  <c r="A5210" i="8"/>
  <c r="A5211" i="8"/>
  <c r="A5212" i="8"/>
  <c r="A5213" i="8"/>
  <c r="A5214" i="8"/>
  <c r="A5215" i="8"/>
  <c r="A5216" i="8"/>
  <c r="A5217" i="8"/>
  <c r="A5218" i="8"/>
  <c r="A5219" i="8"/>
  <c r="A5220" i="8"/>
  <c r="A5221" i="8"/>
  <c r="A5222" i="8"/>
  <c r="A5223" i="8"/>
  <c r="A5224" i="8"/>
  <c r="A5225" i="8"/>
  <c r="A5226" i="8"/>
  <c r="A5227" i="8"/>
  <c r="A5228" i="8"/>
  <c r="A5229" i="8"/>
  <c r="A5230" i="8"/>
  <c r="A5231" i="8"/>
  <c r="A5232" i="8"/>
  <c r="A5233" i="8"/>
  <c r="A5234" i="8"/>
  <c r="A5235" i="8"/>
  <c r="A5236" i="8"/>
  <c r="A5237" i="8"/>
  <c r="A5238" i="8"/>
  <c r="A5239" i="8"/>
  <c r="A5240" i="8"/>
  <c r="A5241" i="8"/>
  <c r="A5242" i="8"/>
  <c r="A5243" i="8"/>
  <c r="A5244" i="8"/>
  <c r="A5245" i="8"/>
  <c r="A5246" i="8"/>
  <c r="A5247" i="8"/>
  <c r="A5248" i="8"/>
  <c r="A5249" i="8"/>
  <c r="A5250" i="8"/>
  <c r="A5251" i="8"/>
  <c r="A5252" i="8"/>
  <c r="A5253" i="8"/>
  <c r="A5254" i="8"/>
  <c r="A5255" i="8"/>
  <c r="A5256" i="8"/>
  <c r="A5257" i="8"/>
  <c r="A5258" i="8"/>
  <c r="A5259" i="8"/>
  <c r="A5260" i="8"/>
  <c r="A5261" i="8"/>
  <c r="A5262" i="8"/>
  <c r="A5263" i="8"/>
  <c r="A5264" i="8"/>
  <c r="A5265" i="8"/>
  <c r="A5266" i="8"/>
  <c r="A5267" i="8"/>
  <c r="A5268" i="8"/>
  <c r="A5269" i="8"/>
  <c r="A5270" i="8"/>
  <c r="A5271" i="8"/>
  <c r="A5272" i="8"/>
  <c r="A5273" i="8"/>
  <c r="A5274" i="8"/>
  <c r="A5275" i="8"/>
  <c r="A5276" i="8"/>
  <c r="A5277" i="8"/>
  <c r="A5278" i="8"/>
  <c r="A5279" i="8"/>
  <c r="A5280" i="8"/>
  <c r="A5281" i="8"/>
  <c r="A5282" i="8"/>
  <c r="A5283" i="8"/>
  <c r="A5284" i="8"/>
  <c r="A5285" i="8"/>
  <c r="A5286" i="8"/>
  <c r="A5287" i="8"/>
  <c r="A5288" i="8"/>
  <c r="A5289" i="8"/>
  <c r="A5290" i="8"/>
  <c r="A5291" i="8"/>
  <c r="A5292" i="8"/>
  <c r="A5293" i="8"/>
  <c r="A5294" i="8"/>
  <c r="A5295" i="8"/>
  <c r="A5296" i="8"/>
  <c r="A5297" i="8"/>
  <c r="A5298" i="8"/>
  <c r="A5299" i="8"/>
  <c r="A5300" i="8"/>
  <c r="A5301" i="8"/>
  <c r="A5302" i="8"/>
  <c r="A5303" i="8"/>
  <c r="A5304" i="8"/>
  <c r="A5305" i="8"/>
  <c r="A5306" i="8"/>
  <c r="A5307" i="8"/>
  <c r="A5308" i="8"/>
  <c r="A5309" i="8"/>
  <c r="A5310" i="8"/>
  <c r="A5311" i="8"/>
  <c r="A5312" i="8"/>
  <c r="A5313" i="8"/>
  <c r="A5314" i="8"/>
  <c r="A5315" i="8"/>
  <c r="A5316" i="8"/>
  <c r="A5317" i="8"/>
  <c r="A5318" i="8"/>
  <c r="A5319" i="8"/>
  <c r="A5320" i="8"/>
  <c r="A5321" i="8"/>
  <c r="A5322" i="8"/>
  <c r="A5323" i="8"/>
  <c r="A5324" i="8"/>
  <c r="A5325" i="8"/>
  <c r="A5326" i="8"/>
  <c r="A5327" i="8"/>
  <c r="A5328" i="8"/>
  <c r="A5329" i="8"/>
  <c r="A5330" i="8"/>
  <c r="A5331" i="8"/>
  <c r="A5332" i="8"/>
  <c r="A5333" i="8"/>
  <c r="A5334" i="8"/>
  <c r="A5335" i="8"/>
  <c r="A5336" i="8"/>
  <c r="A5337" i="8"/>
  <c r="A5338" i="8"/>
  <c r="A5339" i="8"/>
  <c r="A5340" i="8"/>
  <c r="A5341" i="8"/>
  <c r="A5342" i="8"/>
  <c r="A5343" i="8"/>
  <c r="A5344" i="8"/>
  <c r="A5345" i="8"/>
  <c r="A5346" i="8"/>
  <c r="A5347" i="8"/>
  <c r="A5348" i="8"/>
  <c r="A5349" i="8"/>
  <c r="A5350" i="8"/>
  <c r="A5351" i="8"/>
  <c r="A5352" i="8"/>
  <c r="A5353" i="8"/>
  <c r="A5354" i="8"/>
  <c r="A5355" i="8"/>
  <c r="A5356" i="8"/>
  <c r="A5357" i="8"/>
  <c r="A5358" i="8"/>
  <c r="A5359" i="8"/>
  <c r="A5360" i="8"/>
  <c r="A5361" i="8"/>
  <c r="A5362" i="8"/>
  <c r="A5363" i="8"/>
  <c r="A5364" i="8"/>
  <c r="A5365" i="8"/>
  <c r="A5366" i="8"/>
  <c r="A5367" i="8"/>
  <c r="A5368" i="8"/>
  <c r="A5369" i="8"/>
  <c r="A5370" i="8"/>
  <c r="A5371" i="8"/>
  <c r="A5372" i="8"/>
  <c r="A5373" i="8"/>
  <c r="A5374" i="8"/>
  <c r="A5375" i="8"/>
  <c r="A5376" i="8"/>
  <c r="A5377" i="8"/>
  <c r="A5378" i="8"/>
  <c r="A5379" i="8"/>
  <c r="A5380" i="8"/>
  <c r="A5381" i="8"/>
  <c r="A5382" i="8"/>
  <c r="A5383" i="8"/>
  <c r="A5384" i="8"/>
  <c r="A5385" i="8"/>
  <c r="A5386" i="8"/>
  <c r="A5387" i="8"/>
  <c r="A5388" i="8"/>
  <c r="A5389" i="8"/>
  <c r="A5390" i="8"/>
  <c r="A5391" i="8"/>
  <c r="A5392" i="8"/>
  <c r="A5393" i="8"/>
  <c r="A5394" i="8"/>
  <c r="A5395" i="8"/>
  <c r="A5396" i="8"/>
  <c r="A5397" i="8"/>
  <c r="A5398" i="8"/>
  <c r="A5399" i="8"/>
  <c r="A5400" i="8"/>
  <c r="A5401" i="8"/>
  <c r="A5402" i="8"/>
  <c r="A5403" i="8"/>
  <c r="A5404" i="8"/>
  <c r="A5405" i="8"/>
  <c r="A5406" i="8"/>
  <c r="A5407" i="8"/>
  <c r="A5408" i="8"/>
  <c r="A5409" i="8"/>
  <c r="A5410" i="8"/>
  <c r="A5411" i="8"/>
  <c r="A5412" i="8"/>
  <c r="A5413" i="8"/>
  <c r="A5414" i="8"/>
  <c r="A5415" i="8"/>
  <c r="A5416" i="8"/>
  <c r="A5417" i="8"/>
  <c r="A5418" i="8"/>
  <c r="A5419" i="8"/>
  <c r="A5420" i="8"/>
  <c r="A5421" i="8"/>
  <c r="A5422" i="8"/>
  <c r="A5423" i="8"/>
  <c r="A5424" i="8"/>
  <c r="A5425" i="8"/>
  <c r="A5426" i="8"/>
  <c r="A5427" i="8"/>
  <c r="A5428" i="8"/>
  <c r="A5429" i="8"/>
  <c r="A5430" i="8"/>
  <c r="A5431" i="8"/>
  <c r="A5432" i="8"/>
  <c r="A5433" i="8"/>
  <c r="A5434" i="8"/>
  <c r="A5435" i="8"/>
  <c r="A5436" i="8"/>
  <c r="A5437" i="8"/>
  <c r="A5438" i="8"/>
  <c r="A5439" i="8"/>
  <c r="A5440" i="8"/>
  <c r="A5441" i="8"/>
  <c r="A5442" i="8"/>
  <c r="A5443" i="8"/>
  <c r="A5444" i="8"/>
  <c r="A5445" i="8"/>
  <c r="A5446" i="8"/>
  <c r="A5447" i="8"/>
  <c r="A5448" i="8"/>
  <c r="A5449" i="8"/>
  <c r="A5450" i="8"/>
  <c r="A5451" i="8"/>
  <c r="A5452" i="8"/>
  <c r="A5453" i="8"/>
  <c r="A5454" i="8"/>
  <c r="A5455" i="8"/>
  <c r="A5456" i="8"/>
  <c r="A5457" i="8"/>
  <c r="A5458" i="8"/>
  <c r="A5459" i="8"/>
  <c r="A5460" i="8"/>
  <c r="A5461" i="8"/>
  <c r="A5462" i="8"/>
  <c r="A5463" i="8"/>
  <c r="A5464" i="8"/>
  <c r="A5465" i="8"/>
  <c r="A5466" i="8"/>
  <c r="A5467" i="8"/>
  <c r="A5468" i="8"/>
  <c r="A5469" i="8"/>
  <c r="A5470" i="8"/>
  <c r="A5471" i="8"/>
  <c r="A5472" i="8"/>
  <c r="A5473" i="8"/>
  <c r="A5474" i="8"/>
  <c r="A5475" i="8"/>
  <c r="A5476" i="8"/>
  <c r="A5477" i="8"/>
  <c r="A5478" i="8"/>
  <c r="A5479" i="8"/>
  <c r="A5480" i="8"/>
  <c r="A5481" i="8"/>
  <c r="A5482" i="8"/>
  <c r="A5483" i="8"/>
  <c r="A5484" i="8"/>
  <c r="A5485" i="8"/>
  <c r="A5486" i="8"/>
  <c r="A5487" i="8"/>
  <c r="A5488" i="8"/>
  <c r="A5489" i="8"/>
  <c r="A5490" i="8"/>
  <c r="A5491" i="8"/>
  <c r="A5492" i="8"/>
  <c r="A5493" i="8"/>
  <c r="A5494" i="8"/>
  <c r="A5495" i="8"/>
  <c r="A5496" i="8"/>
  <c r="A5497" i="8"/>
  <c r="A5498" i="8"/>
  <c r="A5499" i="8"/>
  <c r="A5500" i="8"/>
  <c r="A5501" i="8"/>
  <c r="A5502" i="8"/>
  <c r="A5503" i="8"/>
  <c r="A5504" i="8"/>
  <c r="A5505" i="8"/>
  <c r="A5506" i="8"/>
  <c r="A5507" i="8"/>
  <c r="A5508" i="8"/>
  <c r="A5509" i="8"/>
  <c r="A5510" i="8"/>
  <c r="A5511" i="8"/>
  <c r="A5512" i="8"/>
  <c r="A5513" i="8"/>
  <c r="A5514" i="8"/>
  <c r="A5515" i="8"/>
  <c r="A5516" i="8"/>
  <c r="A5517" i="8"/>
  <c r="A5518" i="8"/>
  <c r="A5519" i="8"/>
  <c r="A5520" i="8"/>
  <c r="A5521" i="8"/>
  <c r="A5522" i="8"/>
  <c r="A5523" i="8"/>
  <c r="A5524" i="8"/>
  <c r="A5525" i="8"/>
  <c r="A5526" i="8"/>
  <c r="A5527" i="8"/>
  <c r="A5528" i="8"/>
  <c r="A5529" i="8"/>
  <c r="A5530" i="8"/>
  <c r="A5531" i="8"/>
  <c r="A5532" i="8"/>
  <c r="A5533" i="8"/>
  <c r="A5534" i="8"/>
  <c r="A5535" i="8"/>
  <c r="A5536" i="8"/>
  <c r="A5537" i="8"/>
  <c r="A5538" i="8"/>
  <c r="A5539" i="8"/>
  <c r="A5540" i="8"/>
  <c r="A5541" i="8"/>
  <c r="A5542" i="8"/>
  <c r="A5543" i="8"/>
  <c r="A5544" i="8"/>
  <c r="A5545" i="8"/>
  <c r="A5546" i="8"/>
  <c r="A5547" i="8"/>
  <c r="A5548" i="8"/>
  <c r="A5549" i="8"/>
  <c r="A5550" i="8"/>
  <c r="A5551" i="8"/>
  <c r="A5552" i="8"/>
  <c r="A5553" i="8"/>
  <c r="A5554" i="8"/>
  <c r="A5555" i="8"/>
  <c r="A5556" i="8"/>
  <c r="A5557" i="8"/>
  <c r="A5558" i="8"/>
  <c r="A5559" i="8"/>
  <c r="A5560" i="8"/>
  <c r="A5561" i="8"/>
  <c r="A5562" i="8"/>
  <c r="A5563" i="8"/>
  <c r="A5564" i="8"/>
  <c r="A5565" i="8"/>
  <c r="A5566" i="8"/>
  <c r="A5567" i="8"/>
  <c r="A5568" i="8"/>
  <c r="A5569" i="8"/>
  <c r="A5570" i="8"/>
  <c r="A5571" i="8"/>
  <c r="A5572" i="8"/>
  <c r="A5573" i="8"/>
  <c r="A5574" i="8"/>
  <c r="A5575" i="8"/>
  <c r="A5576" i="8"/>
  <c r="A5577" i="8"/>
  <c r="A5578" i="8"/>
  <c r="A5579" i="8"/>
  <c r="A5580" i="8"/>
  <c r="A5581" i="8"/>
  <c r="A5582" i="8"/>
  <c r="A5583" i="8"/>
  <c r="A5584" i="8"/>
  <c r="A5585" i="8"/>
  <c r="A5586" i="8"/>
  <c r="A5587" i="8"/>
  <c r="A5588" i="8"/>
  <c r="A5589" i="8"/>
  <c r="A5590" i="8"/>
  <c r="A5591" i="8"/>
  <c r="A5592" i="8"/>
  <c r="A5593" i="8"/>
  <c r="A5594" i="8"/>
  <c r="A5595" i="8"/>
  <c r="A5596" i="8"/>
  <c r="A5597" i="8"/>
  <c r="A5598" i="8"/>
  <c r="A5599" i="8"/>
  <c r="A5600" i="8"/>
  <c r="A5601" i="8"/>
  <c r="A5602" i="8"/>
  <c r="A5603" i="8"/>
  <c r="A5604" i="8"/>
  <c r="A5605" i="8"/>
  <c r="A5606" i="8"/>
  <c r="A5607" i="8"/>
  <c r="A5608" i="8"/>
  <c r="A5609" i="8"/>
  <c r="A5610" i="8"/>
  <c r="A5611" i="8"/>
  <c r="A5612" i="8"/>
  <c r="A5613" i="8"/>
  <c r="A5614" i="8"/>
  <c r="A5615" i="8"/>
  <c r="A5616" i="8"/>
  <c r="A5617" i="8"/>
  <c r="A5618" i="8"/>
  <c r="A5619" i="8"/>
  <c r="A5620" i="8"/>
  <c r="A5621" i="8"/>
  <c r="A5622" i="8"/>
  <c r="A5623" i="8"/>
  <c r="A5624" i="8"/>
  <c r="A5625" i="8"/>
  <c r="A5626" i="8"/>
  <c r="A5627" i="8"/>
  <c r="A5628" i="8"/>
  <c r="A5629" i="8"/>
  <c r="A5630" i="8"/>
  <c r="A5631" i="8"/>
  <c r="A5632" i="8"/>
  <c r="A5633" i="8"/>
  <c r="A5634" i="8"/>
  <c r="A5635" i="8"/>
  <c r="A5636" i="8"/>
  <c r="A5637" i="8"/>
  <c r="A5638" i="8"/>
  <c r="A5639" i="8"/>
  <c r="A5640" i="8"/>
  <c r="A5641" i="8"/>
  <c r="A5642" i="8"/>
  <c r="A5643" i="8"/>
  <c r="A5644" i="8"/>
  <c r="A5645" i="8"/>
  <c r="A5646" i="8"/>
  <c r="A5647" i="8"/>
  <c r="A5648" i="8"/>
  <c r="A5649" i="8"/>
  <c r="A5650" i="8"/>
  <c r="A5651" i="8"/>
  <c r="A5652" i="8"/>
  <c r="A5653" i="8"/>
  <c r="A5654" i="8"/>
  <c r="A5655" i="8"/>
  <c r="A5656" i="8"/>
  <c r="A5657" i="8"/>
  <c r="A5658" i="8"/>
  <c r="A5659" i="8"/>
  <c r="A5660" i="8"/>
  <c r="A5661" i="8"/>
  <c r="A5662" i="8"/>
  <c r="A5663" i="8"/>
  <c r="A5664" i="8"/>
  <c r="A5665" i="8"/>
  <c r="A5666" i="8"/>
  <c r="A5667" i="8"/>
  <c r="A5668" i="8"/>
  <c r="A5669" i="8"/>
  <c r="A5670" i="8"/>
  <c r="A5671" i="8"/>
  <c r="A5672" i="8"/>
  <c r="A5673" i="8"/>
  <c r="A5674" i="8"/>
  <c r="A5675" i="8"/>
  <c r="A5676" i="8"/>
  <c r="A5677" i="8"/>
  <c r="A5678" i="8"/>
  <c r="A5679" i="8"/>
  <c r="A5680" i="8"/>
  <c r="A5681" i="8"/>
  <c r="A5682" i="8"/>
  <c r="A5683" i="8"/>
  <c r="A5684" i="8"/>
  <c r="A5685" i="8"/>
  <c r="A5686" i="8"/>
  <c r="A5687" i="8"/>
  <c r="A5688" i="8"/>
  <c r="A5689" i="8"/>
  <c r="A5690" i="8"/>
  <c r="A5691" i="8"/>
  <c r="A5692" i="8"/>
  <c r="A5693" i="8"/>
  <c r="A5694" i="8"/>
  <c r="A5695" i="8"/>
  <c r="A5696" i="8"/>
  <c r="A5697" i="8"/>
  <c r="A5698" i="8"/>
  <c r="A5699" i="8"/>
  <c r="A5700" i="8"/>
  <c r="A5701" i="8"/>
  <c r="A5702" i="8"/>
  <c r="A5703" i="8"/>
  <c r="A5704" i="8"/>
  <c r="A5705" i="8"/>
  <c r="A5706" i="8"/>
  <c r="A5707" i="8"/>
  <c r="A5708" i="8"/>
  <c r="A5709" i="8"/>
  <c r="A5710" i="8"/>
  <c r="A5711" i="8"/>
  <c r="A5712" i="8"/>
  <c r="A5713" i="8"/>
  <c r="A5714" i="8"/>
  <c r="A5715" i="8"/>
  <c r="A5716" i="8"/>
  <c r="A5717" i="8"/>
  <c r="A5718" i="8"/>
  <c r="A5719" i="8"/>
  <c r="A5720" i="8"/>
  <c r="A5721" i="8"/>
  <c r="A5722" i="8"/>
  <c r="A5723" i="8"/>
  <c r="A5724" i="8"/>
  <c r="A5725" i="8"/>
  <c r="A5726" i="8"/>
  <c r="A5727" i="8"/>
  <c r="A5728" i="8"/>
  <c r="A5729" i="8"/>
  <c r="A5730" i="8"/>
  <c r="A5731" i="8"/>
  <c r="A5732" i="8"/>
  <c r="A5733" i="8"/>
  <c r="A5734" i="8"/>
  <c r="A5735" i="8"/>
  <c r="A5736" i="8"/>
  <c r="A5737" i="8"/>
  <c r="A5738" i="8"/>
  <c r="A5739" i="8"/>
  <c r="A5740" i="8"/>
  <c r="A5741" i="8"/>
  <c r="A5742" i="8"/>
  <c r="A5743" i="8"/>
  <c r="A5744" i="8"/>
  <c r="A5745" i="8"/>
  <c r="A5746" i="8"/>
  <c r="A5747" i="8"/>
  <c r="A5748" i="8"/>
  <c r="A5749" i="8"/>
  <c r="A5750" i="8"/>
  <c r="A5751" i="8"/>
  <c r="A5752" i="8"/>
  <c r="A5753" i="8"/>
  <c r="A5754" i="8"/>
  <c r="A5755" i="8"/>
  <c r="A5756" i="8"/>
  <c r="A5757" i="8"/>
  <c r="A5758" i="8"/>
  <c r="A5759" i="8"/>
  <c r="A5760" i="8"/>
  <c r="A5761" i="8"/>
  <c r="A5762" i="8"/>
  <c r="A5763" i="8"/>
  <c r="A5764" i="8"/>
  <c r="A5765" i="8"/>
  <c r="A5766" i="8"/>
  <c r="A5767" i="8"/>
  <c r="A5768" i="8"/>
  <c r="A5769" i="8"/>
  <c r="A5770" i="8"/>
  <c r="A5771" i="8"/>
  <c r="A5772" i="8"/>
  <c r="A5773" i="8"/>
  <c r="A5774" i="8"/>
  <c r="A5775" i="8"/>
  <c r="A5776" i="8"/>
  <c r="A5777" i="8"/>
  <c r="A5778" i="8"/>
  <c r="A5779" i="8"/>
  <c r="A5780" i="8"/>
  <c r="A5781" i="8"/>
  <c r="A5782" i="8"/>
  <c r="A5783" i="8"/>
  <c r="A5784" i="8"/>
  <c r="A5785" i="8"/>
  <c r="A5786" i="8"/>
  <c r="A5787" i="8"/>
  <c r="A5788" i="8"/>
  <c r="A5789" i="8"/>
  <c r="A5790" i="8"/>
  <c r="A5791" i="8"/>
  <c r="A5792" i="8"/>
  <c r="A5793" i="8"/>
  <c r="A5794" i="8"/>
  <c r="A5795" i="8"/>
  <c r="A5796" i="8"/>
  <c r="A5797" i="8"/>
  <c r="A5798" i="8"/>
  <c r="A5799" i="8"/>
  <c r="A5800" i="8"/>
  <c r="A5801" i="8"/>
  <c r="A5802" i="8"/>
  <c r="A5803" i="8"/>
  <c r="A5804" i="8"/>
  <c r="A5805" i="8"/>
  <c r="A5806" i="8"/>
  <c r="A5807" i="8"/>
  <c r="A5808" i="8"/>
  <c r="A5809" i="8"/>
  <c r="A5810" i="8"/>
  <c r="A5811" i="8"/>
  <c r="A5812" i="8"/>
  <c r="A5813" i="8"/>
  <c r="A5814" i="8"/>
  <c r="A5815" i="8"/>
  <c r="A5816" i="8"/>
  <c r="A5817" i="8"/>
  <c r="A5818" i="8"/>
  <c r="A5819" i="8"/>
  <c r="A5820" i="8"/>
  <c r="A5821" i="8"/>
  <c r="A5822" i="8"/>
  <c r="A5823" i="8"/>
  <c r="A5824" i="8"/>
  <c r="A5825" i="8"/>
  <c r="A5826" i="8"/>
  <c r="A5827" i="8"/>
  <c r="A5828" i="8"/>
  <c r="A5829" i="8"/>
  <c r="A5830" i="8"/>
  <c r="A5831" i="8"/>
  <c r="A5832" i="8"/>
  <c r="A5833" i="8"/>
  <c r="A5834" i="8"/>
  <c r="A5835" i="8"/>
  <c r="A5836" i="8"/>
  <c r="A5837" i="8"/>
  <c r="A5838" i="8"/>
  <c r="A5839" i="8"/>
  <c r="A5840" i="8"/>
  <c r="A5841" i="8"/>
  <c r="A5842" i="8"/>
  <c r="A5843" i="8"/>
  <c r="A5844" i="8"/>
  <c r="A5845" i="8"/>
  <c r="A5846" i="8"/>
  <c r="A5847" i="8"/>
  <c r="A5848" i="8"/>
  <c r="A5849" i="8"/>
  <c r="A5850" i="8"/>
  <c r="A5851" i="8"/>
  <c r="A5852" i="8"/>
  <c r="A5853" i="8"/>
  <c r="A5854" i="8"/>
  <c r="A5855" i="8"/>
  <c r="A5856" i="8"/>
  <c r="A5857" i="8"/>
  <c r="A5858" i="8"/>
  <c r="A5859" i="8"/>
  <c r="A5860" i="8"/>
  <c r="A5861" i="8"/>
  <c r="A5862" i="8"/>
  <c r="A5863" i="8"/>
  <c r="A5864" i="8"/>
  <c r="A5865" i="8"/>
  <c r="A5866" i="8"/>
  <c r="A5867" i="8"/>
  <c r="A5868" i="8"/>
  <c r="A5869" i="8"/>
  <c r="A5870" i="8"/>
  <c r="A5871" i="8"/>
  <c r="A5872" i="8"/>
  <c r="A5873" i="8"/>
  <c r="A5874" i="8"/>
  <c r="A5875" i="8"/>
  <c r="A5876" i="8"/>
  <c r="A5877" i="8"/>
  <c r="A5878" i="8"/>
  <c r="A5879" i="8"/>
  <c r="A5880" i="8"/>
  <c r="A5881" i="8"/>
  <c r="A5882" i="8"/>
  <c r="A5883" i="8"/>
  <c r="A5884" i="8"/>
  <c r="A5885" i="8"/>
  <c r="A5886" i="8"/>
  <c r="A5887" i="8"/>
  <c r="A5888" i="8"/>
  <c r="A5889" i="8"/>
  <c r="A5890" i="8"/>
  <c r="A5891" i="8"/>
  <c r="A5892" i="8"/>
  <c r="A5893" i="8"/>
  <c r="A5894" i="8"/>
  <c r="A5895" i="8"/>
  <c r="A5896" i="8"/>
  <c r="A5897" i="8"/>
  <c r="A5898" i="8"/>
  <c r="A5899" i="8"/>
  <c r="A5900" i="8"/>
  <c r="A5901" i="8"/>
  <c r="A5902" i="8"/>
  <c r="A5903" i="8"/>
  <c r="A5904" i="8"/>
  <c r="A5905" i="8"/>
  <c r="A5906" i="8"/>
  <c r="A5907" i="8"/>
  <c r="A5908" i="8"/>
  <c r="A5909" i="8"/>
  <c r="A5910" i="8"/>
  <c r="A5911" i="8"/>
  <c r="A5912" i="8"/>
  <c r="A5913" i="8"/>
  <c r="A5914" i="8"/>
  <c r="A5915" i="8"/>
  <c r="A5916" i="8"/>
  <c r="A5917" i="8"/>
  <c r="A5918" i="8"/>
  <c r="A5919" i="8"/>
  <c r="A5920" i="8"/>
  <c r="A5921" i="8"/>
  <c r="A5922" i="8"/>
  <c r="A5923" i="8"/>
  <c r="A5924" i="8"/>
  <c r="A5925" i="8"/>
  <c r="A5926" i="8"/>
  <c r="A5927" i="8"/>
  <c r="A5928" i="8"/>
  <c r="A5929" i="8"/>
  <c r="A5930" i="8"/>
  <c r="A5931" i="8"/>
  <c r="A5932" i="8"/>
  <c r="A5933" i="8"/>
  <c r="A5934" i="8"/>
  <c r="A5935" i="8"/>
  <c r="A5936" i="8"/>
  <c r="A5937" i="8"/>
  <c r="A5938" i="8"/>
  <c r="A5939" i="8"/>
  <c r="A5940" i="8"/>
  <c r="A5941" i="8"/>
  <c r="A5942" i="8"/>
  <c r="A5943" i="8"/>
  <c r="A5944" i="8"/>
  <c r="A5945" i="8"/>
  <c r="A5946" i="8"/>
  <c r="A5947" i="8"/>
  <c r="A5948" i="8"/>
  <c r="A5949" i="8"/>
  <c r="A5950" i="8"/>
  <c r="A5951" i="8"/>
  <c r="A5952" i="8"/>
  <c r="A5953" i="8"/>
  <c r="A5954" i="8"/>
  <c r="A5955" i="8"/>
  <c r="A5956" i="8"/>
  <c r="A5957" i="8"/>
  <c r="A5958" i="8"/>
  <c r="A5959" i="8"/>
  <c r="A5960" i="8"/>
  <c r="A5961" i="8"/>
  <c r="A5962" i="8"/>
  <c r="A5963" i="8"/>
  <c r="A5964" i="8"/>
  <c r="A5965" i="8"/>
  <c r="A5966" i="8"/>
  <c r="A5967" i="8"/>
  <c r="A5968" i="8"/>
  <c r="A5969" i="8"/>
  <c r="A5970" i="8"/>
  <c r="A5971" i="8"/>
  <c r="A5972" i="8"/>
  <c r="A5973" i="8"/>
  <c r="A5974" i="8"/>
  <c r="A5975" i="8"/>
  <c r="A5976" i="8"/>
  <c r="A5977" i="8"/>
  <c r="A5978" i="8"/>
  <c r="A5979" i="8"/>
  <c r="A5980" i="8"/>
  <c r="A5981" i="8"/>
  <c r="A5982" i="8"/>
  <c r="A5983" i="8"/>
  <c r="A5984" i="8"/>
  <c r="A5985" i="8"/>
  <c r="A5986" i="8"/>
  <c r="A5987" i="8"/>
  <c r="A5988" i="8"/>
  <c r="A5989" i="8"/>
  <c r="A5990" i="8"/>
  <c r="A5991" i="8"/>
  <c r="A5992" i="8"/>
  <c r="A5993" i="8"/>
  <c r="A5994" i="8"/>
  <c r="A5995" i="8"/>
  <c r="A5996" i="8"/>
  <c r="A5997" i="8"/>
  <c r="A5998" i="8"/>
  <c r="A5999" i="8"/>
  <c r="A6000" i="8"/>
  <c r="S3" i="8"/>
  <c r="A3" i="8" s="1"/>
  <c r="S4" i="8"/>
  <c r="A4" i="8" s="1"/>
  <c r="S5" i="8"/>
  <c r="A5" i="8" s="1"/>
  <c r="S6" i="8"/>
  <c r="A6" i="8" s="1"/>
  <c r="S7" i="8"/>
  <c r="A7" i="8" s="1"/>
  <c r="S8" i="8"/>
  <c r="A8" i="8" s="1"/>
  <c r="S9" i="8"/>
  <c r="A9" i="8" s="1"/>
  <c r="S10" i="8"/>
  <c r="A10" i="8" s="1"/>
  <c r="S11" i="8"/>
  <c r="A11" i="8" s="1"/>
  <c r="S12" i="8"/>
  <c r="A12" i="8" s="1"/>
  <c r="S13" i="8"/>
  <c r="A13" i="8" s="1"/>
  <c r="S14" i="8"/>
  <c r="A14" i="8" s="1"/>
  <c r="S15" i="8"/>
  <c r="A15" i="8" s="1"/>
  <c r="S16" i="8"/>
  <c r="A16" i="8" s="1"/>
  <c r="S17" i="8"/>
  <c r="A17" i="8" s="1"/>
  <c r="S18" i="8"/>
  <c r="A18" i="8" s="1"/>
  <c r="S19" i="8"/>
  <c r="A19" i="8" s="1"/>
  <c r="S20" i="8"/>
  <c r="A20" i="8" s="1"/>
  <c r="S21" i="8"/>
  <c r="A21" i="8" s="1"/>
  <c r="S22" i="8"/>
  <c r="A22" i="8" s="1"/>
  <c r="S23" i="8"/>
  <c r="A23" i="8" s="1"/>
  <c r="S24" i="8"/>
  <c r="A24" i="8" s="1"/>
  <c r="S25" i="8"/>
  <c r="A25" i="8" s="1"/>
  <c r="S26" i="8"/>
  <c r="A26" i="8" s="1"/>
  <c r="S27" i="8"/>
  <c r="A27" i="8" s="1"/>
  <c r="S28" i="8"/>
  <c r="A28" i="8" s="1"/>
  <c r="S29" i="8"/>
  <c r="A29" i="8" s="1"/>
  <c r="S30" i="8"/>
  <c r="A30" i="8" s="1"/>
  <c r="S31" i="8"/>
  <c r="A31" i="8" s="1"/>
  <c r="S32" i="8"/>
  <c r="A32" i="8" s="1"/>
  <c r="S33" i="8"/>
  <c r="A33" i="8" s="1"/>
  <c r="S34" i="8"/>
  <c r="A34" i="8" s="1"/>
  <c r="S35" i="8"/>
  <c r="A35" i="8" s="1"/>
  <c r="S36" i="8"/>
  <c r="A36" i="8" s="1"/>
  <c r="S37" i="8"/>
  <c r="A37" i="8" s="1"/>
  <c r="S38" i="8"/>
  <c r="A38" i="8" s="1"/>
  <c r="S39" i="8"/>
  <c r="A39" i="8" s="1"/>
  <c r="S40" i="8"/>
  <c r="A40" i="8" s="1"/>
  <c r="S41" i="8"/>
  <c r="A41" i="8" s="1"/>
  <c r="S42" i="8"/>
  <c r="A42" i="8" s="1"/>
  <c r="S43" i="8"/>
  <c r="A43" i="8" s="1"/>
  <c r="S44" i="8"/>
  <c r="A44" i="8" s="1"/>
  <c r="S45" i="8"/>
  <c r="A45" i="8" s="1"/>
  <c r="S46" i="8"/>
  <c r="A46" i="8" s="1"/>
  <c r="S47" i="8"/>
  <c r="A47" i="8" s="1"/>
  <c r="S48" i="8"/>
  <c r="A48" i="8" s="1"/>
  <c r="S49" i="8"/>
  <c r="A49" i="8" s="1"/>
  <c r="S50" i="8"/>
  <c r="A50" i="8" s="1"/>
  <c r="S51" i="8"/>
  <c r="A51" i="8" s="1"/>
  <c r="S52" i="8"/>
  <c r="A52" i="8" s="1"/>
  <c r="S53" i="8"/>
  <c r="A53" i="8" s="1"/>
  <c r="S54" i="8"/>
  <c r="A54" i="8" s="1"/>
  <c r="S55" i="8"/>
  <c r="A55" i="8" s="1"/>
  <c r="S56" i="8"/>
  <c r="A56" i="8" s="1"/>
  <c r="S57" i="8"/>
  <c r="A57" i="8" s="1"/>
  <c r="S58" i="8"/>
  <c r="A58" i="8" s="1"/>
  <c r="S59" i="8"/>
  <c r="A59" i="8" s="1"/>
  <c r="S60" i="8"/>
  <c r="A60" i="8" s="1"/>
  <c r="S61" i="8"/>
  <c r="A61" i="8" s="1"/>
  <c r="S62" i="8"/>
  <c r="A62" i="8" s="1"/>
  <c r="S63" i="8"/>
  <c r="A63" i="8" s="1"/>
  <c r="S64" i="8"/>
  <c r="A64" i="8" s="1"/>
  <c r="S65" i="8"/>
  <c r="A65" i="8" s="1"/>
  <c r="S66" i="8"/>
  <c r="A66" i="8" s="1"/>
  <c r="S67" i="8"/>
  <c r="A67" i="8" s="1"/>
  <c r="S68" i="8"/>
  <c r="A68" i="8" s="1"/>
  <c r="S69" i="8"/>
  <c r="A69" i="8" s="1"/>
  <c r="S70" i="8"/>
  <c r="A70" i="8" s="1"/>
  <c r="S71" i="8"/>
  <c r="A71" i="8" s="1"/>
  <c r="S72" i="8"/>
  <c r="A72" i="8" s="1"/>
  <c r="S73" i="8"/>
  <c r="A73" i="8" s="1"/>
  <c r="S74" i="8"/>
  <c r="A74" i="8" s="1"/>
  <c r="S75" i="8"/>
  <c r="A75" i="8" s="1"/>
  <c r="S76" i="8"/>
  <c r="A76" i="8" s="1"/>
  <c r="S77" i="8"/>
  <c r="A77" i="8" s="1"/>
  <c r="S78" i="8"/>
  <c r="A78" i="8" s="1"/>
  <c r="S79" i="8"/>
  <c r="A79" i="8" s="1"/>
  <c r="S80" i="8"/>
  <c r="A80" i="8" s="1"/>
  <c r="S81" i="8"/>
  <c r="A81" i="8" s="1"/>
  <c r="S82" i="8"/>
  <c r="A82" i="8" s="1"/>
  <c r="S83" i="8"/>
  <c r="A83" i="8" s="1"/>
  <c r="S84" i="8"/>
  <c r="A84" i="8" s="1"/>
  <c r="S85" i="8"/>
  <c r="A85" i="8" s="1"/>
  <c r="S86" i="8"/>
  <c r="A86" i="8" s="1"/>
  <c r="S87" i="8"/>
  <c r="A87" i="8" s="1"/>
  <c r="S88" i="8"/>
  <c r="A88" i="8" s="1"/>
  <c r="S89" i="8"/>
  <c r="A89" i="8" s="1"/>
  <c r="S90" i="8"/>
  <c r="A90" i="8" s="1"/>
  <c r="S91" i="8"/>
  <c r="A91" i="8" s="1"/>
  <c r="S92" i="8"/>
  <c r="A92" i="8" s="1"/>
  <c r="S93" i="8"/>
  <c r="A93" i="8" s="1"/>
  <c r="S94" i="8"/>
  <c r="A94" i="8" s="1"/>
  <c r="S95" i="8"/>
  <c r="A95" i="8" s="1"/>
  <c r="S96" i="8"/>
  <c r="A96" i="8" s="1"/>
  <c r="S97" i="8"/>
  <c r="A97" i="8" s="1"/>
  <c r="S98" i="8"/>
  <c r="A98" i="8" s="1"/>
  <c r="S99" i="8"/>
  <c r="A99" i="8" s="1"/>
  <c r="S100" i="8"/>
  <c r="A100" i="8" s="1"/>
  <c r="S101" i="8"/>
  <c r="A101" i="8" s="1"/>
  <c r="S102" i="8"/>
  <c r="A102" i="8" s="1"/>
  <c r="S103" i="8"/>
  <c r="A103" i="8" s="1"/>
  <c r="S104" i="8"/>
  <c r="A104" i="8" s="1"/>
  <c r="S105" i="8"/>
  <c r="A105" i="8" s="1"/>
  <c r="S106" i="8"/>
  <c r="A106" i="8" s="1"/>
  <c r="S107" i="8"/>
  <c r="A107" i="8" s="1"/>
  <c r="S108" i="8"/>
  <c r="A108" i="8" s="1"/>
  <c r="S109" i="8"/>
  <c r="A109" i="8" s="1"/>
  <c r="S110" i="8"/>
  <c r="A110" i="8" s="1"/>
  <c r="S111" i="8"/>
  <c r="A111" i="8" s="1"/>
  <c r="S112" i="8"/>
  <c r="A112" i="8" s="1"/>
  <c r="S113" i="8"/>
  <c r="A113" i="8" s="1"/>
  <c r="S114" i="8"/>
  <c r="A114" i="8" s="1"/>
  <c r="S115" i="8"/>
  <c r="A115" i="8" s="1"/>
  <c r="S116" i="8"/>
  <c r="A116" i="8" s="1"/>
  <c r="S117" i="8"/>
  <c r="A117" i="8" s="1"/>
  <c r="S118" i="8"/>
  <c r="A118" i="8" s="1"/>
  <c r="S119" i="8"/>
  <c r="A119" i="8" s="1"/>
  <c r="S120" i="8"/>
  <c r="A120" i="8" s="1"/>
  <c r="S121" i="8"/>
  <c r="A121" i="8" s="1"/>
  <c r="S122" i="8"/>
  <c r="A122" i="8" s="1"/>
  <c r="S123" i="8"/>
  <c r="A123" i="8" s="1"/>
  <c r="S124" i="8"/>
  <c r="A124" i="8" s="1"/>
  <c r="S125" i="8"/>
  <c r="A125" i="8" s="1"/>
  <c r="S126" i="8"/>
  <c r="A126" i="8" s="1"/>
  <c r="S127" i="8"/>
  <c r="A127" i="8" s="1"/>
  <c r="S128" i="8"/>
  <c r="A128" i="8" s="1"/>
  <c r="S129" i="8"/>
  <c r="A129" i="8" s="1"/>
  <c r="S130" i="8"/>
  <c r="A130" i="8" s="1"/>
  <c r="S131" i="8"/>
  <c r="A131" i="8" s="1"/>
  <c r="S132" i="8"/>
  <c r="A132" i="8" s="1"/>
  <c r="S133" i="8"/>
  <c r="A133" i="8" s="1"/>
  <c r="S134" i="8"/>
  <c r="A134" i="8" s="1"/>
  <c r="S135" i="8"/>
  <c r="A135" i="8" s="1"/>
  <c r="S136" i="8"/>
  <c r="A136" i="8" s="1"/>
  <c r="S137" i="8"/>
  <c r="A137" i="8" s="1"/>
  <c r="S138" i="8"/>
  <c r="A138" i="8" s="1"/>
  <c r="S139" i="8"/>
  <c r="A139" i="8" s="1"/>
  <c r="S140" i="8"/>
  <c r="A140" i="8" s="1"/>
  <c r="S141" i="8"/>
  <c r="A141" i="8" s="1"/>
  <c r="S142" i="8"/>
  <c r="A142" i="8" s="1"/>
  <c r="S143" i="8"/>
  <c r="A143" i="8" s="1"/>
  <c r="S144" i="8"/>
  <c r="A144" i="8" s="1"/>
  <c r="S145" i="8"/>
  <c r="A145" i="8" s="1"/>
  <c r="S146" i="8"/>
  <c r="A146" i="8" s="1"/>
  <c r="S147" i="8"/>
  <c r="A147" i="8" s="1"/>
  <c r="S148" i="8"/>
  <c r="A148" i="8" s="1"/>
  <c r="S149" i="8"/>
  <c r="A149" i="8" s="1"/>
  <c r="S150" i="8"/>
  <c r="A150" i="8" s="1"/>
  <c r="S151" i="8"/>
  <c r="A151" i="8" s="1"/>
  <c r="S152" i="8"/>
  <c r="A152" i="8" s="1"/>
  <c r="S153" i="8"/>
  <c r="A153" i="8" s="1"/>
  <c r="S154" i="8"/>
  <c r="A154" i="8" s="1"/>
  <c r="S155" i="8"/>
  <c r="A155" i="8" s="1"/>
  <c r="S156" i="8"/>
  <c r="A156" i="8" s="1"/>
  <c r="S157" i="8"/>
  <c r="A157" i="8" s="1"/>
  <c r="S158" i="8"/>
  <c r="A158" i="8" s="1"/>
  <c r="S159" i="8"/>
  <c r="A159" i="8" s="1"/>
  <c r="S160" i="8"/>
  <c r="A160" i="8" s="1"/>
  <c r="S161" i="8"/>
  <c r="A161" i="8" s="1"/>
  <c r="S162" i="8"/>
  <c r="A162" i="8" s="1"/>
  <c r="S163" i="8"/>
  <c r="A163" i="8" s="1"/>
  <c r="S164" i="8"/>
  <c r="A164" i="8" s="1"/>
  <c r="S165" i="8"/>
  <c r="A165" i="8" s="1"/>
  <c r="S166" i="8"/>
  <c r="A166" i="8" s="1"/>
  <c r="S167" i="8"/>
  <c r="A167" i="8" s="1"/>
  <c r="S168" i="8"/>
  <c r="A168" i="8" s="1"/>
  <c r="S169" i="8"/>
  <c r="A169" i="8" s="1"/>
  <c r="S170" i="8"/>
  <c r="A170" i="8" s="1"/>
  <c r="S171" i="8"/>
  <c r="A171" i="8" s="1"/>
  <c r="S172" i="8"/>
  <c r="A172" i="8" s="1"/>
  <c r="S173" i="8"/>
  <c r="A173" i="8" s="1"/>
  <c r="S174" i="8"/>
  <c r="A174" i="8" s="1"/>
  <c r="S175" i="8"/>
  <c r="A175" i="8" s="1"/>
  <c r="S176" i="8"/>
  <c r="A176" i="8" s="1"/>
  <c r="S177" i="8"/>
  <c r="A177" i="8" s="1"/>
  <c r="S178" i="8"/>
  <c r="A178" i="8" s="1"/>
  <c r="S179" i="8"/>
  <c r="A179" i="8" s="1"/>
  <c r="S180" i="8"/>
  <c r="A180" i="8" s="1"/>
  <c r="S181" i="8"/>
  <c r="A181" i="8" s="1"/>
  <c r="S182" i="8"/>
  <c r="A182" i="8" s="1"/>
  <c r="S183" i="8"/>
  <c r="A183" i="8" s="1"/>
  <c r="S184" i="8"/>
  <c r="A184" i="8" s="1"/>
  <c r="S185" i="8"/>
  <c r="A185" i="8" s="1"/>
  <c r="S186" i="8"/>
  <c r="A186" i="8" s="1"/>
  <c r="S187" i="8"/>
  <c r="A187" i="8" s="1"/>
  <c r="S188" i="8"/>
  <c r="A188" i="8" s="1"/>
  <c r="S189" i="8"/>
  <c r="A189" i="8" s="1"/>
  <c r="S190" i="8"/>
  <c r="A190" i="8" s="1"/>
  <c r="S191" i="8"/>
  <c r="A191" i="8" s="1"/>
  <c r="S192" i="8"/>
  <c r="A192" i="8" s="1"/>
  <c r="S193" i="8"/>
  <c r="A193" i="8" s="1"/>
  <c r="S194" i="8"/>
  <c r="A194" i="8" s="1"/>
  <c r="S195" i="8"/>
  <c r="A195" i="8" s="1"/>
  <c r="S196" i="8"/>
  <c r="A196" i="8" s="1"/>
  <c r="S197" i="8"/>
  <c r="A197" i="8" s="1"/>
  <c r="S198" i="8"/>
  <c r="A198" i="8" s="1"/>
  <c r="S199" i="8"/>
  <c r="A199" i="8" s="1"/>
  <c r="S200" i="8"/>
  <c r="A200" i="8" s="1"/>
  <c r="S201" i="8"/>
  <c r="A201" i="8" s="1"/>
  <c r="S202" i="8"/>
  <c r="A202" i="8" s="1"/>
  <c r="S203" i="8"/>
  <c r="A203" i="8" s="1"/>
  <c r="S204" i="8"/>
  <c r="A204" i="8" s="1"/>
  <c r="S205" i="8"/>
  <c r="A205" i="8" s="1"/>
  <c r="S206" i="8"/>
  <c r="A206" i="8" s="1"/>
  <c r="S207" i="8"/>
  <c r="A207" i="8" s="1"/>
  <c r="S208" i="8"/>
  <c r="A208" i="8" s="1"/>
  <c r="S209" i="8"/>
  <c r="A209" i="8" s="1"/>
  <c r="S210" i="8"/>
  <c r="A210" i="8" s="1"/>
  <c r="S211" i="8"/>
  <c r="A211" i="8" s="1"/>
  <c r="S212" i="8"/>
  <c r="A212" i="8" s="1"/>
  <c r="S213" i="8"/>
  <c r="A213" i="8" s="1"/>
  <c r="S214" i="8"/>
  <c r="A214" i="8" s="1"/>
  <c r="S215" i="8"/>
  <c r="A215" i="8" s="1"/>
  <c r="S216" i="8"/>
  <c r="A216" i="8" s="1"/>
  <c r="S217" i="8"/>
  <c r="A217" i="8" s="1"/>
  <c r="S218" i="8"/>
  <c r="A218" i="8" s="1"/>
  <c r="S219" i="8"/>
  <c r="A219" i="8" s="1"/>
  <c r="S220" i="8"/>
  <c r="A220" i="8" s="1"/>
  <c r="S221" i="8"/>
  <c r="A221" i="8" s="1"/>
  <c r="S222" i="8"/>
  <c r="A222" i="8" s="1"/>
  <c r="S223" i="8"/>
  <c r="A223" i="8" s="1"/>
  <c r="S224" i="8"/>
  <c r="A224" i="8" s="1"/>
  <c r="S225" i="8"/>
  <c r="A225" i="8" s="1"/>
  <c r="S226" i="8"/>
  <c r="A226" i="8" s="1"/>
  <c r="S227" i="8"/>
  <c r="A227" i="8" s="1"/>
  <c r="S228" i="8"/>
  <c r="A228" i="8" s="1"/>
  <c r="S229" i="8"/>
  <c r="A229" i="8" s="1"/>
  <c r="S230" i="8"/>
  <c r="A230" i="8" s="1"/>
  <c r="S231" i="8"/>
  <c r="A231" i="8" s="1"/>
  <c r="S232" i="8"/>
  <c r="A232" i="8" s="1"/>
  <c r="S233" i="8"/>
  <c r="A233" i="8" s="1"/>
  <c r="S234" i="8"/>
  <c r="A234" i="8" s="1"/>
  <c r="S235" i="8"/>
  <c r="A235" i="8" s="1"/>
  <c r="S236" i="8"/>
  <c r="A236" i="8" s="1"/>
  <c r="S237" i="8"/>
  <c r="A237" i="8" s="1"/>
  <c r="S238" i="8"/>
  <c r="A238" i="8" s="1"/>
  <c r="S239" i="8"/>
  <c r="A239" i="8" s="1"/>
  <c r="S240" i="8"/>
  <c r="A240" i="8" s="1"/>
  <c r="S241" i="8"/>
  <c r="A241" i="8" s="1"/>
  <c r="S242" i="8"/>
  <c r="A242" i="8" s="1"/>
  <c r="S243" i="8"/>
  <c r="A243" i="8" s="1"/>
  <c r="S244" i="8"/>
  <c r="A244" i="8" s="1"/>
  <c r="S245" i="8"/>
  <c r="A245" i="8" s="1"/>
  <c r="S246" i="8"/>
  <c r="A246" i="8" s="1"/>
  <c r="S247" i="8"/>
  <c r="A247" i="8" s="1"/>
  <c r="S248" i="8"/>
  <c r="A248" i="8" s="1"/>
  <c r="S249" i="8"/>
  <c r="A249" i="8" s="1"/>
  <c r="S250" i="8"/>
  <c r="A250" i="8" s="1"/>
  <c r="S251" i="8"/>
  <c r="A251" i="8" s="1"/>
  <c r="S252" i="8"/>
  <c r="A252" i="8" s="1"/>
  <c r="S253" i="8"/>
  <c r="A253" i="8" s="1"/>
  <c r="S254" i="8"/>
  <c r="A254" i="8" s="1"/>
  <c r="S255" i="8"/>
  <c r="A255" i="8" s="1"/>
  <c r="S256" i="8"/>
  <c r="A256" i="8" s="1"/>
  <c r="S257" i="8"/>
  <c r="A257" i="8" s="1"/>
  <c r="S258" i="8"/>
  <c r="A258" i="8" s="1"/>
  <c r="S259" i="8"/>
  <c r="A259" i="8" s="1"/>
  <c r="S260" i="8"/>
  <c r="A260" i="8" s="1"/>
  <c r="S261" i="8"/>
  <c r="A261" i="8" s="1"/>
  <c r="S262" i="8"/>
  <c r="A262" i="8" s="1"/>
  <c r="S263" i="8"/>
  <c r="A263" i="8" s="1"/>
  <c r="S264" i="8"/>
  <c r="A264" i="8" s="1"/>
  <c r="S265" i="8"/>
  <c r="A265" i="8" s="1"/>
  <c r="S266" i="8"/>
  <c r="A266" i="8" s="1"/>
  <c r="S267" i="8"/>
  <c r="A267" i="8" s="1"/>
  <c r="S268" i="8"/>
  <c r="A268" i="8" s="1"/>
  <c r="S269" i="8"/>
  <c r="A269" i="8" s="1"/>
  <c r="S270" i="8"/>
  <c r="A270" i="8" s="1"/>
  <c r="S271" i="8"/>
  <c r="A271" i="8" s="1"/>
  <c r="S272" i="8"/>
  <c r="A272" i="8" s="1"/>
  <c r="S273" i="8"/>
  <c r="A273" i="8" s="1"/>
  <c r="S274" i="8"/>
  <c r="A274" i="8" s="1"/>
  <c r="S275" i="8"/>
  <c r="A275" i="8" s="1"/>
  <c r="S276" i="8"/>
  <c r="A276" i="8" s="1"/>
  <c r="S277" i="8"/>
  <c r="A277" i="8" s="1"/>
  <c r="S278" i="8"/>
  <c r="A278" i="8" s="1"/>
  <c r="S279" i="8"/>
  <c r="A279" i="8" s="1"/>
  <c r="S280" i="8"/>
  <c r="A280" i="8" s="1"/>
  <c r="S281" i="8"/>
  <c r="A281" i="8" s="1"/>
  <c r="S282" i="8"/>
  <c r="A282" i="8" s="1"/>
  <c r="S283" i="8"/>
  <c r="A283" i="8" s="1"/>
  <c r="S284" i="8"/>
  <c r="A284" i="8" s="1"/>
  <c r="S285" i="8"/>
  <c r="A285" i="8" s="1"/>
  <c r="S286" i="8"/>
  <c r="A286" i="8" s="1"/>
  <c r="S287" i="8"/>
  <c r="A287" i="8" s="1"/>
  <c r="S288" i="8"/>
  <c r="A288" i="8" s="1"/>
  <c r="S289" i="8"/>
  <c r="A289" i="8" s="1"/>
  <c r="S290" i="8"/>
  <c r="A290" i="8" s="1"/>
  <c r="S291" i="8"/>
  <c r="A291" i="8" s="1"/>
  <c r="S292" i="8"/>
  <c r="A292" i="8" s="1"/>
  <c r="S293" i="8"/>
  <c r="A293" i="8" s="1"/>
  <c r="S294" i="8"/>
  <c r="A294" i="8" s="1"/>
  <c r="S295" i="8"/>
  <c r="A295" i="8" s="1"/>
  <c r="S296" i="8"/>
  <c r="A296" i="8" s="1"/>
  <c r="S297" i="8"/>
  <c r="A297" i="8" s="1"/>
  <c r="S298" i="8"/>
  <c r="A298" i="8" s="1"/>
  <c r="S299" i="8"/>
  <c r="A299" i="8" s="1"/>
  <c r="S300" i="8"/>
  <c r="A300" i="8" s="1"/>
  <c r="S301" i="8"/>
  <c r="A301" i="8" s="1"/>
  <c r="S302" i="8"/>
  <c r="A302" i="8" s="1"/>
  <c r="S303" i="8"/>
  <c r="A303" i="8" s="1"/>
  <c r="S304" i="8"/>
  <c r="A304" i="8" s="1"/>
  <c r="S305" i="8"/>
  <c r="A305" i="8" s="1"/>
  <c r="S306" i="8"/>
  <c r="A306" i="8" s="1"/>
  <c r="S307" i="8"/>
  <c r="A307" i="8" s="1"/>
  <c r="S308" i="8"/>
  <c r="A308" i="8" s="1"/>
  <c r="S309" i="8"/>
  <c r="A309" i="8" s="1"/>
  <c r="S310" i="8"/>
  <c r="A310" i="8" s="1"/>
  <c r="S311" i="8"/>
  <c r="A311" i="8" s="1"/>
  <c r="S312" i="8"/>
  <c r="A312" i="8" s="1"/>
  <c r="S313" i="8"/>
  <c r="A313" i="8" s="1"/>
  <c r="S314" i="8"/>
  <c r="A314" i="8" s="1"/>
  <c r="S315" i="8"/>
  <c r="A315" i="8" s="1"/>
  <c r="S316" i="8"/>
  <c r="A316" i="8" s="1"/>
  <c r="S317" i="8"/>
  <c r="A317" i="8" s="1"/>
  <c r="S318" i="8"/>
  <c r="A318" i="8" s="1"/>
  <c r="S319" i="8"/>
  <c r="A319" i="8" s="1"/>
  <c r="S320" i="8"/>
  <c r="A320" i="8" s="1"/>
  <c r="S321" i="8"/>
  <c r="A321" i="8" s="1"/>
  <c r="S322" i="8"/>
  <c r="A322" i="8" s="1"/>
  <c r="S323" i="8"/>
  <c r="A323" i="8" s="1"/>
  <c r="S324" i="8"/>
  <c r="A324" i="8" s="1"/>
  <c r="S325" i="8"/>
  <c r="A325" i="8" s="1"/>
  <c r="S326" i="8"/>
  <c r="A326" i="8" s="1"/>
  <c r="S327" i="8"/>
  <c r="A327" i="8" s="1"/>
  <c r="S328" i="8"/>
  <c r="A328" i="8" s="1"/>
  <c r="S329" i="8"/>
  <c r="A329" i="8" s="1"/>
  <c r="S330" i="8"/>
  <c r="A330" i="8" s="1"/>
  <c r="S331" i="8"/>
  <c r="A331" i="8" s="1"/>
  <c r="S332" i="8"/>
  <c r="A332" i="8" s="1"/>
  <c r="S333" i="8"/>
  <c r="A333" i="8" s="1"/>
  <c r="S334" i="8"/>
  <c r="A334" i="8" s="1"/>
  <c r="S335" i="8"/>
  <c r="A335" i="8" s="1"/>
  <c r="S336" i="8"/>
  <c r="A336" i="8" s="1"/>
  <c r="S337" i="8"/>
  <c r="A337" i="8" s="1"/>
  <c r="S338" i="8"/>
  <c r="A338" i="8" s="1"/>
  <c r="S339" i="8"/>
  <c r="A339" i="8" s="1"/>
  <c r="S340" i="8"/>
  <c r="A340" i="8" s="1"/>
  <c r="S341" i="8"/>
  <c r="A341" i="8" s="1"/>
  <c r="S342" i="8"/>
  <c r="A342" i="8" s="1"/>
  <c r="S343" i="8"/>
  <c r="A343" i="8" s="1"/>
  <c r="S344" i="8"/>
  <c r="A344" i="8" s="1"/>
  <c r="S345" i="8"/>
  <c r="A345" i="8" s="1"/>
  <c r="S346" i="8"/>
  <c r="A346" i="8" s="1"/>
  <c r="S347" i="8"/>
  <c r="A347" i="8" s="1"/>
  <c r="S348" i="8"/>
  <c r="A348" i="8" s="1"/>
  <c r="S349" i="8"/>
  <c r="A349" i="8" s="1"/>
  <c r="S350" i="8"/>
  <c r="A350" i="8" s="1"/>
  <c r="S351" i="8"/>
  <c r="A351" i="8" s="1"/>
  <c r="S352" i="8"/>
  <c r="A352" i="8" s="1"/>
  <c r="S353" i="8"/>
  <c r="A353" i="8" s="1"/>
  <c r="S354" i="8"/>
  <c r="A354" i="8" s="1"/>
  <c r="S355" i="8"/>
  <c r="A355" i="8" s="1"/>
  <c r="S356" i="8"/>
  <c r="A356" i="8" s="1"/>
  <c r="S357" i="8"/>
  <c r="A357" i="8" s="1"/>
  <c r="S358" i="8"/>
  <c r="A358" i="8" s="1"/>
  <c r="S359" i="8"/>
  <c r="A359" i="8" s="1"/>
  <c r="S360" i="8"/>
  <c r="A360" i="8" s="1"/>
  <c r="S361" i="8"/>
  <c r="A361" i="8" s="1"/>
  <c r="S362" i="8"/>
  <c r="A362" i="8" s="1"/>
  <c r="S363" i="8"/>
  <c r="A363" i="8" s="1"/>
  <c r="S364" i="8"/>
  <c r="A364" i="8" s="1"/>
  <c r="S365" i="8"/>
  <c r="A365" i="8" s="1"/>
  <c r="S366" i="8"/>
  <c r="A366" i="8" s="1"/>
  <c r="S367" i="8"/>
  <c r="A367" i="8" s="1"/>
  <c r="S368" i="8"/>
  <c r="A368" i="8" s="1"/>
  <c r="S369" i="8"/>
  <c r="A369" i="8" s="1"/>
  <c r="S370" i="8"/>
  <c r="A370" i="8" s="1"/>
  <c r="S371" i="8"/>
  <c r="A371" i="8" s="1"/>
  <c r="S372" i="8"/>
  <c r="A372" i="8" s="1"/>
  <c r="S373" i="8"/>
  <c r="A373" i="8" s="1"/>
  <c r="S374" i="8"/>
  <c r="A374" i="8" s="1"/>
  <c r="S375" i="8"/>
  <c r="A375" i="8" s="1"/>
  <c r="S376" i="8"/>
  <c r="A376" i="8" s="1"/>
  <c r="S377" i="8"/>
  <c r="A377" i="8" s="1"/>
  <c r="S378" i="8"/>
  <c r="A378" i="8" s="1"/>
  <c r="S379" i="8"/>
  <c r="A379" i="8" s="1"/>
  <c r="S380" i="8"/>
  <c r="A380" i="8" s="1"/>
  <c r="S381" i="8"/>
  <c r="A381" i="8" s="1"/>
  <c r="S382" i="8"/>
  <c r="A382" i="8" s="1"/>
  <c r="S383" i="8"/>
  <c r="A383" i="8" s="1"/>
  <c r="S384" i="8"/>
  <c r="A384" i="8" s="1"/>
  <c r="S385" i="8"/>
  <c r="A385" i="8" s="1"/>
  <c r="S386" i="8"/>
  <c r="A386" i="8" s="1"/>
  <c r="S387" i="8"/>
  <c r="A387" i="8" s="1"/>
  <c r="S388" i="8"/>
  <c r="A388" i="8" s="1"/>
  <c r="S389" i="8"/>
  <c r="A389" i="8" s="1"/>
  <c r="S390" i="8"/>
  <c r="A390" i="8" s="1"/>
  <c r="S391" i="8"/>
  <c r="A391" i="8" s="1"/>
  <c r="S392" i="8"/>
  <c r="A392" i="8" s="1"/>
  <c r="S393" i="8"/>
  <c r="A393" i="8" s="1"/>
  <c r="S394" i="8"/>
  <c r="A394" i="8" s="1"/>
  <c r="S395" i="8"/>
  <c r="A395" i="8" s="1"/>
  <c r="S396" i="8"/>
  <c r="A396" i="8" s="1"/>
  <c r="S397" i="8"/>
  <c r="A397" i="8" s="1"/>
  <c r="S398" i="8"/>
  <c r="A398" i="8" s="1"/>
  <c r="S399" i="8"/>
  <c r="A399" i="8" s="1"/>
  <c r="S400" i="8"/>
  <c r="A400" i="8" s="1"/>
  <c r="S401" i="8"/>
  <c r="A401" i="8" s="1"/>
  <c r="S402" i="8"/>
  <c r="A402" i="8" s="1"/>
  <c r="S403" i="8"/>
  <c r="A403" i="8" s="1"/>
  <c r="S404" i="8"/>
  <c r="A404" i="8" s="1"/>
  <c r="S405" i="8"/>
  <c r="A405" i="8" s="1"/>
  <c r="S406" i="8"/>
  <c r="A406" i="8" s="1"/>
  <c r="S407" i="8"/>
  <c r="A407" i="8" s="1"/>
  <c r="S408" i="8"/>
  <c r="A408" i="8" s="1"/>
  <c r="S409" i="8"/>
  <c r="A409" i="8" s="1"/>
  <c r="S410" i="8"/>
  <c r="A410" i="8" s="1"/>
  <c r="S411" i="8"/>
  <c r="A411" i="8" s="1"/>
  <c r="S412" i="8"/>
  <c r="A412" i="8" s="1"/>
  <c r="S413" i="8"/>
  <c r="A413" i="8" s="1"/>
  <c r="S414" i="8"/>
  <c r="A414" i="8" s="1"/>
  <c r="S415" i="8"/>
  <c r="A415" i="8" s="1"/>
  <c r="S416" i="8"/>
  <c r="A416" i="8" s="1"/>
  <c r="S417" i="8"/>
  <c r="A417" i="8" s="1"/>
  <c r="S418" i="8"/>
  <c r="A418" i="8" s="1"/>
  <c r="S419" i="8"/>
  <c r="A419" i="8" s="1"/>
  <c r="S420" i="8"/>
  <c r="A420" i="8" s="1"/>
  <c r="S421" i="8"/>
  <c r="A421" i="8" s="1"/>
  <c r="S422" i="8"/>
  <c r="A422" i="8" s="1"/>
  <c r="S423" i="8"/>
  <c r="A423" i="8" s="1"/>
  <c r="S424" i="8"/>
  <c r="A424" i="8" s="1"/>
  <c r="S425" i="8"/>
  <c r="A425" i="8" s="1"/>
  <c r="S426" i="8"/>
  <c r="A426" i="8" s="1"/>
  <c r="S427" i="8"/>
  <c r="A427" i="8" s="1"/>
  <c r="S428" i="8"/>
  <c r="A428" i="8" s="1"/>
  <c r="S429" i="8"/>
  <c r="A429" i="8" s="1"/>
  <c r="S430" i="8"/>
  <c r="A430" i="8" s="1"/>
  <c r="S431" i="8"/>
  <c r="A431" i="8" s="1"/>
  <c r="S432" i="8"/>
  <c r="A432" i="8" s="1"/>
  <c r="S433" i="8"/>
  <c r="A433" i="8" s="1"/>
  <c r="S434" i="8"/>
  <c r="A434" i="8" s="1"/>
  <c r="S435" i="8"/>
  <c r="A435" i="8" s="1"/>
  <c r="S436" i="8"/>
  <c r="A436" i="8" s="1"/>
  <c r="S437" i="8"/>
  <c r="A437" i="8" s="1"/>
  <c r="S438" i="8"/>
  <c r="A438" i="8" s="1"/>
  <c r="S439" i="8"/>
  <c r="A439" i="8" s="1"/>
  <c r="S440" i="8"/>
  <c r="A440" i="8" s="1"/>
  <c r="S441" i="8"/>
  <c r="A441" i="8" s="1"/>
  <c r="S442" i="8"/>
  <c r="A442" i="8" s="1"/>
  <c r="S443" i="8"/>
  <c r="A443" i="8" s="1"/>
  <c r="S444" i="8"/>
  <c r="A444" i="8" s="1"/>
  <c r="S445" i="8"/>
  <c r="A445" i="8" s="1"/>
  <c r="S446" i="8"/>
  <c r="A446" i="8" s="1"/>
  <c r="S447" i="8"/>
  <c r="A447" i="8" s="1"/>
  <c r="S448" i="8"/>
  <c r="A448" i="8" s="1"/>
  <c r="S449" i="8"/>
  <c r="A449" i="8" s="1"/>
  <c r="S450" i="8"/>
  <c r="A450" i="8" s="1"/>
  <c r="S451" i="8"/>
  <c r="A451" i="8" s="1"/>
  <c r="S452" i="8"/>
  <c r="A452" i="8" s="1"/>
  <c r="S453" i="8"/>
  <c r="A453" i="8" s="1"/>
  <c r="S454" i="8"/>
  <c r="A454" i="8" s="1"/>
  <c r="S455" i="8"/>
  <c r="A455" i="8" s="1"/>
  <c r="S456" i="8"/>
  <c r="A456" i="8" s="1"/>
  <c r="S457" i="8"/>
  <c r="A457" i="8" s="1"/>
  <c r="S458" i="8"/>
  <c r="A458" i="8" s="1"/>
  <c r="S459" i="8"/>
  <c r="A459" i="8" s="1"/>
  <c r="S460" i="8"/>
  <c r="A460" i="8" s="1"/>
  <c r="S461" i="8"/>
  <c r="A461" i="8" s="1"/>
  <c r="S462" i="8"/>
  <c r="A462" i="8" s="1"/>
  <c r="S463" i="8"/>
  <c r="A463" i="8" s="1"/>
  <c r="S464" i="8"/>
  <c r="A464" i="8" s="1"/>
  <c r="S465" i="8"/>
  <c r="A465" i="8" s="1"/>
  <c r="S466" i="8"/>
  <c r="A466" i="8" s="1"/>
  <c r="S467" i="8"/>
  <c r="A467" i="8" s="1"/>
  <c r="S468" i="8"/>
  <c r="A468" i="8" s="1"/>
  <c r="S469" i="8"/>
  <c r="A469" i="8" s="1"/>
  <c r="S470" i="8"/>
  <c r="A470" i="8" s="1"/>
  <c r="S471" i="8"/>
  <c r="A471" i="8" s="1"/>
  <c r="S472" i="8"/>
  <c r="A472" i="8" s="1"/>
  <c r="S473" i="8"/>
  <c r="A473" i="8" s="1"/>
  <c r="S474" i="8"/>
  <c r="A474" i="8" s="1"/>
  <c r="S475" i="8"/>
  <c r="A475" i="8" s="1"/>
  <c r="S476" i="8"/>
  <c r="A476" i="8" s="1"/>
  <c r="S477" i="8"/>
  <c r="A477" i="8" s="1"/>
  <c r="S478" i="8"/>
  <c r="A478" i="8" s="1"/>
  <c r="S479" i="8"/>
  <c r="A479" i="8" s="1"/>
  <c r="S480" i="8"/>
  <c r="A480" i="8" s="1"/>
  <c r="S481" i="8"/>
  <c r="A481" i="8" s="1"/>
  <c r="S482" i="8"/>
  <c r="A482" i="8" s="1"/>
  <c r="S483" i="8"/>
  <c r="A483" i="8" s="1"/>
  <c r="S484" i="8"/>
  <c r="A484" i="8" s="1"/>
  <c r="S485" i="8"/>
  <c r="A485" i="8" s="1"/>
  <c r="S486" i="8"/>
  <c r="A486" i="8" s="1"/>
  <c r="S487" i="8"/>
  <c r="A487" i="8" s="1"/>
  <c r="S488" i="8"/>
  <c r="A488" i="8" s="1"/>
  <c r="S489" i="8"/>
  <c r="A489" i="8" s="1"/>
  <c r="S490" i="8"/>
  <c r="A490" i="8" s="1"/>
  <c r="S491" i="8"/>
  <c r="A491" i="8" s="1"/>
  <c r="S492" i="8"/>
  <c r="A492" i="8" s="1"/>
  <c r="S493" i="8"/>
  <c r="A493" i="8" s="1"/>
  <c r="S494" i="8"/>
  <c r="A494" i="8" s="1"/>
  <c r="S495" i="8"/>
  <c r="A495" i="8" s="1"/>
  <c r="S496" i="8"/>
  <c r="A496" i="8" s="1"/>
  <c r="S497" i="8"/>
  <c r="A497" i="8" s="1"/>
  <c r="S498" i="8"/>
  <c r="A498" i="8" s="1"/>
  <c r="S499" i="8"/>
  <c r="A499" i="8" s="1"/>
  <c r="S500" i="8"/>
  <c r="A500" i="8" s="1"/>
  <c r="S501" i="8"/>
  <c r="A501" i="8" s="1"/>
  <c r="S502" i="8"/>
  <c r="A502" i="8" s="1"/>
  <c r="S503" i="8"/>
  <c r="A503" i="8" s="1"/>
  <c r="S504" i="8"/>
  <c r="A504" i="8" s="1"/>
  <c r="S505" i="8"/>
  <c r="A505" i="8" s="1"/>
  <c r="S506" i="8"/>
  <c r="A506" i="8" s="1"/>
  <c r="S507" i="8"/>
  <c r="A507" i="8" s="1"/>
  <c r="S508" i="8"/>
  <c r="A508" i="8" s="1"/>
  <c r="S509" i="8"/>
  <c r="A509" i="8" s="1"/>
  <c r="S510" i="8"/>
  <c r="A510" i="8" s="1"/>
  <c r="S511" i="8"/>
  <c r="A511" i="8" s="1"/>
  <c r="S512" i="8"/>
  <c r="A512" i="8" s="1"/>
  <c r="S513" i="8"/>
  <c r="A513" i="8" s="1"/>
  <c r="S514" i="8"/>
  <c r="A514" i="8" s="1"/>
  <c r="S515" i="8"/>
  <c r="A515" i="8" s="1"/>
  <c r="S516" i="8"/>
  <c r="A516" i="8" s="1"/>
  <c r="S517" i="8"/>
  <c r="A517" i="8" s="1"/>
  <c r="S518" i="8"/>
  <c r="A518" i="8" s="1"/>
  <c r="S519" i="8"/>
  <c r="A519" i="8" s="1"/>
  <c r="S520" i="8"/>
  <c r="A520" i="8" s="1"/>
  <c r="S521" i="8"/>
  <c r="A521" i="8" s="1"/>
  <c r="S522" i="8"/>
  <c r="A522" i="8" s="1"/>
  <c r="S523" i="8"/>
  <c r="A523" i="8" s="1"/>
  <c r="S524" i="8"/>
  <c r="A524" i="8" s="1"/>
  <c r="S525" i="8"/>
  <c r="A525" i="8" s="1"/>
  <c r="S526" i="8"/>
  <c r="A526" i="8" s="1"/>
  <c r="S527" i="8"/>
  <c r="A527" i="8" s="1"/>
  <c r="S528" i="8"/>
  <c r="A528" i="8" s="1"/>
  <c r="S529" i="8"/>
  <c r="A529" i="8" s="1"/>
  <c r="S530" i="8"/>
  <c r="A530" i="8" s="1"/>
  <c r="S531" i="8"/>
  <c r="A531" i="8" s="1"/>
  <c r="S532" i="8"/>
  <c r="A532" i="8" s="1"/>
  <c r="S533" i="8"/>
  <c r="A533" i="8" s="1"/>
  <c r="S534" i="8"/>
  <c r="A534" i="8" s="1"/>
  <c r="S535" i="8"/>
  <c r="A535" i="8" s="1"/>
  <c r="S536" i="8"/>
  <c r="A536" i="8" s="1"/>
  <c r="S537" i="8"/>
  <c r="A537" i="8" s="1"/>
  <c r="S538" i="8"/>
  <c r="A538" i="8" s="1"/>
  <c r="S539" i="8"/>
  <c r="A539" i="8" s="1"/>
  <c r="S540" i="8"/>
  <c r="A540" i="8" s="1"/>
  <c r="S541" i="8"/>
  <c r="A541" i="8" s="1"/>
  <c r="S542" i="8"/>
  <c r="A542" i="8" s="1"/>
  <c r="S543" i="8"/>
  <c r="A543" i="8" s="1"/>
  <c r="S544" i="8"/>
  <c r="A544" i="8" s="1"/>
  <c r="S545" i="8"/>
  <c r="A545" i="8" s="1"/>
  <c r="S546" i="8"/>
  <c r="A546" i="8" s="1"/>
  <c r="S547" i="8"/>
  <c r="A547" i="8" s="1"/>
  <c r="S548" i="8"/>
  <c r="A548" i="8" s="1"/>
  <c r="S549" i="8"/>
  <c r="A549" i="8" s="1"/>
  <c r="S550" i="8"/>
  <c r="A550" i="8" s="1"/>
  <c r="S551" i="8"/>
  <c r="A551" i="8" s="1"/>
  <c r="S552" i="8"/>
  <c r="A552" i="8" s="1"/>
  <c r="S553" i="8"/>
  <c r="A553" i="8" s="1"/>
  <c r="S554" i="8"/>
  <c r="A554" i="8" s="1"/>
  <c r="S555" i="8"/>
  <c r="A555" i="8" s="1"/>
  <c r="S556" i="8"/>
  <c r="A556" i="8" s="1"/>
  <c r="S557" i="8"/>
  <c r="A557" i="8" s="1"/>
  <c r="S558" i="8"/>
  <c r="A558" i="8" s="1"/>
  <c r="S559" i="8"/>
  <c r="A559" i="8" s="1"/>
  <c r="S560" i="8"/>
  <c r="A560" i="8" s="1"/>
  <c r="S561" i="8"/>
  <c r="A561" i="8" s="1"/>
  <c r="S562" i="8"/>
  <c r="A562" i="8" s="1"/>
  <c r="S563" i="8"/>
  <c r="A563" i="8" s="1"/>
  <c r="S564" i="8"/>
  <c r="A564" i="8" s="1"/>
  <c r="S565" i="8"/>
  <c r="A565" i="8" s="1"/>
  <c r="S566" i="8"/>
  <c r="A566" i="8" s="1"/>
  <c r="S567" i="8"/>
  <c r="A567" i="8" s="1"/>
  <c r="S568" i="8"/>
  <c r="A568" i="8" s="1"/>
  <c r="S569" i="8"/>
  <c r="A569" i="8" s="1"/>
  <c r="S570" i="8"/>
  <c r="A570" i="8" s="1"/>
  <c r="S571" i="8"/>
  <c r="A571" i="8" s="1"/>
  <c r="S572" i="8"/>
  <c r="A572" i="8" s="1"/>
  <c r="S573" i="8"/>
  <c r="A573" i="8" s="1"/>
  <c r="S574" i="8"/>
  <c r="A574" i="8" s="1"/>
  <c r="S575" i="8"/>
  <c r="A575" i="8" s="1"/>
  <c r="S576" i="8"/>
  <c r="A576" i="8" s="1"/>
  <c r="S577" i="8"/>
  <c r="A577" i="8" s="1"/>
  <c r="S578" i="8"/>
  <c r="A578" i="8" s="1"/>
  <c r="S579" i="8"/>
  <c r="A579" i="8" s="1"/>
  <c r="S580" i="8"/>
  <c r="A580" i="8" s="1"/>
  <c r="S581" i="8"/>
  <c r="A581" i="8" s="1"/>
  <c r="S582" i="8"/>
  <c r="A582" i="8" s="1"/>
  <c r="S583" i="8"/>
  <c r="A583" i="8" s="1"/>
  <c r="S584" i="8"/>
  <c r="A584" i="8" s="1"/>
  <c r="S585" i="8"/>
  <c r="A585" i="8" s="1"/>
  <c r="S586" i="8"/>
  <c r="A586" i="8" s="1"/>
  <c r="S587" i="8"/>
  <c r="A587" i="8" s="1"/>
  <c r="S588" i="8"/>
  <c r="A588" i="8" s="1"/>
  <c r="S589" i="8"/>
  <c r="A589" i="8" s="1"/>
  <c r="S590" i="8"/>
  <c r="A590" i="8" s="1"/>
  <c r="S591" i="8"/>
  <c r="A591" i="8" s="1"/>
  <c r="S592" i="8"/>
  <c r="A592" i="8" s="1"/>
  <c r="S593" i="8"/>
  <c r="A593" i="8" s="1"/>
  <c r="S594" i="8"/>
  <c r="A594" i="8" s="1"/>
  <c r="S595" i="8"/>
  <c r="A595" i="8" s="1"/>
  <c r="S596" i="8"/>
  <c r="A596" i="8" s="1"/>
  <c r="S597" i="8"/>
  <c r="A597" i="8" s="1"/>
  <c r="S598" i="8"/>
  <c r="A598" i="8" s="1"/>
  <c r="S599" i="8"/>
  <c r="A599" i="8" s="1"/>
  <c r="S600" i="8"/>
  <c r="A600" i="8" s="1"/>
  <c r="S601" i="8"/>
  <c r="A601" i="8" s="1"/>
  <c r="S602" i="8"/>
  <c r="A602" i="8" s="1"/>
  <c r="S603" i="8"/>
  <c r="A603" i="8" s="1"/>
  <c r="S604" i="8"/>
  <c r="A604" i="8" s="1"/>
  <c r="S605" i="8"/>
  <c r="A605" i="8" s="1"/>
  <c r="S606" i="8"/>
  <c r="A606" i="8" s="1"/>
  <c r="S607" i="8"/>
  <c r="A607" i="8" s="1"/>
  <c r="S608" i="8"/>
  <c r="A608" i="8" s="1"/>
  <c r="S609" i="8"/>
  <c r="A609" i="8" s="1"/>
  <c r="S610" i="8"/>
  <c r="A610" i="8" s="1"/>
  <c r="S611" i="8"/>
  <c r="A611" i="8" s="1"/>
  <c r="S612" i="8"/>
  <c r="A612" i="8" s="1"/>
  <c r="S613" i="8"/>
  <c r="A613" i="8" s="1"/>
  <c r="S614" i="8"/>
  <c r="A614" i="8" s="1"/>
  <c r="S615" i="8"/>
  <c r="A615" i="8" s="1"/>
  <c r="S616" i="8"/>
  <c r="A616" i="8" s="1"/>
  <c r="S617" i="8"/>
  <c r="A617" i="8" s="1"/>
  <c r="S618" i="8"/>
  <c r="A618" i="8" s="1"/>
  <c r="S619" i="8"/>
  <c r="A619" i="8" s="1"/>
  <c r="S620" i="8"/>
  <c r="A620" i="8" s="1"/>
  <c r="S621" i="8"/>
  <c r="A621" i="8" s="1"/>
  <c r="S622" i="8"/>
  <c r="A622" i="8" s="1"/>
  <c r="S623" i="8"/>
  <c r="A623" i="8" s="1"/>
  <c r="S624" i="8"/>
  <c r="A624" i="8" s="1"/>
  <c r="S625" i="8"/>
  <c r="A625" i="8" s="1"/>
  <c r="S626" i="8"/>
  <c r="A626" i="8" s="1"/>
  <c r="S627" i="8"/>
  <c r="A627" i="8" s="1"/>
  <c r="S628" i="8"/>
  <c r="A628" i="8" s="1"/>
  <c r="S629" i="8"/>
  <c r="A629" i="8" s="1"/>
  <c r="S630" i="8"/>
  <c r="A630" i="8" s="1"/>
  <c r="S631" i="8"/>
  <c r="A631" i="8" s="1"/>
  <c r="S632" i="8"/>
  <c r="A632" i="8" s="1"/>
  <c r="S633" i="8"/>
  <c r="A633" i="8" s="1"/>
  <c r="S634" i="8"/>
  <c r="A634" i="8" s="1"/>
  <c r="S635" i="8"/>
  <c r="A635" i="8" s="1"/>
  <c r="S636" i="8"/>
  <c r="A636" i="8" s="1"/>
  <c r="S637" i="8"/>
  <c r="A637" i="8" s="1"/>
  <c r="S638" i="8"/>
  <c r="A638" i="8" s="1"/>
  <c r="S639" i="8"/>
  <c r="A639" i="8" s="1"/>
  <c r="S640" i="8"/>
  <c r="A640" i="8" s="1"/>
  <c r="S641" i="8"/>
  <c r="A641" i="8" s="1"/>
  <c r="S642" i="8"/>
  <c r="A642" i="8" s="1"/>
  <c r="S643" i="8"/>
  <c r="A643" i="8" s="1"/>
  <c r="S644" i="8"/>
  <c r="A644" i="8" s="1"/>
  <c r="S645" i="8"/>
  <c r="A645" i="8" s="1"/>
  <c r="S646" i="8"/>
  <c r="A646" i="8" s="1"/>
  <c r="S647" i="8"/>
  <c r="A647" i="8" s="1"/>
  <c r="S648" i="8"/>
  <c r="A648" i="8" s="1"/>
  <c r="S649" i="8"/>
  <c r="A649" i="8" s="1"/>
  <c r="S650" i="8"/>
  <c r="A650" i="8" s="1"/>
  <c r="S651" i="8"/>
  <c r="A651" i="8" s="1"/>
  <c r="S652" i="8"/>
  <c r="A652" i="8" s="1"/>
  <c r="S653" i="8"/>
  <c r="A653" i="8" s="1"/>
  <c r="S654" i="8"/>
  <c r="A654" i="8" s="1"/>
  <c r="S655" i="8"/>
  <c r="A655" i="8" s="1"/>
  <c r="S656" i="8"/>
  <c r="A656" i="8" s="1"/>
  <c r="S657" i="8"/>
  <c r="A657" i="8" s="1"/>
  <c r="S658" i="8"/>
  <c r="A658" i="8" s="1"/>
  <c r="S659" i="8"/>
  <c r="A659" i="8" s="1"/>
  <c r="S660" i="8"/>
  <c r="A660" i="8" s="1"/>
  <c r="S661" i="8"/>
  <c r="A661" i="8" s="1"/>
  <c r="S662" i="8"/>
  <c r="A662" i="8" s="1"/>
  <c r="S663" i="8"/>
  <c r="A663" i="8" s="1"/>
  <c r="S664" i="8"/>
  <c r="A664" i="8" s="1"/>
  <c r="S665" i="8"/>
  <c r="A665" i="8" s="1"/>
  <c r="S666" i="8"/>
  <c r="A666" i="8" s="1"/>
  <c r="S667" i="8"/>
  <c r="A667" i="8" s="1"/>
  <c r="S668" i="8"/>
  <c r="A668" i="8" s="1"/>
  <c r="S669" i="8"/>
  <c r="A669" i="8" s="1"/>
  <c r="S670" i="8"/>
  <c r="A670" i="8" s="1"/>
  <c r="S671" i="8"/>
  <c r="A671" i="8" s="1"/>
  <c r="S672" i="8"/>
  <c r="A672" i="8" s="1"/>
  <c r="S673" i="8"/>
  <c r="A673" i="8" s="1"/>
  <c r="S674" i="8"/>
  <c r="A674" i="8" s="1"/>
  <c r="S675" i="8"/>
  <c r="A675" i="8" s="1"/>
  <c r="S676" i="8"/>
  <c r="A676" i="8" s="1"/>
  <c r="S677" i="8"/>
  <c r="A677" i="8" s="1"/>
  <c r="S678" i="8"/>
  <c r="A678" i="8" s="1"/>
  <c r="S679" i="8"/>
  <c r="A679" i="8" s="1"/>
  <c r="S680" i="8"/>
  <c r="A680" i="8" s="1"/>
  <c r="S681" i="8"/>
  <c r="A681" i="8" s="1"/>
  <c r="S682" i="8"/>
  <c r="A682" i="8" s="1"/>
  <c r="S683" i="8"/>
  <c r="A683" i="8" s="1"/>
  <c r="S684" i="8"/>
  <c r="A684" i="8" s="1"/>
  <c r="S685" i="8"/>
  <c r="A685" i="8" s="1"/>
  <c r="S686" i="8"/>
  <c r="A686" i="8" s="1"/>
  <c r="S687" i="8"/>
  <c r="A687" i="8" s="1"/>
  <c r="S688" i="8"/>
  <c r="A688" i="8" s="1"/>
  <c r="S689" i="8"/>
  <c r="A689" i="8" s="1"/>
  <c r="S690" i="8"/>
  <c r="A690" i="8" s="1"/>
  <c r="S691" i="8"/>
  <c r="A691" i="8" s="1"/>
  <c r="S692" i="8"/>
  <c r="A692" i="8" s="1"/>
  <c r="S693" i="8"/>
  <c r="A693" i="8" s="1"/>
  <c r="S694" i="8"/>
  <c r="A694" i="8" s="1"/>
  <c r="S695" i="8"/>
  <c r="A695" i="8" s="1"/>
  <c r="S696" i="8"/>
  <c r="A696" i="8" s="1"/>
  <c r="S697" i="8"/>
  <c r="A697" i="8" s="1"/>
  <c r="S698" i="8"/>
  <c r="A698" i="8" s="1"/>
  <c r="S699" i="8"/>
  <c r="A699" i="8" s="1"/>
  <c r="S700" i="8"/>
  <c r="A700" i="8" s="1"/>
  <c r="S701" i="8"/>
  <c r="A701" i="8" s="1"/>
  <c r="S702" i="8"/>
  <c r="A702" i="8" s="1"/>
  <c r="S703" i="8"/>
  <c r="A703" i="8" s="1"/>
  <c r="S704" i="8"/>
  <c r="A704" i="8" s="1"/>
  <c r="S705" i="8"/>
  <c r="A705" i="8" s="1"/>
  <c r="S706" i="8"/>
  <c r="A706" i="8" s="1"/>
  <c r="S707" i="8"/>
  <c r="A707" i="8" s="1"/>
  <c r="S708" i="8"/>
  <c r="A708" i="8" s="1"/>
  <c r="S709" i="8"/>
  <c r="A709" i="8" s="1"/>
  <c r="S710" i="8"/>
  <c r="A710" i="8" s="1"/>
  <c r="S711" i="8"/>
  <c r="A711" i="8" s="1"/>
  <c r="S712" i="8"/>
  <c r="A712" i="8" s="1"/>
  <c r="S713" i="8"/>
  <c r="A713" i="8" s="1"/>
  <c r="S714" i="8"/>
  <c r="A714" i="8" s="1"/>
  <c r="S715" i="8"/>
  <c r="A715" i="8" s="1"/>
  <c r="S716" i="8"/>
  <c r="A716" i="8" s="1"/>
  <c r="S717" i="8"/>
  <c r="A717" i="8" s="1"/>
  <c r="S718" i="8"/>
  <c r="A718" i="8" s="1"/>
  <c r="S719" i="8"/>
  <c r="A719" i="8" s="1"/>
  <c r="S720" i="8"/>
  <c r="A720" i="8" s="1"/>
  <c r="S721" i="8"/>
  <c r="A721" i="8" s="1"/>
  <c r="S722" i="8"/>
  <c r="A722" i="8" s="1"/>
  <c r="S723" i="8"/>
  <c r="A723" i="8" s="1"/>
  <c r="S724" i="8"/>
  <c r="A724" i="8" s="1"/>
  <c r="S725" i="8"/>
  <c r="A725" i="8" s="1"/>
  <c r="S726" i="8"/>
  <c r="A726" i="8" s="1"/>
  <c r="S727" i="8"/>
  <c r="A727" i="8" s="1"/>
  <c r="S728" i="8"/>
  <c r="A728" i="8" s="1"/>
  <c r="S729" i="8"/>
  <c r="A729" i="8" s="1"/>
  <c r="S730" i="8"/>
  <c r="A730" i="8" s="1"/>
  <c r="S731" i="8"/>
  <c r="A731" i="8" s="1"/>
  <c r="S732" i="8"/>
  <c r="A732" i="8" s="1"/>
  <c r="S733" i="8"/>
  <c r="A733" i="8" s="1"/>
  <c r="S734" i="8"/>
  <c r="A734" i="8" s="1"/>
  <c r="S735" i="8"/>
  <c r="A735" i="8" s="1"/>
  <c r="S736" i="8"/>
  <c r="A736" i="8" s="1"/>
  <c r="S737" i="8"/>
  <c r="A737" i="8" s="1"/>
  <c r="S738" i="8"/>
  <c r="A738" i="8" s="1"/>
  <c r="S739" i="8"/>
  <c r="A739" i="8" s="1"/>
  <c r="S740" i="8"/>
  <c r="A740" i="8" s="1"/>
  <c r="S741" i="8"/>
  <c r="A741" i="8" s="1"/>
  <c r="S742" i="8"/>
  <c r="A742" i="8" s="1"/>
  <c r="S743" i="8"/>
  <c r="A743" i="8" s="1"/>
  <c r="S744" i="8"/>
  <c r="A744" i="8" s="1"/>
  <c r="S745" i="8"/>
  <c r="A745" i="8" s="1"/>
  <c r="S746" i="8"/>
  <c r="A746" i="8" s="1"/>
  <c r="S747" i="8"/>
  <c r="A747" i="8" s="1"/>
  <c r="S748" i="8"/>
  <c r="A748" i="8" s="1"/>
  <c r="S749" i="8"/>
  <c r="A749" i="8" s="1"/>
  <c r="S750" i="8"/>
  <c r="A750" i="8" s="1"/>
  <c r="S751" i="8"/>
  <c r="A751" i="8" s="1"/>
  <c r="S752" i="8"/>
  <c r="A752" i="8" s="1"/>
  <c r="S753" i="8"/>
  <c r="A753" i="8" s="1"/>
  <c r="S754" i="8"/>
  <c r="A754" i="8" s="1"/>
  <c r="S755" i="8"/>
  <c r="A755" i="8" s="1"/>
  <c r="S756" i="8"/>
  <c r="A756" i="8" s="1"/>
  <c r="S757" i="8"/>
  <c r="A757" i="8" s="1"/>
  <c r="S758" i="8"/>
  <c r="A758" i="8" s="1"/>
  <c r="S759" i="8"/>
  <c r="A759" i="8" s="1"/>
  <c r="S760" i="8"/>
  <c r="A760" i="8" s="1"/>
  <c r="S761" i="8"/>
  <c r="A761" i="8" s="1"/>
  <c r="S762" i="8"/>
  <c r="A762" i="8" s="1"/>
  <c r="S763" i="8"/>
  <c r="A763" i="8" s="1"/>
  <c r="S764" i="8"/>
  <c r="A764" i="8" s="1"/>
  <c r="S765" i="8"/>
  <c r="A765" i="8" s="1"/>
  <c r="S766" i="8"/>
  <c r="A766" i="8" s="1"/>
  <c r="S767" i="8"/>
  <c r="A767" i="8" s="1"/>
  <c r="S768" i="8"/>
  <c r="A768" i="8" s="1"/>
  <c r="S769" i="8"/>
  <c r="A769" i="8" s="1"/>
  <c r="S770" i="8"/>
  <c r="A770" i="8" s="1"/>
  <c r="S771" i="8"/>
  <c r="A771" i="8" s="1"/>
  <c r="S772" i="8"/>
  <c r="A772" i="8" s="1"/>
  <c r="S773" i="8"/>
  <c r="A773" i="8" s="1"/>
  <c r="S774" i="8"/>
  <c r="A774" i="8" s="1"/>
  <c r="S775" i="8"/>
  <c r="A775" i="8" s="1"/>
  <c r="S776" i="8"/>
  <c r="A776" i="8" s="1"/>
  <c r="S777" i="8"/>
  <c r="A777" i="8" s="1"/>
  <c r="S778" i="8"/>
  <c r="A778" i="8" s="1"/>
  <c r="S779" i="8"/>
  <c r="A779" i="8" s="1"/>
  <c r="S780" i="8"/>
  <c r="A780" i="8" s="1"/>
  <c r="S781" i="8"/>
  <c r="A781" i="8" s="1"/>
  <c r="S782" i="8"/>
  <c r="A782" i="8" s="1"/>
  <c r="S783" i="8"/>
  <c r="A783" i="8" s="1"/>
  <c r="S784" i="8"/>
  <c r="A784" i="8" s="1"/>
  <c r="S785" i="8"/>
  <c r="A785" i="8" s="1"/>
  <c r="S786" i="8"/>
  <c r="A786" i="8" s="1"/>
  <c r="S787" i="8"/>
  <c r="A787" i="8" s="1"/>
  <c r="S788" i="8"/>
  <c r="A788" i="8" s="1"/>
  <c r="S789" i="8"/>
  <c r="A789" i="8" s="1"/>
  <c r="S790" i="8"/>
  <c r="A790" i="8" s="1"/>
  <c r="S791" i="8"/>
  <c r="A791" i="8" s="1"/>
  <c r="S792" i="8"/>
  <c r="A792" i="8" s="1"/>
  <c r="S793" i="8"/>
  <c r="A793" i="8" s="1"/>
  <c r="S794" i="8"/>
  <c r="A794" i="8" s="1"/>
  <c r="S795" i="8"/>
  <c r="A795" i="8" s="1"/>
  <c r="S796" i="8"/>
  <c r="A796" i="8" s="1"/>
  <c r="S797" i="8"/>
  <c r="A797" i="8" s="1"/>
  <c r="S798" i="8"/>
  <c r="A798" i="8" s="1"/>
  <c r="S799" i="8"/>
  <c r="A799" i="8" s="1"/>
  <c r="S800" i="8"/>
  <c r="A800" i="8" s="1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48" i="8"/>
  <c r="S4149" i="8"/>
  <c r="S4150" i="8"/>
  <c r="S4151" i="8"/>
  <c r="S4152" i="8"/>
  <c r="S4153" i="8"/>
  <c r="S4154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A2" i="8" s="1"/>
  <c r="BB11" i="1" l="1"/>
  <c r="BB21" i="1"/>
  <c r="BB29" i="1"/>
  <c r="BB37" i="1"/>
  <c r="AZ39" i="1"/>
  <c r="AZ38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7" i="1"/>
  <c r="AZ16" i="1"/>
  <c r="AZ15" i="1"/>
  <c r="AZ14" i="1"/>
  <c r="AZ13" i="1"/>
  <c r="AZ12" i="1"/>
  <c r="AZ11" i="1"/>
  <c r="AZ10" i="1"/>
  <c r="AZ9" i="1"/>
  <c r="AZ8" i="1"/>
  <c r="AZ7" i="1"/>
  <c r="AZ6" i="1"/>
  <c r="AZ5" i="1"/>
  <c r="AZ4" i="1"/>
  <c r="AZ3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14" i="1"/>
  <c r="AX13" i="1"/>
  <c r="AX12" i="1"/>
  <c r="AX11" i="1"/>
  <c r="AX10" i="1"/>
  <c r="AX9" i="1"/>
  <c r="AX8" i="1"/>
  <c r="AX7" i="1"/>
  <c r="AX6" i="1"/>
  <c r="AX5" i="1"/>
  <c r="AX4" i="1"/>
  <c r="AX3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6" i="1"/>
  <c r="AW5" i="1"/>
  <c r="AW4" i="1"/>
  <c r="AW3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AQ7" i="1"/>
  <c r="AQ6" i="1"/>
  <c r="AQ5" i="1"/>
  <c r="AQ4" i="1"/>
  <c r="AQ3" i="1"/>
  <c r="E37" i="1"/>
  <c r="E29" i="1"/>
  <c r="E21" i="1"/>
  <c r="E11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F1" i="8"/>
  <c r="J39" i="1" s="1"/>
  <c r="J19" i="1" l="1"/>
  <c r="J14" i="1"/>
  <c r="J22" i="1"/>
  <c r="J30" i="1"/>
  <c r="J15" i="1"/>
  <c r="J31" i="1"/>
  <c r="J8" i="1"/>
  <c r="J16" i="1"/>
  <c r="J24" i="1"/>
  <c r="J32" i="1"/>
  <c r="J9" i="1"/>
  <c r="J17" i="1"/>
  <c r="J25" i="1"/>
  <c r="J33" i="1"/>
  <c r="J11" i="1"/>
  <c r="J27" i="1"/>
  <c r="J10" i="1"/>
  <c r="J18" i="1"/>
  <c r="J26" i="1"/>
  <c r="J34" i="1"/>
  <c r="J3" i="1"/>
  <c r="J35" i="1"/>
  <c r="J4" i="1"/>
  <c r="J12" i="1"/>
  <c r="J20" i="1"/>
  <c r="J28" i="1"/>
  <c r="J36" i="1"/>
  <c r="J5" i="1"/>
  <c r="J13" i="1"/>
  <c r="J21" i="1"/>
  <c r="J29" i="1"/>
  <c r="J37" i="1"/>
  <c r="J6" i="1"/>
  <c r="J38" i="1"/>
  <c r="J7" i="1"/>
  <c r="J23" i="1"/>
  <c r="C24" i="5"/>
  <c r="M8" i="3" l="1"/>
  <c r="M7" i="3"/>
  <c r="M6" i="3"/>
  <c r="M5" i="3"/>
  <c r="M4" i="3"/>
  <c r="M3" i="3"/>
  <c r="F1" i="4" l="1" a="1"/>
  <c r="F1" i="4" s="1"/>
  <c r="D3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6" i="4"/>
  <c r="D2" i="4"/>
  <c r="T3425" i="8" l="1"/>
  <c r="B3425" i="8"/>
  <c r="T3426" i="8"/>
  <c r="B3426" i="8"/>
  <c r="T3427" i="8"/>
  <c r="B3427" i="8"/>
  <c r="T3428" i="8"/>
  <c r="B3428" i="8"/>
  <c r="T3429" i="8"/>
  <c r="B3429" i="8"/>
  <c r="T3430" i="8"/>
  <c r="B3430" i="8"/>
  <c r="T3431" i="8"/>
  <c r="B3431" i="8"/>
  <c r="T3432" i="8"/>
  <c r="B3432" i="8"/>
  <c r="T3433" i="8"/>
  <c r="B3433" i="8"/>
  <c r="T3434" i="8"/>
  <c r="B3434" i="8"/>
  <c r="T3435" i="8"/>
  <c r="B3435" i="8"/>
  <c r="T3436" i="8"/>
  <c r="B3436" i="8"/>
  <c r="T3437" i="8"/>
  <c r="B3437" i="8"/>
  <c r="T3438" i="8"/>
  <c r="B3438" i="8"/>
  <c r="T3439" i="8"/>
  <c r="B3439" i="8"/>
  <c r="T3440" i="8"/>
  <c r="B3440" i="8"/>
  <c r="T3441" i="8"/>
  <c r="B3441" i="8"/>
  <c r="T3442" i="8"/>
  <c r="B3442" i="8"/>
  <c r="T3443" i="8"/>
  <c r="B3443" i="8"/>
  <c r="T3444" i="8"/>
  <c r="B3444" i="8"/>
  <c r="T3445" i="8"/>
  <c r="B3445" i="8"/>
  <c r="T3446" i="8"/>
  <c r="B3446" i="8"/>
  <c r="T3447" i="8"/>
  <c r="B3447" i="8"/>
  <c r="T3448" i="8"/>
  <c r="B3448" i="8"/>
  <c r="T3449" i="8"/>
  <c r="B3449" i="8"/>
  <c r="T3450" i="8"/>
  <c r="B3450" i="8"/>
  <c r="T3451" i="8"/>
  <c r="B3451" i="8"/>
  <c r="T3452" i="8"/>
  <c r="B3452" i="8"/>
  <c r="T3453" i="8"/>
  <c r="B3453" i="8"/>
  <c r="T3454" i="8"/>
  <c r="B3454" i="8"/>
  <c r="T3455" i="8"/>
  <c r="B3455" i="8"/>
  <c r="T3456" i="8"/>
  <c r="B3456" i="8"/>
  <c r="T3457" i="8"/>
  <c r="B3457" i="8"/>
  <c r="T3458" i="8"/>
  <c r="B3458" i="8"/>
  <c r="T3459" i="8"/>
  <c r="B3459" i="8"/>
  <c r="T3460" i="8"/>
  <c r="B3460" i="8"/>
  <c r="T3461" i="8"/>
  <c r="B3461" i="8"/>
  <c r="T3462" i="8"/>
  <c r="B3462" i="8"/>
  <c r="T3463" i="8"/>
  <c r="B3463" i="8"/>
  <c r="T3464" i="8"/>
  <c r="B3464" i="8"/>
  <c r="T3465" i="8"/>
  <c r="B3465" i="8"/>
  <c r="T3466" i="8"/>
  <c r="B3466" i="8"/>
  <c r="T3467" i="8"/>
  <c r="B3467" i="8"/>
  <c r="T3468" i="8"/>
  <c r="B3468" i="8"/>
  <c r="T3469" i="8"/>
  <c r="B3469" i="8"/>
  <c r="T3470" i="8"/>
  <c r="B3470" i="8"/>
  <c r="T3471" i="8"/>
  <c r="B3471" i="8"/>
  <c r="T3472" i="8"/>
  <c r="B3472" i="8"/>
  <c r="T3473" i="8"/>
  <c r="B3473" i="8"/>
  <c r="T3474" i="8"/>
  <c r="B3474" i="8"/>
  <c r="T3475" i="8"/>
  <c r="B3475" i="8"/>
  <c r="T3476" i="8"/>
  <c r="B3476" i="8"/>
  <c r="T3477" i="8"/>
  <c r="B3477" i="8"/>
  <c r="T3478" i="8"/>
  <c r="B3478" i="8"/>
  <c r="T3479" i="8"/>
  <c r="B3479" i="8"/>
  <c r="T3480" i="8"/>
  <c r="B3480" i="8"/>
  <c r="T3481" i="8"/>
  <c r="B3481" i="8"/>
  <c r="T3482" i="8"/>
  <c r="B3482" i="8"/>
  <c r="T3483" i="8"/>
  <c r="B3483" i="8"/>
  <c r="T3484" i="8"/>
  <c r="B3484" i="8"/>
  <c r="T3485" i="8"/>
  <c r="B3485" i="8"/>
  <c r="T3486" i="8"/>
  <c r="B3486" i="8"/>
  <c r="T3487" i="8"/>
  <c r="B3487" i="8"/>
  <c r="T3488" i="8"/>
  <c r="B3488" i="8"/>
  <c r="T3489" i="8"/>
  <c r="B3489" i="8"/>
  <c r="T3490" i="8"/>
  <c r="B3490" i="8"/>
  <c r="T3491" i="8"/>
  <c r="B3491" i="8"/>
  <c r="T3492" i="8"/>
  <c r="B3492" i="8"/>
  <c r="T3493" i="8"/>
  <c r="B3493" i="8"/>
  <c r="T3494" i="8"/>
  <c r="B3494" i="8"/>
  <c r="T3495" i="8"/>
  <c r="B3495" i="8"/>
  <c r="T3496" i="8"/>
  <c r="B3496" i="8"/>
  <c r="T3497" i="8"/>
  <c r="B3497" i="8"/>
  <c r="T3498" i="8"/>
  <c r="B3498" i="8"/>
  <c r="T3499" i="8"/>
  <c r="B3499" i="8"/>
  <c r="T3500" i="8"/>
  <c r="B3500" i="8"/>
  <c r="T3501" i="8"/>
  <c r="B3501" i="8"/>
  <c r="T3502" i="8"/>
  <c r="B3502" i="8"/>
  <c r="T3503" i="8"/>
  <c r="B3503" i="8"/>
  <c r="T3504" i="8"/>
  <c r="B3504" i="8"/>
  <c r="T3505" i="8"/>
  <c r="B3505" i="8"/>
  <c r="T3506" i="8"/>
  <c r="B3506" i="8"/>
  <c r="T3507" i="8"/>
  <c r="B3507" i="8"/>
  <c r="T3508" i="8"/>
  <c r="B3508" i="8"/>
  <c r="T3509" i="8"/>
  <c r="B3509" i="8"/>
  <c r="T3510" i="8"/>
  <c r="B3510" i="8"/>
  <c r="T3511" i="8"/>
  <c r="B3511" i="8"/>
  <c r="T3512" i="8"/>
  <c r="B3512" i="8"/>
  <c r="T3513" i="8"/>
  <c r="B3513" i="8"/>
  <c r="T3514" i="8"/>
  <c r="B3514" i="8"/>
  <c r="T3515" i="8"/>
  <c r="B3515" i="8"/>
  <c r="T3516" i="8"/>
  <c r="B3516" i="8"/>
  <c r="T3517" i="8"/>
  <c r="B3517" i="8"/>
  <c r="T3518" i="8"/>
  <c r="B3518" i="8"/>
  <c r="T3519" i="8"/>
  <c r="B3519" i="8"/>
  <c r="T3520" i="8"/>
  <c r="B3520" i="8"/>
  <c r="T3521" i="8"/>
  <c r="B3521" i="8"/>
  <c r="T3522" i="8"/>
  <c r="B3522" i="8"/>
  <c r="T3523" i="8"/>
  <c r="B3523" i="8"/>
  <c r="T3524" i="8"/>
  <c r="B3524" i="8"/>
  <c r="T3525" i="8"/>
  <c r="B3525" i="8"/>
  <c r="T3526" i="8"/>
  <c r="B3526" i="8"/>
  <c r="T3527" i="8"/>
  <c r="B3527" i="8"/>
  <c r="T3528" i="8"/>
  <c r="B3528" i="8"/>
  <c r="T3529" i="8"/>
  <c r="B3529" i="8"/>
  <c r="T3530" i="8"/>
  <c r="B3530" i="8"/>
  <c r="T3531" i="8"/>
  <c r="B3531" i="8"/>
  <c r="T3532" i="8"/>
  <c r="B3532" i="8"/>
  <c r="T3533" i="8"/>
  <c r="B3533" i="8"/>
  <c r="T3534" i="8"/>
  <c r="B3534" i="8"/>
  <c r="T3535" i="8"/>
  <c r="B3535" i="8"/>
  <c r="T3536" i="8"/>
  <c r="B3536" i="8"/>
  <c r="T3537" i="8"/>
  <c r="B3537" i="8"/>
  <c r="T3538" i="8"/>
  <c r="B3538" i="8"/>
  <c r="T3539" i="8"/>
  <c r="B3539" i="8"/>
  <c r="T3540" i="8"/>
  <c r="B3540" i="8"/>
  <c r="T3541" i="8"/>
  <c r="B3541" i="8"/>
  <c r="T3542" i="8"/>
  <c r="B3542" i="8"/>
  <c r="T3543" i="8"/>
  <c r="B3543" i="8"/>
  <c r="T3544" i="8"/>
  <c r="B3544" i="8"/>
  <c r="T3545" i="8"/>
  <c r="B3545" i="8"/>
  <c r="T3546" i="8"/>
  <c r="B3546" i="8"/>
  <c r="T3547" i="8"/>
  <c r="B3547" i="8"/>
  <c r="T3548" i="8"/>
  <c r="B3548" i="8"/>
  <c r="T3549" i="8"/>
  <c r="B3549" i="8"/>
  <c r="T3550" i="8"/>
  <c r="B3550" i="8"/>
  <c r="T3551" i="8"/>
  <c r="B3551" i="8"/>
  <c r="T3552" i="8"/>
  <c r="B3552" i="8"/>
  <c r="T3553" i="8"/>
  <c r="B3553" i="8"/>
  <c r="T3554" i="8"/>
  <c r="B3554" i="8"/>
  <c r="T3555" i="8"/>
  <c r="B3555" i="8"/>
  <c r="T3556" i="8"/>
  <c r="B3556" i="8"/>
  <c r="T3557" i="8"/>
  <c r="B3557" i="8"/>
  <c r="T3558" i="8"/>
  <c r="B3558" i="8"/>
  <c r="T3559" i="8"/>
  <c r="B3559" i="8"/>
  <c r="T3560" i="8"/>
  <c r="B3560" i="8"/>
  <c r="T3561" i="8"/>
  <c r="B3561" i="8"/>
  <c r="T3562" i="8"/>
  <c r="B3562" i="8"/>
  <c r="T3563" i="8"/>
  <c r="B3563" i="8"/>
  <c r="T3564" i="8"/>
  <c r="B3564" i="8"/>
  <c r="T3565" i="8"/>
  <c r="B3565" i="8"/>
  <c r="T3566" i="8"/>
  <c r="B3566" i="8"/>
  <c r="T3567" i="8"/>
  <c r="B3567" i="8"/>
  <c r="T3568" i="8"/>
  <c r="B3568" i="8"/>
  <c r="T3569" i="8"/>
  <c r="B3569" i="8"/>
  <c r="T3570" i="8"/>
  <c r="B3570" i="8"/>
  <c r="T3571" i="8"/>
  <c r="B3571" i="8"/>
  <c r="T3572" i="8"/>
  <c r="B3572" i="8"/>
  <c r="T3573" i="8"/>
  <c r="B3573" i="8"/>
  <c r="T3574" i="8"/>
  <c r="B3574" i="8"/>
  <c r="T3575" i="8"/>
  <c r="B3575" i="8"/>
  <c r="T3576" i="8"/>
  <c r="B3576" i="8"/>
  <c r="T3577" i="8"/>
  <c r="B3577" i="8"/>
  <c r="T3578" i="8"/>
  <c r="B3578" i="8"/>
  <c r="T3579" i="8"/>
  <c r="B3579" i="8"/>
  <c r="T3580" i="8"/>
  <c r="B3580" i="8"/>
  <c r="T3581" i="8"/>
  <c r="B3581" i="8"/>
  <c r="T3582" i="8"/>
  <c r="B3582" i="8"/>
  <c r="T3583" i="8"/>
  <c r="B3583" i="8"/>
  <c r="T3584" i="8"/>
  <c r="B3584" i="8"/>
  <c r="T3585" i="8"/>
  <c r="B3585" i="8"/>
  <c r="T3586" i="8"/>
  <c r="B3586" i="8"/>
  <c r="T3587" i="8"/>
  <c r="B3587" i="8"/>
  <c r="T3588" i="8"/>
  <c r="B3588" i="8"/>
  <c r="T3589" i="8"/>
  <c r="B3589" i="8"/>
  <c r="T3590" i="8"/>
  <c r="B3590" i="8"/>
  <c r="T3591" i="8"/>
  <c r="B3591" i="8"/>
  <c r="T3592" i="8"/>
  <c r="B3592" i="8"/>
  <c r="T3593" i="8"/>
  <c r="B3593" i="8"/>
  <c r="T3594" i="8"/>
  <c r="B3594" i="8"/>
  <c r="T3595" i="8"/>
  <c r="B3595" i="8"/>
  <c r="T3596" i="8"/>
  <c r="B3596" i="8"/>
  <c r="T3597" i="8"/>
  <c r="B3597" i="8"/>
  <c r="T3598" i="8"/>
  <c r="B3598" i="8"/>
  <c r="T3599" i="8"/>
  <c r="B3599" i="8"/>
  <c r="T3600" i="8"/>
  <c r="B3600" i="8"/>
  <c r="T3601" i="8"/>
  <c r="B3601" i="8"/>
  <c r="T3602" i="8"/>
  <c r="B3602" i="8"/>
  <c r="T3603" i="8"/>
  <c r="B3603" i="8"/>
  <c r="T3604" i="8"/>
  <c r="B3604" i="8"/>
  <c r="T3605" i="8"/>
  <c r="B3605" i="8"/>
  <c r="T3606" i="8"/>
  <c r="B3606" i="8"/>
  <c r="T3607" i="8"/>
  <c r="B3607" i="8"/>
  <c r="T3608" i="8"/>
  <c r="B3608" i="8"/>
  <c r="T3609" i="8"/>
  <c r="B3609" i="8"/>
  <c r="T3610" i="8"/>
  <c r="B3610" i="8"/>
  <c r="T3611" i="8"/>
  <c r="B3611" i="8"/>
  <c r="T3612" i="8"/>
  <c r="B3612" i="8"/>
  <c r="T3613" i="8"/>
  <c r="B3613" i="8"/>
  <c r="T3614" i="8"/>
  <c r="B3614" i="8"/>
  <c r="T3615" i="8"/>
  <c r="B3615" i="8"/>
  <c r="T3616" i="8"/>
  <c r="B3616" i="8"/>
  <c r="T3617" i="8"/>
  <c r="B3617" i="8"/>
  <c r="T3618" i="8"/>
  <c r="B3618" i="8"/>
  <c r="T3619" i="8"/>
  <c r="B3619" i="8"/>
  <c r="T3620" i="8"/>
  <c r="B3620" i="8"/>
  <c r="T3621" i="8"/>
  <c r="B3621" i="8"/>
  <c r="T3622" i="8"/>
  <c r="B3622" i="8"/>
  <c r="T3623" i="8"/>
  <c r="B3623" i="8"/>
  <c r="T3624" i="8"/>
  <c r="B3624" i="8"/>
  <c r="T3625" i="8"/>
  <c r="B3625" i="8"/>
  <c r="T3626" i="8"/>
  <c r="B3626" i="8"/>
  <c r="T3627" i="8"/>
  <c r="B3627" i="8"/>
  <c r="T3628" i="8"/>
  <c r="B3628" i="8"/>
  <c r="T3629" i="8"/>
  <c r="B3629" i="8"/>
  <c r="T3630" i="8"/>
  <c r="B3630" i="8"/>
  <c r="T3631" i="8"/>
  <c r="B3631" i="8"/>
  <c r="T3632" i="8"/>
  <c r="B3632" i="8"/>
  <c r="T3633" i="8"/>
  <c r="B3633" i="8"/>
  <c r="T3634" i="8"/>
  <c r="B3634" i="8"/>
  <c r="T3635" i="8"/>
  <c r="B3635" i="8"/>
  <c r="T3636" i="8"/>
  <c r="B3636" i="8"/>
  <c r="T3637" i="8"/>
  <c r="B3637" i="8"/>
  <c r="T3638" i="8"/>
  <c r="B3638" i="8"/>
  <c r="T3639" i="8"/>
  <c r="B3639" i="8"/>
  <c r="T3640" i="8"/>
  <c r="B3640" i="8"/>
  <c r="T3641" i="8"/>
  <c r="B3641" i="8"/>
  <c r="T3642" i="8"/>
  <c r="B3642" i="8"/>
  <c r="T3643" i="8"/>
  <c r="B3643" i="8"/>
  <c r="T3644" i="8"/>
  <c r="B3644" i="8"/>
  <c r="T3645" i="8"/>
  <c r="B3645" i="8"/>
  <c r="T3646" i="8"/>
  <c r="B3646" i="8"/>
  <c r="T3647" i="8"/>
  <c r="B3647" i="8"/>
  <c r="T3648" i="8"/>
  <c r="B3648" i="8"/>
  <c r="T3649" i="8"/>
  <c r="B3649" i="8"/>
  <c r="T3650" i="8"/>
  <c r="B3650" i="8"/>
  <c r="T3651" i="8"/>
  <c r="B3651" i="8"/>
  <c r="T3652" i="8"/>
  <c r="B3652" i="8"/>
  <c r="T3653" i="8"/>
  <c r="B3653" i="8"/>
  <c r="T3654" i="8"/>
  <c r="B3654" i="8"/>
  <c r="T3655" i="8"/>
  <c r="B3655" i="8"/>
  <c r="T3656" i="8"/>
  <c r="B3656" i="8"/>
  <c r="T3657" i="8"/>
  <c r="B3657" i="8"/>
  <c r="T3658" i="8"/>
  <c r="B3658" i="8"/>
  <c r="T3659" i="8"/>
  <c r="B3659" i="8"/>
  <c r="T3660" i="8"/>
  <c r="B3660" i="8"/>
  <c r="T3661" i="8"/>
  <c r="B3661" i="8"/>
  <c r="T3662" i="8"/>
  <c r="B3662" i="8"/>
  <c r="T3663" i="8"/>
  <c r="B3663" i="8"/>
  <c r="T3664" i="8"/>
  <c r="B3664" i="8"/>
  <c r="T3665" i="8"/>
  <c r="B3665" i="8"/>
  <c r="T3666" i="8"/>
  <c r="B3666" i="8"/>
  <c r="T3667" i="8"/>
  <c r="B3667" i="8"/>
  <c r="T3668" i="8"/>
  <c r="B3668" i="8"/>
  <c r="T3669" i="8"/>
  <c r="B3669" i="8"/>
  <c r="T3670" i="8"/>
  <c r="B3670" i="8"/>
  <c r="T3671" i="8"/>
  <c r="B3671" i="8"/>
  <c r="T3672" i="8"/>
  <c r="B3672" i="8"/>
  <c r="T3673" i="8"/>
  <c r="B3673" i="8"/>
  <c r="T3674" i="8"/>
  <c r="B3674" i="8"/>
  <c r="T3675" i="8"/>
  <c r="B3675" i="8"/>
  <c r="T3676" i="8"/>
  <c r="B3676" i="8"/>
  <c r="T3677" i="8"/>
  <c r="B3677" i="8"/>
  <c r="T3678" i="8"/>
  <c r="B3678" i="8"/>
  <c r="T3679" i="8"/>
  <c r="B3679" i="8"/>
  <c r="T3680" i="8"/>
  <c r="B3680" i="8"/>
  <c r="T3681" i="8"/>
  <c r="B3681" i="8"/>
  <c r="T3682" i="8"/>
  <c r="B3682" i="8"/>
  <c r="T3683" i="8"/>
  <c r="B3683" i="8"/>
  <c r="T3684" i="8"/>
  <c r="B3684" i="8"/>
  <c r="T3685" i="8"/>
  <c r="B3685" i="8"/>
  <c r="T3686" i="8"/>
  <c r="B3686" i="8"/>
  <c r="T3687" i="8"/>
  <c r="B3687" i="8"/>
  <c r="T3688" i="8"/>
  <c r="B3688" i="8"/>
  <c r="T3689" i="8"/>
  <c r="B3689" i="8"/>
  <c r="T3690" i="8"/>
  <c r="B3690" i="8"/>
  <c r="T3691" i="8"/>
  <c r="B3691" i="8"/>
  <c r="T3692" i="8"/>
  <c r="B3692" i="8"/>
  <c r="T3693" i="8"/>
  <c r="B3693" i="8"/>
  <c r="T3694" i="8"/>
  <c r="B3694" i="8"/>
  <c r="T3695" i="8"/>
  <c r="B3695" i="8"/>
  <c r="T3696" i="8"/>
  <c r="B3696" i="8"/>
  <c r="T3697" i="8"/>
  <c r="B3697" i="8"/>
  <c r="T3698" i="8"/>
  <c r="B3698" i="8"/>
  <c r="T3699" i="8"/>
  <c r="B3699" i="8"/>
  <c r="T3700" i="8"/>
  <c r="B3700" i="8"/>
  <c r="T3701" i="8"/>
  <c r="B3701" i="8"/>
  <c r="T3702" i="8"/>
  <c r="B3702" i="8"/>
  <c r="T3703" i="8"/>
  <c r="B3703" i="8"/>
  <c r="T3704" i="8"/>
  <c r="B3704" i="8"/>
  <c r="T3705" i="8"/>
  <c r="B3705" i="8"/>
  <c r="T3706" i="8"/>
  <c r="B3706" i="8"/>
  <c r="T3707" i="8"/>
  <c r="B3707" i="8"/>
  <c r="T3708" i="8"/>
  <c r="B3708" i="8"/>
  <c r="T3709" i="8"/>
  <c r="B3709" i="8"/>
  <c r="T3710" i="8"/>
  <c r="B3710" i="8"/>
  <c r="T3711" i="8"/>
  <c r="B3711" i="8"/>
  <c r="T3712" i="8"/>
  <c r="B3712" i="8"/>
  <c r="T3713" i="8"/>
  <c r="B3713" i="8"/>
  <c r="T3714" i="8"/>
  <c r="B3714" i="8"/>
  <c r="T3715" i="8"/>
  <c r="B3715" i="8"/>
  <c r="T3716" i="8"/>
  <c r="B3716" i="8"/>
  <c r="T3717" i="8"/>
  <c r="B3717" i="8"/>
  <c r="T3718" i="8"/>
  <c r="B3718" i="8"/>
  <c r="T3719" i="8"/>
  <c r="B3719" i="8"/>
  <c r="T3720" i="8"/>
  <c r="B3720" i="8"/>
  <c r="T3721" i="8"/>
  <c r="B3721" i="8"/>
  <c r="T3722" i="8"/>
  <c r="B3722" i="8"/>
  <c r="T3723" i="8"/>
  <c r="B3723" i="8"/>
  <c r="T3724" i="8"/>
  <c r="B3724" i="8"/>
  <c r="T3725" i="8"/>
  <c r="B3725" i="8"/>
  <c r="T3726" i="8"/>
  <c r="B3726" i="8"/>
  <c r="T3727" i="8"/>
  <c r="B3727" i="8"/>
  <c r="T3728" i="8"/>
  <c r="B3728" i="8"/>
  <c r="T3729" i="8"/>
  <c r="B3729" i="8"/>
  <c r="T3730" i="8"/>
  <c r="B3730" i="8"/>
  <c r="T3731" i="8"/>
  <c r="B3731" i="8"/>
  <c r="T3732" i="8"/>
  <c r="B3732" i="8"/>
  <c r="T3733" i="8"/>
  <c r="B3733" i="8"/>
  <c r="T3734" i="8"/>
  <c r="B3734" i="8"/>
  <c r="T3735" i="8"/>
  <c r="B3735" i="8"/>
  <c r="T3736" i="8"/>
  <c r="B3736" i="8"/>
  <c r="T3737" i="8"/>
  <c r="B3737" i="8"/>
  <c r="T3738" i="8"/>
  <c r="B3738" i="8"/>
  <c r="T3739" i="8"/>
  <c r="B3739" i="8"/>
  <c r="T3740" i="8"/>
  <c r="B3740" i="8"/>
  <c r="T3741" i="8"/>
  <c r="B3741" i="8"/>
  <c r="T3742" i="8"/>
  <c r="B3742" i="8"/>
  <c r="T3743" i="8"/>
  <c r="B3743" i="8"/>
  <c r="T3744" i="8"/>
  <c r="B3744" i="8"/>
  <c r="T3745" i="8"/>
  <c r="B3745" i="8"/>
  <c r="T3746" i="8"/>
  <c r="B3746" i="8"/>
  <c r="T3747" i="8"/>
  <c r="B3747" i="8"/>
  <c r="T3748" i="8"/>
  <c r="B3748" i="8"/>
  <c r="T3749" i="8"/>
  <c r="B3749" i="8"/>
  <c r="T3750" i="8"/>
  <c r="B3750" i="8"/>
  <c r="T3751" i="8"/>
  <c r="B3751" i="8"/>
  <c r="T3752" i="8"/>
  <c r="B3752" i="8"/>
  <c r="T3753" i="8"/>
  <c r="B3753" i="8"/>
  <c r="T3754" i="8"/>
  <c r="B3754" i="8"/>
  <c r="T3755" i="8"/>
  <c r="B3755" i="8"/>
  <c r="T3756" i="8"/>
  <c r="B3756" i="8"/>
  <c r="T3757" i="8"/>
  <c r="B3757" i="8"/>
  <c r="T3758" i="8"/>
  <c r="B3758" i="8"/>
  <c r="T3759" i="8"/>
  <c r="B3759" i="8"/>
  <c r="T3760" i="8"/>
  <c r="B3760" i="8"/>
  <c r="T3761" i="8"/>
  <c r="B3761" i="8"/>
  <c r="T3762" i="8"/>
  <c r="B3762" i="8"/>
  <c r="T3763" i="8"/>
  <c r="B3763" i="8"/>
  <c r="T3764" i="8"/>
  <c r="B3764" i="8"/>
  <c r="T3765" i="8"/>
  <c r="B3765" i="8"/>
  <c r="T3766" i="8"/>
  <c r="B3766" i="8"/>
  <c r="T3767" i="8"/>
  <c r="B3767" i="8"/>
  <c r="T3768" i="8"/>
  <c r="B3768" i="8"/>
  <c r="T3769" i="8"/>
  <c r="B3769" i="8"/>
  <c r="T3770" i="8"/>
  <c r="B3770" i="8"/>
  <c r="T3771" i="8"/>
  <c r="B3771" i="8"/>
  <c r="T3772" i="8"/>
  <c r="B3772" i="8"/>
  <c r="T3773" i="8"/>
  <c r="B3773" i="8"/>
  <c r="T3774" i="8"/>
  <c r="B3774" i="8"/>
  <c r="T3775" i="8"/>
  <c r="B3775" i="8"/>
  <c r="T3776" i="8"/>
  <c r="B3776" i="8"/>
  <c r="T3777" i="8"/>
  <c r="B3777" i="8"/>
  <c r="T3778" i="8"/>
  <c r="B3778" i="8"/>
  <c r="T3779" i="8"/>
  <c r="B3779" i="8"/>
  <c r="T3780" i="8"/>
  <c r="B3780" i="8"/>
  <c r="T3781" i="8"/>
  <c r="B3781" i="8"/>
  <c r="T3782" i="8"/>
  <c r="B3782" i="8"/>
  <c r="T3783" i="8"/>
  <c r="B3783" i="8"/>
  <c r="T3784" i="8"/>
  <c r="B3784" i="8"/>
  <c r="T3785" i="8"/>
  <c r="B3785" i="8"/>
  <c r="T3786" i="8"/>
  <c r="B3786" i="8"/>
  <c r="T3787" i="8"/>
  <c r="B3787" i="8"/>
  <c r="T3788" i="8"/>
  <c r="B3788" i="8"/>
  <c r="T3789" i="8"/>
  <c r="B3789" i="8"/>
  <c r="T3790" i="8"/>
  <c r="B3790" i="8"/>
  <c r="T3791" i="8"/>
  <c r="B3791" i="8"/>
  <c r="T3792" i="8"/>
  <c r="B3792" i="8"/>
  <c r="T3793" i="8"/>
  <c r="B3793" i="8"/>
  <c r="T3794" i="8"/>
  <c r="B3794" i="8"/>
  <c r="T3795" i="8"/>
  <c r="B3795" i="8"/>
  <c r="T3796" i="8"/>
  <c r="B3796" i="8"/>
  <c r="T3797" i="8"/>
  <c r="B3797" i="8"/>
  <c r="T3798" i="8"/>
  <c r="B3798" i="8"/>
  <c r="T3799" i="8"/>
  <c r="B3799" i="8"/>
  <c r="T3800" i="8"/>
  <c r="B3800" i="8"/>
  <c r="T3801" i="8"/>
  <c r="B3801" i="8"/>
  <c r="T3802" i="8"/>
  <c r="B3802" i="8"/>
  <c r="T3803" i="8"/>
  <c r="B3803" i="8"/>
  <c r="T3804" i="8"/>
  <c r="B3804" i="8"/>
  <c r="T3805" i="8"/>
  <c r="B3805" i="8"/>
  <c r="T3806" i="8"/>
  <c r="B3806" i="8"/>
  <c r="T3807" i="8"/>
  <c r="B3807" i="8"/>
  <c r="T3808" i="8"/>
  <c r="B3808" i="8"/>
  <c r="T3809" i="8"/>
  <c r="B3809" i="8"/>
  <c r="T3810" i="8"/>
  <c r="B3810" i="8"/>
  <c r="T3811" i="8"/>
  <c r="B3811" i="8"/>
  <c r="T3812" i="8"/>
  <c r="B3812" i="8"/>
  <c r="T3813" i="8"/>
  <c r="B3813" i="8"/>
  <c r="T3814" i="8"/>
  <c r="B3814" i="8"/>
  <c r="T3815" i="8"/>
  <c r="B3815" i="8"/>
  <c r="T3816" i="8"/>
  <c r="B3816" i="8"/>
  <c r="T3817" i="8"/>
  <c r="B3817" i="8"/>
  <c r="T3818" i="8"/>
  <c r="B3818" i="8"/>
  <c r="T3819" i="8"/>
  <c r="B3819" i="8"/>
  <c r="T3820" i="8"/>
  <c r="B3820" i="8"/>
  <c r="T3821" i="8"/>
  <c r="B3821" i="8"/>
  <c r="T3822" i="8"/>
  <c r="B3822" i="8"/>
  <c r="T3823" i="8"/>
  <c r="B3823" i="8"/>
  <c r="T3824" i="8"/>
  <c r="B3824" i="8"/>
  <c r="T3825" i="8"/>
  <c r="B3825" i="8"/>
  <c r="T3826" i="8"/>
  <c r="B3826" i="8"/>
  <c r="T3827" i="8"/>
  <c r="B3827" i="8"/>
  <c r="T3828" i="8"/>
  <c r="B3828" i="8"/>
  <c r="T3829" i="8"/>
  <c r="B3829" i="8"/>
  <c r="T3830" i="8"/>
  <c r="B3830" i="8"/>
  <c r="T3831" i="8"/>
  <c r="B3831" i="8"/>
  <c r="T3832" i="8"/>
  <c r="B3832" i="8"/>
  <c r="T3833" i="8"/>
  <c r="B3833" i="8"/>
  <c r="T3834" i="8"/>
  <c r="B3834" i="8"/>
  <c r="T3835" i="8"/>
  <c r="B3835" i="8"/>
  <c r="T3836" i="8"/>
  <c r="B3836" i="8"/>
  <c r="T3837" i="8"/>
  <c r="B3837" i="8"/>
  <c r="T3838" i="8"/>
  <c r="B3838" i="8"/>
  <c r="T3839" i="8"/>
  <c r="B3839" i="8"/>
  <c r="T3840" i="8"/>
  <c r="B3840" i="8"/>
  <c r="T3841" i="8"/>
  <c r="B3841" i="8"/>
  <c r="T3842" i="8"/>
  <c r="B3842" i="8"/>
  <c r="T3843" i="8"/>
  <c r="B3843" i="8"/>
  <c r="T3844" i="8"/>
  <c r="B3844" i="8"/>
  <c r="T3845" i="8"/>
  <c r="B3845" i="8"/>
  <c r="T3846" i="8"/>
  <c r="B3846" i="8"/>
  <c r="T3847" i="8"/>
  <c r="B3847" i="8"/>
  <c r="T3848" i="8"/>
  <c r="B3848" i="8"/>
  <c r="T3849" i="8"/>
  <c r="B3849" i="8"/>
  <c r="T3850" i="8"/>
  <c r="B3850" i="8"/>
  <c r="T3851" i="8"/>
  <c r="B3851" i="8"/>
  <c r="T3852" i="8"/>
  <c r="B3852" i="8"/>
  <c r="T3853" i="8"/>
  <c r="B3853" i="8"/>
  <c r="T3854" i="8"/>
  <c r="B3854" i="8"/>
  <c r="T3855" i="8"/>
  <c r="B3855" i="8"/>
  <c r="T3856" i="8"/>
  <c r="B3856" i="8"/>
  <c r="T3857" i="8"/>
  <c r="B3857" i="8"/>
  <c r="T3858" i="8"/>
  <c r="B3858" i="8"/>
  <c r="T3859" i="8"/>
  <c r="B3859" i="8"/>
  <c r="T3860" i="8"/>
  <c r="B3860" i="8"/>
  <c r="T3861" i="8"/>
  <c r="B3861" i="8"/>
  <c r="T3862" i="8"/>
  <c r="B3862" i="8"/>
  <c r="T3863" i="8"/>
  <c r="B3863" i="8"/>
  <c r="T3864" i="8"/>
  <c r="B3864" i="8"/>
  <c r="T3865" i="8"/>
  <c r="B3865" i="8"/>
  <c r="T3866" i="8"/>
  <c r="B3866" i="8"/>
  <c r="T3867" i="8"/>
  <c r="B3867" i="8"/>
  <c r="T3868" i="8"/>
  <c r="B3868" i="8"/>
  <c r="T3869" i="8"/>
  <c r="B3869" i="8"/>
  <c r="T3870" i="8"/>
  <c r="B3870" i="8"/>
  <c r="T3871" i="8"/>
  <c r="B3871" i="8"/>
  <c r="T3872" i="8"/>
  <c r="B3872" i="8"/>
  <c r="T3873" i="8"/>
  <c r="B3873" i="8"/>
  <c r="T3874" i="8"/>
  <c r="B3874" i="8"/>
  <c r="T3875" i="8"/>
  <c r="B3875" i="8"/>
  <c r="T3876" i="8"/>
  <c r="B3876" i="8"/>
  <c r="T3877" i="8"/>
  <c r="B3877" i="8"/>
  <c r="T3878" i="8"/>
  <c r="B3878" i="8"/>
  <c r="T3879" i="8"/>
  <c r="B3879" i="8"/>
  <c r="T3880" i="8"/>
  <c r="B3880" i="8"/>
  <c r="T3881" i="8"/>
  <c r="B3881" i="8"/>
  <c r="T3882" i="8"/>
  <c r="B3882" i="8"/>
  <c r="T3883" i="8"/>
  <c r="B3883" i="8"/>
  <c r="T3884" i="8"/>
  <c r="B3884" i="8"/>
  <c r="T3885" i="8"/>
  <c r="B3885" i="8"/>
  <c r="T3886" i="8"/>
  <c r="B3886" i="8"/>
  <c r="T3887" i="8"/>
  <c r="B3887" i="8"/>
  <c r="T3888" i="8"/>
  <c r="B3888" i="8"/>
  <c r="T3889" i="8"/>
  <c r="B3889" i="8"/>
  <c r="T3890" i="8"/>
  <c r="B3890" i="8"/>
  <c r="T3891" i="8"/>
  <c r="B3891" i="8"/>
  <c r="T3892" i="8"/>
  <c r="B3892" i="8"/>
  <c r="T3893" i="8"/>
  <c r="B3893" i="8"/>
  <c r="T3894" i="8"/>
  <c r="B3894" i="8"/>
  <c r="T3895" i="8"/>
  <c r="B3895" i="8"/>
  <c r="T3896" i="8"/>
  <c r="B3896" i="8"/>
  <c r="T3897" i="8"/>
  <c r="B3897" i="8"/>
  <c r="T3898" i="8"/>
  <c r="B3898" i="8"/>
  <c r="T3899" i="8"/>
  <c r="B3899" i="8"/>
  <c r="T3900" i="8"/>
  <c r="B3900" i="8"/>
  <c r="T3901" i="8"/>
  <c r="B3901" i="8"/>
  <c r="T3902" i="8"/>
  <c r="B3902" i="8"/>
  <c r="T3903" i="8"/>
  <c r="B3903" i="8"/>
  <c r="T3904" i="8"/>
  <c r="B3904" i="8"/>
  <c r="T3905" i="8"/>
  <c r="B3905" i="8"/>
  <c r="T3906" i="8"/>
  <c r="B3906" i="8"/>
  <c r="T3907" i="8"/>
  <c r="B3907" i="8"/>
  <c r="T3908" i="8"/>
  <c r="B3908" i="8"/>
  <c r="T3909" i="8"/>
  <c r="B3909" i="8"/>
  <c r="T3910" i="8"/>
  <c r="B3910" i="8"/>
  <c r="T3911" i="8"/>
  <c r="B3911" i="8"/>
  <c r="T3912" i="8"/>
  <c r="B3912" i="8"/>
  <c r="T3913" i="8"/>
  <c r="B3913" i="8"/>
  <c r="T3914" i="8"/>
  <c r="B3914" i="8"/>
  <c r="T3915" i="8"/>
  <c r="B3915" i="8"/>
  <c r="T3916" i="8"/>
  <c r="B3916" i="8"/>
  <c r="T3917" i="8"/>
  <c r="B3917" i="8"/>
  <c r="T3918" i="8"/>
  <c r="B3918" i="8"/>
  <c r="T3919" i="8"/>
  <c r="B3919" i="8"/>
  <c r="T3920" i="8"/>
  <c r="B3920" i="8"/>
  <c r="T3921" i="8"/>
  <c r="B3921" i="8"/>
  <c r="T3922" i="8"/>
  <c r="B3922" i="8"/>
  <c r="T3923" i="8"/>
  <c r="B3923" i="8"/>
  <c r="T3924" i="8"/>
  <c r="B3924" i="8"/>
  <c r="T3925" i="8"/>
  <c r="B3925" i="8"/>
  <c r="T3926" i="8"/>
  <c r="B3926" i="8"/>
  <c r="T3927" i="8"/>
  <c r="B3927" i="8"/>
  <c r="T3928" i="8"/>
  <c r="B3928" i="8"/>
  <c r="T3929" i="8"/>
  <c r="B3929" i="8"/>
  <c r="T3930" i="8"/>
  <c r="B3930" i="8"/>
  <c r="T3931" i="8"/>
  <c r="B3931" i="8"/>
  <c r="T3932" i="8"/>
  <c r="B3932" i="8"/>
  <c r="T3933" i="8"/>
  <c r="B3933" i="8"/>
  <c r="T3934" i="8"/>
  <c r="B3934" i="8"/>
  <c r="T3935" i="8"/>
  <c r="B3935" i="8"/>
  <c r="T3936" i="8"/>
  <c r="B3936" i="8"/>
  <c r="T3937" i="8"/>
  <c r="B3937" i="8"/>
  <c r="T3938" i="8"/>
  <c r="B3938" i="8"/>
  <c r="T3939" i="8"/>
  <c r="B3939" i="8"/>
  <c r="T3940" i="8"/>
  <c r="B3940" i="8"/>
  <c r="T3941" i="8"/>
  <c r="B3941" i="8"/>
  <c r="T3942" i="8"/>
  <c r="B3942" i="8"/>
  <c r="T3943" i="8"/>
  <c r="B3943" i="8"/>
  <c r="T3944" i="8"/>
  <c r="B3944" i="8"/>
  <c r="T3945" i="8"/>
  <c r="B3945" i="8"/>
  <c r="T3946" i="8"/>
  <c r="B3946" i="8"/>
  <c r="T3947" i="8"/>
  <c r="B3947" i="8"/>
  <c r="T3948" i="8"/>
  <c r="B3948" i="8"/>
  <c r="T3949" i="8"/>
  <c r="B3949" i="8"/>
  <c r="T3950" i="8"/>
  <c r="B3950" i="8"/>
  <c r="T3951" i="8"/>
  <c r="B3951" i="8"/>
  <c r="T3952" i="8"/>
  <c r="B3952" i="8"/>
  <c r="T3953" i="8"/>
  <c r="B3953" i="8"/>
  <c r="T3954" i="8"/>
  <c r="B3954" i="8"/>
  <c r="T3955" i="8"/>
  <c r="B3955" i="8"/>
  <c r="T3956" i="8"/>
  <c r="B3956" i="8"/>
  <c r="T3957" i="8"/>
  <c r="B3957" i="8"/>
  <c r="T3958" i="8"/>
  <c r="B3958" i="8"/>
  <c r="T3959" i="8"/>
  <c r="B3959" i="8"/>
  <c r="T3960" i="8"/>
  <c r="B3960" i="8"/>
  <c r="T3961" i="8"/>
  <c r="B3961" i="8"/>
  <c r="T3962" i="8"/>
  <c r="B3962" i="8"/>
  <c r="T3963" i="8"/>
  <c r="B3963" i="8"/>
  <c r="T3964" i="8"/>
  <c r="B3964" i="8"/>
  <c r="T3965" i="8"/>
  <c r="B3965" i="8"/>
  <c r="T3966" i="8"/>
  <c r="B3966" i="8"/>
  <c r="T3967" i="8"/>
  <c r="B3967" i="8"/>
  <c r="T3968" i="8"/>
  <c r="B3968" i="8"/>
  <c r="T3969" i="8"/>
  <c r="B3969" i="8"/>
  <c r="T3970" i="8"/>
  <c r="B3970" i="8"/>
  <c r="T3971" i="8"/>
  <c r="B3971" i="8"/>
  <c r="T3972" i="8"/>
  <c r="B3972" i="8"/>
  <c r="T3973" i="8"/>
  <c r="B3973" i="8"/>
  <c r="T3974" i="8"/>
  <c r="B3974" i="8"/>
  <c r="T3975" i="8"/>
  <c r="B3975" i="8"/>
  <c r="T3976" i="8"/>
  <c r="B3976" i="8"/>
  <c r="T3977" i="8"/>
  <c r="B3977" i="8"/>
  <c r="T3978" i="8"/>
  <c r="B3978" i="8"/>
  <c r="T3979" i="8"/>
  <c r="B3979" i="8"/>
  <c r="T3980" i="8"/>
  <c r="B3980" i="8"/>
  <c r="T3981" i="8"/>
  <c r="B3981" i="8"/>
  <c r="T3982" i="8"/>
  <c r="B3982" i="8"/>
  <c r="T3983" i="8"/>
  <c r="B3983" i="8"/>
  <c r="T3984" i="8"/>
  <c r="B3984" i="8"/>
  <c r="T3985" i="8"/>
  <c r="B3985" i="8"/>
  <c r="T3986" i="8"/>
  <c r="B3986" i="8"/>
  <c r="T3987" i="8"/>
  <c r="B3987" i="8"/>
  <c r="T3988" i="8"/>
  <c r="B3988" i="8"/>
  <c r="T3989" i="8"/>
  <c r="B3989" i="8"/>
  <c r="T3990" i="8"/>
  <c r="B3990" i="8"/>
  <c r="T3991" i="8"/>
  <c r="B3991" i="8"/>
  <c r="T3992" i="8"/>
  <c r="B3992" i="8"/>
  <c r="T3993" i="8"/>
  <c r="B3993" i="8"/>
  <c r="T3994" i="8"/>
  <c r="B3994" i="8"/>
  <c r="T3995" i="8"/>
  <c r="B3995" i="8"/>
  <c r="T3996" i="8"/>
  <c r="B3996" i="8"/>
  <c r="T3997" i="8"/>
  <c r="B3997" i="8"/>
  <c r="T3998" i="8"/>
  <c r="B3998" i="8"/>
  <c r="T3999" i="8"/>
  <c r="B3999" i="8"/>
  <c r="T4000" i="8"/>
  <c r="B4000" i="8"/>
  <c r="T4001" i="8"/>
  <c r="B4001" i="8"/>
  <c r="T4002" i="8"/>
  <c r="B4002" i="8"/>
  <c r="T4003" i="8"/>
  <c r="B4003" i="8"/>
  <c r="T4004" i="8"/>
  <c r="B4004" i="8"/>
  <c r="T4005" i="8"/>
  <c r="B4005" i="8"/>
  <c r="T4006" i="8"/>
  <c r="B4006" i="8"/>
  <c r="T4007" i="8"/>
  <c r="B4007" i="8"/>
  <c r="T4008" i="8"/>
  <c r="B4008" i="8"/>
  <c r="T4009" i="8"/>
  <c r="B4009" i="8"/>
  <c r="T4010" i="8"/>
  <c r="B4010" i="8"/>
  <c r="T4011" i="8"/>
  <c r="B4011" i="8"/>
  <c r="T4012" i="8"/>
  <c r="B4012" i="8"/>
  <c r="T4013" i="8"/>
  <c r="B4013" i="8"/>
  <c r="T4014" i="8"/>
  <c r="B4014" i="8"/>
  <c r="T4015" i="8"/>
  <c r="B4015" i="8"/>
  <c r="T4016" i="8"/>
  <c r="B4016" i="8"/>
  <c r="T4017" i="8"/>
  <c r="B4017" i="8"/>
  <c r="T4018" i="8"/>
  <c r="B4018" i="8"/>
  <c r="T4019" i="8"/>
  <c r="B4019" i="8"/>
  <c r="T4020" i="8"/>
  <c r="B4020" i="8"/>
  <c r="T4021" i="8"/>
  <c r="B4021" i="8"/>
  <c r="T4022" i="8"/>
  <c r="B4022" i="8"/>
  <c r="T4023" i="8"/>
  <c r="B4023" i="8"/>
  <c r="T4024" i="8"/>
  <c r="B4024" i="8"/>
  <c r="T4025" i="8"/>
  <c r="B4025" i="8"/>
  <c r="T4026" i="8"/>
  <c r="B4026" i="8"/>
  <c r="T4027" i="8"/>
  <c r="B4027" i="8"/>
  <c r="T4028" i="8"/>
  <c r="B4028" i="8"/>
  <c r="T4029" i="8"/>
  <c r="B4029" i="8"/>
  <c r="T4030" i="8"/>
  <c r="B4030" i="8"/>
  <c r="T4031" i="8"/>
  <c r="B4031" i="8"/>
  <c r="T4032" i="8"/>
  <c r="B4032" i="8"/>
  <c r="T4033" i="8"/>
  <c r="B4033" i="8"/>
  <c r="T4034" i="8"/>
  <c r="B4034" i="8"/>
  <c r="T4035" i="8"/>
  <c r="B4035" i="8"/>
  <c r="T4036" i="8"/>
  <c r="B4036" i="8"/>
  <c r="T4037" i="8"/>
  <c r="B4037" i="8"/>
  <c r="T4038" i="8"/>
  <c r="B4038" i="8"/>
  <c r="T4039" i="8"/>
  <c r="B4039" i="8"/>
  <c r="T4040" i="8"/>
  <c r="B4040" i="8"/>
  <c r="T4041" i="8"/>
  <c r="B4041" i="8"/>
  <c r="T4042" i="8"/>
  <c r="B4042" i="8"/>
  <c r="T4043" i="8"/>
  <c r="B4043" i="8"/>
  <c r="T4044" i="8"/>
  <c r="B4044" i="8"/>
  <c r="T4045" i="8"/>
  <c r="B4045" i="8"/>
  <c r="T4046" i="8"/>
  <c r="B4046" i="8"/>
  <c r="T4047" i="8"/>
  <c r="B4047" i="8"/>
  <c r="T4048" i="8"/>
  <c r="B4048" i="8"/>
  <c r="T4049" i="8"/>
  <c r="B4049" i="8"/>
  <c r="T4050" i="8"/>
  <c r="B4050" i="8"/>
  <c r="T4051" i="8"/>
  <c r="B4051" i="8"/>
  <c r="T4052" i="8"/>
  <c r="B4052" i="8"/>
  <c r="T4053" i="8"/>
  <c r="B4053" i="8"/>
  <c r="T4054" i="8"/>
  <c r="B4054" i="8"/>
  <c r="T4055" i="8"/>
  <c r="B4055" i="8"/>
  <c r="T4056" i="8"/>
  <c r="B4056" i="8"/>
  <c r="T4057" i="8"/>
  <c r="B4057" i="8"/>
  <c r="T4058" i="8"/>
  <c r="B4058" i="8"/>
  <c r="T4059" i="8"/>
  <c r="B4059" i="8"/>
  <c r="T4060" i="8"/>
  <c r="B4060" i="8"/>
  <c r="T4061" i="8"/>
  <c r="B4061" i="8"/>
  <c r="T4062" i="8"/>
  <c r="B4062" i="8"/>
  <c r="T4063" i="8"/>
  <c r="B4063" i="8"/>
  <c r="T4064" i="8"/>
  <c r="B4064" i="8"/>
  <c r="T4065" i="8"/>
  <c r="B4065" i="8"/>
  <c r="T4066" i="8"/>
  <c r="B4066" i="8"/>
  <c r="T4067" i="8"/>
  <c r="B4067" i="8"/>
  <c r="T4068" i="8"/>
  <c r="B4068" i="8"/>
  <c r="T4069" i="8"/>
  <c r="B4069" i="8"/>
  <c r="T4070" i="8"/>
  <c r="B4070" i="8"/>
  <c r="T4071" i="8"/>
  <c r="B4071" i="8"/>
  <c r="T4072" i="8"/>
  <c r="B4072" i="8"/>
  <c r="T4073" i="8"/>
  <c r="B4073" i="8"/>
  <c r="T4074" i="8"/>
  <c r="B4074" i="8"/>
  <c r="T4075" i="8"/>
  <c r="B4075" i="8"/>
  <c r="T4076" i="8"/>
  <c r="B4076" i="8"/>
  <c r="T4077" i="8"/>
  <c r="B4077" i="8"/>
  <c r="T4078" i="8"/>
  <c r="B4078" i="8"/>
  <c r="T4079" i="8"/>
  <c r="B4079" i="8"/>
  <c r="T4080" i="8"/>
  <c r="B4080" i="8"/>
  <c r="T4081" i="8"/>
  <c r="B4081" i="8"/>
  <c r="T4082" i="8"/>
  <c r="B4082" i="8"/>
  <c r="T4083" i="8"/>
  <c r="B4083" i="8"/>
  <c r="T4084" i="8"/>
  <c r="B4084" i="8"/>
  <c r="T4085" i="8"/>
  <c r="B4085" i="8"/>
  <c r="T4086" i="8"/>
  <c r="B4086" i="8"/>
  <c r="T4087" i="8"/>
  <c r="B4087" i="8"/>
  <c r="T4088" i="8"/>
  <c r="B4088" i="8"/>
  <c r="T4089" i="8"/>
  <c r="B4089" i="8"/>
  <c r="T4090" i="8"/>
  <c r="B4090" i="8"/>
  <c r="T4091" i="8"/>
  <c r="B4091" i="8"/>
  <c r="T4092" i="8"/>
  <c r="B4092" i="8"/>
  <c r="T4093" i="8"/>
  <c r="B4093" i="8"/>
  <c r="T4094" i="8"/>
  <c r="B4094" i="8"/>
  <c r="T4095" i="8"/>
  <c r="B4095" i="8"/>
  <c r="T4096" i="8"/>
  <c r="B4096" i="8"/>
  <c r="T4097" i="8"/>
  <c r="B4097" i="8"/>
  <c r="T4098" i="8"/>
  <c r="B4098" i="8"/>
  <c r="T4099" i="8"/>
  <c r="B4099" i="8"/>
  <c r="T4100" i="8"/>
  <c r="B4100" i="8"/>
  <c r="T4101" i="8"/>
  <c r="B4101" i="8"/>
  <c r="T4102" i="8"/>
  <c r="B4102" i="8"/>
  <c r="T4103" i="8"/>
  <c r="B4103" i="8"/>
  <c r="T4104" i="8"/>
  <c r="B4104" i="8"/>
  <c r="T4105" i="8"/>
  <c r="B4105" i="8"/>
  <c r="T4106" i="8"/>
  <c r="B4106" i="8"/>
  <c r="T4107" i="8"/>
  <c r="B4107" i="8"/>
  <c r="T4108" i="8"/>
  <c r="B4108" i="8"/>
  <c r="T4109" i="8"/>
  <c r="B4109" i="8"/>
  <c r="T4110" i="8"/>
  <c r="B4110" i="8"/>
  <c r="T4111" i="8"/>
  <c r="B4111" i="8"/>
  <c r="T4112" i="8"/>
  <c r="B4112" i="8"/>
  <c r="T4113" i="8"/>
  <c r="B4113" i="8"/>
  <c r="T4114" i="8"/>
  <c r="B4114" i="8"/>
  <c r="T4115" i="8"/>
  <c r="B4115" i="8"/>
  <c r="T4116" i="8"/>
  <c r="B4116" i="8"/>
  <c r="T4117" i="8"/>
  <c r="B4117" i="8"/>
  <c r="T4118" i="8"/>
  <c r="B4118" i="8"/>
  <c r="T4119" i="8"/>
  <c r="B4119" i="8"/>
  <c r="T4120" i="8"/>
  <c r="B4120" i="8"/>
  <c r="T4121" i="8"/>
  <c r="B4121" i="8"/>
  <c r="T4122" i="8"/>
  <c r="B4122" i="8"/>
  <c r="T4123" i="8"/>
  <c r="B4123" i="8"/>
  <c r="T4124" i="8"/>
  <c r="B4124" i="8"/>
  <c r="T4125" i="8"/>
  <c r="B4125" i="8"/>
  <c r="T4126" i="8"/>
  <c r="B4126" i="8"/>
  <c r="T4127" i="8"/>
  <c r="B4127" i="8"/>
  <c r="T4128" i="8"/>
  <c r="B4128" i="8"/>
  <c r="T4129" i="8"/>
  <c r="B4129" i="8"/>
  <c r="T4130" i="8"/>
  <c r="B4130" i="8"/>
  <c r="T4131" i="8"/>
  <c r="B4131" i="8"/>
  <c r="T4132" i="8"/>
  <c r="B4132" i="8"/>
  <c r="T4133" i="8"/>
  <c r="B4133" i="8"/>
  <c r="T4134" i="8"/>
  <c r="B4134" i="8"/>
  <c r="T4135" i="8"/>
  <c r="B4135" i="8"/>
  <c r="T4136" i="8"/>
  <c r="B4136" i="8"/>
  <c r="T4137" i="8"/>
  <c r="B4137" i="8"/>
  <c r="T4138" i="8"/>
  <c r="B4138" i="8"/>
  <c r="T4139" i="8"/>
  <c r="B4139" i="8"/>
  <c r="T4140" i="8"/>
  <c r="B4140" i="8"/>
  <c r="T4141" i="8"/>
  <c r="B4141" i="8"/>
  <c r="T4142" i="8"/>
  <c r="B4142" i="8"/>
  <c r="T4143" i="8"/>
  <c r="B4143" i="8"/>
  <c r="T4144" i="8"/>
  <c r="B4144" i="8"/>
  <c r="T4145" i="8"/>
  <c r="B4145" i="8"/>
  <c r="T4146" i="8"/>
  <c r="B4146" i="8"/>
  <c r="T4147" i="8"/>
  <c r="B4147" i="8"/>
  <c r="T4148" i="8"/>
  <c r="B4148" i="8"/>
  <c r="T4149" i="8"/>
  <c r="B4149" i="8"/>
  <c r="T4150" i="8"/>
  <c r="B4150" i="8"/>
  <c r="T4151" i="8"/>
  <c r="B4151" i="8"/>
  <c r="T4152" i="8"/>
  <c r="B4152" i="8"/>
  <c r="T4153" i="8"/>
  <c r="B4153" i="8"/>
  <c r="T4154" i="8"/>
  <c r="B4154" i="8"/>
  <c r="T4155" i="8"/>
  <c r="B4155" i="8"/>
  <c r="T4156" i="8"/>
  <c r="B4156" i="8"/>
  <c r="T4157" i="8"/>
  <c r="B4157" i="8"/>
  <c r="T4158" i="8"/>
  <c r="B4158" i="8"/>
  <c r="T4159" i="8"/>
  <c r="B4159" i="8"/>
  <c r="T4160" i="8"/>
  <c r="B4160" i="8"/>
  <c r="T4161" i="8"/>
  <c r="B4161" i="8"/>
  <c r="T4162" i="8"/>
  <c r="B4162" i="8"/>
  <c r="T4163" i="8"/>
  <c r="B4163" i="8"/>
  <c r="T4164" i="8"/>
  <c r="B4164" i="8"/>
  <c r="T4165" i="8"/>
  <c r="B4165" i="8"/>
  <c r="T4166" i="8"/>
  <c r="B4166" i="8"/>
  <c r="T4167" i="8"/>
  <c r="B4167" i="8"/>
  <c r="T4168" i="8"/>
  <c r="B4168" i="8"/>
  <c r="T4169" i="8"/>
  <c r="B4169" i="8"/>
  <c r="T4170" i="8"/>
  <c r="B4170" i="8"/>
  <c r="T4171" i="8"/>
  <c r="B4171" i="8"/>
  <c r="T4172" i="8"/>
  <c r="B4172" i="8"/>
  <c r="T4173" i="8"/>
  <c r="B4173" i="8"/>
  <c r="T4174" i="8"/>
  <c r="B4174" i="8"/>
  <c r="T4175" i="8"/>
  <c r="B4175" i="8"/>
  <c r="T4176" i="8"/>
  <c r="B4176" i="8"/>
  <c r="T4177" i="8"/>
  <c r="B4177" i="8"/>
  <c r="T4178" i="8"/>
  <c r="B4178" i="8"/>
  <c r="T4179" i="8"/>
  <c r="B4179" i="8"/>
  <c r="T4180" i="8"/>
  <c r="B4180" i="8"/>
  <c r="T4181" i="8"/>
  <c r="B4181" i="8"/>
  <c r="T4182" i="8"/>
  <c r="B4182" i="8"/>
  <c r="T4183" i="8"/>
  <c r="B4183" i="8"/>
  <c r="T4184" i="8"/>
  <c r="B4184" i="8"/>
  <c r="T4185" i="8"/>
  <c r="B4185" i="8"/>
  <c r="T4186" i="8"/>
  <c r="B4186" i="8"/>
  <c r="T4187" i="8"/>
  <c r="B4187" i="8"/>
  <c r="T4188" i="8"/>
  <c r="B4188" i="8"/>
  <c r="T4189" i="8"/>
  <c r="B4189" i="8"/>
  <c r="T4190" i="8"/>
  <c r="B4190" i="8"/>
  <c r="T4191" i="8"/>
  <c r="B4191" i="8"/>
  <c r="T4192" i="8"/>
  <c r="B4192" i="8"/>
  <c r="T4193" i="8"/>
  <c r="B4193" i="8"/>
  <c r="T4194" i="8"/>
  <c r="B4194" i="8"/>
  <c r="T4195" i="8"/>
  <c r="B4195" i="8"/>
  <c r="T4196" i="8"/>
  <c r="B4196" i="8"/>
  <c r="T4197" i="8"/>
  <c r="B4197" i="8"/>
  <c r="T4198" i="8"/>
  <c r="B4198" i="8"/>
  <c r="T4199" i="8"/>
  <c r="B4199" i="8"/>
  <c r="T4200" i="8"/>
  <c r="B4200" i="8"/>
  <c r="T4201" i="8"/>
  <c r="B4201" i="8"/>
  <c r="T4202" i="8"/>
  <c r="B4202" i="8"/>
  <c r="T4203" i="8"/>
  <c r="B4203" i="8"/>
  <c r="T4204" i="8"/>
  <c r="B4204" i="8"/>
  <c r="T4205" i="8"/>
  <c r="B4205" i="8"/>
  <c r="T4206" i="8"/>
  <c r="B4206" i="8"/>
  <c r="T4207" i="8"/>
  <c r="B4207" i="8"/>
  <c r="T4208" i="8"/>
  <c r="B4208" i="8"/>
  <c r="T4209" i="8"/>
  <c r="B4209" i="8"/>
  <c r="T4210" i="8"/>
  <c r="B4210" i="8"/>
  <c r="T4211" i="8"/>
  <c r="B4211" i="8"/>
  <c r="T4212" i="8"/>
  <c r="B4212" i="8"/>
  <c r="T4213" i="8"/>
  <c r="B4213" i="8"/>
  <c r="T4214" i="8"/>
  <c r="B4214" i="8"/>
  <c r="T4215" i="8"/>
  <c r="B4215" i="8"/>
  <c r="T4216" i="8"/>
  <c r="B4216" i="8"/>
  <c r="T4217" i="8"/>
  <c r="B4217" i="8"/>
  <c r="T4218" i="8"/>
  <c r="B4218" i="8"/>
  <c r="T4219" i="8"/>
  <c r="B4219" i="8"/>
  <c r="T4220" i="8"/>
  <c r="B4220" i="8"/>
  <c r="T4221" i="8"/>
  <c r="B4221" i="8"/>
  <c r="T4222" i="8"/>
  <c r="B4222" i="8"/>
  <c r="T4223" i="8"/>
  <c r="B4223" i="8"/>
  <c r="T4224" i="8"/>
  <c r="B4224" i="8"/>
  <c r="T4225" i="8"/>
  <c r="B4225" i="8"/>
  <c r="T4226" i="8"/>
  <c r="B4226" i="8"/>
  <c r="T4227" i="8"/>
  <c r="B4227" i="8"/>
  <c r="T4228" i="8"/>
  <c r="B4228" i="8"/>
  <c r="T4229" i="8"/>
  <c r="B4229" i="8"/>
  <c r="T4230" i="8"/>
  <c r="B4230" i="8"/>
  <c r="T4231" i="8"/>
  <c r="B4231" i="8"/>
  <c r="T4232" i="8"/>
  <c r="B4232" i="8"/>
  <c r="T4233" i="8"/>
  <c r="B4233" i="8"/>
  <c r="T4234" i="8"/>
  <c r="B4234" i="8"/>
  <c r="T4235" i="8"/>
  <c r="B4235" i="8"/>
  <c r="T4236" i="8"/>
  <c r="B4236" i="8"/>
  <c r="T4237" i="8"/>
  <c r="B4237" i="8"/>
  <c r="T4238" i="8"/>
  <c r="B4238" i="8"/>
  <c r="T4239" i="8"/>
  <c r="B4239" i="8"/>
  <c r="T4240" i="8"/>
  <c r="B4240" i="8"/>
  <c r="T4241" i="8"/>
  <c r="B4241" i="8"/>
  <c r="T4242" i="8"/>
  <c r="B4242" i="8"/>
  <c r="T4243" i="8"/>
  <c r="B4243" i="8"/>
  <c r="T4244" i="8"/>
  <c r="B4244" i="8"/>
  <c r="T4245" i="8"/>
  <c r="B4245" i="8"/>
  <c r="T4246" i="8"/>
  <c r="B4246" i="8"/>
  <c r="T4247" i="8"/>
  <c r="B4247" i="8"/>
  <c r="T4248" i="8"/>
  <c r="B4248" i="8"/>
  <c r="T4249" i="8"/>
  <c r="B4249" i="8"/>
  <c r="T4250" i="8"/>
  <c r="B4250" i="8"/>
  <c r="T4251" i="8"/>
  <c r="B4251" i="8"/>
  <c r="T4252" i="8"/>
  <c r="B4252" i="8"/>
  <c r="T4253" i="8"/>
  <c r="B4253" i="8"/>
  <c r="T4254" i="8"/>
  <c r="B4254" i="8"/>
  <c r="T4255" i="8"/>
  <c r="B4255" i="8"/>
  <c r="T4256" i="8"/>
  <c r="B4256" i="8"/>
  <c r="T4257" i="8"/>
  <c r="B4257" i="8"/>
  <c r="T4258" i="8"/>
  <c r="B4258" i="8"/>
  <c r="T4259" i="8"/>
  <c r="B4259" i="8"/>
  <c r="T4260" i="8"/>
  <c r="B4260" i="8"/>
  <c r="T4261" i="8"/>
  <c r="B4261" i="8"/>
  <c r="T4262" i="8"/>
  <c r="B4262" i="8"/>
  <c r="T4263" i="8"/>
  <c r="B4263" i="8"/>
  <c r="T4264" i="8"/>
  <c r="B4264" i="8"/>
  <c r="T4265" i="8"/>
  <c r="B4265" i="8"/>
  <c r="T4266" i="8"/>
  <c r="B4266" i="8"/>
  <c r="T4267" i="8"/>
  <c r="B4267" i="8"/>
  <c r="T4268" i="8"/>
  <c r="B4268" i="8"/>
  <c r="T4269" i="8"/>
  <c r="B4269" i="8"/>
  <c r="T4270" i="8"/>
  <c r="B4270" i="8"/>
  <c r="T4271" i="8"/>
  <c r="B4271" i="8"/>
  <c r="T4272" i="8"/>
  <c r="B4272" i="8"/>
  <c r="T4273" i="8"/>
  <c r="B4273" i="8"/>
  <c r="T4274" i="8"/>
  <c r="B4274" i="8"/>
  <c r="T4275" i="8"/>
  <c r="B4275" i="8"/>
  <c r="T4276" i="8"/>
  <c r="B4276" i="8"/>
  <c r="T4277" i="8"/>
  <c r="B4277" i="8"/>
  <c r="T4278" i="8"/>
  <c r="B4278" i="8"/>
  <c r="T4279" i="8"/>
  <c r="B4279" i="8"/>
  <c r="T4280" i="8"/>
  <c r="B4280" i="8"/>
  <c r="T4281" i="8"/>
  <c r="B4281" i="8"/>
  <c r="T4282" i="8"/>
  <c r="B4282" i="8"/>
  <c r="T4283" i="8"/>
  <c r="B4283" i="8"/>
  <c r="T4284" i="8"/>
  <c r="B4284" i="8"/>
  <c r="T4285" i="8"/>
  <c r="B4285" i="8"/>
  <c r="T4286" i="8"/>
  <c r="B4286" i="8"/>
  <c r="T4287" i="8"/>
  <c r="B4287" i="8"/>
  <c r="T4288" i="8"/>
  <c r="B4288" i="8"/>
  <c r="T4289" i="8"/>
  <c r="B4289" i="8"/>
  <c r="T4290" i="8"/>
  <c r="B4290" i="8"/>
  <c r="T4291" i="8"/>
  <c r="B4291" i="8"/>
  <c r="T4292" i="8"/>
  <c r="B4292" i="8"/>
  <c r="T4293" i="8"/>
  <c r="B4293" i="8"/>
  <c r="T4294" i="8"/>
  <c r="B4294" i="8"/>
  <c r="T4295" i="8"/>
  <c r="B4295" i="8"/>
  <c r="T4296" i="8"/>
  <c r="B4296" i="8"/>
  <c r="T4297" i="8"/>
  <c r="B4297" i="8"/>
  <c r="T4298" i="8"/>
  <c r="B4298" i="8"/>
  <c r="T4299" i="8"/>
  <c r="B4299" i="8"/>
  <c r="T4300" i="8"/>
  <c r="B4300" i="8"/>
  <c r="T4301" i="8"/>
  <c r="B4301" i="8"/>
  <c r="T4302" i="8"/>
  <c r="B4302" i="8"/>
  <c r="T4303" i="8"/>
  <c r="B4303" i="8"/>
  <c r="T4304" i="8"/>
  <c r="B4304" i="8"/>
  <c r="T4305" i="8"/>
  <c r="B4305" i="8"/>
  <c r="T4306" i="8"/>
  <c r="B4306" i="8"/>
  <c r="T4307" i="8"/>
  <c r="B4307" i="8"/>
  <c r="T4308" i="8"/>
  <c r="B4308" i="8"/>
  <c r="T4309" i="8"/>
  <c r="B4309" i="8"/>
  <c r="T4310" i="8"/>
  <c r="B4310" i="8"/>
  <c r="T4311" i="8"/>
  <c r="B4311" i="8"/>
  <c r="T4312" i="8"/>
  <c r="B4312" i="8"/>
  <c r="T4313" i="8"/>
  <c r="B4313" i="8"/>
  <c r="T4314" i="8"/>
  <c r="B4314" i="8"/>
  <c r="T4315" i="8"/>
  <c r="B4315" i="8"/>
  <c r="T4316" i="8"/>
  <c r="B4316" i="8"/>
  <c r="T4317" i="8"/>
  <c r="B4317" i="8"/>
  <c r="T4318" i="8"/>
  <c r="B4318" i="8"/>
  <c r="T4319" i="8"/>
  <c r="B4319" i="8"/>
  <c r="T4320" i="8"/>
  <c r="B4320" i="8"/>
  <c r="T4321" i="8"/>
  <c r="B4321" i="8"/>
  <c r="T4322" i="8"/>
  <c r="B4322" i="8"/>
  <c r="T4323" i="8"/>
  <c r="B4323" i="8"/>
  <c r="T4324" i="8"/>
  <c r="B4324" i="8"/>
  <c r="T4325" i="8"/>
  <c r="B4325" i="8"/>
  <c r="T4326" i="8"/>
  <c r="B4326" i="8"/>
  <c r="T4327" i="8"/>
  <c r="B4327" i="8"/>
  <c r="T4328" i="8"/>
  <c r="B4328" i="8"/>
  <c r="T4329" i="8"/>
  <c r="B4329" i="8"/>
  <c r="T4330" i="8"/>
  <c r="B4330" i="8"/>
  <c r="T4331" i="8"/>
  <c r="B4331" i="8"/>
  <c r="T4332" i="8"/>
  <c r="B4332" i="8"/>
  <c r="T4333" i="8"/>
  <c r="B4333" i="8"/>
  <c r="T4334" i="8"/>
  <c r="B4334" i="8"/>
  <c r="T4335" i="8"/>
  <c r="B4335" i="8"/>
  <c r="T4336" i="8"/>
  <c r="B4336" i="8"/>
  <c r="T4337" i="8"/>
  <c r="B4337" i="8"/>
  <c r="T4338" i="8"/>
  <c r="B4338" i="8"/>
  <c r="T4339" i="8"/>
  <c r="B4339" i="8"/>
  <c r="T4340" i="8"/>
  <c r="B4340" i="8"/>
  <c r="T4341" i="8"/>
  <c r="B4341" i="8"/>
  <c r="T4342" i="8"/>
  <c r="B4342" i="8"/>
  <c r="T4343" i="8"/>
  <c r="B4343" i="8"/>
  <c r="T4344" i="8"/>
  <c r="B4344" i="8"/>
  <c r="T4345" i="8"/>
  <c r="B4345" i="8"/>
  <c r="T4346" i="8"/>
  <c r="B4346" i="8"/>
  <c r="T4347" i="8"/>
  <c r="B4347" i="8"/>
  <c r="T4348" i="8"/>
  <c r="B4348" i="8"/>
  <c r="T4349" i="8"/>
  <c r="B4349" i="8"/>
  <c r="T4350" i="8"/>
  <c r="B4350" i="8"/>
  <c r="T4351" i="8"/>
  <c r="B4351" i="8"/>
  <c r="T4352" i="8"/>
  <c r="B4352" i="8"/>
  <c r="T4353" i="8"/>
  <c r="B4353" i="8"/>
  <c r="T4354" i="8"/>
  <c r="B4354" i="8"/>
  <c r="T4355" i="8"/>
  <c r="B4355" i="8"/>
  <c r="T4356" i="8"/>
  <c r="B4356" i="8"/>
  <c r="T4357" i="8"/>
  <c r="B4357" i="8"/>
  <c r="T4358" i="8"/>
  <c r="B4358" i="8"/>
  <c r="T4359" i="8"/>
  <c r="B4359" i="8"/>
  <c r="T4360" i="8"/>
  <c r="B4360" i="8"/>
  <c r="T4361" i="8"/>
  <c r="B4361" i="8"/>
  <c r="T4362" i="8"/>
  <c r="B4362" i="8"/>
  <c r="T4363" i="8"/>
  <c r="B4363" i="8"/>
  <c r="T4364" i="8"/>
  <c r="B4364" i="8"/>
  <c r="T4365" i="8"/>
  <c r="B4365" i="8"/>
  <c r="T4366" i="8"/>
  <c r="B4366" i="8"/>
  <c r="T4367" i="8"/>
  <c r="B4367" i="8"/>
  <c r="T4368" i="8"/>
  <c r="B4368" i="8"/>
  <c r="T4369" i="8"/>
  <c r="B4369" i="8"/>
  <c r="T4370" i="8"/>
  <c r="B4370" i="8"/>
  <c r="T4371" i="8"/>
  <c r="B4371" i="8"/>
  <c r="T4372" i="8"/>
  <c r="B4372" i="8"/>
  <c r="T4373" i="8"/>
  <c r="B4373" i="8"/>
  <c r="T4374" i="8"/>
  <c r="B4374" i="8"/>
  <c r="T4375" i="8"/>
  <c r="B4375" i="8"/>
  <c r="T4376" i="8"/>
  <c r="B4376" i="8"/>
  <c r="T4377" i="8"/>
  <c r="B4377" i="8"/>
  <c r="T4378" i="8"/>
  <c r="B4378" i="8"/>
  <c r="T4379" i="8"/>
  <c r="B4379" i="8"/>
  <c r="T4380" i="8"/>
  <c r="B4380" i="8"/>
  <c r="T4381" i="8"/>
  <c r="B4381" i="8"/>
  <c r="T4382" i="8"/>
  <c r="B4382" i="8"/>
  <c r="T4383" i="8"/>
  <c r="B4383" i="8"/>
  <c r="T4384" i="8"/>
  <c r="B4384" i="8"/>
  <c r="T4385" i="8"/>
  <c r="B4385" i="8"/>
  <c r="T4386" i="8"/>
  <c r="B4386" i="8"/>
  <c r="T4387" i="8"/>
  <c r="B4387" i="8"/>
  <c r="T4388" i="8"/>
  <c r="B4388" i="8"/>
  <c r="T4389" i="8"/>
  <c r="B4389" i="8"/>
  <c r="T4390" i="8"/>
  <c r="B4390" i="8"/>
  <c r="T4391" i="8"/>
  <c r="B4391" i="8"/>
  <c r="T4392" i="8"/>
  <c r="B4392" i="8"/>
  <c r="T4393" i="8"/>
  <c r="B4393" i="8"/>
  <c r="T4394" i="8"/>
  <c r="B4394" i="8"/>
  <c r="T4395" i="8"/>
  <c r="B4395" i="8"/>
  <c r="T4396" i="8"/>
  <c r="B4396" i="8"/>
  <c r="T4397" i="8"/>
  <c r="B4397" i="8"/>
  <c r="T4398" i="8"/>
  <c r="B4398" i="8"/>
  <c r="T4399" i="8"/>
  <c r="B4399" i="8"/>
  <c r="T4400" i="8"/>
  <c r="B4400" i="8"/>
  <c r="T4401" i="8"/>
  <c r="B4401" i="8"/>
  <c r="T4402" i="8"/>
  <c r="B4402" i="8"/>
  <c r="T4403" i="8"/>
  <c r="B4403" i="8"/>
  <c r="T4404" i="8"/>
  <c r="B4404" i="8"/>
  <c r="T4405" i="8"/>
  <c r="B4405" i="8"/>
  <c r="T4406" i="8"/>
  <c r="B4406" i="8"/>
  <c r="T4407" i="8"/>
  <c r="B4407" i="8"/>
  <c r="T4408" i="8"/>
  <c r="B4408" i="8"/>
  <c r="T4409" i="8"/>
  <c r="B4409" i="8"/>
  <c r="T4410" i="8"/>
  <c r="B4410" i="8"/>
  <c r="T4411" i="8"/>
  <c r="B4411" i="8"/>
  <c r="T4412" i="8"/>
  <c r="B4412" i="8"/>
  <c r="T4413" i="8"/>
  <c r="B4413" i="8"/>
  <c r="T4414" i="8"/>
  <c r="B4414" i="8"/>
  <c r="T4415" i="8"/>
  <c r="B4415" i="8"/>
  <c r="T4416" i="8"/>
  <c r="B4416" i="8"/>
  <c r="T4417" i="8"/>
  <c r="B4417" i="8"/>
  <c r="T4418" i="8"/>
  <c r="B4418" i="8"/>
  <c r="T4419" i="8"/>
  <c r="B4419" i="8"/>
  <c r="T4420" i="8"/>
  <c r="B4420" i="8"/>
  <c r="T4421" i="8"/>
  <c r="B4421" i="8"/>
  <c r="T4422" i="8"/>
  <c r="B4422" i="8"/>
  <c r="T4423" i="8"/>
  <c r="B4423" i="8"/>
  <c r="T4424" i="8"/>
  <c r="B4424" i="8"/>
  <c r="T4425" i="8"/>
  <c r="B4425" i="8"/>
  <c r="T4426" i="8"/>
  <c r="B4426" i="8"/>
  <c r="T4427" i="8"/>
  <c r="B4427" i="8"/>
  <c r="T4428" i="8"/>
  <c r="B4428" i="8"/>
  <c r="T4429" i="8"/>
  <c r="B4429" i="8"/>
  <c r="T4430" i="8"/>
  <c r="B4430" i="8"/>
  <c r="T4431" i="8"/>
  <c r="B4431" i="8"/>
  <c r="T4432" i="8"/>
  <c r="B4432" i="8"/>
  <c r="T4433" i="8"/>
  <c r="B4433" i="8"/>
  <c r="T4434" i="8"/>
  <c r="B4434" i="8"/>
  <c r="T4435" i="8"/>
  <c r="B4435" i="8"/>
  <c r="T4436" i="8"/>
  <c r="B4436" i="8"/>
  <c r="T4437" i="8"/>
  <c r="B4437" i="8"/>
  <c r="T4438" i="8"/>
  <c r="B4438" i="8"/>
  <c r="T4439" i="8"/>
  <c r="B4439" i="8"/>
  <c r="T4440" i="8"/>
  <c r="B4440" i="8"/>
  <c r="T4441" i="8"/>
  <c r="B4441" i="8"/>
  <c r="T4442" i="8"/>
  <c r="B4442" i="8"/>
  <c r="T4443" i="8"/>
  <c r="B4443" i="8"/>
  <c r="T4444" i="8"/>
  <c r="B4444" i="8"/>
  <c r="T4445" i="8"/>
  <c r="B4445" i="8"/>
  <c r="T4446" i="8"/>
  <c r="B4446" i="8"/>
  <c r="T4447" i="8"/>
  <c r="B4447" i="8"/>
  <c r="T4448" i="8"/>
  <c r="B4448" i="8"/>
  <c r="T4449" i="8"/>
  <c r="B4449" i="8"/>
  <c r="T4450" i="8"/>
  <c r="B4450" i="8"/>
  <c r="T4451" i="8"/>
  <c r="B4451" i="8"/>
  <c r="T4452" i="8"/>
  <c r="B4452" i="8"/>
  <c r="T4453" i="8"/>
  <c r="B4453" i="8"/>
  <c r="T4454" i="8"/>
  <c r="B4454" i="8"/>
  <c r="T4455" i="8"/>
  <c r="B4455" i="8"/>
  <c r="T4456" i="8"/>
  <c r="B4456" i="8"/>
  <c r="T4457" i="8"/>
  <c r="B4457" i="8"/>
  <c r="T4458" i="8"/>
  <c r="B4458" i="8"/>
  <c r="T4459" i="8"/>
  <c r="B4459" i="8"/>
  <c r="T4460" i="8"/>
  <c r="B4460" i="8"/>
  <c r="T4461" i="8"/>
  <c r="B4461" i="8"/>
  <c r="T4462" i="8"/>
  <c r="B4462" i="8"/>
  <c r="T4463" i="8"/>
  <c r="B4463" i="8"/>
  <c r="T4464" i="8"/>
  <c r="B4464" i="8"/>
  <c r="T4465" i="8"/>
  <c r="B4465" i="8"/>
  <c r="T4466" i="8"/>
  <c r="B4466" i="8"/>
  <c r="T4467" i="8"/>
  <c r="B4467" i="8"/>
  <c r="T4468" i="8"/>
  <c r="B4468" i="8"/>
  <c r="T4469" i="8"/>
  <c r="B4469" i="8"/>
  <c r="T4470" i="8"/>
  <c r="B4470" i="8"/>
  <c r="T4471" i="8"/>
  <c r="B4471" i="8"/>
  <c r="T4472" i="8"/>
  <c r="B4472" i="8"/>
  <c r="T4473" i="8"/>
  <c r="B4473" i="8"/>
  <c r="T4474" i="8"/>
  <c r="B4474" i="8"/>
  <c r="T4475" i="8"/>
  <c r="B4475" i="8"/>
  <c r="T4476" i="8"/>
  <c r="B4476" i="8"/>
  <c r="T4477" i="8"/>
  <c r="B4477" i="8"/>
  <c r="T4478" i="8"/>
  <c r="B4478" i="8"/>
  <c r="T4479" i="8"/>
  <c r="B4479" i="8"/>
  <c r="T4480" i="8"/>
  <c r="B4480" i="8"/>
  <c r="T4481" i="8"/>
  <c r="B4481" i="8"/>
  <c r="T4482" i="8"/>
  <c r="B4482" i="8"/>
  <c r="T4483" i="8"/>
  <c r="B4483" i="8"/>
  <c r="T4484" i="8"/>
  <c r="B4484" i="8"/>
  <c r="T4485" i="8"/>
  <c r="B4485" i="8"/>
  <c r="T4486" i="8"/>
  <c r="B4486" i="8"/>
  <c r="T4487" i="8"/>
  <c r="B4487" i="8"/>
  <c r="T4488" i="8"/>
  <c r="B4488" i="8"/>
  <c r="T4489" i="8"/>
  <c r="B4489" i="8"/>
  <c r="T4490" i="8"/>
  <c r="B4490" i="8"/>
  <c r="T4491" i="8"/>
  <c r="B4491" i="8"/>
  <c r="T4492" i="8"/>
  <c r="B4492" i="8"/>
  <c r="T4493" i="8"/>
  <c r="B4493" i="8"/>
  <c r="T4494" i="8"/>
  <c r="B4494" i="8"/>
  <c r="T4495" i="8"/>
  <c r="B4495" i="8"/>
  <c r="T4496" i="8"/>
  <c r="B4496" i="8"/>
  <c r="T4497" i="8"/>
  <c r="B4497" i="8"/>
  <c r="T4498" i="8"/>
  <c r="B4498" i="8"/>
  <c r="T4499" i="8"/>
  <c r="B4499" i="8"/>
  <c r="T4500" i="8"/>
  <c r="B4500" i="8"/>
  <c r="T4501" i="8"/>
  <c r="B4501" i="8"/>
  <c r="T4502" i="8"/>
  <c r="B4502" i="8"/>
  <c r="T4503" i="8"/>
  <c r="B4503" i="8"/>
  <c r="T4504" i="8"/>
  <c r="B4504" i="8"/>
  <c r="T4505" i="8"/>
  <c r="B4505" i="8"/>
  <c r="T4506" i="8"/>
  <c r="B4506" i="8"/>
  <c r="T4507" i="8"/>
  <c r="B4507" i="8"/>
  <c r="T4508" i="8"/>
  <c r="B4508" i="8"/>
  <c r="T4509" i="8"/>
  <c r="B4509" i="8"/>
  <c r="T4510" i="8"/>
  <c r="B4510" i="8"/>
  <c r="T4511" i="8"/>
  <c r="B4511" i="8"/>
  <c r="T4512" i="8"/>
  <c r="B4512" i="8"/>
  <c r="T4513" i="8"/>
  <c r="B4513" i="8"/>
  <c r="T4514" i="8"/>
  <c r="B4514" i="8"/>
  <c r="T4515" i="8"/>
  <c r="B4515" i="8"/>
  <c r="T4516" i="8"/>
  <c r="B4516" i="8"/>
  <c r="T4517" i="8"/>
  <c r="B4517" i="8"/>
  <c r="T4518" i="8"/>
  <c r="B4518" i="8"/>
  <c r="T4519" i="8"/>
  <c r="B4519" i="8"/>
  <c r="T4520" i="8"/>
  <c r="B4520" i="8"/>
  <c r="T4521" i="8"/>
  <c r="B4521" i="8"/>
  <c r="T4522" i="8"/>
  <c r="B4522" i="8"/>
  <c r="T4523" i="8"/>
  <c r="B4523" i="8"/>
  <c r="T4524" i="8"/>
  <c r="B4524" i="8"/>
  <c r="T4525" i="8"/>
  <c r="B4525" i="8"/>
  <c r="T4526" i="8"/>
  <c r="B4526" i="8"/>
  <c r="T4527" i="8"/>
  <c r="B4527" i="8"/>
  <c r="T4528" i="8"/>
  <c r="B4528" i="8"/>
  <c r="T4529" i="8"/>
  <c r="B4529" i="8"/>
  <c r="T4530" i="8"/>
  <c r="B4530" i="8"/>
  <c r="T4531" i="8"/>
  <c r="B4531" i="8"/>
  <c r="T4532" i="8"/>
  <c r="B4532" i="8"/>
  <c r="T4533" i="8"/>
  <c r="B4533" i="8"/>
  <c r="T4534" i="8"/>
  <c r="B4534" i="8"/>
  <c r="T4535" i="8"/>
  <c r="B4535" i="8"/>
  <c r="T4536" i="8"/>
  <c r="B4536" i="8"/>
  <c r="T4537" i="8"/>
  <c r="B4537" i="8"/>
  <c r="T4538" i="8"/>
  <c r="B4538" i="8"/>
  <c r="T4539" i="8"/>
  <c r="B4539" i="8"/>
  <c r="T4540" i="8"/>
  <c r="B4540" i="8"/>
  <c r="T4541" i="8"/>
  <c r="B4541" i="8"/>
  <c r="T4542" i="8"/>
  <c r="B4542" i="8"/>
  <c r="T4543" i="8"/>
  <c r="B4543" i="8"/>
  <c r="T4544" i="8"/>
  <c r="B4544" i="8"/>
  <c r="T4545" i="8"/>
  <c r="B4545" i="8"/>
  <c r="T4546" i="8"/>
  <c r="B4546" i="8"/>
  <c r="T4547" i="8"/>
  <c r="B4547" i="8"/>
  <c r="T4548" i="8"/>
  <c r="B4548" i="8"/>
  <c r="T4549" i="8"/>
  <c r="B4549" i="8"/>
  <c r="T4550" i="8"/>
  <c r="B4550" i="8"/>
  <c r="T4551" i="8"/>
  <c r="B4551" i="8"/>
  <c r="T4552" i="8"/>
  <c r="B4552" i="8"/>
  <c r="T4553" i="8"/>
  <c r="B4553" i="8"/>
  <c r="T4554" i="8"/>
  <c r="B4554" i="8"/>
  <c r="T4555" i="8"/>
  <c r="B4555" i="8"/>
  <c r="T4556" i="8"/>
  <c r="B4556" i="8"/>
  <c r="T4557" i="8"/>
  <c r="B4557" i="8"/>
  <c r="T4558" i="8"/>
  <c r="B4558" i="8"/>
  <c r="T4559" i="8"/>
  <c r="B4559" i="8"/>
  <c r="T4560" i="8"/>
  <c r="B4560" i="8"/>
  <c r="T4561" i="8"/>
  <c r="B4561" i="8"/>
  <c r="T4562" i="8"/>
  <c r="B4562" i="8"/>
  <c r="T4563" i="8"/>
  <c r="B4563" i="8"/>
  <c r="T4564" i="8"/>
  <c r="B4564" i="8"/>
  <c r="T4565" i="8"/>
  <c r="B4565" i="8"/>
  <c r="T4566" i="8"/>
  <c r="B4566" i="8"/>
  <c r="T4567" i="8"/>
  <c r="B4567" i="8"/>
  <c r="T4568" i="8"/>
  <c r="B4568" i="8"/>
  <c r="T4569" i="8"/>
  <c r="B4569" i="8"/>
  <c r="T4570" i="8"/>
  <c r="B4570" i="8"/>
  <c r="T4571" i="8"/>
  <c r="B4571" i="8"/>
  <c r="T4572" i="8"/>
  <c r="B4572" i="8"/>
  <c r="T4573" i="8"/>
  <c r="B4573" i="8"/>
  <c r="T4574" i="8"/>
  <c r="B4574" i="8"/>
  <c r="T4575" i="8"/>
  <c r="B4575" i="8"/>
  <c r="T4576" i="8"/>
  <c r="B4576" i="8"/>
  <c r="T4577" i="8"/>
  <c r="B4577" i="8"/>
  <c r="T4578" i="8"/>
  <c r="B4578" i="8"/>
  <c r="T4579" i="8"/>
  <c r="B4579" i="8"/>
  <c r="T4580" i="8"/>
  <c r="B4580" i="8"/>
  <c r="T4581" i="8"/>
  <c r="B4581" i="8"/>
  <c r="T4582" i="8"/>
  <c r="B4582" i="8"/>
  <c r="T4583" i="8"/>
  <c r="B4583" i="8"/>
  <c r="T4584" i="8"/>
  <c r="B4584" i="8"/>
  <c r="T4585" i="8"/>
  <c r="B4585" i="8"/>
  <c r="T4586" i="8"/>
  <c r="B4586" i="8"/>
  <c r="T4587" i="8"/>
  <c r="B4587" i="8"/>
  <c r="T4588" i="8"/>
  <c r="B4588" i="8"/>
  <c r="T4589" i="8"/>
  <c r="B4589" i="8"/>
  <c r="T4590" i="8"/>
  <c r="B4590" i="8"/>
  <c r="T4591" i="8"/>
  <c r="B4591" i="8"/>
  <c r="T4592" i="8"/>
  <c r="B4592" i="8"/>
  <c r="T4593" i="8"/>
  <c r="B4593" i="8"/>
  <c r="T4594" i="8"/>
  <c r="B4594" i="8"/>
  <c r="T4595" i="8"/>
  <c r="B4595" i="8"/>
  <c r="T4596" i="8"/>
  <c r="B4596" i="8"/>
  <c r="T4597" i="8"/>
  <c r="B4597" i="8"/>
  <c r="T4598" i="8"/>
  <c r="B4598" i="8"/>
  <c r="T4599" i="8"/>
  <c r="B4599" i="8"/>
  <c r="T4600" i="8"/>
  <c r="B4600" i="8"/>
  <c r="T4601" i="8"/>
  <c r="B4601" i="8"/>
  <c r="T4602" i="8"/>
  <c r="B4602" i="8"/>
  <c r="T4603" i="8"/>
  <c r="B4603" i="8"/>
  <c r="T4604" i="8"/>
  <c r="B4604" i="8"/>
  <c r="T4605" i="8"/>
  <c r="B4605" i="8"/>
  <c r="T4606" i="8"/>
  <c r="B4606" i="8"/>
  <c r="T4607" i="8"/>
  <c r="B4607" i="8"/>
  <c r="T4608" i="8"/>
  <c r="B4608" i="8"/>
  <c r="T4609" i="8"/>
  <c r="B4609" i="8"/>
  <c r="T4610" i="8"/>
  <c r="B4610" i="8"/>
  <c r="T4611" i="8"/>
  <c r="B4611" i="8"/>
  <c r="T4612" i="8"/>
  <c r="B4612" i="8"/>
  <c r="T4613" i="8"/>
  <c r="B4613" i="8"/>
  <c r="T4614" i="8"/>
  <c r="B4614" i="8"/>
  <c r="T4615" i="8"/>
  <c r="B4615" i="8"/>
  <c r="T4616" i="8"/>
  <c r="B4616" i="8"/>
  <c r="T4617" i="8"/>
  <c r="B4617" i="8"/>
  <c r="T4618" i="8"/>
  <c r="B4618" i="8"/>
  <c r="T4619" i="8"/>
  <c r="B4619" i="8"/>
  <c r="T4620" i="8"/>
  <c r="B4620" i="8"/>
  <c r="T4621" i="8"/>
  <c r="B4621" i="8"/>
  <c r="T4622" i="8"/>
  <c r="B4622" i="8"/>
  <c r="T4623" i="8"/>
  <c r="B4623" i="8"/>
  <c r="T4624" i="8"/>
  <c r="B4624" i="8"/>
  <c r="T4625" i="8"/>
  <c r="B4625" i="8"/>
  <c r="T4626" i="8"/>
  <c r="B4626" i="8"/>
  <c r="T4627" i="8"/>
  <c r="B4627" i="8"/>
  <c r="T4628" i="8"/>
  <c r="B4628" i="8"/>
  <c r="T4629" i="8"/>
  <c r="B4629" i="8"/>
  <c r="T4630" i="8"/>
  <c r="B4630" i="8"/>
  <c r="T4631" i="8"/>
  <c r="B4631" i="8"/>
  <c r="T4632" i="8"/>
  <c r="B4632" i="8"/>
  <c r="T4633" i="8"/>
  <c r="B4633" i="8"/>
  <c r="T4634" i="8"/>
  <c r="B4634" i="8"/>
  <c r="T4635" i="8"/>
  <c r="B4635" i="8"/>
  <c r="T4636" i="8"/>
  <c r="B4636" i="8"/>
  <c r="T4637" i="8"/>
  <c r="B4637" i="8"/>
  <c r="T4638" i="8"/>
  <c r="B4638" i="8"/>
  <c r="T4639" i="8"/>
  <c r="B4639" i="8"/>
  <c r="T4640" i="8"/>
  <c r="B4640" i="8"/>
  <c r="T4641" i="8"/>
  <c r="B4641" i="8"/>
  <c r="T4642" i="8"/>
  <c r="B4642" i="8"/>
  <c r="T4643" i="8"/>
  <c r="B4643" i="8"/>
  <c r="T4644" i="8"/>
  <c r="B4644" i="8"/>
  <c r="T4645" i="8"/>
  <c r="B4645" i="8"/>
  <c r="T4646" i="8"/>
  <c r="B4646" i="8"/>
  <c r="T4647" i="8"/>
  <c r="B4647" i="8"/>
  <c r="T4648" i="8"/>
  <c r="B4648" i="8"/>
  <c r="T4649" i="8"/>
  <c r="B4649" i="8"/>
  <c r="T4650" i="8"/>
  <c r="B4650" i="8"/>
  <c r="T4651" i="8"/>
  <c r="B4651" i="8"/>
  <c r="T4652" i="8"/>
  <c r="B4652" i="8"/>
  <c r="T4653" i="8"/>
  <c r="B4653" i="8"/>
  <c r="T4654" i="8"/>
  <c r="B4654" i="8"/>
  <c r="T4655" i="8"/>
  <c r="B4655" i="8"/>
  <c r="T4656" i="8"/>
  <c r="B4656" i="8"/>
  <c r="T4657" i="8"/>
  <c r="B4657" i="8"/>
  <c r="T4658" i="8"/>
  <c r="B4658" i="8"/>
  <c r="T4659" i="8"/>
  <c r="B4659" i="8"/>
  <c r="T4660" i="8"/>
  <c r="B4660" i="8"/>
  <c r="T4661" i="8"/>
  <c r="B4661" i="8"/>
  <c r="T4662" i="8"/>
  <c r="B4662" i="8"/>
  <c r="T4663" i="8"/>
  <c r="B4663" i="8"/>
  <c r="T4664" i="8"/>
  <c r="B4664" i="8"/>
  <c r="T4665" i="8"/>
  <c r="B4665" i="8"/>
  <c r="T4666" i="8"/>
  <c r="B4666" i="8"/>
  <c r="T4667" i="8"/>
  <c r="B4667" i="8"/>
  <c r="T4668" i="8"/>
  <c r="B4668" i="8"/>
  <c r="T4669" i="8"/>
  <c r="B4669" i="8"/>
  <c r="T4670" i="8"/>
  <c r="B4670" i="8"/>
  <c r="T4671" i="8"/>
  <c r="B4671" i="8"/>
  <c r="T4672" i="8"/>
  <c r="B4672" i="8"/>
  <c r="T4673" i="8"/>
  <c r="B4673" i="8"/>
  <c r="T4674" i="8"/>
  <c r="B4674" i="8"/>
  <c r="T4675" i="8"/>
  <c r="B4675" i="8"/>
  <c r="T4676" i="8"/>
  <c r="B4676" i="8"/>
  <c r="T4677" i="8"/>
  <c r="B4677" i="8"/>
  <c r="T4678" i="8"/>
  <c r="B4678" i="8"/>
  <c r="T4679" i="8"/>
  <c r="B4679" i="8"/>
  <c r="T4680" i="8"/>
  <c r="B4680" i="8"/>
  <c r="T4681" i="8"/>
  <c r="B4681" i="8"/>
  <c r="T4682" i="8"/>
  <c r="B4682" i="8"/>
  <c r="T4683" i="8"/>
  <c r="B4683" i="8"/>
  <c r="T4684" i="8"/>
  <c r="B4684" i="8"/>
  <c r="T4685" i="8"/>
  <c r="B4685" i="8"/>
  <c r="T4686" i="8"/>
  <c r="B4686" i="8"/>
  <c r="T4687" i="8"/>
  <c r="B4687" i="8"/>
  <c r="T4688" i="8"/>
  <c r="B4688" i="8"/>
  <c r="T4689" i="8"/>
  <c r="B4689" i="8"/>
  <c r="T4690" i="8"/>
  <c r="B4690" i="8"/>
  <c r="T4691" i="8"/>
  <c r="B4691" i="8"/>
  <c r="T4692" i="8"/>
  <c r="B4692" i="8"/>
  <c r="T4693" i="8"/>
  <c r="B4693" i="8"/>
  <c r="T4694" i="8"/>
  <c r="B4694" i="8"/>
  <c r="T4695" i="8"/>
  <c r="B4695" i="8"/>
  <c r="T4696" i="8"/>
  <c r="B4696" i="8"/>
  <c r="T4697" i="8"/>
  <c r="B4697" i="8"/>
  <c r="T4698" i="8"/>
  <c r="B4698" i="8"/>
  <c r="T4699" i="8"/>
  <c r="B4699" i="8"/>
  <c r="T4700" i="8"/>
  <c r="B4700" i="8"/>
  <c r="T4701" i="8"/>
  <c r="B4701" i="8"/>
  <c r="T4702" i="8"/>
  <c r="B4702" i="8"/>
  <c r="T4703" i="8"/>
  <c r="B4703" i="8"/>
  <c r="T4704" i="8"/>
  <c r="B4704" i="8"/>
  <c r="T4705" i="8"/>
  <c r="B4705" i="8"/>
  <c r="T4706" i="8"/>
  <c r="B4706" i="8"/>
  <c r="T4707" i="8"/>
  <c r="B4707" i="8"/>
  <c r="T4708" i="8"/>
  <c r="B4708" i="8"/>
  <c r="T4709" i="8"/>
  <c r="B4709" i="8"/>
  <c r="T4710" i="8"/>
  <c r="B4710" i="8"/>
  <c r="T4711" i="8"/>
  <c r="B4711" i="8"/>
  <c r="T4712" i="8"/>
  <c r="B4712" i="8"/>
  <c r="T4713" i="8"/>
  <c r="B4713" i="8"/>
  <c r="T4714" i="8"/>
  <c r="B4714" i="8"/>
  <c r="T4715" i="8"/>
  <c r="B4715" i="8"/>
  <c r="T4716" i="8"/>
  <c r="B4716" i="8"/>
  <c r="T4717" i="8"/>
  <c r="B4717" i="8"/>
  <c r="T4718" i="8"/>
  <c r="B4718" i="8"/>
  <c r="T4719" i="8"/>
  <c r="B4719" i="8"/>
  <c r="T4720" i="8"/>
  <c r="B4720" i="8"/>
  <c r="T4721" i="8"/>
  <c r="B4721" i="8"/>
  <c r="T4722" i="8"/>
  <c r="B4722" i="8"/>
  <c r="T4723" i="8"/>
  <c r="B4723" i="8"/>
  <c r="T4724" i="8"/>
  <c r="B4724" i="8"/>
  <c r="T4725" i="8"/>
  <c r="B4725" i="8"/>
  <c r="T4726" i="8"/>
  <c r="B4726" i="8"/>
  <c r="T4727" i="8"/>
  <c r="B4727" i="8"/>
  <c r="T4728" i="8"/>
  <c r="B4728" i="8"/>
  <c r="T4729" i="8"/>
  <c r="B4729" i="8"/>
  <c r="T4730" i="8"/>
  <c r="B4730" i="8"/>
  <c r="T4731" i="8"/>
  <c r="B4731" i="8"/>
  <c r="T4732" i="8"/>
  <c r="B4732" i="8"/>
  <c r="T4733" i="8"/>
  <c r="B4733" i="8"/>
  <c r="T4734" i="8"/>
  <c r="B4734" i="8"/>
  <c r="T4735" i="8"/>
  <c r="B4735" i="8"/>
  <c r="T4736" i="8"/>
  <c r="B4736" i="8"/>
  <c r="T4737" i="8"/>
  <c r="B4737" i="8"/>
  <c r="T4738" i="8"/>
  <c r="B4738" i="8"/>
  <c r="T4739" i="8"/>
  <c r="B4739" i="8"/>
  <c r="T4740" i="8"/>
  <c r="B4740" i="8"/>
  <c r="T4741" i="8"/>
  <c r="B4741" i="8"/>
  <c r="T4742" i="8"/>
  <c r="B4742" i="8"/>
  <c r="T4743" i="8"/>
  <c r="B4743" i="8"/>
  <c r="T4744" i="8"/>
  <c r="B4744" i="8"/>
  <c r="T4745" i="8"/>
  <c r="B4745" i="8"/>
  <c r="T4746" i="8"/>
  <c r="B4746" i="8"/>
  <c r="T4747" i="8"/>
  <c r="B4747" i="8"/>
  <c r="T4748" i="8"/>
  <c r="B4748" i="8"/>
  <c r="T4749" i="8"/>
  <c r="B4749" i="8"/>
  <c r="T4750" i="8"/>
  <c r="B4750" i="8"/>
  <c r="T4751" i="8"/>
  <c r="B4751" i="8"/>
  <c r="T4752" i="8"/>
  <c r="B4752" i="8"/>
  <c r="T4753" i="8"/>
  <c r="B4753" i="8"/>
  <c r="T4754" i="8"/>
  <c r="B4754" i="8"/>
  <c r="T4755" i="8"/>
  <c r="B4755" i="8"/>
  <c r="T4756" i="8"/>
  <c r="B4756" i="8"/>
  <c r="T4757" i="8"/>
  <c r="B4757" i="8"/>
  <c r="T4758" i="8"/>
  <c r="B4758" i="8"/>
  <c r="T4759" i="8"/>
  <c r="B4759" i="8"/>
  <c r="T4760" i="8"/>
  <c r="B4760" i="8"/>
  <c r="T4761" i="8"/>
  <c r="B4761" i="8"/>
  <c r="T4762" i="8"/>
  <c r="B4762" i="8"/>
  <c r="T4763" i="8"/>
  <c r="B4763" i="8"/>
  <c r="T4764" i="8"/>
  <c r="B4764" i="8"/>
  <c r="T4765" i="8"/>
  <c r="B4765" i="8"/>
  <c r="T4766" i="8"/>
  <c r="B4766" i="8"/>
  <c r="T4767" i="8"/>
  <c r="B4767" i="8"/>
  <c r="T4768" i="8"/>
  <c r="B4768" i="8"/>
  <c r="T4769" i="8"/>
  <c r="B4769" i="8"/>
  <c r="T4770" i="8"/>
  <c r="B4770" i="8"/>
  <c r="T4771" i="8"/>
  <c r="B4771" i="8"/>
  <c r="T4772" i="8"/>
  <c r="B4772" i="8"/>
  <c r="T4773" i="8"/>
  <c r="B4773" i="8"/>
  <c r="T4774" i="8"/>
  <c r="B4774" i="8"/>
  <c r="T4775" i="8"/>
  <c r="B4775" i="8"/>
  <c r="T4776" i="8"/>
  <c r="B4776" i="8"/>
  <c r="T4777" i="8"/>
  <c r="B4777" i="8"/>
  <c r="T4778" i="8"/>
  <c r="B4778" i="8"/>
  <c r="T4779" i="8"/>
  <c r="B4779" i="8"/>
  <c r="T4780" i="8"/>
  <c r="B4780" i="8"/>
  <c r="T4781" i="8"/>
  <c r="B4781" i="8"/>
  <c r="T4782" i="8"/>
  <c r="B4782" i="8"/>
  <c r="T4783" i="8"/>
  <c r="B4783" i="8"/>
  <c r="T4784" i="8"/>
  <c r="B4784" i="8"/>
  <c r="T4785" i="8"/>
  <c r="B4785" i="8"/>
  <c r="T4786" i="8"/>
  <c r="B4786" i="8"/>
  <c r="T4787" i="8"/>
  <c r="B4787" i="8"/>
  <c r="T4788" i="8"/>
  <c r="B4788" i="8"/>
  <c r="T4789" i="8"/>
  <c r="B4789" i="8"/>
  <c r="T4790" i="8"/>
  <c r="B4790" i="8"/>
  <c r="T4791" i="8"/>
  <c r="B4791" i="8"/>
  <c r="T4792" i="8"/>
  <c r="B4792" i="8"/>
  <c r="T4793" i="8"/>
  <c r="B4793" i="8"/>
  <c r="T4794" i="8"/>
  <c r="B4794" i="8"/>
  <c r="T4795" i="8"/>
  <c r="B4795" i="8"/>
  <c r="T4796" i="8"/>
  <c r="B4796" i="8"/>
  <c r="T4797" i="8"/>
  <c r="B4797" i="8"/>
  <c r="T4798" i="8"/>
  <c r="B4798" i="8"/>
  <c r="T4799" i="8"/>
  <c r="B4799" i="8"/>
  <c r="T4800" i="8"/>
  <c r="B4800" i="8"/>
  <c r="T4801" i="8"/>
  <c r="B4801" i="8"/>
  <c r="T4802" i="8"/>
  <c r="B4802" i="8"/>
  <c r="T4803" i="8"/>
  <c r="B4803" i="8"/>
  <c r="T4804" i="8"/>
  <c r="B4804" i="8"/>
  <c r="T4805" i="8"/>
  <c r="B4805" i="8"/>
  <c r="T4806" i="8"/>
  <c r="B4806" i="8"/>
  <c r="T4807" i="8"/>
  <c r="B4807" i="8"/>
  <c r="T4808" i="8"/>
  <c r="B4808" i="8"/>
  <c r="T4809" i="8"/>
  <c r="B4809" i="8"/>
  <c r="T4810" i="8"/>
  <c r="B4810" i="8"/>
  <c r="T4811" i="8"/>
  <c r="B4811" i="8"/>
  <c r="T4812" i="8"/>
  <c r="B4812" i="8"/>
  <c r="T4813" i="8"/>
  <c r="B4813" i="8"/>
  <c r="T4814" i="8"/>
  <c r="B4814" i="8"/>
  <c r="T4815" i="8"/>
  <c r="B4815" i="8"/>
  <c r="T4816" i="8"/>
  <c r="B4816" i="8"/>
  <c r="T4817" i="8"/>
  <c r="B4817" i="8"/>
  <c r="T4818" i="8"/>
  <c r="B4818" i="8"/>
  <c r="T4819" i="8"/>
  <c r="B4819" i="8"/>
  <c r="T4820" i="8"/>
  <c r="B4820" i="8"/>
  <c r="T4821" i="8"/>
  <c r="B4821" i="8"/>
  <c r="T4822" i="8"/>
  <c r="B4822" i="8"/>
  <c r="T4823" i="8"/>
  <c r="B4823" i="8"/>
  <c r="T4824" i="8"/>
  <c r="B4824" i="8"/>
  <c r="T4825" i="8"/>
  <c r="B4825" i="8"/>
  <c r="T4826" i="8"/>
  <c r="B4826" i="8"/>
  <c r="T4827" i="8"/>
  <c r="B4827" i="8"/>
  <c r="T4828" i="8"/>
  <c r="B4828" i="8"/>
  <c r="T4829" i="8"/>
  <c r="B4829" i="8"/>
  <c r="T4830" i="8"/>
  <c r="B4830" i="8"/>
  <c r="T4831" i="8"/>
  <c r="B4831" i="8"/>
  <c r="T4832" i="8"/>
  <c r="B4832" i="8"/>
  <c r="T4833" i="8"/>
  <c r="B4833" i="8"/>
  <c r="T4834" i="8"/>
  <c r="B4834" i="8"/>
  <c r="T4835" i="8"/>
  <c r="B4835" i="8"/>
  <c r="T4836" i="8"/>
  <c r="B4836" i="8"/>
  <c r="T4837" i="8"/>
  <c r="B4837" i="8"/>
  <c r="T4838" i="8"/>
  <c r="B4838" i="8"/>
  <c r="T4839" i="8"/>
  <c r="B4839" i="8"/>
  <c r="T4840" i="8"/>
  <c r="B4840" i="8"/>
  <c r="T4841" i="8"/>
  <c r="B4841" i="8"/>
  <c r="T4842" i="8"/>
  <c r="B4842" i="8"/>
  <c r="T4843" i="8"/>
  <c r="B4843" i="8"/>
  <c r="T4844" i="8"/>
  <c r="B4844" i="8"/>
  <c r="T4845" i="8"/>
  <c r="B4845" i="8"/>
  <c r="T4846" i="8"/>
  <c r="B4846" i="8"/>
  <c r="T4847" i="8"/>
  <c r="B4847" i="8"/>
  <c r="T4848" i="8"/>
  <c r="B4848" i="8"/>
  <c r="T4849" i="8"/>
  <c r="B4849" i="8"/>
  <c r="T4850" i="8"/>
  <c r="B4850" i="8"/>
  <c r="T4851" i="8"/>
  <c r="B4851" i="8"/>
  <c r="T4852" i="8"/>
  <c r="B4852" i="8"/>
  <c r="T4853" i="8"/>
  <c r="B4853" i="8"/>
  <c r="T4854" i="8"/>
  <c r="B4854" i="8"/>
  <c r="T4855" i="8"/>
  <c r="B4855" i="8"/>
  <c r="T4856" i="8"/>
  <c r="B4856" i="8"/>
  <c r="T4857" i="8"/>
  <c r="B4857" i="8"/>
  <c r="T4858" i="8"/>
  <c r="B4858" i="8"/>
  <c r="T4859" i="8"/>
  <c r="B4859" i="8"/>
  <c r="T4860" i="8"/>
  <c r="B4860" i="8"/>
  <c r="T4861" i="8"/>
  <c r="B4861" i="8"/>
  <c r="T4862" i="8"/>
  <c r="B4862" i="8"/>
  <c r="T4863" i="8"/>
  <c r="B4863" i="8"/>
  <c r="T4864" i="8"/>
  <c r="B4864" i="8"/>
  <c r="T4865" i="8"/>
  <c r="B4865" i="8"/>
  <c r="T4866" i="8"/>
  <c r="B4866" i="8"/>
  <c r="T4867" i="8"/>
  <c r="B4867" i="8"/>
  <c r="T4868" i="8"/>
  <c r="B4868" i="8"/>
  <c r="T4869" i="8"/>
  <c r="B4869" i="8"/>
  <c r="T4870" i="8"/>
  <c r="B4870" i="8"/>
  <c r="T4871" i="8"/>
  <c r="B4871" i="8"/>
  <c r="T4872" i="8"/>
  <c r="B4872" i="8"/>
  <c r="T4873" i="8"/>
  <c r="B4873" i="8"/>
  <c r="T4874" i="8"/>
  <c r="B4874" i="8"/>
  <c r="T4875" i="8"/>
  <c r="B4875" i="8"/>
  <c r="T4876" i="8"/>
  <c r="B4876" i="8"/>
  <c r="T4877" i="8"/>
  <c r="B4877" i="8"/>
  <c r="T4878" i="8"/>
  <c r="B4878" i="8"/>
  <c r="T4879" i="8"/>
  <c r="B4879" i="8"/>
  <c r="T4880" i="8"/>
  <c r="B4880" i="8"/>
  <c r="T4881" i="8"/>
  <c r="B4881" i="8"/>
  <c r="T4882" i="8"/>
  <c r="B4882" i="8"/>
  <c r="T4883" i="8"/>
  <c r="B4883" i="8"/>
  <c r="T4884" i="8"/>
  <c r="B4884" i="8"/>
  <c r="T4885" i="8"/>
  <c r="B4885" i="8"/>
  <c r="T4886" i="8"/>
  <c r="B4886" i="8"/>
  <c r="T4887" i="8"/>
  <c r="B4887" i="8"/>
  <c r="T4888" i="8"/>
  <c r="B4888" i="8"/>
  <c r="T4889" i="8"/>
  <c r="B4889" i="8"/>
  <c r="T4890" i="8"/>
  <c r="B4890" i="8"/>
  <c r="T4891" i="8"/>
  <c r="B4891" i="8"/>
  <c r="T4892" i="8"/>
  <c r="B4892" i="8"/>
  <c r="T4893" i="8"/>
  <c r="B4893" i="8"/>
  <c r="T4894" i="8"/>
  <c r="B4894" i="8"/>
  <c r="T4895" i="8"/>
  <c r="B4895" i="8"/>
  <c r="T4896" i="8"/>
  <c r="B4896" i="8"/>
  <c r="T4897" i="8"/>
  <c r="B4897" i="8"/>
  <c r="T4898" i="8"/>
  <c r="B4898" i="8"/>
  <c r="T4899" i="8"/>
  <c r="B4899" i="8"/>
  <c r="T4900" i="8"/>
  <c r="B4900" i="8"/>
  <c r="T4901" i="8"/>
  <c r="B4901" i="8"/>
  <c r="T4902" i="8"/>
  <c r="B4902" i="8"/>
  <c r="T4903" i="8"/>
  <c r="B4903" i="8"/>
  <c r="T4904" i="8"/>
  <c r="B4904" i="8"/>
  <c r="T4905" i="8"/>
  <c r="B4905" i="8"/>
  <c r="T4906" i="8"/>
  <c r="B4906" i="8"/>
  <c r="T4907" i="8"/>
  <c r="B4907" i="8"/>
  <c r="T4908" i="8"/>
  <c r="B4908" i="8"/>
  <c r="T4909" i="8"/>
  <c r="B4909" i="8"/>
  <c r="T4910" i="8"/>
  <c r="B4910" i="8"/>
  <c r="T4911" i="8"/>
  <c r="B4911" i="8"/>
  <c r="T4912" i="8"/>
  <c r="B4912" i="8"/>
  <c r="T4913" i="8"/>
  <c r="B4913" i="8"/>
  <c r="T4914" i="8"/>
  <c r="B4914" i="8"/>
  <c r="T4915" i="8"/>
  <c r="B4915" i="8"/>
  <c r="T4916" i="8"/>
  <c r="B4916" i="8"/>
  <c r="T4917" i="8"/>
  <c r="B4917" i="8"/>
  <c r="T4918" i="8"/>
  <c r="B4918" i="8"/>
  <c r="T4919" i="8"/>
  <c r="B4919" i="8"/>
  <c r="T4920" i="8"/>
  <c r="B4920" i="8"/>
  <c r="T4921" i="8"/>
  <c r="B4921" i="8"/>
  <c r="T4922" i="8"/>
  <c r="B4922" i="8"/>
  <c r="T4923" i="8"/>
  <c r="B4923" i="8"/>
  <c r="T4924" i="8"/>
  <c r="B4924" i="8"/>
  <c r="T4925" i="8"/>
  <c r="B4925" i="8"/>
  <c r="T4926" i="8"/>
  <c r="B4926" i="8"/>
  <c r="T4927" i="8"/>
  <c r="B4927" i="8"/>
  <c r="T4928" i="8"/>
  <c r="B4928" i="8"/>
  <c r="T4929" i="8"/>
  <c r="B4929" i="8"/>
  <c r="T4930" i="8"/>
  <c r="B4930" i="8"/>
  <c r="T4931" i="8"/>
  <c r="B4931" i="8"/>
  <c r="T4932" i="8"/>
  <c r="B4932" i="8"/>
  <c r="T4933" i="8"/>
  <c r="B4933" i="8"/>
  <c r="T4934" i="8"/>
  <c r="B4934" i="8"/>
  <c r="T4935" i="8"/>
  <c r="B4935" i="8"/>
  <c r="T4936" i="8"/>
  <c r="B4936" i="8"/>
  <c r="T4937" i="8"/>
  <c r="B4937" i="8"/>
  <c r="T4938" i="8"/>
  <c r="B4938" i="8"/>
  <c r="T4939" i="8"/>
  <c r="B4939" i="8"/>
  <c r="T4940" i="8"/>
  <c r="B4940" i="8"/>
  <c r="T4941" i="8"/>
  <c r="B4941" i="8"/>
  <c r="T4942" i="8"/>
  <c r="B4942" i="8"/>
  <c r="T4943" i="8"/>
  <c r="B4943" i="8"/>
  <c r="T4944" i="8"/>
  <c r="B4944" i="8"/>
  <c r="T4945" i="8"/>
  <c r="B4945" i="8"/>
  <c r="T4946" i="8"/>
  <c r="B4946" i="8"/>
  <c r="T4947" i="8"/>
  <c r="B4947" i="8"/>
  <c r="T4948" i="8"/>
  <c r="B4948" i="8"/>
  <c r="T4949" i="8"/>
  <c r="B4949" i="8"/>
  <c r="T4950" i="8"/>
  <c r="B4950" i="8"/>
  <c r="T4951" i="8"/>
  <c r="B4951" i="8"/>
  <c r="T4952" i="8"/>
  <c r="B4952" i="8"/>
  <c r="T4953" i="8"/>
  <c r="B4953" i="8"/>
  <c r="T4954" i="8"/>
  <c r="B4954" i="8"/>
  <c r="T4955" i="8"/>
  <c r="B4955" i="8"/>
  <c r="T4956" i="8"/>
  <c r="B4956" i="8"/>
  <c r="T4957" i="8"/>
  <c r="B4957" i="8"/>
  <c r="T4958" i="8"/>
  <c r="B4958" i="8"/>
  <c r="T4959" i="8"/>
  <c r="B4959" i="8"/>
  <c r="T4960" i="8"/>
  <c r="B4960" i="8"/>
  <c r="T4961" i="8"/>
  <c r="B4961" i="8"/>
  <c r="T4962" i="8"/>
  <c r="B4962" i="8"/>
  <c r="T4963" i="8"/>
  <c r="B4963" i="8"/>
  <c r="T4964" i="8"/>
  <c r="B4964" i="8"/>
  <c r="T4965" i="8"/>
  <c r="B4965" i="8"/>
  <c r="T4966" i="8"/>
  <c r="B4966" i="8"/>
  <c r="T4967" i="8"/>
  <c r="B4967" i="8"/>
  <c r="T4968" i="8"/>
  <c r="B4968" i="8"/>
  <c r="T4969" i="8"/>
  <c r="B4969" i="8"/>
  <c r="T4970" i="8"/>
  <c r="B4970" i="8"/>
  <c r="T4971" i="8"/>
  <c r="B4971" i="8"/>
  <c r="T4972" i="8"/>
  <c r="B4972" i="8"/>
  <c r="T4973" i="8"/>
  <c r="B4973" i="8"/>
  <c r="T4974" i="8"/>
  <c r="B4974" i="8"/>
  <c r="T4975" i="8"/>
  <c r="B4975" i="8"/>
  <c r="T4976" i="8"/>
  <c r="B4976" i="8"/>
  <c r="T4977" i="8"/>
  <c r="B4977" i="8"/>
  <c r="T4978" i="8"/>
  <c r="B4978" i="8"/>
  <c r="T4979" i="8"/>
  <c r="B4979" i="8"/>
  <c r="T4980" i="8"/>
  <c r="B4980" i="8"/>
  <c r="T4981" i="8"/>
  <c r="B4981" i="8"/>
  <c r="T4982" i="8"/>
  <c r="B4982" i="8"/>
  <c r="T4983" i="8"/>
  <c r="B4983" i="8"/>
  <c r="T4984" i="8"/>
  <c r="B4984" i="8"/>
  <c r="T4985" i="8"/>
  <c r="B4985" i="8"/>
  <c r="T4986" i="8"/>
  <c r="B4986" i="8"/>
  <c r="T4987" i="8"/>
  <c r="B4987" i="8"/>
  <c r="T4988" i="8"/>
  <c r="B4988" i="8"/>
  <c r="T4989" i="8"/>
  <c r="B4989" i="8"/>
  <c r="T4990" i="8"/>
  <c r="B4990" i="8"/>
  <c r="T4991" i="8"/>
  <c r="B4991" i="8"/>
  <c r="T4992" i="8"/>
  <c r="B4992" i="8"/>
  <c r="T4993" i="8"/>
  <c r="B4993" i="8"/>
  <c r="T4994" i="8"/>
  <c r="B4994" i="8"/>
  <c r="T4995" i="8"/>
  <c r="B4995" i="8"/>
  <c r="T4996" i="8"/>
  <c r="B4996" i="8"/>
  <c r="T4997" i="8"/>
  <c r="B4997" i="8"/>
  <c r="T4998" i="8"/>
  <c r="B4998" i="8"/>
  <c r="T4999" i="8"/>
  <c r="B4999" i="8"/>
  <c r="T5000" i="8"/>
  <c r="B5000" i="8"/>
  <c r="T5001" i="8"/>
  <c r="B5001" i="8"/>
  <c r="T5002" i="8"/>
  <c r="B5002" i="8"/>
  <c r="T5003" i="8"/>
  <c r="B5003" i="8"/>
  <c r="T5004" i="8"/>
  <c r="B5004" i="8"/>
  <c r="T5005" i="8"/>
  <c r="B5005" i="8"/>
  <c r="T5006" i="8"/>
  <c r="B5006" i="8"/>
  <c r="T5007" i="8"/>
  <c r="B5007" i="8"/>
  <c r="T5008" i="8"/>
  <c r="B5008" i="8"/>
  <c r="T5009" i="8"/>
  <c r="B5009" i="8"/>
  <c r="T5010" i="8"/>
  <c r="B5010" i="8"/>
  <c r="T5011" i="8"/>
  <c r="B5011" i="8"/>
  <c r="T5012" i="8"/>
  <c r="B5012" i="8"/>
  <c r="T5013" i="8"/>
  <c r="B5013" i="8"/>
  <c r="T5014" i="8"/>
  <c r="B5014" i="8"/>
  <c r="T5015" i="8"/>
  <c r="B5015" i="8"/>
  <c r="T5016" i="8"/>
  <c r="B5016" i="8"/>
  <c r="T5017" i="8"/>
  <c r="B5017" i="8"/>
  <c r="T5018" i="8"/>
  <c r="B5018" i="8"/>
  <c r="T5019" i="8"/>
  <c r="B5019" i="8"/>
  <c r="T5020" i="8"/>
  <c r="B5020" i="8"/>
  <c r="T5021" i="8"/>
  <c r="B5021" i="8"/>
  <c r="T5022" i="8"/>
  <c r="B5022" i="8"/>
  <c r="T5023" i="8"/>
  <c r="B5023" i="8"/>
  <c r="T5024" i="8"/>
  <c r="B5024" i="8"/>
  <c r="T5025" i="8"/>
  <c r="B5025" i="8"/>
  <c r="T5026" i="8"/>
  <c r="B5026" i="8"/>
  <c r="T5027" i="8"/>
  <c r="B5027" i="8"/>
  <c r="T5028" i="8"/>
  <c r="B5028" i="8"/>
  <c r="T5029" i="8"/>
  <c r="B5029" i="8"/>
  <c r="T5030" i="8"/>
  <c r="B5030" i="8"/>
  <c r="T5031" i="8"/>
  <c r="B5031" i="8"/>
  <c r="T5032" i="8"/>
  <c r="B5032" i="8"/>
  <c r="T5033" i="8"/>
  <c r="B5033" i="8"/>
  <c r="T5034" i="8"/>
  <c r="B5034" i="8"/>
  <c r="T5035" i="8"/>
  <c r="B5035" i="8"/>
  <c r="T5036" i="8"/>
  <c r="B5036" i="8"/>
  <c r="T5037" i="8"/>
  <c r="B5037" i="8"/>
  <c r="T5038" i="8"/>
  <c r="B5038" i="8"/>
  <c r="T5039" i="8"/>
  <c r="B5039" i="8"/>
  <c r="T5040" i="8"/>
  <c r="B5040" i="8"/>
  <c r="T5041" i="8"/>
  <c r="B5041" i="8"/>
  <c r="T5042" i="8"/>
  <c r="B5042" i="8"/>
  <c r="T5043" i="8"/>
  <c r="B5043" i="8"/>
  <c r="T5044" i="8"/>
  <c r="B5044" i="8"/>
  <c r="T5045" i="8"/>
  <c r="B5045" i="8"/>
  <c r="T5046" i="8"/>
  <c r="B5046" i="8"/>
  <c r="T5047" i="8"/>
  <c r="B5047" i="8"/>
  <c r="T5048" i="8"/>
  <c r="B5048" i="8"/>
  <c r="T5049" i="8"/>
  <c r="B5049" i="8"/>
  <c r="T5050" i="8"/>
  <c r="B5050" i="8"/>
  <c r="T5051" i="8"/>
  <c r="B5051" i="8"/>
  <c r="T5052" i="8"/>
  <c r="B5052" i="8"/>
  <c r="T5053" i="8"/>
  <c r="B5053" i="8"/>
  <c r="T5054" i="8"/>
  <c r="B5054" i="8"/>
  <c r="T5055" i="8"/>
  <c r="B5055" i="8"/>
  <c r="T5056" i="8"/>
  <c r="B5056" i="8"/>
  <c r="T5057" i="8"/>
  <c r="B5057" i="8"/>
  <c r="T5058" i="8"/>
  <c r="B5058" i="8"/>
  <c r="T5059" i="8"/>
  <c r="B5059" i="8"/>
  <c r="T5060" i="8"/>
  <c r="B5060" i="8"/>
  <c r="T5061" i="8"/>
  <c r="B5061" i="8"/>
  <c r="T5062" i="8"/>
  <c r="B5062" i="8"/>
  <c r="T5063" i="8"/>
  <c r="B5063" i="8"/>
  <c r="T5064" i="8"/>
  <c r="B5064" i="8"/>
  <c r="T5065" i="8"/>
  <c r="B5065" i="8"/>
  <c r="T5066" i="8"/>
  <c r="B5066" i="8"/>
  <c r="T5067" i="8"/>
  <c r="B5067" i="8"/>
  <c r="T5068" i="8"/>
  <c r="B5068" i="8"/>
  <c r="T5069" i="8"/>
  <c r="B5069" i="8"/>
  <c r="T5070" i="8"/>
  <c r="B5070" i="8"/>
  <c r="T5071" i="8"/>
  <c r="B5071" i="8"/>
  <c r="T5072" i="8"/>
  <c r="B5072" i="8"/>
  <c r="T5073" i="8"/>
  <c r="B5073" i="8"/>
  <c r="T5074" i="8"/>
  <c r="B5074" i="8"/>
  <c r="T5075" i="8"/>
  <c r="B5075" i="8"/>
  <c r="T5076" i="8"/>
  <c r="B5076" i="8"/>
  <c r="T5077" i="8"/>
  <c r="B5077" i="8"/>
  <c r="T5078" i="8"/>
  <c r="B5078" i="8"/>
  <c r="T5079" i="8"/>
  <c r="B5079" i="8"/>
  <c r="T5080" i="8"/>
  <c r="B5080" i="8"/>
  <c r="T5081" i="8"/>
  <c r="B5081" i="8"/>
  <c r="T5082" i="8"/>
  <c r="B5082" i="8"/>
  <c r="T5083" i="8"/>
  <c r="B5083" i="8"/>
  <c r="T5084" i="8"/>
  <c r="B5084" i="8"/>
  <c r="T5085" i="8"/>
  <c r="B5085" i="8"/>
  <c r="T5086" i="8"/>
  <c r="B5086" i="8"/>
  <c r="T5087" i="8"/>
  <c r="B5087" i="8"/>
  <c r="T5088" i="8"/>
  <c r="B5088" i="8"/>
  <c r="T5089" i="8"/>
  <c r="B5089" i="8"/>
  <c r="T5090" i="8"/>
  <c r="B5090" i="8"/>
  <c r="T5091" i="8"/>
  <c r="B5091" i="8"/>
  <c r="T5092" i="8"/>
  <c r="B5092" i="8"/>
  <c r="T5093" i="8"/>
  <c r="B5093" i="8"/>
  <c r="T5094" i="8"/>
  <c r="B5094" i="8"/>
  <c r="T5095" i="8"/>
  <c r="B5095" i="8"/>
  <c r="T5096" i="8"/>
  <c r="B5096" i="8"/>
  <c r="T5097" i="8"/>
  <c r="B5097" i="8"/>
  <c r="T5098" i="8"/>
  <c r="B5098" i="8"/>
  <c r="T5099" i="8"/>
  <c r="B5099" i="8"/>
  <c r="T5100" i="8"/>
  <c r="B5100" i="8"/>
  <c r="T5101" i="8"/>
  <c r="B5101" i="8"/>
  <c r="T5102" i="8"/>
  <c r="B5102" i="8"/>
  <c r="T5103" i="8"/>
  <c r="B5103" i="8"/>
  <c r="T5104" i="8"/>
  <c r="B5104" i="8"/>
  <c r="T5105" i="8"/>
  <c r="B5105" i="8"/>
  <c r="T5106" i="8"/>
  <c r="B5106" i="8"/>
  <c r="T5107" i="8"/>
  <c r="B5107" i="8"/>
  <c r="T5108" i="8"/>
  <c r="B5108" i="8"/>
  <c r="T5109" i="8"/>
  <c r="B5109" i="8"/>
  <c r="T5110" i="8"/>
  <c r="B5110" i="8"/>
  <c r="T5111" i="8"/>
  <c r="B5111" i="8"/>
  <c r="T5112" i="8"/>
  <c r="B5112" i="8"/>
  <c r="T5113" i="8"/>
  <c r="B5113" i="8"/>
  <c r="T5114" i="8"/>
  <c r="B5114" i="8"/>
  <c r="T5115" i="8"/>
  <c r="B5115" i="8"/>
  <c r="T5116" i="8"/>
  <c r="B5116" i="8"/>
  <c r="T5117" i="8"/>
  <c r="B5117" i="8"/>
  <c r="T5118" i="8"/>
  <c r="B5118" i="8"/>
  <c r="T5119" i="8"/>
  <c r="B5119" i="8"/>
  <c r="T5120" i="8"/>
  <c r="B5120" i="8"/>
  <c r="T5121" i="8"/>
  <c r="B5121" i="8"/>
  <c r="T5122" i="8"/>
  <c r="B5122" i="8"/>
  <c r="T5123" i="8"/>
  <c r="B5123" i="8"/>
  <c r="T5124" i="8"/>
  <c r="B5124" i="8"/>
  <c r="T5125" i="8"/>
  <c r="B5125" i="8"/>
  <c r="T5126" i="8"/>
  <c r="B5126" i="8"/>
  <c r="T5127" i="8"/>
  <c r="B5127" i="8"/>
  <c r="T5128" i="8"/>
  <c r="B5128" i="8"/>
  <c r="T5129" i="8"/>
  <c r="B5129" i="8"/>
  <c r="T5130" i="8"/>
  <c r="B5130" i="8"/>
  <c r="T5131" i="8"/>
  <c r="B5131" i="8"/>
  <c r="T5132" i="8"/>
  <c r="B5132" i="8"/>
  <c r="T5133" i="8"/>
  <c r="B5133" i="8"/>
  <c r="T5134" i="8"/>
  <c r="B5134" i="8"/>
  <c r="T5135" i="8"/>
  <c r="B5135" i="8"/>
  <c r="T5136" i="8"/>
  <c r="B5136" i="8"/>
  <c r="T5137" i="8"/>
  <c r="B5137" i="8"/>
  <c r="T5138" i="8"/>
  <c r="B5138" i="8"/>
  <c r="T5139" i="8"/>
  <c r="B5139" i="8"/>
  <c r="T5140" i="8"/>
  <c r="B5140" i="8"/>
  <c r="T5141" i="8"/>
  <c r="B5141" i="8"/>
  <c r="T5142" i="8"/>
  <c r="B5142" i="8"/>
  <c r="T5143" i="8"/>
  <c r="B5143" i="8"/>
  <c r="T5144" i="8"/>
  <c r="B5144" i="8"/>
  <c r="T5145" i="8"/>
  <c r="B5145" i="8"/>
  <c r="T5146" i="8"/>
  <c r="B5146" i="8"/>
  <c r="T5147" i="8"/>
  <c r="B5147" i="8"/>
  <c r="T5148" i="8"/>
  <c r="B5148" i="8"/>
  <c r="T5149" i="8"/>
  <c r="B5149" i="8"/>
  <c r="T5150" i="8"/>
  <c r="B5150" i="8"/>
  <c r="T5151" i="8"/>
  <c r="B5151" i="8"/>
  <c r="T5152" i="8"/>
  <c r="B5152" i="8"/>
  <c r="T5153" i="8"/>
  <c r="B5153" i="8"/>
  <c r="T5154" i="8"/>
  <c r="B5154" i="8"/>
  <c r="T5155" i="8"/>
  <c r="B5155" i="8"/>
  <c r="T5156" i="8"/>
  <c r="B5156" i="8"/>
  <c r="T5157" i="8"/>
  <c r="B5157" i="8"/>
  <c r="T5158" i="8"/>
  <c r="B5158" i="8"/>
  <c r="T5159" i="8"/>
  <c r="B5159" i="8"/>
  <c r="T5160" i="8"/>
  <c r="B5160" i="8"/>
  <c r="T5161" i="8"/>
  <c r="B5161" i="8"/>
  <c r="T5162" i="8"/>
  <c r="B5162" i="8"/>
  <c r="T5163" i="8"/>
  <c r="B5163" i="8"/>
  <c r="T5164" i="8"/>
  <c r="B5164" i="8"/>
  <c r="T5165" i="8"/>
  <c r="B5165" i="8"/>
  <c r="T5166" i="8"/>
  <c r="B5166" i="8"/>
  <c r="T5167" i="8"/>
  <c r="B5167" i="8"/>
  <c r="T5168" i="8"/>
  <c r="B5168" i="8"/>
  <c r="T5169" i="8"/>
  <c r="B5169" i="8"/>
  <c r="T5170" i="8"/>
  <c r="B5170" i="8"/>
  <c r="T5171" i="8"/>
  <c r="B5171" i="8"/>
  <c r="T5172" i="8"/>
  <c r="B5172" i="8"/>
  <c r="T5173" i="8"/>
  <c r="B5173" i="8"/>
  <c r="T5174" i="8"/>
  <c r="B5174" i="8"/>
  <c r="T5175" i="8"/>
  <c r="B5175" i="8"/>
  <c r="T5176" i="8"/>
  <c r="B5176" i="8"/>
  <c r="T5177" i="8"/>
  <c r="B5177" i="8"/>
  <c r="T5178" i="8"/>
  <c r="B5178" i="8"/>
  <c r="T5179" i="8"/>
  <c r="B5179" i="8"/>
  <c r="T5180" i="8"/>
  <c r="B5180" i="8"/>
  <c r="T5181" i="8"/>
  <c r="B5181" i="8"/>
  <c r="T5182" i="8"/>
  <c r="B5182" i="8"/>
  <c r="T5183" i="8"/>
  <c r="B5183" i="8"/>
  <c r="T5184" i="8"/>
  <c r="B5184" i="8"/>
  <c r="T5185" i="8"/>
  <c r="B5185" i="8"/>
  <c r="T5186" i="8"/>
  <c r="B5186" i="8"/>
  <c r="T5187" i="8"/>
  <c r="B5187" i="8"/>
  <c r="T5188" i="8"/>
  <c r="B5188" i="8"/>
  <c r="T5189" i="8"/>
  <c r="B5189" i="8"/>
  <c r="T5190" i="8"/>
  <c r="B5190" i="8"/>
  <c r="T5191" i="8"/>
  <c r="B5191" i="8"/>
  <c r="T5192" i="8"/>
  <c r="B5192" i="8"/>
  <c r="T5193" i="8"/>
  <c r="B5193" i="8"/>
  <c r="T5194" i="8"/>
  <c r="B5194" i="8"/>
  <c r="T5195" i="8"/>
  <c r="B5195" i="8"/>
  <c r="T5196" i="8"/>
  <c r="B5196" i="8"/>
  <c r="T5197" i="8"/>
  <c r="B5197" i="8"/>
  <c r="T5198" i="8"/>
  <c r="B5198" i="8"/>
  <c r="T5199" i="8"/>
  <c r="B5199" i="8"/>
  <c r="T5200" i="8"/>
  <c r="B5200" i="8"/>
  <c r="T5201" i="8"/>
  <c r="B5201" i="8"/>
  <c r="T5202" i="8"/>
  <c r="B5202" i="8"/>
  <c r="T5203" i="8"/>
  <c r="B5203" i="8"/>
  <c r="T5204" i="8"/>
  <c r="B5204" i="8"/>
  <c r="T5205" i="8"/>
  <c r="B5205" i="8"/>
  <c r="T5206" i="8"/>
  <c r="B5206" i="8"/>
  <c r="T5207" i="8"/>
  <c r="B5207" i="8"/>
  <c r="T5208" i="8"/>
  <c r="B5208" i="8"/>
  <c r="T5209" i="8"/>
  <c r="B5209" i="8"/>
  <c r="T5210" i="8"/>
  <c r="B5210" i="8"/>
  <c r="T5211" i="8"/>
  <c r="B5211" i="8"/>
  <c r="T5212" i="8"/>
  <c r="B5212" i="8"/>
  <c r="T5213" i="8"/>
  <c r="B5213" i="8"/>
  <c r="T5214" i="8"/>
  <c r="B5214" i="8"/>
  <c r="T5215" i="8"/>
  <c r="B5215" i="8"/>
  <c r="T5216" i="8"/>
  <c r="B5216" i="8"/>
  <c r="T5217" i="8"/>
  <c r="B5217" i="8"/>
  <c r="T5218" i="8"/>
  <c r="B5218" i="8"/>
  <c r="T5219" i="8"/>
  <c r="B5219" i="8"/>
  <c r="T5220" i="8"/>
  <c r="B5220" i="8"/>
  <c r="T5221" i="8"/>
  <c r="B5221" i="8"/>
  <c r="T5222" i="8"/>
  <c r="B5222" i="8"/>
  <c r="T5223" i="8"/>
  <c r="B5223" i="8"/>
  <c r="T5224" i="8"/>
  <c r="B5224" i="8"/>
  <c r="T5225" i="8"/>
  <c r="B5225" i="8"/>
  <c r="T5226" i="8"/>
  <c r="B5226" i="8"/>
  <c r="T5227" i="8"/>
  <c r="B5227" i="8"/>
  <c r="T5228" i="8"/>
  <c r="B5228" i="8"/>
  <c r="T5229" i="8"/>
  <c r="B5229" i="8"/>
  <c r="T5230" i="8"/>
  <c r="B5230" i="8"/>
  <c r="T5231" i="8"/>
  <c r="B5231" i="8"/>
  <c r="T5232" i="8"/>
  <c r="B5232" i="8"/>
  <c r="T5233" i="8"/>
  <c r="B5233" i="8"/>
  <c r="T5234" i="8"/>
  <c r="B5234" i="8"/>
  <c r="T5235" i="8"/>
  <c r="B5235" i="8"/>
  <c r="T5236" i="8"/>
  <c r="B5236" i="8"/>
  <c r="T5237" i="8"/>
  <c r="B5237" i="8"/>
  <c r="T5238" i="8"/>
  <c r="B5238" i="8"/>
  <c r="T5239" i="8"/>
  <c r="B5239" i="8"/>
  <c r="T5240" i="8"/>
  <c r="B5240" i="8"/>
  <c r="T5241" i="8"/>
  <c r="B5241" i="8"/>
  <c r="T5242" i="8"/>
  <c r="B5242" i="8"/>
  <c r="T5243" i="8"/>
  <c r="B5243" i="8"/>
  <c r="T5244" i="8"/>
  <c r="B5244" i="8"/>
  <c r="T5245" i="8"/>
  <c r="B5245" i="8"/>
  <c r="T5246" i="8"/>
  <c r="B5246" i="8"/>
  <c r="T5247" i="8"/>
  <c r="B5247" i="8"/>
  <c r="T5248" i="8"/>
  <c r="B5248" i="8"/>
  <c r="T5249" i="8"/>
  <c r="B5249" i="8"/>
  <c r="T5250" i="8"/>
  <c r="B5250" i="8"/>
  <c r="T5251" i="8"/>
  <c r="B5251" i="8"/>
  <c r="T5252" i="8"/>
  <c r="B5252" i="8"/>
  <c r="T5253" i="8"/>
  <c r="B5253" i="8"/>
  <c r="T5254" i="8"/>
  <c r="B5254" i="8"/>
  <c r="T5255" i="8"/>
  <c r="B5255" i="8"/>
  <c r="T5256" i="8"/>
  <c r="B5256" i="8"/>
  <c r="T5257" i="8"/>
  <c r="B5257" i="8"/>
  <c r="T5258" i="8"/>
  <c r="B5258" i="8"/>
  <c r="T5259" i="8"/>
  <c r="B5259" i="8"/>
  <c r="T5260" i="8"/>
  <c r="B5260" i="8"/>
  <c r="T5261" i="8"/>
  <c r="B5261" i="8"/>
  <c r="T5262" i="8"/>
  <c r="B5262" i="8"/>
  <c r="T5263" i="8"/>
  <c r="B5263" i="8"/>
  <c r="T5264" i="8"/>
  <c r="B5264" i="8"/>
  <c r="T5265" i="8"/>
  <c r="B5265" i="8"/>
  <c r="T5266" i="8"/>
  <c r="B5266" i="8"/>
  <c r="T5267" i="8"/>
  <c r="B5267" i="8"/>
  <c r="T5268" i="8"/>
  <c r="B5268" i="8"/>
  <c r="T5269" i="8"/>
  <c r="B5269" i="8"/>
  <c r="T5270" i="8"/>
  <c r="B5270" i="8"/>
  <c r="T5271" i="8"/>
  <c r="B5271" i="8"/>
  <c r="T5272" i="8"/>
  <c r="B5272" i="8"/>
  <c r="T5273" i="8"/>
  <c r="B5273" i="8"/>
  <c r="T5274" i="8"/>
  <c r="B5274" i="8"/>
  <c r="T5275" i="8"/>
  <c r="B5275" i="8"/>
  <c r="T5276" i="8"/>
  <c r="B5276" i="8"/>
  <c r="T5277" i="8"/>
  <c r="B5277" i="8"/>
  <c r="T5278" i="8"/>
  <c r="B5278" i="8"/>
  <c r="T5279" i="8"/>
  <c r="B5279" i="8"/>
  <c r="T5280" i="8"/>
  <c r="B5280" i="8"/>
  <c r="T5281" i="8"/>
  <c r="B5281" i="8"/>
  <c r="T5282" i="8"/>
  <c r="B5282" i="8"/>
  <c r="T5283" i="8"/>
  <c r="B5283" i="8"/>
  <c r="T5284" i="8"/>
  <c r="B5284" i="8"/>
  <c r="T5285" i="8"/>
  <c r="B5285" i="8"/>
  <c r="T5286" i="8"/>
  <c r="B5286" i="8"/>
  <c r="T5287" i="8"/>
  <c r="B5287" i="8"/>
  <c r="T5288" i="8"/>
  <c r="B5288" i="8"/>
  <c r="T5289" i="8"/>
  <c r="B5289" i="8"/>
  <c r="T5290" i="8"/>
  <c r="B5290" i="8"/>
  <c r="T5291" i="8"/>
  <c r="B5291" i="8"/>
  <c r="T5292" i="8"/>
  <c r="B5292" i="8"/>
  <c r="T5293" i="8"/>
  <c r="B5293" i="8"/>
  <c r="T5294" i="8"/>
  <c r="B5294" i="8"/>
  <c r="T5295" i="8"/>
  <c r="B5295" i="8"/>
  <c r="T5296" i="8"/>
  <c r="B5296" i="8"/>
  <c r="T5297" i="8"/>
  <c r="B5297" i="8"/>
  <c r="T5298" i="8"/>
  <c r="B5298" i="8"/>
  <c r="T5299" i="8"/>
  <c r="B5299" i="8"/>
  <c r="T5300" i="8"/>
  <c r="B5300" i="8"/>
  <c r="T5301" i="8"/>
  <c r="B5301" i="8"/>
  <c r="T5302" i="8"/>
  <c r="B5302" i="8"/>
  <c r="T5303" i="8"/>
  <c r="B5303" i="8"/>
  <c r="T5304" i="8"/>
  <c r="B5304" i="8"/>
  <c r="T5305" i="8"/>
  <c r="B5305" i="8"/>
  <c r="T5306" i="8"/>
  <c r="B5306" i="8"/>
  <c r="T5307" i="8"/>
  <c r="B5307" i="8"/>
  <c r="T5308" i="8"/>
  <c r="B5308" i="8"/>
  <c r="T5309" i="8"/>
  <c r="B5309" i="8"/>
  <c r="T5310" i="8"/>
  <c r="B5310" i="8"/>
  <c r="T5311" i="8"/>
  <c r="B5311" i="8"/>
  <c r="T5312" i="8"/>
  <c r="B5312" i="8"/>
  <c r="T5313" i="8"/>
  <c r="B5313" i="8"/>
  <c r="T5314" i="8"/>
  <c r="B5314" i="8"/>
  <c r="T5315" i="8"/>
  <c r="B5315" i="8"/>
  <c r="T5316" i="8"/>
  <c r="B5316" i="8"/>
  <c r="T5317" i="8"/>
  <c r="B5317" i="8"/>
  <c r="T5318" i="8"/>
  <c r="B5318" i="8"/>
  <c r="T5319" i="8"/>
  <c r="B5319" i="8"/>
  <c r="T5320" i="8"/>
  <c r="B5320" i="8"/>
  <c r="T5321" i="8"/>
  <c r="B5321" i="8"/>
  <c r="T5322" i="8"/>
  <c r="B5322" i="8"/>
  <c r="T5323" i="8"/>
  <c r="B5323" i="8"/>
  <c r="T5324" i="8"/>
  <c r="B5324" i="8"/>
  <c r="T5325" i="8"/>
  <c r="B5325" i="8"/>
  <c r="T5326" i="8"/>
  <c r="B5326" i="8"/>
  <c r="T5327" i="8"/>
  <c r="B5327" i="8"/>
  <c r="T5328" i="8"/>
  <c r="B5328" i="8"/>
  <c r="T5329" i="8"/>
  <c r="B5329" i="8"/>
  <c r="T5330" i="8"/>
  <c r="B5330" i="8"/>
  <c r="T5331" i="8"/>
  <c r="B5331" i="8"/>
  <c r="T5332" i="8"/>
  <c r="B5332" i="8"/>
  <c r="T5333" i="8"/>
  <c r="B5333" i="8"/>
  <c r="T5334" i="8"/>
  <c r="B5334" i="8"/>
  <c r="T5335" i="8"/>
  <c r="B5335" i="8"/>
  <c r="T5336" i="8"/>
  <c r="B5336" i="8"/>
  <c r="T5337" i="8"/>
  <c r="B5337" i="8"/>
  <c r="T5338" i="8"/>
  <c r="B5338" i="8"/>
  <c r="T5339" i="8"/>
  <c r="B5339" i="8"/>
  <c r="T5340" i="8"/>
  <c r="B5340" i="8"/>
  <c r="T5341" i="8"/>
  <c r="B5341" i="8"/>
  <c r="T5342" i="8"/>
  <c r="B5342" i="8"/>
  <c r="T5343" i="8"/>
  <c r="B5343" i="8"/>
  <c r="T5344" i="8"/>
  <c r="B5344" i="8"/>
  <c r="T5345" i="8"/>
  <c r="B5345" i="8"/>
  <c r="T5346" i="8"/>
  <c r="B5346" i="8"/>
  <c r="T5347" i="8"/>
  <c r="B5347" i="8"/>
  <c r="T5348" i="8"/>
  <c r="B5348" i="8"/>
  <c r="T5349" i="8"/>
  <c r="B5349" i="8"/>
  <c r="T5350" i="8"/>
  <c r="B5350" i="8"/>
  <c r="T5351" i="8"/>
  <c r="B5351" i="8"/>
  <c r="T5352" i="8"/>
  <c r="B5352" i="8"/>
  <c r="T5353" i="8"/>
  <c r="B5353" i="8"/>
  <c r="T5354" i="8"/>
  <c r="B5354" i="8"/>
  <c r="T5355" i="8"/>
  <c r="B5355" i="8"/>
  <c r="T5356" i="8"/>
  <c r="B5356" i="8"/>
  <c r="T5357" i="8"/>
  <c r="B5357" i="8"/>
  <c r="T5358" i="8"/>
  <c r="B5358" i="8"/>
  <c r="T5359" i="8"/>
  <c r="B5359" i="8"/>
  <c r="T5360" i="8"/>
  <c r="B5360" i="8"/>
  <c r="T5361" i="8"/>
  <c r="B5361" i="8"/>
  <c r="T5362" i="8"/>
  <c r="B5362" i="8"/>
  <c r="T5363" i="8"/>
  <c r="B5363" i="8"/>
  <c r="T5364" i="8"/>
  <c r="B5364" i="8"/>
  <c r="T5365" i="8"/>
  <c r="B5365" i="8"/>
  <c r="T5366" i="8"/>
  <c r="B5366" i="8"/>
  <c r="T5367" i="8"/>
  <c r="B5367" i="8"/>
  <c r="T5368" i="8"/>
  <c r="B5368" i="8"/>
  <c r="T5369" i="8"/>
  <c r="B5369" i="8"/>
  <c r="T5370" i="8"/>
  <c r="B5370" i="8"/>
  <c r="T5371" i="8"/>
  <c r="B5371" i="8"/>
  <c r="T5372" i="8"/>
  <c r="B5372" i="8"/>
  <c r="T5373" i="8"/>
  <c r="B5373" i="8"/>
  <c r="T5374" i="8"/>
  <c r="B5374" i="8"/>
  <c r="T5375" i="8"/>
  <c r="B5375" i="8"/>
  <c r="T5376" i="8"/>
  <c r="B5376" i="8"/>
  <c r="T5377" i="8"/>
  <c r="B5377" i="8"/>
  <c r="T5378" i="8"/>
  <c r="B5378" i="8"/>
  <c r="T5379" i="8"/>
  <c r="B5379" i="8"/>
  <c r="T5380" i="8"/>
  <c r="B5380" i="8"/>
  <c r="T5381" i="8"/>
  <c r="B5381" i="8"/>
  <c r="T5382" i="8"/>
  <c r="B5382" i="8"/>
  <c r="T5383" i="8"/>
  <c r="B5383" i="8"/>
  <c r="T5384" i="8"/>
  <c r="B5384" i="8"/>
  <c r="T5385" i="8"/>
  <c r="B5385" i="8"/>
  <c r="T5386" i="8"/>
  <c r="B5386" i="8"/>
  <c r="T5387" i="8"/>
  <c r="B5387" i="8"/>
  <c r="T5388" i="8"/>
  <c r="B5388" i="8"/>
  <c r="T5389" i="8"/>
  <c r="B5389" i="8"/>
  <c r="T5390" i="8"/>
  <c r="B5390" i="8"/>
  <c r="T5391" i="8"/>
  <c r="B5391" i="8"/>
  <c r="T5392" i="8"/>
  <c r="B5392" i="8"/>
  <c r="T5393" i="8"/>
  <c r="B5393" i="8"/>
  <c r="T5394" i="8"/>
  <c r="B5394" i="8"/>
  <c r="T5395" i="8"/>
  <c r="B5395" i="8"/>
  <c r="T5396" i="8"/>
  <c r="B5396" i="8"/>
  <c r="T5397" i="8"/>
  <c r="B5397" i="8"/>
  <c r="T5398" i="8"/>
  <c r="B5398" i="8"/>
  <c r="T5399" i="8"/>
  <c r="B5399" i="8"/>
  <c r="T5400" i="8"/>
  <c r="B5400" i="8"/>
  <c r="T5401" i="8"/>
  <c r="B5401" i="8"/>
  <c r="T5402" i="8"/>
  <c r="B5402" i="8"/>
  <c r="T5403" i="8"/>
  <c r="B5403" i="8"/>
  <c r="T5404" i="8"/>
  <c r="B5404" i="8"/>
  <c r="T5405" i="8"/>
  <c r="B5405" i="8"/>
  <c r="T5406" i="8"/>
  <c r="B5406" i="8"/>
  <c r="T5407" i="8"/>
  <c r="B5407" i="8"/>
  <c r="T5408" i="8"/>
  <c r="B5408" i="8"/>
  <c r="T5409" i="8"/>
  <c r="B5409" i="8"/>
  <c r="T5410" i="8"/>
  <c r="B5410" i="8"/>
  <c r="T5411" i="8"/>
  <c r="B5411" i="8"/>
  <c r="T5412" i="8"/>
  <c r="B5412" i="8"/>
  <c r="T5413" i="8"/>
  <c r="B5413" i="8"/>
  <c r="T5414" i="8"/>
  <c r="B5414" i="8"/>
  <c r="T5415" i="8"/>
  <c r="B5415" i="8"/>
  <c r="T5416" i="8"/>
  <c r="B5416" i="8"/>
  <c r="T5417" i="8"/>
  <c r="B5417" i="8"/>
  <c r="T5418" i="8"/>
  <c r="B5418" i="8"/>
  <c r="T5419" i="8"/>
  <c r="B5419" i="8"/>
  <c r="T5420" i="8"/>
  <c r="B5420" i="8"/>
  <c r="T5421" i="8"/>
  <c r="B5421" i="8"/>
  <c r="T5422" i="8"/>
  <c r="B5422" i="8"/>
  <c r="T5423" i="8"/>
  <c r="B5423" i="8"/>
  <c r="T5424" i="8"/>
  <c r="B5424" i="8"/>
  <c r="T5425" i="8"/>
  <c r="B5425" i="8"/>
  <c r="T5426" i="8"/>
  <c r="B5426" i="8"/>
  <c r="T5427" i="8"/>
  <c r="B5427" i="8"/>
  <c r="T5428" i="8"/>
  <c r="B5428" i="8"/>
  <c r="T5429" i="8"/>
  <c r="B5429" i="8"/>
  <c r="T5430" i="8"/>
  <c r="B5430" i="8"/>
  <c r="T5431" i="8"/>
  <c r="B5431" i="8"/>
  <c r="T5432" i="8"/>
  <c r="B5432" i="8"/>
  <c r="T5433" i="8"/>
  <c r="B5433" i="8"/>
  <c r="T5434" i="8"/>
  <c r="B5434" i="8"/>
  <c r="T5435" i="8"/>
  <c r="B5435" i="8"/>
  <c r="T5436" i="8"/>
  <c r="B5436" i="8"/>
  <c r="T5437" i="8"/>
  <c r="B5437" i="8"/>
  <c r="T5438" i="8"/>
  <c r="B5438" i="8"/>
  <c r="T5439" i="8"/>
  <c r="B5439" i="8"/>
  <c r="T5440" i="8"/>
  <c r="B5440" i="8"/>
  <c r="T5441" i="8"/>
  <c r="B5441" i="8"/>
  <c r="T5442" i="8"/>
  <c r="B5442" i="8"/>
  <c r="T5443" i="8"/>
  <c r="B5443" i="8"/>
  <c r="T5444" i="8"/>
  <c r="B5444" i="8"/>
  <c r="T5445" i="8"/>
  <c r="B5445" i="8"/>
  <c r="T5446" i="8"/>
  <c r="B5446" i="8"/>
  <c r="T5447" i="8"/>
  <c r="B5447" i="8"/>
  <c r="T5448" i="8"/>
  <c r="B5448" i="8"/>
  <c r="T5449" i="8"/>
  <c r="B5449" i="8"/>
  <c r="T5450" i="8"/>
  <c r="B5450" i="8"/>
  <c r="T5451" i="8"/>
  <c r="B5451" i="8"/>
  <c r="T5452" i="8"/>
  <c r="B5452" i="8"/>
  <c r="T5453" i="8"/>
  <c r="B5453" i="8"/>
  <c r="T5454" i="8"/>
  <c r="B5454" i="8"/>
  <c r="T5455" i="8"/>
  <c r="B5455" i="8"/>
  <c r="T5456" i="8"/>
  <c r="B5456" i="8"/>
  <c r="T5457" i="8"/>
  <c r="B5457" i="8"/>
  <c r="T5458" i="8"/>
  <c r="B5458" i="8"/>
  <c r="T5459" i="8"/>
  <c r="B5459" i="8"/>
  <c r="T5460" i="8"/>
  <c r="B5460" i="8"/>
  <c r="T5461" i="8"/>
  <c r="B5461" i="8"/>
  <c r="T5462" i="8"/>
  <c r="B5462" i="8"/>
  <c r="T5463" i="8"/>
  <c r="B5463" i="8"/>
  <c r="T5464" i="8"/>
  <c r="B5464" i="8"/>
  <c r="T5465" i="8"/>
  <c r="B5465" i="8"/>
  <c r="T5466" i="8"/>
  <c r="B5466" i="8"/>
  <c r="T5467" i="8"/>
  <c r="B5467" i="8"/>
  <c r="T5468" i="8"/>
  <c r="B5468" i="8"/>
  <c r="T5469" i="8"/>
  <c r="B5469" i="8"/>
  <c r="T5470" i="8"/>
  <c r="B5470" i="8"/>
  <c r="T5471" i="8"/>
  <c r="B5471" i="8"/>
  <c r="T5472" i="8"/>
  <c r="B5472" i="8"/>
  <c r="T5473" i="8"/>
  <c r="B5473" i="8"/>
  <c r="T5474" i="8"/>
  <c r="B5474" i="8"/>
  <c r="T5475" i="8"/>
  <c r="B5475" i="8"/>
  <c r="T5476" i="8"/>
  <c r="B5476" i="8"/>
  <c r="T5477" i="8"/>
  <c r="B5477" i="8"/>
  <c r="T5478" i="8"/>
  <c r="B5478" i="8"/>
  <c r="T5479" i="8"/>
  <c r="B5479" i="8"/>
  <c r="T5480" i="8"/>
  <c r="B5480" i="8"/>
  <c r="T5481" i="8"/>
  <c r="B5481" i="8"/>
  <c r="T5482" i="8"/>
  <c r="B5482" i="8"/>
  <c r="T5483" i="8"/>
  <c r="B5483" i="8"/>
  <c r="T5484" i="8"/>
  <c r="B5484" i="8"/>
  <c r="T5485" i="8"/>
  <c r="B5485" i="8"/>
  <c r="T5486" i="8"/>
  <c r="B5486" i="8"/>
  <c r="T5487" i="8"/>
  <c r="B5487" i="8"/>
  <c r="T5488" i="8"/>
  <c r="B5488" i="8"/>
  <c r="T5489" i="8"/>
  <c r="B5489" i="8"/>
  <c r="T5490" i="8"/>
  <c r="B5490" i="8"/>
  <c r="T5491" i="8"/>
  <c r="B5491" i="8"/>
  <c r="T5492" i="8"/>
  <c r="B5492" i="8"/>
  <c r="T5493" i="8"/>
  <c r="B5493" i="8"/>
  <c r="T5494" i="8"/>
  <c r="B5494" i="8"/>
  <c r="T5495" i="8"/>
  <c r="B5495" i="8"/>
  <c r="T5496" i="8"/>
  <c r="B5496" i="8"/>
  <c r="T5497" i="8"/>
  <c r="B5497" i="8"/>
  <c r="T5498" i="8"/>
  <c r="B5498" i="8"/>
  <c r="T5499" i="8"/>
  <c r="B5499" i="8"/>
  <c r="T5500" i="8"/>
  <c r="B5500" i="8"/>
  <c r="T5501" i="8"/>
  <c r="B5501" i="8"/>
  <c r="T5502" i="8"/>
  <c r="B5502" i="8"/>
  <c r="T5503" i="8"/>
  <c r="B5503" i="8"/>
  <c r="T5504" i="8"/>
  <c r="B5504" i="8"/>
  <c r="T5505" i="8"/>
  <c r="B5505" i="8"/>
  <c r="T5506" i="8"/>
  <c r="B5506" i="8"/>
  <c r="T5507" i="8"/>
  <c r="B5507" i="8"/>
  <c r="T5508" i="8"/>
  <c r="B5508" i="8"/>
  <c r="T5509" i="8"/>
  <c r="B5509" i="8"/>
  <c r="T5510" i="8"/>
  <c r="B5510" i="8"/>
  <c r="T5511" i="8"/>
  <c r="B5511" i="8"/>
  <c r="T5512" i="8"/>
  <c r="B5512" i="8"/>
  <c r="T5513" i="8"/>
  <c r="B5513" i="8"/>
  <c r="T5514" i="8"/>
  <c r="B5514" i="8"/>
  <c r="T5515" i="8"/>
  <c r="B5515" i="8"/>
  <c r="T5516" i="8"/>
  <c r="B5516" i="8"/>
  <c r="T5517" i="8"/>
  <c r="B5517" i="8"/>
  <c r="T5518" i="8"/>
  <c r="B5518" i="8"/>
  <c r="T5519" i="8"/>
  <c r="B5519" i="8"/>
  <c r="T5520" i="8"/>
  <c r="B5520" i="8"/>
  <c r="T5521" i="8"/>
  <c r="B5521" i="8"/>
  <c r="T5522" i="8"/>
  <c r="B5522" i="8"/>
  <c r="T5523" i="8"/>
  <c r="B5523" i="8"/>
  <c r="T5524" i="8"/>
  <c r="B5524" i="8"/>
  <c r="T5525" i="8"/>
  <c r="B5525" i="8"/>
  <c r="T5526" i="8"/>
  <c r="B5526" i="8"/>
  <c r="T5527" i="8"/>
  <c r="B5527" i="8"/>
  <c r="T5528" i="8"/>
  <c r="B5528" i="8"/>
  <c r="T5529" i="8"/>
  <c r="B5529" i="8"/>
  <c r="T5530" i="8"/>
  <c r="B5530" i="8"/>
  <c r="T5531" i="8"/>
  <c r="B5531" i="8"/>
  <c r="T5532" i="8"/>
  <c r="B5532" i="8"/>
  <c r="T5533" i="8"/>
  <c r="B5533" i="8"/>
  <c r="T5534" i="8"/>
  <c r="B5534" i="8"/>
  <c r="T5535" i="8"/>
  <c r="B5535" i="8"/>
  <c r="T5536" i="8"/>
  <c r="B5536" i="8"/>
  <c r="T5537" i="8"/>
  <c r="B5537" i="8"/>
  <c r="T5538" i="8"/>
  <c r="B5538" i="8"/>
  <c r="T5539" i="8"/>
  <c r="B5539" i="8"/>
  <c r="T5540" i="8"/>
  <c r="B5540" i="8"/>
  <c r="T5541" i="8"/>
  <c r="B5541" i="8"/>
  <c r="T5542" i="8"/>
  <c r="B5542" i="8"/>
  <c r="T5543" i="8"/>
  <c r="B5543" i="8"/>
  <c r="T5544" i="8"/>
  <c r="B5544" i="8"/>
  <c r="T5545" i="8"/>
  <c r="B5545" i="8"/>
  <c r="T5546" i="8"/>
  <c r="B5546" i="8"/>
  <c r="T5547" i="8"/>
  <c r="B5547" i="8"/>
  <c r="T5548" i="8"/>
  <c r="B5548" i="8"/>
  <c r="T5549" i="8"/>
  <c r="B5549" i="8"/>
  <c r="T5550" i="8"/>
  <c r="B5550" i="8"/>
  <c r="T5551" i="8"/>
  <c r="B5551" i="8"/>
  <c r="T5552" i="8"/>
  <c r="B5552" i="8"/>
  <c r="T5553" i="8"/>
  <c r="B5553" i="8"/>
  <c r="T5554" i="8"/>
  <c r="B5554" i="8"/>
  <c r="T5555" i="8"/>
  <c r="B5555" i="8"/>
  <c r="T5556" i="8"/>
  <c r="B5556" i="8"/>
  <c r="T5557" i="8"/>
  <c r="B5557" i="8"/>
  <c r="T5558" i="8"/>
  <c r="B5558" i="8"/>
  <c r="T5559" i="8"/>
  <c r="B5559" i="8"/>
  <c r="T5560" i="8"/>
  <c r="B5560" i="8"/>
  <c r="T5561" i="8"/>
  <c r="B5561" i="8"/>
  <c r="T5562" i="8"/>
  <c r="B5562" i="8"/>
  <c r="T5563" i="8"/>
  <c r="B5563" i="8"/>
  <c r="T5564" i="8"/>
  <c r="B5564" i="8"/>
  <c r="T5565" i="8"/>
  <c r="B5565" i="8"/>
  <c r="T5566" i="8"/>
  <c r="B5566" i="8"/>
  <c r="T5567" i="8"/>
  <c r="B5567" i="8"/>
  <c r="T5568" i="8"/>
  <c r="B5568" i="8"/>
  <c r="T5569" i="8"/>
  <c r="B5569" i="8"/>
  <c r="T5570" i="8"/>
  <c r="B5570" i="8"/>
  <c r="T5571" i="8"/>
  <c r="B5571" i="8"/>
  <c r="T5572" i="8"/>
  <c r="B5572" i="8"/>
  <c r="T5573" i="8"/>
  <c r="B5573" i="8"/>
  <c r="T5574" i="8"/>
  <c r="B5574" i="8"/>
  <c r="T5575" i="8"/>
  <c r="B5575" i="8"/>
  <c r="T5576" i="8"/>
  <c r="B5576" i="8"/>
  <c r="T5577" i="8"/>
  <c r="B5577" i="8"/>
  <c r="T5578" i="8"/>
  <c r="B5578" i="8"/>
  <c r="T5579" i="8"/>
  <c r="B5579" i="8"/>
  <c r="T5580" i="8"/>
  <c r="B5580" i="8"/>
  <c r="T5581" i="8"/>
  <c r="B5581" i="8"/>
  <c r="T5582" i="8"/>
  <c r="B5582" i="8"/>
  <c r="T5583" i="8"/>
  <c r="B5583" i="8"/>
  <c r="T5584" i="8"/>
  <c r="B5584" i="8"/>
  <c r="T5585" i="8"/>
  <c r="B5585" i="8"/>
  <c r="T5586" i="8"/>
  <c r="B5586" i="8"/>
  <c r="T5587" i="8"/>
  <c r="B5587" i="8"/>
  <c r="T5588" i="8"/>
  <c r="B5588" i="8"/>
  <c r="T5589" i="8"/>
  <c r="B5589" i="8"/>
  <c r="T5590" i="8"/>
  <c r="B5590" i="8"/>
  <c r="T5591" i="8"/>
  <c r="B5591" i="8"/>
  <c r="T5592" i="8"/>
  <c r="B5592" i="8"/>
  <c r="T5593" i="8"/>
  <c r="B5593" i="8"/>
  <c r="T5594" i="8"/>
  <c r="B5594" i="8"/>
  <c r="T5595" i="8"/>
  <c r="B5595" i="8"/>
  <c r="T5596" i="8"/>
  <c r="B5596" i="8"/>
  <c r="T5597" i="8"/>
  <c r="B5597" i="8"/>
  <c r="T5598" i="8"/>
  <c r="B5598" i="8"/>
  <c r="T5599" i="8"/>
  <c r="B5599" i="8"/>
  <c r="T5600" i="8"/>
  <c r="B5600" i="8"/>
  <c r="T5601" i="8"/>
  <c r="B5601" i="8"/>
  <c r="T5602" i="8"/>
  <c r="B5602" i="8"/>
  <c r="T5603" i="8"/>
  <c r="B5603" i="8"/>
  <c r="T5604" i="8"/>
  <c r="B5604" i="8"/>
  <c r="T5605" i="8"/>
  <c r="B5605" i="8"/>
  <c r="T5606" i="8"/>
  <c r="B5606" i="8"/>
  <c r="T5607" i="8"/>
  <c r="B5607" i="8"/>
  <c r="T5608" i="8"/>
  <c r="B5608" i="8"/>
  <c r="T5609" i="8"/>
  <c r="B5609" i="8"/>
  <c r="T5610" i="8"/>
  <c r="B5610" i="8"/>
  <c r="T5611" i="8"/>
  <c r="B5611" i="8"/>
  <c r="T5612" i="8"/>
  <c r="B5612" i="8"/>
  <c r="T5613" i="8"/>
  <c r="B5613" i="8"/>
  <c r="T5614" i="8"/>
  <c r="B5614" i="8"/>
  <c r="T5615" i="8"/>
  <c r="B5615" i="8"/>
  <c r="T5616" i="8"/>
  <c r="B5616" i="8"/>
  <c r="T5617" i="8"/>
  <c r="B5617" i="8"/>
  <c r="T5618" i="8"/>
  <c r="B5618" i="8"/>
  <c r="T5619" i="8"/>
  <c r="B5619" i="8"/>
  <c r="T5620" i="8"/>
  <c r="B5620" i="8"/>
  <c r="T5621" i="8"/>
  <c r="B5621" i="8"/>
  <c r="T5622" i="8"/>
  <c r="B5622" i="8"/>
  <c r="T5623" i="8"/>
  <c r="B5623" i="8"/>
  <c r="T5624" i="8"/>
  <c r="B5624" i="8"/>
  <c r="T5625" i="8"/>
  <c r="B5625" i="8"/>
  <c r="T5626" i="8"/>
  <c r="B5626" i="8"/>
  <c r="T5627" i="8"/>
  <c r="B5627" i="8"/>
  <c r="T5628" i="8"/>
  <c r="B5628" i="8"/>
  <c r="T5629" i="8"/>
  <c r="B5629" i="8"/>
  <c r="T5630" i="8"/>
  <c r="B5630" i="8"/>
  <c r="T5631" i="8"/>
  <c r="B5631" i="8"/>
  <c r="T5632" i="8"/>
  <c r="B5632" i="8"/>
  <c r="T5633" i="8"/>
  <c r="B5633" i="8"/>
  <c r="T5634" i="8"/>
  <c r="B5634" i="8"/>
  <c r="T5635" i="8"/>
  <c r="B5635" i="8"/>
  <c r="T5636" i="8"/>
  <c r="B5636" i="8"/>
  <c r="T5637" i="8"/>
  <c r="B5637" i="8"/>
  <c r="T5638" i="8"/>
  <c r="B5638" i="8"/>
  <c r="T5639" i="8"/>
  <c r="B5639" i="8"/>
  <c r="T5640" i="8"/>
  <c r="B5640" i="8"/>
  <c r="T5641" i="8"/>
  <c r="B5641" i="8"/>
  <c r="T5642" i="8"/>
  <c r="B5642" i="8"/>
  <c r="T5643" i="8"/>
  <c r="B5643" i="8"/>
  <c r="T5644" i="8"/>
  <c r="B5644" i="8"/>
  <c r="T5645" i="8"/>
  <c r="B5645" i="8"/>
  <c r="T5646" i="8"/>
  <c r="B5646" i="8"/>
  <c r="T5647" i="8"/>
  <c r="B5647" i="8"/>
  <c r="T5648" i="8"/>
  <c r="B5648" i="8"/>
  <c r="T5649" i="8"/>
  <c r="B5649" i="8"/>
  <c r="T5650" i="8"/>
  <c r="B5650" i="8"/>
  <c r="T5651" i="8"/>
  <c r="B5651" i="8"/>
  <c r="T5652" i="8"/>
  <c r="B5652" i="8"/>
  <c r="T5653" i="8"/>
  <c r="B5653" i="8"/>
  <c r="T5654" i="8"/>
  <c r="B5654" i="8"/>
  <c r="T5655" i="8"/>
  <c r="B5655" i="8"/>
  <c r="T5656" i="8"/>
  <c r="B5656" i="8"/>
  <c r="T5657" i="8"/>
  <c r="B5657" i="8"/>
  <c r="T5658" i="8"/>
  <c r="B5658" i="8"/>
  <c r="T5659" i="8"/>
  <c r="B5659" i="8"/>
  <c r="T5660" i="8"/>
  <c r="B5660" i="8"/>
  <c r="T5661" i="8"/>
  <c r="B5661" i="8"/>
  <c r="T5662" i="8"/>
  <c r="B5662" i="8"/>
  <c r="T5663" i="8"/>
  <c r="B5663" i="8"/>
  <c r="T5664" i="8"/>
  <c r="B5664" i="8"/>
  <c r="T5665" i="8"/>
  <c r="B5665" i="8"/>
  <c r="T5666" i="8"/>
  <c r="B5666" i="8"/>
  <c r="T5667" i="8"/>
  <c r="B5667" i="8"/>
  <c r="T5668" i="8"/>
  <c r="B5668" i="8"/>
  <c r="T5669" i="8"/>
  <c r="B5669" i="8"/>
  <c r="T5670" i="8"/>
  <c r="B5670" i="8"/>
  <c r="T5671" i="8"/>
  <c r="B5671" i="8"/>
  <c r="T5672" i="8"/>
  <c r="B5672" i="8"/>
  <c r="T5673" i="8"/>
  <c r="B5673" i="8"/>
  <c r="T5674" i="8"/>
  <c r="B5674" i="8"/>
  <c r="T5675" i="8"/>
  <c r="B5675" i="8"/>
  <c r="T5676" i="8"/>
  <c r="B5676" i="8"/>
  <c r="T5677" i="8"/>
  <c r="B5677" i="8"/>
  <c r="T5678" i="8"/>
  <c r="B5678" i="8"/>
  <c r="T5679" i="8"/>
  <c r="B5679" i="8"/>
  <c r="T5680" i="8"/>
  <c r="B5680" i="8"/>
  <c r="T5681" i="8"/>
  <c r="B5681" i="8"/>
  <c r="T5682" i="8"/>
  <c r="B5682" i="8"/>
  <c r="T5683" i="8"/>
  <c r="B5683" i="8"/>
  <c r="T5684" i="8"/>
  <c r="B5684" i="8"/>
  <c r="T5685" i="8"/>
  <c r="B5685" i="8"/>
  <c r="T5686" i="8"/>
  <c r="B5686" i="8"/>
  <c r="T5687" i="8"/>
  <c r="B5687" i="8"/>
  <c r="T5688" i="8"/>
  <c r="B5688" i="8"/>
  <c r="T5689" i="8"/>
  <c r="B5689" i="8"/>
  <c r="T5690" i="8"/>
  <c r="B5690" i="8"/>
  <c r="T5691" i="8"/>
  <c r="B5691" i="8"/>
  <c r="T5692" i="8"/>
  <c r="B5692" i="8"/>
  <c r="T5693" i="8"/>
  <c r="B5693" i="8"/>
  <c r="T5694" i="8"/>
  <c r="B5694" i="8"/>
  <c r="T5695" i="8"/>
  <c r="B5695" i="8"/>
  <c r="T5696" i="8"/>
  <c r="B5696" i="8"/>
  <c r="T5697" i="8"/>
  <c r="B5697" i="8"/>
  <c r="T5698" i="8"/>
  <c r="B5698" i="8"/>
  <c r="T5699" i="8"/>
  <c r="B5699" i="8"/>
  <c r="T5700" i="8"/>
  <c r="B5700" i="8"/>
  <c r="T5701" i="8"/>
  <c r="B5701" i="8"/>
  <c r="T5702" i="8"/>
  <c r="B5702" i="8"/>
  <c r="T5703" i="8"/>
  <c r="B5703" i="8"/>
  <c r="T5704" i="8"/>
  <c r="B5704" i="8"/>
  <c r="T5705" i="8"/>
  <c r="B5705" i="8"/>
  <c r="T5706" i="8"/>
  <c r="B5706" i="8"/>
  <c r="T5707" i="8"/>
  <c r="B5707" i="8"/>
  <c r="T5708" i="8"/>
  <c r="B5708" i="8"/>
  <c r="T5709" i="8"/>
  <c r="B5709" i="8"/>
  <c r="T5710" i="8"/>
  <c r="B5710" i="8"/>
  <c r="T5711" i="8"/>
  <c r="B5711" i="8"/>
  <c r="T5712" i="8"/>
  <c r="B5712" i="8"/>
  <c r="T5713" i="8"/>
  <c r="B5713" i="8"/>
  <c r="T5714" i="8"/>
  <c r="B5714" i="8"/>
  <c r="T5715" i="8"/>
  <c r="B5715" i="8"/>
  <c r="T5716" i="8"/>
  <c r="B5716" i="8"/>
  <c r="T5717" i="8"/>
  <c r="B5717" i="8"/>
  <c r="T5718" i="8"/>
  <c r="B5718" i="8"/>
  <c r="T5719" i="8"/>
  <c r="B5719" i="8"/>
  <c r="T5720" i="8"/>
  <c r="B5720" i="8"/>
  <c r="T5721" i="8"/>
  <c r="B5721" i="8"/>
  <c r="T5722" i="8"/>
  <c r="B5722" i="8"/>
  <c r="T5723" i="8"/>
  <c r="B5723" i="8"/>
  <c r="T5724" i="8"/>
  <c r="B5724" i="8"/>
  <c r="T5725" i="8"/>
  <c r="B5725" i="8"/>
  <c r="T5726" i="8"/>
  <c r="B5726" i="8"/>
  <c r="T5727" i="8"/>
  <c r="B5727" i="8"/>
  <c r="T5728" i="8"/>
  <c r="B5728" i="8"/>
  <c r="T5729" i="8"/>
  <c r="B5729" i="8"/>
  <c r="T5730" i="8"/>
  <c r="B5730" i="8"/>
  <c r="T5731" i="8"/>
  <c r="B5731" i="8"/>
  <c r="T5732" i="8"/>
  <c r="B5732" i="8"/>
  <c r="T5733" i="8"/>
  <c r="B5733" i="8"/>
  <c r="T5734" i="8"/>
  <c r="B5734" i="8"/>
  <c r="T5735" i="8"/>
  <c r="B5735" i="8"/>
  <c r="T5736" i="8"/>
  <c r="B5736" i="8"/>
  <c r="T5737" i="8"/>
  <c r="B5737" i="8"/>
  <c r="T5738" i="8"/>
  <c r="B5738" i="8"/>
  <c r="T5739" i="8"/>
  <c r="B5739" i="8"/>
  <c r="T5740" i="8"/>
  <c r="B5740" i="8"/>
  <c r="T5741" i="8"/>
  <c r="B5741" i="8"/>
  <c r="T5742" i="8"/>
  <c r="B5742" i="8"/>
  <c r="T5743" i="8"/>
  <c r="B5743" i="8"/>
  <c r="T5744" i="8"/>
  <c r="B5744" i="8"/>
  <c r="T5745" i="8"/>
  <c r="B5745" i="8"/>
  <c r="T5746" i="8"/>
  <c r="B5746" i="8"/>
  <c r="T5747" i="8"/>
  <c r="B5747" i="8"/>
  <c r="T5748" i="8"/>
  <c r="B5748" i="8"/>
  <c r="T5749" i="8"/>
  <c r="B5749" i="8"/>
  <c r="T5750" i="8"/>
  <c r="B5750" i="8"/>
  <c r="T5751" i="8"/>
  <c r="B5751" i="8"/>
  <c r="T5752" i="8"/>
  <c r="B5752" i="8"/>
  <c r="T5753" i="8"/>
  <c r="B5753" i="8"/>
  <c r="T5754" i="8"/>
  <c r="B5754" i="8"/>
  <c r="T5755" i="8"/>
  <c r="B5755" i="8"/>
  <c r="T5756" i="8"/>
  <c r="B5756" i="8"/>
  <c r="T5757" i="8"/>
  <c r="B5757" i="8"/>
  <c r="T5758" i="8"/>
  <c r="B5758" i="8"/>
  <c r="T5759" i="8"/>
  <c r="B5759" i="8"/>
  <c r="T5760" i="8"/>
  <c r="B5760" i="8"/>
  <c r="T5761" i="8"/>
  <c r="B5761" i="8"/>
  <c r="T5762" i="8"/>
  <c r="B5762" i="8"/>
  <c r="T5763" i="8"/>
  <c r="B5763" i="8"/>
  <c r="T5764" i="8"/>
  <c r="B5764" i="8"/>
  <c r="T5765" i="8"/>
  <c r="B5765" i="8"/>
  <c r="T5766" i="8"/>
  <c r="B5766" i="8"/>
  <c r="T5767" i="8"/>
  <c r="B5767" i="8"/>
  <c r="T5768" i="8"/>
  <c r="B5768" i="8"/>
  <c r="T5769" i="8"/>
  <c r="B5769" i="8"/>
  <c r="T5770" i="8"/>
  <c r="B5770" i="8"/>
  <c r="T5771" i="8"/>
  <c r="B5771" i="8"/>
  <c r="T5772" i="8"/>
  <c r="B5772" i="8"/>
  <c r="T5773" i="8"/>
  <c r="B5773" i="8"/>
  <c r="T5774" i="8"/>
  <c r="B5774" i="8"/>
  <c r="T5775" i="8"/>
  <c r="B5775" i="8"/>
  <c r="T5776" i="8"/>
  <c r="B5776" i="8"/>
  <c r="T5777" i="8"/>
  <c r="B5777" i="8"/>
  <c r="T5778" i="8"/>
  <c r="B5778" i="8"/>
  <c r="T5779" i="8"/>
  <c r="B5779" i="8"/>
  <c r="T5780" i="8"/>
  <c r="B5780" i="8"/>
  <c r="T5781" i="8"/>
  <c r="B5781" i="8"/>
  <c r="T5782" i="8"/>
  <c r="B5782" i="8"/>
  <c r="T5783" i="8"/>
  <c r="B5783" i="8"/>
  <c r="T5784" i="8"/>
  <c r="B5784" i="8"/>
  <c r="T5785" i="8"/>
  <c r="B5785" i="8"/>
  <c r="T5786" i="8"/>
  <c r="B5786" i="8"/>
  <c r="T5787" i="8"/>
  <c r="B5787" i="8"/>
  <c r="T5788" i="8"/>
  <c r="B5788" i="8"/>
  <c r="T5789" i="8"/>
  <c r="B5789" i="8"/>
  <c r="T5790" i="8"/>
  <c r="B5790" i="8"/>
  <c r="T5791" i="8"/>
  <c r="B5791" i="8"/>
  <c r="T5792" i="8"/>
  <c r="B5792" i="8"/>
  <c r="T5793" i="8"/>
  <c r="B5793" i="8"/>
  <c r="T5794" i="8"/>
  <c r="B5794" i="8"/>
  <c r="T5795" i="8"/>
  <c r="B5795" i="8"/>
  <c r="T5796" i="8"/>
  <c r="B5796" i="8"/>
  <c r="T5797" i="8"/>
  <c r="B5797" i="8"/>
  <c r="T5798" i="8"/>
  <c r="B5798" i="8"/>
  <c r="T5799" i="8"/>
  <c r="B5799" i="8"/>
  <c r="T5800" i="8"/>
  <c r="B5800" i="8"/>
  <c r="T5801" i="8"/>
  <c r="B5801" i="8"/>
  <c r="T5802" i="8"/>
  <c r="B5802" i="8"/>
  <c r="T5803" i="8"/>
  <c r="B5803" i="8"/>
  <c r="T5804" i="8"/>
  <c r="B5804" i="8"/>
  <c r="T5805" i="8"/>
  <c r="B5805" i="8"/>
  <c r="T5806" i="8"/>
  <c r="B5806" i="8"/>
  <c r="T5807" i="8"/>
  <c r="B5807" i="8"/>
  <c r="T5808" i="8"/>
  <c r="B5808" i="8"/>
  <c r="T5809" i="8"/>
  <c r="B5809" i="8"/>
  <c r="T5810" i="8"/>
  <c r="B5810" i="8"/>
  <c r="T5811" i="8"/>
  <c r="B5811" i="8"/>
  <c r="T5812" i="8"/>
  <c r="B5812" i="8"/>
  <c r="T5813" i="8"/>
  <c r="B5813" i="8"/>
  <c r="T5814" i="8"/>
  <c r="B5814" i="8"/>
  <c r="T5815" i="8"/>
  <c r="B5815" i="8"/>
  <c r="T5816" i="8"/>
  <c r="B5816" i="8"/>
  <c r="T5817" i="8"/>
  <c r="B5817" i="8"/>
  <c r="T5818" i="8"/>
  <c r="B5818" i="8"/>
  <c r="T5819" i="8"/>
  <c r="B5819" i="8"/>
  <c r="T5820" i="8"/>
  <c r="B5820" i="8"/>
  <c r="T5821" i="8"/>
  <c r="B5821" i="8"/>
  <c r="T5822" i="8"/>
  <c r="B5822" i="8"/>
  <c r="T5823" i="8"/>
  <c r="B5823" i="8"/>
  <c r="T5824" i="8"/>
  <c r="B5824" i="8"/>
  <c r="T5825" i="8"/>
  <c r="B5825" i="8"/>
  <c r="T5826" i="8"/>
  <c r="B5826" i="8"/>
  <c r="T5827" i="8"/>
  <c r="B5827" i="8"/>
  <c r="T5828" i="8"/>
  <c r="B5828" i="8"/>
  <c r="T5829" i="8"/>
  <c r="B5829" i="8"/>
  <c r="T5830" i="8"/>
  <c r="B5830" i="8"/>
  <c r="T5831" i="8"/>
  <c r="B5831" i="8"/>
  <c r="T5832" i="8"/>
  <c r="B5832" i="8"/>
  <c r="T5833" i="8"/>
  <c r="B5833" i="8"/>
  <c r="T5834" i="8"/>
  <c r="B5834" i="8"/>
  <c r="T5835" i="8"/>
  <c r="B5835" i="8"/>
  <c r="T5836" i="8"/>
  <c r="B5836" i="8"/>
  <c r="T5837" i="8"/>
  <c r="B5837" i="8"/>
  <c r="T5838" i="8"/>
  <c r="B5838" i="8"/>
  <c r="T5839" i="8"/>
  <c r="B5839" i="8"/>
  <c r="T5840" i="8"/>
  <c r="B5840" i="8"/>
  <c r="T5841" i="8"/>
  <c r="B5841" i="8"/>
  <c r="T5842" i="8"/>
  <c r="B5842" i="8"/>
  <c r="T5843" i="8"/>
  <c r="B5843" i="8"/>
  <c r="T5844" i="8"/>
  <c r="B5844" i="8"/>
  <c r="T5845" i="8"/>
  <c r="B5845" i="8"/>
  <c r="T5846" i="8"/>
  <c r="B5846" i="8"/>
  <c r="T5847" i="8"/>
  <c r="B5847" i="8"/>
  <c r="T5848" i="8"/>
  <c r="B5848" i="8"/>
  <c r="T5849" i="8"/>
  <c r="B5849" i="8"/>
  <c r="T5850" i="8"/>
  <c r="B5850" i="8"/>
  <c r="T5851" i="8"/>
  <c r="B5851" i="8"/>
  <c r="T5852" i="8"/>
  <c r="B5852" i="8"/>
  <c r="T5853" i="8"/>
  <c r="B5853" i="8"/>
  <c r="T5854" i="8"/>
  <c r="B5854" i="8"/>
  <c r="T5855" i="8"/>
  <c r="B5855" i="8"/>
  <c r="T5856" i="8"/>
  <c r="B5856" i="8"/>
  <c r="T5857" i="8"/>
  <c r="B5857" i="8"/>
  <c r="T5858" i="8"/>
  <c r="B5858" i="8"/>
  <c r="T5859" i="8"/>
  <c r="B5859" i="8"/>
  <c r="T5860" i="8"/>
  <c r="B5860" i="8"/>
  <c r="T5861" i="8"/>
  <c r="B5861" i="8"/>
  <c r="T5862" i="8"/>
  <c r="B5862" i="8"/>
  <c r="T5863" i="8"/>
  <c r="B5863" i="8"/>
  <c r="T5864" i="8"/>
  <c r="B5864" i="8"/>
  <c r="T5865" i="8"/>
  <c r="B5865" i="8"/>
  <c r="T5866" i="8"/>
  <c r="B5866" i="8"/>
  <c r="T5867" i="8"/>
  <c r="B5867" i="8"/>
  <c r="T5868" i="8"/>
  <c r="B5868" i="8"/>
  <c r="T5869" i="8"/>
  <c r="B5869" i="8"/>
  <c r="T5870" i="8"/>
  <c r="B5870" i="8"/>
  <c r="T5871" i="8"/>
  <c r="B5871" i="8"/>
  <c r="T5872" i="8"/>
  <c r="B5872" i="8"/>
  <c r="T5873" i="8"/>
  <c r="B5873" i="8"/>
  <c r="T5874" i="8"/>
  <c r="B5874" i="8"/>
  <c r="T5875" i="8"/>
  <c r="B5875" i="8"/>
  <c r="T5876" i="8"/>
  <c r="B5876" i="8"/>
  <c r="T5877" i="8"/>
  <c r="B5877" i="8"/>
  <c r="T5878" i="8"/>
  <c r="B5878" i="8"/>
  <c r="T5879" i="8"/>
  <c r="B5879" i="8"/>
  <c r="T5880" i="8"/>
  <c r="B5880" i="8"/>
  <c r="T5881" i="8"/>
  <c r="B5881" i="8"/>
  <c r="T5882" i="8"/>
  <c r="B5882" i="8"/>
  <c r="T5883" i="8"/>
  <c r="B5883" i="8"/>
  <c r="T5884" i="8"/>
  <c r="B5884" i="8"/>
  <c r="T5885" i="8"/>
  <c r="B5885" i="8"/>
  <c r="T5886" i="8"/>
  <c r="B5886" i="8"/>
  <c r="T5887" i="8"/>
  <c r="B5887" i="8"/>
  <c r="T5888" i="8"/>
  <c r="B5888" i="8"/>
  <c r="T5889" i="8"/>
  <c r="B5889" i="8"/>
  <c r="T5890" i="8"/>
  <c r="B5890" i="8"/>
  <c r="T5891" i="8"/>
  <c r="B5891" i="8"/>
  <c r="T5892" i="8"/>
  <c r="B5892" i="8"/>
  <c r="T5893" i="8"/>
  <c r="B5893" i="8"/>
  <c r="T5894" i="8"/>
  <c r="B5894" i="8"/>
  <c r="T5895" i="8"/>
  <c r="B5895" i="8"/>
  <c r="T5896" i="8"/>
  <c r="B5896" i="8"/>
  <c r="T5897" i="8"/>
  <c r="B5897" i="8"/>
  <c r="T5898" i="8"/>
  <c r="B5898" i="8"/>
  <c r="T5899" i="8"/>
  <c r="B5899" i="8"/>
  <c r="T5900" i="8"/>
  <c r="B5900" i="8"/>
  <c r="T5901" i="8"/>
  <c r="B5901" i="8"/>
  <c r="T5902" i="8"/>
  <c r="B5902" i="8"/>
  <c r="T5903" i="8"/>
  <c r="B5903" i="8"/>
  <c r="T5904" i="8"/>
  <c r="B5904" i="8"/>
  <c r="T5905" i="8"/>
  <c r="B5905" i="8"/>
  <c r="T5906" i="8"/>
  <c r="B5906" i="8"/>
  <c r="T5907" i="8"/>
  <c r="B5907" i="8"/>
  <c r="T5908" i="8"/>
  <c r="B5908" i="8"/>
  <c r="T5909" i="8"/>
  <c r="B5909" i="8"/>
  <c r="T5910" i="8"/>
  <c r="B5910" i="8"/>
  <c r="T5911" i="8"/>
  <c r="B5911" i="8"/>
  <c r="T5912" i="8"/>
  <c r="B5912" i="8"/>
  <c r="T5913" i="8"/>
  <c r="B5913" i="8"/>
  <c r="T5914" i="8"/>
  <c r="B5914" i="8"/>
  <c r="T5915" i="8"/>
  <c r="B5915" i="8"/>
  <c r="T5916" i="8"/>
  <c r="B5916" i="8"/>
  <c r="T5917" i="8"/>
  <c r="B5917" i="8"/>
  <c r="T5918" i="8"/>
  <c r="B5918" i="8"/>
  <c r="T5919" i="8"/>
  <c r="B5919" i="8"/>
  <c r="T5920" i="8"/>
  <c r="B5920" i="8"/>
  <c r="T5921" i="8"/>
  <c r="B5921" i="8"/>
  <c r="T5922" i="8"/>
  <c r="B5922" i="8"/>
  <c r="T5923" i="8"/>
  <c r="B5923" i="8"/>
  <c r="T5924" i="8"/>
  <c r="B5924" i="8"/>
  <c r="T5925" i="8"/>
  <c r="B5925" i="8"/>
  <c r="T5926" i="8"/>
  <c r="B5926" i="8"/>
  <c r="T5927" i="8"/>
  <c r="B5927" i="8"/>
  <c r="T5928" i="8"/>
  <c r="B5928" i="8"/>
  <c r="T5929" i="8"/>
  <c r="B5929" i="8"/>
  <c r="T5930" i="8"/>
  <c r="B5930" i="8"/>
  <c r="T5931" i="8"/>
  <c r="B5931" i="8"/>
  <c r="T5932" i="8"/>
  <c r="B5932" i="8"/>
  <c r="T5933" i="8"/>
  <c r="B5933" i="8"/>
  <c r="T5934" i="8"/>
  <c r="B5934" i="8"/>
  <c r="T5935" i="8"/>
  <c r="B5935" i="8"/>
  <c r="T5936" i="8"/>
  <c r="B5936" i="8"/>
  <c r="T5937" i="8"/>
  <c r="B5937" i="8"/>
  <c r="T5938" i="8"/>
  <c r="B5938" i="8"/>
  <c r="T5939" i="8"/>
  <c r="B5939" i="8"/>
  <c r="T5940" i="8"/>
  <c r="B5940" i="8"/>
  <c r="T5941" i="8"/>
  <c r="B5941" i="8"/>
  <c r="T5942" i="8"/>
  <c r="B5942" i="8"/>
  <c r="T5943" i="8"/>
  <c r="B5943" i="8"/>
  <c r="T5944" i="8"/>
  <c r="B5944" i="8"/>
  <c r="T5945" i="8"/>
  <c r="B5945" i="8"/>
  <c r="T5946" i="8"/>
  <c r="B5946" i="8"/>
  <c r="T5947" i="8"/>
  <c r="B5947" i="8"/>
  <c r="T5948" i="8"/>
  <c r="B5948" i="8"/>
  <c r="T5949" i="8"/>
  <c r="B5949" i="8"/>
  <c r="T5950" i="8"/>
  <c r="B5950" i="8"/>
  <c r="T5951" i="8"/>
  <c r="B5951" i="8"/>
  <c r="T5952" i="8"/>
  <c r="B5952" i="8"/>
  <c r="T5953" i="8"/>
  <c r="B5953" i="8"/>
  <c r="T5954" i="8"/>
  <c r="B5954" i="8"/>
  <c r="T5955" i="8"/>
  <c r="B5955" i="8"/>
  <c r="T5956" i="8"/>
  <c r="B5956" i="8"/>
  <c r="T5957" i="8"/>
  <c r="B5957" i="8"/>
  <c r="T5958" i="8"/>
  <c r="B5958" i="8"/>
  <c r="T5959" i="8"/>
  <c r="B5959" i="8"/>
  <c r="T5960" i="8"/>
  <c r="B5960" i="8"/>
  <c r="T5961" i="8"/>
  <c r="B5961" i="8"/>
  <c r="T5962" i="8"/>
  <c r="B5962" i="8"/>
  <c r="T5963" i="8"/>
  <c r="B5963" i="8"/>
  <c r="T5964" i="8"/>
  <c r="B5964" i="8"/>
  <c r="T5965" i="8"/>
  <c r="B5965" i="8"/>
  <c r="T5966" i="8"/>
  <c r="B5966" i="8"/>
  <c r="T5967" i="8"/>
  <c r="B5967" i="8"/>
  <c r="T5968" i="8"/>
  <c r="B5968" i="8"/>
  <c r="T5969" i="8"/>
  <c r="B5969" i="8"/>
  <c r="T5970" i="8"/>
  <c r="B5970" i="8"/>
  <c r="T5971" i="8"/>
  <c r="B5971" i="8"/>
  <c r="T5972" i="8"/>
  <c r="B5972" i="8"/>
  <c r="T5973" i="8"/>
  <c r="B5973" i="8"/>
  <c r="T5974" i="8"/>
  <c r="B5974" i="8"/>
  <c r="T5975" i="8"/>
  <c r="B5975" i="8"/>
  <c r="T5976" i="8"/>
  <c r="B5976" i="8"/>
  <c r="T5977" i="8"/>
  <c r="B5977" i="8"/>
  <c r="T5978" i="8"/>
  <c r="B5978" i="8"/>
  <c r="T5979" i="8"/>
  <c r="B5979" i="8"/>
  <c r="T5980" i="8"/>
  <c r="B5980" i="8"/>
  <c r="T5981" i="8"/>
  <c r="B5981" i="8"/>
  <c r="T5982" i="8"/>
  <c r="B5982" i="8"/>
  <c r="T5983" i="8"/>
  <c r="B5983" i="8"/>
  <c r="T5984" i="8"/>
  <c r="B5984" i="8"/>
  <c r="T5985" i="8"/>
  <c r="B5985" i="8"/>
  <c r="T5986" i="8"/>
  <c r="B5986" i="8"/>
  <c r="T5987" i="8"/>
  <c r="B5987" i="8"/>
  <c r="T5988" i="8"/>
  <c r="B5988" i="8"/>
  <c r="T5989" i="8"/>
  <c r="B5989" i="8"/>
  <c r="T5990" i="8"/>
  <c r="B5990" i="8"/>
  <c r="T5991" i="8"/>
  <c r="B5991" i="8"/>
  <c r="T5992" i="8"/>
  <c r="B5992" i="8"/>
  <c r="T5993" i="8"/>
  <c r="B5993" i="8"/>
  <c r="T5994" i="8"/>
  <c r="B5994" i="8"/>
  <c r="T5995" i="8"/>
  <c r="B5995" i="8"/>
  <c r="T5996" i="8"/>
  <c r="B5996" i="8"/>
  <c r="T5997" i="8"/>
  <c r="B5997" i="8"/>
  <c r="T5998" i="8"/>
  <c r="B5998" i="8"/>
  <c r="T5999" i="8"/>
  <c r="B5999" i="8"/>
  <c r="T6000" i="8"/>
  <c r="B6000" i="8"/>
  <c r="T3" i="8"/>
  <c r="T4" i="8"/>
  <c r="T5" i="8"/>
  <c r="T6" i="8"/>
  <c r="T7" i="8"/>
  <c r="T8" i="8"/>
  <c r="T9" i="8"/>
  <c r="T10" i="8"/>
  <c r="T11" i="8"/>
  <c r="T12" i="8"/>
  <c r="T13" i="8"/>
  <c r="T14" i="8"/>
  <c r="T15" i="8"/>
  <c r="T16" i="8"/>
  <c r="T17" i="8"/>
  <c r="T18" i="8"/>
  <c r="T19" i="8"/>
  <c r="T20" i="8"/>
  <c r="T21" i="8"/>
  <c r="T22" i="8"/>
  <c r="T23" i="8"/>
  <c r="T24" i="8"/>
  <c r="T25" i="8"/>
  <c r="T26" i="8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4" i="8"/>
  <c r="T45" i="8"/>
  <c r="T46" i="8"/>
  <c r="T47" i="8"/>
  <c r="T48" i="8"/>
  <c r="T49" i="8"/>
  <c r="T50" i="8"/>
  <c r="T51" i="8"/>
  <c r="T52" i="8"/>
  <c r="T53" i="8"/>
  <c r="T54" i="8"/>
  <c r="T55" i="8"/>
  <c r="T56" i="8"/>
  <c r="T57" i="8"/>
  <c r="T58" i="8"/>
  <c r="T59" i="8"/>
  <c r="T60" i="8"/>
  <c r="T61" i="8"/>
  <c r="T62" i="8"/>
  <c r="T63" i="8"/>
  <c r="T64" i="8"/>
  <c r="T65" i="8"/>
  <c r="T66" i="8"/>
  <c r="T67" i="8"/>
  <c r="T68" i="8"/>
  <c r="T69" i="8"/>
  <c r="T70" i="8"/>
  <c r="T71" i="8"/>
  <c r="T72" i="8"/>
  <c r="T73" i="8"/>
  <c r="T74" i="8"/>
  <c r="T75" i="8"/>
  <c r="T76" i="8"/>
  <c r="T77" i="8"/>
  <c r="T78" i="8"/>
  <c r="T79" i="8"/>
  <c r="T80" i="8"/>
  <c r="T81" i="8"/>
  <c r="T82" i="8"/>
  <c r="T83" i="8"/>
  <c r="T84" i="8"/>
  <c r="T85" i="8"/>
  <c r="T86" i="8"/>
  <c r="T87" i="8"/>
  <c r="T88" i="8"/>
  <c r="T89" i="8"/>
  <c r="T90" i="8"/>
  <c r="T91" i="8"/>
  <c r="T92" i="8"/>
  <c r="T93" i="8"/>
  <c r="T94" i="8"/>
  <c r="T95" i="8"/>
  <c r="T96" i="8"/>
  <c r="T97" i="8"/>
  <c r="T98" i="8"/>
  <c r="T99" i="8"/>
  <c r="T100" i="8"/>
  <c r="T101" i="8"/>
  <c r="T102" i="8"/>
  <c r="T103" i="8"/>
  <c r="T104" i="8"/>
  <c r="T105" i="8"/>
  <c r="T106" i="8"/>
  <c r="T107" i="8"/>
  <c r="T108" i="8"/>
  <c r="T109" i="8"/>
  <c r="T110" i="8"/>
  <c r="T111" i="8"/>
  <c r="T112" i="8"/>
  <c r="T113" i="8"/>
  <c r="T114" i="8"/>
  <c r="T115" i="8"/>
  <c r="T116" i="8"/>
  <c r="T117" i="8"/>
  <c r="T118" i="8"/>
  <c r="T119" i="8"/>
  <c r="T120" i="8"/>
  <c r="T121" i="8"/>
  <c r="T122" i="8"/>
  <c r="T123" i="8"/>
  <c r="T124" i="8"/>
  <c r="T125" i="8"/>
  <c r="T126" i="8"/>
  <c r="T127" i="8"/>
  <c r="T128" i="8"/>
  <c r="T129" i="8"/>
  <c r="T130" i="8"/>
  <c r="T131" i="8"/>
  <c r="T132" i="8"/>
  <c r="T133" i="8"/>
  <c r="T134" i="8"/>
  <c r="T135" i="8"/>
  <c r="T136" i="8"/>
  <c r="T137" i="8"/>
  <c r="T138" i="8"/>
  <c r="T139" i="8"/>
  <c r="T140" i="8"/>
  <c r="T141" i="8"/>
  <c r="T142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60" i="8"/>
  <c r="T161" i="8"/>
  <c r="T162" i="8"/>
  <c r="T163" i="8"/>
  <c r="T164" i="8"/>
  <c r="T165" i="8"/>
  <c r="T166" i="8"/>
  <c r="T167" i="8"/>
  <c r="T168" i="8"/>
  <c r="T169" i="8"/>
  <c r="T170" i="8"/>
  <c r="T171" i="8"/>
  <c r="T172" i="8"/>
  <c r="T173" i="8"/>
  <c r="T174" i="8"/>
  <c r="T175" i="8"/>
  <c r="T176" i="8"/>
  <c r="T177" i="8"/>
  <c r="T178" i="8"/>
  <c r="T179" i="8"/>
  <c r="T180" i="8"/>
  <c r="T181" i="8"/>
  <c r="T182" i="8"/>
  <c r="T183" i="8"/>
  <c r="T184" i="8"/>
  <c r="T185" i="8"/>
  <c r="T186" i="8"/>
  <c r="T187" i="8"/>
  <c r="T188" i="8"/>
  <c r="T189" i="8"/>
  <c r="T190" i="8"/>
  <c r="T191" i="8"/>
  <c r="T192" i="8"/>
  <c r="T193" i="8"/>
  <c r="T194" i="8"/>
  <c r="T195" i="8"/>
  <c r="T196" i="8"/>
  <c r="T197" i="8"/>
  <c r="T198" i="8"/>
  <c r="T199" i="8"/>
  <c r="T200" i="8"/>
  <c r="T201" i="8"/>
  <c r="T202" i="8"/>
  <c r="T203" i="8"/>
  <c r="T204" i="8"/>
  <c r="T205" i="8"/>
  <c r="T206" i="8"/>
  <c r="T207" i="8"/>
  <c r="T208" i="8"/>
  <c r="T209" i="8"/>
  <c r="T210" i="8"/>
  <c r="T211" i="8"/>
  <c r="T212" i="8"/>
  <c r="T213" i="8"/>
  <c r="T214" i="8"/>
  <c r="T215" i="8"/>
  <c r="T216" i="8"/>
  <c r="T217" i="8"/>
  <c r="T218" i="8"/>
  <c r="T219" i="8"/>
  <c r="T220" i="8"/>
  <c r="T221" i="8"/>
  <c r="T222" i="8"/>
  <c r="T223" i="8"/>
  <c r="T224" i="8"/>
  <c r="T225" i="8"/>
  <c r="T226" i="8"/>
  <c r="T227" i="8"/>
  <c r="T228" i="8"/>
  <c r="T229" i="8"/>
  <c r="T230" i="8"/>
  <c r="T231" i="8"/>
  <c r="T232" i="8"/>
  <c r="T233" i="8"/>
  <c r="T234" i="8"/>
  <c r="T235" i="8"/>
  <c r="T236" i="8"/>
  <c r="T237" i="8"/>
  <c r="T238" i="8"/>
  <c r="T239" i="8"/>
  <c r="T240" i="8"/>
  <c r="T241" i="8"/>
  <c r="T242" i="8"/>
  <c r="T243" i="8"/>
  <c r="T244" i="8"/>
  <c r="T245" i="8"/>
  <c r="T246" i="8"/>
  <c r="T247" i="8"/>
  <c r="T248" i="8"/>
  <c r="T249" i="8"/>
  <c r="T250" i="8"/>
  <c r="T251" i="8"/>
  <c r="T252" i="8"/>
  <c r="T253" i="8"/>
  <c r="T254" i="8"/>
  <c r="T255" i="8"/>
  <c r="T256" i="8"/>
  <c r="T257" i="8"/>
  <c r="T258" i="8"/>
  <c r="T259" i="8"/>
  <c r="T260" i="8"/>
  <c r="T261" i="8"/>
  <c r="T262" i="8"/>
  <c r="T263" i="8"/>
  <c r="T264" i="8"/>
  <c r="T265" i="8"/>
  <c r="T266" i="8"/>
  <c r="T267" i="8"/>
  <c r="T268" i="8"/>
  <c r="T269" i="8"/>
  <c r="T270" i="8"/>
  <c r="T271" i="8"/>
  <c r="T272" i="8"/>
  <c r="T273" i="8"/>
  <c r="T274" i="8"/>
  <c r="T275" i="8"/>
  <c r="T276" i="8"/>
  <c r="T277" i="8"/>
  <c r="T278" i="8"/>
  <c r="T279" i="8"/>
  <c r="T280" i="8"/>
  <c r="T281" i="8"/>
  <c r="T282" i="8"/>
  <c r="T283" i="8"/>
  <c r="T284" i="8"/>
  <c r="T285" i="8"/>
  <c r="T286" i="8"/>
  <c r="T287" i="8"/>
  <c r="T288" i="8"/>
  <c r="T289" i="8"/>
  <c r="T290" i="8"/>
  <c r="T291" i="8"/>
  <c r="T292" i="8"/>
  <c r="T293" i="8"/>
  <c r="T294" i="8"/>
  <c r="T295" i="8"/>
  <c r="T296" i="8"/>
  <c r="T297" i="8"/>
  <c r="T298" i="8"/>
  <c r="T299" i="8"/>
  <c r="T300" i="8"/>
  <c r="T301" i="8"/>
  <c r="T302" i="8"/>
  <c r="T303" i="8"/>
  <c r="T304" i="8"/>
  <c r="T305" i="8"/>
  <c r="T306" i="8"/>
  <c r="T307" i="8"/>
  <c r="T308" i="8"/>
  <c r="T309" i="8"/>
  <c r="T310" i="8"/>
  <c r="T311" i="8"/>
  <c r="T312" i="8"/>
  <c r="T313" i="8"/>
  <c r="T314" i="8"/>
  <c r="T315" i="8"/>
  <c r="T316" i="8"/>
  <c r="T317" i="8"/>
  <c r="T318" i="8"/>
  <c r="T319" i="8"/>
  <c r="T320" i="8"/>
  <c r="T321" i="8"/>
  <c r="T322" i="8"/>
  <c r="T323" i="8"/>
  <c r="T324" i="8"/>
  <c r="T325" i="8"/>
  <c r="T326" i="8"/>
  <c r="T327" i="8"/>
  <c r="T328" i="8"/>
  <c r="T329" i="8"/>
  <c r="T330" i="8"/>
  <c r="T331" i="8"/>
  <c r="T332" i="8"/>
  <c r="T333" i="8"/>
  <c r="T334" i="8"/>
  <c r="T335" i="8"/>
  <c r="T336" i="8"/>
  <c r="T337" i="8"/>
  <c r="T338" i="8"/>
  <c r="T339" i="8"/>
  <c r="T340" i="8"/>
  <c r="T341" i="8"/>
  <c r="T342" i="8"/>
  <c r="T343" i="8"/>
  <c r="T344" i="8"/>
  <c r="T345" i="8"/>
  <c r="T346" i="8"/>
  <c r="T347" i="8"/>
  <c r="T348" i="8"/>
  <c r="T349" i="8"/>
  <c r="T350" i="8"/>
  <c r="T351" i="8"/>
  <c r="T352" i="8"/>
  <c r="T353" i="8"/>
  <c r="T354" i="8"/>
  <c r="T355" i="8"/>
  <c r="T356" i="8"/>
  <c r="T357" i="8"/>
  <c r="T358" i="8"/>
  <c r="T359" i="8"/>
  <c r="T360" i="8"/>
  <c r="T361" i="8"/>
  <c r="T362" i="8"/>
  <c r="T363" i="8"/>
  <c r="T364" i="8"/>
  <c r="T365" i="8"/>
  <c r="T366" i="8"/>
  <c r="T367" i="8"/>
  <c r="T368" i="8"/>
  <c r="T369" i="8"/>
  <c r="T370" i="8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T560" i="8"/>
  <c r="T561" i="8"/>
  <c r="T562" i="8"/>
  <c r="T563" i="8"/>
  <c r="T564" i="8"/>
  <c r="T565" i="8"/>
  <c r="T566" i="8"/>
  <c r="T567" i="8"/>
  <c r="T568" i="8"/>
  <c r="T569" i="8"/>
  <c r="T570" i="8"/>
  <c r="T571" i="8"/>
  <c r="T572" i="8"/>
  <c r="T573" i="8"/>
  <c r="T574" i="8"/>
  <c r="T575" i="8"/>
  <c r="T576" i="8"/>
  <c r="T577" i="8"/>
  <c r="T578" i="8"/>
  <c r="T579" i="8"/>
  <c r="T580" i="8"/>
  <c r="T581" i="8"/>
  <c r="T582" i="8"/>
  <c r="T583" i="8"/>
  <c r="T584" i="8"/>
  <c r="T585" i="8"/>
  <c r="T586" i="8"/>
  <c r="T587" i="8"/>
  <c r="T588" i="8"/>
  <c r="T589" i="8"/>
  <c r="T590" i="8"/>
  <c r="T591" i="8"/>
  <c r="T592" i="8"/>
  <c r="T593" i="8"/>
  <c r="T594" i="8"/>
  <c r="T595" i="8"/>
  <c r="T596" i="8"/>
  <c r="T597" i="8"/>
  <c r="T598" i="8"/>
  <c r="T599" i="8"/>
  <c r="T600" i="8"/>
  <c r="T601" i="8"/>
  <c r="T602" i="8"/>
  <c r="T603" i="8"/>
  <c r="T604" i="8"/>
  <c r="T605" i="8"/>
  <c r="T606" i="8"/>
  <c r="T607" i="8"/>
  <c r="T608" i="8"/>
  <c r="T609" i="8"/>
  <c r="T610" i="8"/>
  <c r="T611" i="8"/>
  <c r="T612" i="8"/>
  <c r="T613" i="8"/>
  <c r="T614" i="8"/>
  <c r="T615" i="8"/>
  <c r="T616" i="8"/>
  <c r="T617" i="8"/>
  <c r="T618" i="8"/>
  <c r="T619" i="8"/>
  <c r="T620" i="8"/>
  <c r="T621" i="8"/>
  <c r="T622" i="8"/>
  <c r="T623" i="8"/>
  <c r="T624" i="8"/>
  <c r="T625" i="8"/>
  <c r="T626" i="8"/>
  <c r="T627" i="8"/>
  <c r="T628" i="8"/>
  <c r="T629" i="8"/>
  <c r="T630" i="8"/>
  <c r="T631" i="8"/>
  <c r="T632" i="8"/>
  <c r="T633" i="8"/>
  <c r="T634" i="8"/>
  <c r="T635" i="8"/>
  <c r="T636" i="8"/>
  <c r="T637" i="8"/>
  <c r="T638" i="8"/>
  <c r="T639" i="8"/>
  <c r="T640" i="8"/>
  <c r="T641" i="8"/>
  <c r="T642" i="8"/>
  <c r="T643" i="8"/>
  <c r="T644" i="8"/>
  <c r="T645" i="8"/>
  <c r="T646" i="8"/>
  <c r="T647" i="8"/>
  <c r="T648" i="8"/>
  <c r="T649" i="8"/>
  <c r="T650" i="8"/>
  <c r="T651" i="8"/>
  <c r="T652" i="8"/>
  <c r="T653" i="8"/>
  <c r="T654" i="8"/>
  <c r="T655" i="8"/>
  <c r="T656" i="8"/>
  <c r="T657" i="8"/>
  <c r="T658" i="8"/>
  <c r="T659" i="8"/>
  <c r="T660" i="8"/>
  <c r="T661" i="8"/>
  <c r="T662" i="8"/>
  <c r="T663" i="8"/>
  <c r="T664" i="8"/>
  <c r="T665" i="8"/>
  <c r="T666" i="8"/>
  <c r="T667" i="8"/>
  <c r="T668" i="8"/>
  <c r="T669" i="8"/>
  <c r="T670" i="8"/>
  <c r="T671" i="8"/>
  <c r="T672" i="8"/>
  <c r="T673" i="8"/>
  <c r="T674" i="8"/>
  <c r="T675" i="8"/>
  <c r="T676" i="8"/>
  <c r="T677" i="8"/>
  <c r="T678" i="8"/>
  <c r="T679" i="8"/>
  <c r="T680" i="8"/>
  <c r="T681" i="8"/>
  <c r="T682" i="8"/>
  <c r="T683" i="8"/>
  <c r="T684" i="8"/>
  <c r="T685" i="8"/>
  <c r="T686" i="8"/>
  <c r="T687" i="8"/>
  <c r="T688" i="8"/>
  <c r="T689" i="8"/>
  <c r="T690" i="8"/>
  <c r="T691" i="8"/>
  <c r="T692" i="8"/>
  <c r="T693" i="8"/>
  <c r="T694" i="8"/>
  <c r="T695" i="8"/>
  <c r="T696" i="8"/>
  <c r="T697" i="8"/>
  <c r="T698" i="8"/>
  <c r="T699" i="8"/>
  <c r="T700" i="8"/>
  <c r="T701" i="8"/>
  <c r="T702" i="8"/>
  <c r="T703" i="8"/>
  <c r="T704" i="8"/>
  <c r="T705" i="8"/>
  <c r="T706" i="8"/>
  <c r="T707" i="8"/>
  <c r="T708" i="8"/>
  <c r="T709" i="8"/>
  <c r="T710" i="8"/>
  <c r="T711" i="8"/>
  <c r="T712" i="8"/>
  <c r="T713" i="8"/>
  <c r="T714" i="8"/>
  <c r="T715" i="8"/>
  <c r="T716" i="8"/>
  <c r="T717" i="8"/>
  <c r="T718" i="8"/>
  <c r="T719" i="8"/>
  <c r="T720" i="8"/>
  <c r="T721" i="8"/>
  <c r="T722" i="8"/>
  <c r="T723" i="8"/>
  <c r="T724" i="8"/>
  <c r="T725" i="8"/>
  <c r="T726" i="8"/>
  <c r="T727" i="8"/>
  <c r="T728" i="8"/>
  <c r="T729" i="8"/>
  <c r="T730" i="8"/>
  <c r="T731" i="8"/>
  <c r="T732" i="8"/>
  <c r="T733" i="8"/>
  <c r="T734" i="8"/>
  <c r="T735" i="8"/>
  <c r="T736" i="8"/>
  <c r="T737" i="8"/>
  <c r="T738" i="8"/>
  <c r="T739" i="8"/>
  <c r="T740" i="8"/>
  <c r="T741" i="8"/>
  <c r="T742" i="8"/>
  <c r="T743" i="8"/>
  <c r="T744" i="8"/>
  <c r="T745" i="8"/>
  <c r="T746" i="8"/>
  <c r="T747" i="8"/>
  <c r="T748" i="8"/>
  <c r="T749" i="8"/>
  <c r="T750" i="8"/>
  <c r="T751" i="8"/>
  <c r="T752" i="8"/>
  <c r="T753" i="8"/>
  <c r="T754" i="8"/>
  <c r="T755" i="8"/>
  <c r="T756" i="8"/>
  <c r="T757" i="8"/>
  <c r="T758" i="8"/>
  <c r="T759" i="8"/>
  <c r="T760" i="8"/>
  <c r="T761" i="8"/>
  <c r="T762" i="8"/>
  <c r="T763" i="8"/>
  <c r="T764" i="8"/>
  <c r="T765" i="8"/>
  <c r="T766" i="8"/>
  <c r="T767" i="8"/>
  <c r="T768" i="8"/>
  <c r="T769" i="8"/>
  <c r="T770" i="8"/>
  <c r="T771" i="8"/>
  <c r="T772" i="8"/>
  <c r="T773" i="8"/>
  <c r="T774" i="8"/>
  <c r="T775" i="8"/>
  <c r="T776" i="8"/>
  <c r="T777" i="8"/>
  <c r="T778" i="8"/>
  <c r="T779" i="8"/>
  <c r="T780" i="8"/>
  <c r="T781" i="8"/>
  <c r="T782" i="8"/>
  <c r="T783" i="8"/>
  <c r="T784" i="8"/>
  <c r="T785" i="8"/>
  <c r="T786" i="8"/>
  <c r="T787" i="8"/>
  <c r="T788" i="8"/>
  <c r="T789" i="8"/>
  <c r="T790" i="8"/>
  <c r="T791" i="8"/>
  <c r="T792" i="8"/>
  <c r="T793" i="8"/>
  <c r="T794" i="8"/>
  <c r="T795" i="8"/>
  <c r="T796" i="8"/>
  <c r="T797" i="8"/>
  <c r="T798" i="8"/>
  <c r="T799" i="8"/>
  <c r="T800" i="8"/>
  <c r="T801" i="8"/>
  <c r="T802" i="8"/>
  <c r="T803" i="8"/>
  <c r="T804" i="8"/>
  <c r="T805" i="8"/>
  <c r="T806" i="8"/>
  <c r="T807" i="8"/>
  <c r="T808" i="8"/>
  <c r="T809" i="8"/>
  <c r="T810" i="8"/>
  <c r="T811" i="8"/>
  <c r="T812" i="8"/>
  <c r="T813" i="8"/>
  <c r="T814" i="8"/>
  <c r="T815" i="8"/>
  <c r="T816" i="8"/>
  <c r="T817" i="8"/>
  <c r="T818" i="8"/>
  <c r="T819" i="8"/>
  <c r="T820" i="8"/>
  <c r="T821" i="8"/>
  <c r="T822" i="8"/>
  <c r="T823" i="8"/>
  <c r="T824" i="8"/>
  <c r="T825" i="8"/>
  <c r="T826" i="8"/>
  <c r="T827" i="8"/>
  <c r="T828" i="8"/>
  <c r="T829" i="8"/>
  <c r="T830" i="8"/>
  <c r="T831" i="8"/>
  <c r="T832" i="8"/>
  <c r="T833" i="8"/>
  <c r="T834" i="8"/>
  <c r="T835" i="8"/>
  <c r="T836" i="8"/>
  <c r="T837" i="8"/>
  <c r="T838" i="8"/>
  <c r="T839" i="8"/>
  <c r="T840" i="8"/>
  <c r="T841" i="8"/>
  <c r="T842" i="8"/>
  <c r="T843" i="8"/>
  <c r="T844" i="8"/>
  <c r="T845" i="8"/>
  <c r="T846" i="8"/>
  <c r="T847" i="8"/>
  <c r="T848" i="8"/>
  <c r="T849" i="8"/>
  <c r="T850" i="8"/>
  <c r="T851" i="8"/>
  <c r="T852" i="8"/>
  <c r="T853" i="8"/>
  <c r="T854" i="8"/>
  <c r="T855" i="8"/>
  <c r="T856" i="8"/>
  <c r="T857" i="8"/>
  <c r="T858" i="8"/>
  <c r="T859" i="8"/>
  <c r="T860" i="8"/>
  <c r="T861" i="8"/>
  <c r="T862" i="8"/>
  <c r="T863" i="8"/>
  <c r="T864" i="8"/>
  <c r="T865" i="8"/>
  <c r="T866" i="8"/>
  <c r="T867" i="8"/>
  <c r="T868" i="8"/>
  <c r="T869" i="8"/>
  <c r="T870" i="8"/>
  <c r="T871" i="8"/>
  <c r="T872" i="8"/>
  <c r="T873" i="8"/>
  <c r="T874" i="8"/>
  <c r="T875" i="8"/>
  <c r="T876" i="8"/>
  <c r="T877" i="8"/>
  <c r="T878" i="8"/>
  <c r="T879" i="8"/>
  <c r="T880" i="8"/>
  <c r="T881" i="8"/>
  <c r="T882" i="8"/>
  <c r="T883" i="8"/>
  <c r="T884" i="8"/>
  <c r="T885" i="8"/>
  <c r="T886" i="8"/>
  <c r="T887" i="8"/>
  <c r="T888" i="8"/>
  <c r="T889" i="8"/>
  <c r="T890" i="8"/>
  <c r="T891" i="8"/>
  <c r="T892" i="8"/>
  <c r="T893" i="8"/>
  <c r="T894" i="8"/>
  <c r="T895" i="8"/>
  <c r="T896" i="8"/>
  <c r="T897" i="8"/>
  <c r="T898" i="8"/>
  <c r="T899" i="8"/>
  <c r="T900" i="8"/>
  <c r="T901" i="8"/>
  <c r="T902" i="8"/>
  <c r="T903" i="8"/>
  <c r="T904" i="8"/>
  <c r="T905" i="8"/>
  <c r="T906" i="8"/>
  <c r="T907" i="8"/>
  <c r="T908" i="8"/>
  <c r="T909" i="8"/>
  <c r="T910" i="8"/>
  <c r="T911" i="8"/>
  <c r="T912" i="8"/>
  <c r="T913" i="8"/>
  <c r="T914" i="8"/>
  <c r="T915" i="8"/>
  <c r="T916" i="8"/>
  <c r="T917" i="8"/>
  <c r="T918" i="8"/>
  <c r="T919" i="8"/>
  <c r="T920" i="8"/>
  <c r="T921" i="8"/>
  <c r="T922" i="8"/>
  <c r="T923" i="8"/>
  <c r="T924" i="8"/>
  <c r="T925" i="8"/>
  <c r="T926" i="8"/>
  <c r="T927" i="8"/>
  <c r="T928" i="8"/>
  <c r="T929" i="8"/>
  <c r="T930" i="8"/>
  <c r="T931" i="8"/>
  <c r="T932" i="8"/>
  <c r="T933" i="8"/>
  <c r="T934" i="8"/>
  <c r="T935" i="8"/>
  <c r="T936" i="8"/>
  <c r="T937" i="8"/>
  <c r="T938" i="8"/>
  <c r="T939" i="8"/>
  <c r="T940" i="8"/>
  <c r="T941" i="8"/>
  <c r="T942" i="8"/>
  <c r="T943" i="8"/>
  <c r="T944" i="8"/>
  <c r="T945" i="8"/>
  <c r="T946" i="8"/>
  <c r="T947" i="8"/>
  <c r="T948" i="8"/>
  <c r="T949" i="8"/>
  <c r="T950" i="8"/>
  <c r="T951" i="8"/>
  <c r="T952" i="8"/>
  <c r="T953" i="8"/>
  <c r="T954" i="8"/>
  <c r="T955" i="8"/>
  <c r="T956" i="8"/>
  <c r="T957" i="8"/>
  <c r="T958" i="8"/>
  <c r="T959" i="8"/>
  <c r="T960" i="8"/>
  <c r="T961" i="8"/>
  <c r="T962" i="8"/>
  <c r="T963" i="8"/>
  <c r="T964" i="8"/>
  <c r="T965" i="8"/>
  <c r="T966" i="8"/>
  <c r="T967" i="8"/>
  <c r="T968" i="8"/>
  <c r="T969" i="8"/>
  <c r="T970" i="8"/>
  <c r="T971" i="8"/>
  <c r="T972" i="8"/>
  <c r="T973" i="8"/>
  <c r="T974" i="8"/>
  <c r="T975" i="8"/>
  <c r="T976" i="8"/>
  <c r="T977" i="8"/>
  <c r="T978" i="8"/>
  <c r="T979" i="8"/>
  <c r="T980" i="8"/>
  <c r="T981" i="8"/>
  <c r="T982" i="8"/>
  <c r="T983" i="8"/>
  <c r="T984" i="8"/>
  <c r="T985" i="8"/>
  <c r="T986" i="8"/>
  <c r="T987" i="8"/>
  <c r="T988" i="8"/>
  <c r="T989" i="8"/>
  <c r="T990" i="8"/>
  <c r="T991" i="8"/>
  <c r="T992" i="8"/>
  <c r="T993" i="8"/>
  <c r="T994" i="8"/>
  <c r="T995" i="8"/>
  <c r="T996" i="8"/>
  <c r="T997" i="8"/>
  <c r="T998" i="8"/>
  <c r="T999" i="8"/>
  <c r="T1000" i="8"/>
  <c r="T1001" i="8"/>
  <c r="T1002" i="8"/>
  <c r="T1003" i="8"/>
  <c r="T1004" i="8"/>
  <c r="T1005" i="8"/>
  <c r="T1006" i="8"/>
  <c r="T1007" i="8"/>
  <c r="T1008" i="8"/>
  <c r="T1009" i="8"/>
  <c r="T1010" i="8"/>
  <c r="T1011" i="8"/>
  <c r="T1012" i="8"/>
  <c r="T1013" i="8"/>
  <c r="T1014" i="8"/>
  <c r="T1015" i="8"/>
  <c r="T1016" i="8"/>
  <c r="T1017" i="8"/>
  <c r="T1018" i="8"/>
  <c r="T1019" i="8"/>
  <c r="T1020" i="8"/>
  <c r="T1021" i="8"/>
  <c r="T1022" i="8"/>
  <c r="T1023" i="8"/>
  <c r="T1024" i="8"/>
  <c r="T1025" i="8"/>
  <c r="T1026" i="8"/>
  <c r="T1027" i="8"/>
  <c r="T1028" i="8"/>
  <c r="T1029" i="8"/>
  <c r="T1030" i="8"/>
  <c r="T1031" i="8"/>
  <c r="T1032" i="8"/>
  <c r="T1033" i="8"/>
  <c r="T1034" i="8"/>
  <c r="T1035" i="8"/>
  <c r="T1036" i="8"/>
  <c r="T1037" i="8"/>
  <c r="T1038" i="8"/>
  <c r="T1039" i="8"/>
  <c r="T1040" i="8"/>
  <c r="T1041" i="8"/>
  <c r="T1042" i="8"/>
  <c r="T1043" i="8"/>
  <c r="T1044" i="8"/>
  <c r="T1045" i="8"/>
  <c r="T1046" i="8"/>
  <c r="T1047" i="8"/>
  <c r="T1048" i="8"/>
  <c r="T1049" i="8"/>
  <c r="T1050" i="8"/>
  <c r="T1051" i="8"/>
  <c r="T1052" i="8"/>
  <c r="T1053" i="8"/>
  <c r="T1054" i="8"/>
  <c r="T1055" i="8"/>
  <c r="T1056" i="8"/>
  <c r="T1057" i="8"/>
  <c r="T1058" i="8"/>
  <c r="T1059" i="8"/>
  <c r="T1060" i="8"/>
  <c r="T1061" i="8"/>
  <c r="T1062" i="8"/>
  <c r="T1063" i="8"/>
  <c r="T1064" i="8"/>
  <c r="T1065" i="8"/>
  <c r="T1066" i="8"/>
  <c r="T1067" i="8"/>
  <c r="T1068" i="8"/>
  <c r="T1069" i="8"/>
  <c r="T1070" i="8"/>
  <c r="T1071" i="8"/>
  <c r="T1072" i="8"/>
  <c r="T1073" i="8"/>
  <c r="T1074" i="8"/>
  <c r="T1075" i="8"/>
  <c r="T1076" i="8"/>
  <c r="T1077" i="8"/>
  <c r="T1078" i="8"/>
  <c r="T1079" i="8"/>
  <c r="T1080" i="8"/>
  <c r="T1081" i="8"/>
  <c r="T1082" i="8"/>
  <c r="T1083" i="8"/>
  <c r="T1084" i="8"/>
  <c r="T1085" i="8"/>
  <c r="T1086" i="8"/>
  <c r="T1087" i="8"/>
  <c r="T1088" i="8"/>
  <c r="T1089" i="8"/>
  <c r="T1090" i="8"/>
  <c r="T1091" i="8"/>
  <c r="T1092" i="8"/>
  <c r="T1093" i="8"/>
  <c r="T1094" i="8"/>
  <c r="T1095" i="8"/>
  <c r="T1096" i="8"/>
  <c r="T1097" i="8"/>
  <c r="T1098" i="8"/>
  <c r="T1099" i="8"/>
  <c r="T1100" i="8"/>
  <c r="T1101" i="8"/>
  <c r="T1102" i="8"/>
  <c r="T1103" i="8"/>
  <c r="T1104" i="8"/>
  <c r="T1105" i="8"/>
  <c r="T1106" i="8"/>
  <c r="T1107" i="8"/>
  <c r="T1108" i="8"/>
  <c r="T1109" i="8"/>
  <c r="T1110" i="8"/>
  <c r="T1111" i="8"/>
  <c r="T1112" i="8"/>
  <c r="T1113" i="8"/>
  <c r="T1114" i="8"/>
  <c r="T1115" i="8"/>
  <c r="T1116" i="8"/>
  <c r="T1117" i="8"/>
  <c r="T1118" i="8"/>
  <c r="T1119" i="8"/>
  <c r="T1120" i="8"/>
  <c r="T1121" i="8"/>
  <c r="T1122" i="8"/>
  <c r="T1123" i="8"/>
  <c r="T1124" i="8"/>
  <c r="T1125" i="8"/>
  <c r="T1126" i="8"/>
  <c r="T1127" i="8"/>
  <c r="T1128" i="8"/>
  <c r="T1129" i="8"/>
  <c r="T1130" i="8"/>
  <c r="T1131" i="8"/>
  <c r="T1132" i="8"/>
  <c r="T1133" i="8"/>
  <c r="T1134" i="8"/>
  <c r="T1135" i="8"/>
  <c r="T1136" i="8"/>
  <c r="T1137" i="8"/>
  <c r="T1138" i="8"/>
  <c r="T1139" i="8"/>
  <c r="T1140" i="8"/>
  <c r="T1141" i="8"/>
  <c r="T1142" i="8"/>
  <c r="T1143" i="8"/>
  <c r="T1144" i="8"/>
  <c r="T1145" i="8"/>
  <c r="T1146" i="8"/>
  <c r="T1147" i="8"/>
  <c r="T1148" i="8"/>
  <c r="T1149" i="8"/>
  <c r="T1150" i="8"/>
  <c r="T1151" i="8"/>
  <c r="T1152" i="8"/>
  <c r="T1153" i="8"/>
  <c r="T1154" i="8"/>
  <c r="T1155" i="8"/>
  <c r="T1156" i="8"/>
  <c r="T1157" i="8"/>
  <c r="T1158" i="8"/>
  <c r="T1159" i="8"/>
  <c r="T1160" i="8"/>
  <c r="T1161" i="8"/>
  <c r="T1162" i="8"/>
  <c r="T1163" i="8"/>
  <c r="T1164" i="8"/>
  <c r="T1165" i="8"/>
  <c r="T1166" i="8"/>
  <c r="T1167" i="8"/>
  <c r="T1168" i="8"/>
  <c r="T1169" i="8"/>
  <c r="T1170" i="8"/>
  <c r="T1171" i="8"/>
  <c r="T1172" i="8"/>
  <c r="T1173" i="8"/>
  <c r="T1174" i="8"/>
  <c r="T1175" i="8"/>
  <c r="T1176" i="8"/>
  <c r="T1177" i="8"/>
  <c r="T1178" i="8"/>
  <c r="T1179" i="8"/>
  <c r="T1180" i="8"/>
  <c r="T1181" i="8"/>
  <c r="T1182" i="8"/>
  <c r="T1183" i="8"/>
  <c r="T1184" i="8"/>
  <c r="T1185" i="8"/>
  <c r="T1186" i="8"/>
  <c r="T1187" i="8"/>
  <c r="T1188" i="8"/>
  <c r="T1189" i="8"/>
  <c r="T1190" i="8"/>
  <c r="T1191" i="8"/>
  <c r="T1192" i="8"/>
  <c r="T1193" i="8"/>
  <c r="T1194" i="8"/>
  <c r="T1195" i="8"/>
  <c r="T1196" i="8"/>
  <c r="T1197" i="8"/>
  <c r="T1198" i="8"/>
  <c r="T1199" i="8"/>
  <c r="T1200" i="8"/>
  <c r="T1201" i="8"/>
  <c r="T1202" i="8"/>
  <c r="T1203" i="8"/>
  <c r="T1204" i="8"/>
  <c r="T1205" i="8"/>
  <c r="T1206" i="8"/>
  <c r="T1207" i="8"/>
  <c r="T1208" i="8"/>
  <c r="T1209" i="8"/>
  <c r="T1210" i="8"/>
  <c r="T1211" i="8"/>
  <c r="T1212" i="8"/>
  <c r="T1213" i="8"/>
  <c r="T1214" i="8"/>
  <c r="T1215" i="8"/>
  <c r="T1216" i="8"/>
  <c r="T1217" i="8"/>
  <c r="T1218" i="8"/>
  <c r="T1219" i="8"/>
  <c r="T1220" i="8"/>
  <c r="T1221" i="8"/>
  <c r="T1222" i="8"/>
  <c r="T1223" i="8"/>
  <c r="T1224" i="8"/>
  <c r="T1225" i="8"/>
  <c r="T1226" i="8"/>
  <c r="T1227" i="8"/>
  <c r="T1228" i="8"/>
  <c r="T1229" i="8"/>
  <c r="T1230" i="8"/>
  <c r="T1231" i="8"/>
  <c r="T1232" i="8"/>
  <c r="T1233" i="8"/>
  <c r="T1234" i="8"/>
  <c r="T1235" i="8"/>
  <c r="T1236" i="8"/>
  <c r="T1237" i="8"/>
  <c r="T1238" i="8"/>
  <c r="T1239" i="8"/>
  <c r="T1240" i="8"/>
  <c r="T1241" i="8"/>
  <c r="T1242" i="8"/>
  <c r="T1243" i="8"/>
  <c r="T1244" i="8"/>
  <c r="T1245" i="8"/>
  <c r="T1246" i="8"/>
  <c r="T1247" i="8"/>
  <c r="T1248" i="8"/>
  <c r="T1249" i="8"/>
  <c r="T1250" i="8"/>
  <c r="T1251" i="8"/>
  <c r="T1252" i="8"/>
  <c r="T1253" i="8"/>
  <c r="T1254" i="8"/>
  <c r="T1255" i="8"/>
  <c r="T1256" i="8"/>
  <c r="T1257" i="8"/>
  <c r="T1258" i="8"/>
  <c r="T1259" i="8"/>
  <c r="T1260" i="8"/>
  <c r="T1261" i="8"/>
  <c r="T1262" i="8"/>
  <c r="T1263" i="8"/>
  <c r="T1264" i="8"/>
  <c r="T1265" i="8"/>
  <c r="T1266" i="8"/>
  <c r="T1267" i="8"/>
  <c r="T1268" i="8"/>
  <c r="T1269" i="8"/>
  <c r="T1270" i="8"/>
  <c r="T1271" i="8"/>
  <c r="T1272" i="8"/>
  <c r="T1273" i="8"/>
  <c r="T1274" i="8"/>
  <c r="T1275" i="8"/>
  <c r="T1276" i="8"/>
  <c r="T1277" i="8"/>
  <c r="T1278" i="8"/>
  <c r="T1279" i="8"/>
  <c r="T1280" i="8"/>
  <c r="T1281" i="8"/>
  <c r="T1282" i="8"/>
  <c r="T1283" i="8"/>
  <c r="T1284" i="8"/>
  <c r="T1285" i="8"/>
  <c r="T1286" i="8"/>
  <c r="T1287" i="8"/>
  <c r="T1288" i="8"/>
  <c r="T1289" i="8"/>
  <c r="T1290" i="8"/>
  <c r="T1291" i="8"/>
  <c r="T1292" i="8"/>
  <c r="T1293" i="8"/>
  <c r="T1294" i="8"/>
  <c r="T1295" i="8"/>
  <c r="T1296" i="8"/>
  <c r="T1297" i="8"/>
  <c r="T1298" i="8"/>
  <c r="T1299" i="8"/>
  <c r="T1300" i="8"/>
  <c r="T1301" i="8"/>
  <c r="T1302" i="8"/>
  <c r="T1303" i="8"/>
  <c r="T1304" i="8"/>
  <c r="T1305" i="8"/>
  <c r="T1306" i="8"/>
  <c r="T1307" i="8"/>
  <c r="T1308" i="8"/>
  <c r="T1309" i="8"/>
  <c r="T1310" i="8"/>
  <c r="T1311" i="8"/>
  <c r="T1312" i="8"/>
  <c r="T1313" i="8"/>
  <c r="T1314" i="8"/>
  <c r="T1315" i="8"/>
  <c r="T1316" i="8"/>
  <c r="T1317" i="8"/>
  <c r="T1318" i="8"/>
  <c r="T1319" i="8"/>
  <c r="T1320" i="8"/>
  <c r="T1321" i="8"/>
  <c r="T1322" i="8"/>
  <c r="T1323" i="8"/>
  <c r="T1324" i="8"/>
  <c r="T1325" i="8"/>
  <c r="T1326" i="8"/>
  <c r="T1327" i="8"/>
  <c r="T1328" i="8"/>
  <c r="T1329" i="8"/>
  <c r="T1330" i="8"/>
  <c r="T1331" i="8"/>
  <c r="T1332" i="8"/>
  <c r="T1333" i="8"/>
  <c r="T1334" i="8"/>
  <c r="T1335" i="8"/>
  <c r="T1336" i="8"/>
  <c r="T1337" i="8"/>
  <c r="T1338" i="8"/>
  <c r="T1339" i="8"/>
  <c r="T1340" i="8"/>
  <c r="T1341" i="8"/>
  <c r="T1342" i="8"/>
  <c r="T1343" i="8"/>
  <c r="T1344" i="8"/>
  <c r="T1345" i="8"/>
  <c r="T1346" i="8"/>
  <c r="T1347" i="8"/>
  <c r="T1348" i="8"/>
  <c r="T1349" i="8"/>
  <c r="T1350" i="8"/>
  <c r="T1351" i="8"/>
  <c r="T1352" i="8"/>
  <c r="T1353" i="8"/>
  <c r="T1354" i="8"/>
  <c r="T1355" i="8"/>
  <c r="T1356" i="8"/>
  <c r="T1357" i="8"/>
  <c r="T1358" i="8"/>
  <c r="T1359" i="8"/>
  <c r="T1360" i="8"/>
  <c r="T1361" i="8"/>
  <c r="T1362" i="8"/>
  <c r="T1363" i="8"/>
  <c r="T1364" i="8"/>
  <c r="T1365" i="8"/>
  <c r="T1366" i="8"/>
  <c r="T1367" i="8"/>
  <c r="T1368" i="8"/>
  <c r="T1369" i="8"/>
  <c r="T1370" i="8"/>
  <c r="T1371" i="8"/>
  <c r="T1372" i="8"/>
  <c r="T1373" i="8"/>
  <c r="T1374" i="8"/>
  <c r="T1375" i="8"/>
  <c r="T1376" i="8"/>
  <c r="T1377" i="8"/>
  <c r="T1378" i="8"/>
  <c r="T1379" i="8"/>
  <c r="T1380" i="8"/>
  <c r="T1381" i="8"/>
  <c r="T1382" i="8"/>
  <c r="T1383" i="8"/>
  <c r="T1384" i="8"/>
  <c r="T1385" i="8"/>
  <c r="T1386" i="8"/>
  <c r="T1387" i="8"/>
  <c r="T1388" i="8"/>
  <c r="T1389" i="8"/>
  <c r="T1390" i="8"/>
  <c r="T1391" i="8"/>
  <c r="T1392" i="8"/>
  <c r="T1393" i="8"/>
  <c r="T1394" i="8"/>
  <c r="T1395" i="8"/>
  <c r="T1396" i="8"/>
  <c r="T1397" i="8"/>
  <c r="T1398" i="8"/>
  <c r="T1399" i="8"/>
  <c r="T1400" i="8"/>
  <c r="T1401" i="8"/>
  <c r="T1402" i="8"/>
  <c r="T1403" i="8"/>
  <c r="T1404" i="8"/>
  <c r="T1405" i="8"/>
  <c r="T1406" i="8"/>
  <c r="T1407" i="8"/>
  <c r="T1408" i="8"/>
  <c r="T1409" i="8"/>
  <c r="T1410" i="8"/>
  <c r="T1411" i="8"/>
  <c r="T1412" i="8"/>
  <c r="T1413" i="8"/>
  <c r="T1414" i="8"/>
  <c r="T1415" i="8"/>
  <c r="T1416" i="8"/>
  <c r="T1417" i="8"/>
  <c r="T1418" i="8"/>
  <c r="T1419" i="8"/>
  <c r="T1420" i="8"/>
  <c r="T1421" i="8"/>
  <c r="T1422" i="8"/>
  <c r="T1423" i="8"/>
  <c r="T1424" i="8"/>
  <c r="T1425" i="8"/>
  <c r="T1426" i="8"/>
  <c r="T1427" i="8"/>
  <c r="T1428" i="8"/>
  <c r="T1429" i="8"/>
  <c r="T1430" i="8"/>
  <c r="T1431" i="8"/>
  <c r="T1432" i="8"/>
  <c r="T1433" i="8"/>
  <c r="T1434" i="8"/>
  <c r="T1435" i="8"/>
  <c r="T1436" i="8"/>
  <c r="T1437" i="8"/>
  <c r="T1438" i="8"/>
  <c r="T1439" i="8"/>
  <c r="T1440" i="8"/>
  <c r="T1441" i="8"/>
  <c r="T1442" i="8"/>
  <c r="T1443" i="8"/>
  <c r="T1444" i="8"/>
  <c r="T1445" i="8"/>
  <c r="T1446" i="8"/>
  <c r="T1447" i="8"/>
  <c r="T1448" i="8"/>
  <c r="T1449" i="8"/>
  <c r="T1450" i="8"/>
  <c r="T1451" i="8"/>
  <c r="T1452" i="8"/>
  <c r="T1453" i="8"/>
  <c r="T1454" i="8"/>
  <c r="T1455" i="8"/>
  <c r="T1456" i="8"/>
  <c r="T1457" i="8"/>
  <c r="T1458" i="8"/>
  <c r="T1459" i="8"/>
  <c r="T1460" i="8"/>
  <c r="T1461" i="8"/>
  <c r="T1462" i="8"/>
  <c r="T1463" i="8"/>
  <c r="T1464" i="8"/>
  <c r="T1465" i="8"/>
  <c r="T1466" i="8"/>
  <c r="T1467" i="8"/>
  <c r="T1468" i="8"/>
  <c r="T1469" i="8"/>
  <c r="T1470" i="8"/>
  <c r="T1471" i="8"/>
  <c r="T1472" i="8"/>
  <c r="T1473" i="8"/>
  <c r="T1474" i="8"/>
  <c r="T1475" i="8"/>
  <c r="T1476" i="8"/>
  <c r="T1477" i="8"/>
  <c r="T1478" i="8"/>
  <c r="T1479" i="8"/>
  <c r="T1480" i="8"/>
  <c r="T1481" i="8"/>
  <c r="T1482" i="8"/>
  <c r="T1483" i="8"/>
  <c r="T1484" i="8"/>
  <c r="T1485" i="8"/>
  <c r="T1486" i="8"/>
  <c r="T1487" i="8"/>
  <c r="T1488" i="8"/>
  <c r="T1489" i="8"/>
  <c r="T1490" i="8"/>
  <c r="T1491" i="8"/>
  <c r="T1492" i="8"/>
  <c r="T1493" i="8"/>
  <c r="T1494" i="8"/>
  <c r="T1495" i="8"/>
  <c r="T1496" i="8"/>
  <c r="T1497" i="8"/>
  <c r="T1498" i="8"/>
  <c r="T1499" i="8"/>
  <c r="T1500" i="8"/>
  <c r="T1501" i="8"/>
  <c r="T1502" i="8"/>
  <c r="T1503" i="8"/>
  <c r="T1504" i="8"/>
  <c r="T1505" i="8"/>
  <c r="T1506" i="8"/>
  <c r="T1507" i="8"/>
  <c r="T1508" i="8"/>
  <c r="T1509" i="8"/>
  <c r="T1510" i="8"/>
  <c r="T1511" i="8"/>
  <c r="T1512" i="8"/>
  <c r="T1513" i="8"/>
  <c r="T1514" i="8"/>
  <c r="T1515" i="8"/>
  <c r="T1516" i="8"/>
  <c r="T1517" i="8"/>
  <c r="T1518" i="8"/>
  <c r="T1519" i="8"/>
  <c r="T1520" i="8"/>
  <c r="T1521" i="8"/>
  <c r="T1522" i="8"/>
  <c r="T1523" i="8"/>
  <c r="T1524" i="8"/>
  <c r="T1525" i="8"/>
  <c r="T1526" i="8"/>
  <c r="T1527" i="8"/>
  <c r="T1528" i="8"/>
  <c r="T1529" i="8"/>
  <c r="T1530" i="8"/>
  <c r="T1531" i="8"/>
  <c r="T1532" i="8"/>
  <c r="T1533" i="8"/>
  <c r="T1534" i="8"/>
  <c r="T1535" i="8"/>
  <c r="T1536" i="8"/>
  <c r="T1537" i="8"/>
  <c r="T1538" i="8"/>
  <c r="T1539" i="8"/>
  <c r="T1540" i="8"/>
  <c r="T1541" i="8"/>
  <c r="T1542" i="8"/>
  <c r="T1543" i="8"/>
  <c r="T1544" i="8"/>
  <c r="T1545" i="8"/>
  <c r="T1546" i="8"/>
  <c r="T1547" i="8"/>
  <c r="T1548" i="8"/>
  <c r="T1549" i="8"/>
  <c r="T1550" i="8"/>
  <c r="T1551" i="8"/>
  <c r="T1552" i="8"/>
  <c r="T1553" i="8"/>
  <c r="T1554" i="8"/>
  <c r="T1555" i="8"/>
  <c r="T1556" i="8"/>
  <c r="T1557" i="8"/>
  <c r="T1558" i="8"/>
  <c r="T1559" i="8"/>
  <c r="T1560" i="8"/>
  <c r="T1561" i="8"/>
  <c r="T1562" i="8"/>
  <c r="T1563" i="8"/>
  <c r="T1564" i="8"/>
  <c r="T1565" i="8"/>
  <c r="T1566" i="8"/>
  <c r="T1567" i="8"/>
  <c r="T1568" i="8"/>
  <c r="T1569" i="8"/>
  <c r="T1570" i="8"/>
  <c r="T1571" i="8"/>
  <c r="T1572" i="8"/>
  <c r="T1573" i="8"/>
  <c r="T1574" i="8"/>
  <c r="T1575" i="8"/>
  <c r="T1576" i="8"/>
  <c r="T1577" i="8"/>
  <c r="T1578" i="8"/>
  <c r="T1579" i="8"/>
  <c r="T1580" i="8"/>
  <c r="T1581" i="8"/>
  <c r="T1582" i="8"/>
  <c r="T1583" i="8"/>
  <c r="T1584" i="8"/>
  <c r="T1585" i="8"/>
  <c r="T1586" i="8"/>
  <c r="T1587" i="8"/>
  <c r="T1588" i="8"/>
  <c r="T1589" i="8"/>
  <c r="T1590" i="8"/>
  <c r="T1591" i="8"/>
  <c r="T1592" i="8"/>
  <c r="T1593" i="8"/>
  <c r="T1594" i="8"/>
  <c r="T1595" i="8"/>
  <c r="T1596" i="8"/>
  <c r="T1597" i="8"/>
  <c r="T1598" i="8"/>
  <c r="T1599" i="8"/>
  <c r="T1600" i="8"/>
  <c r="T1601" i="8"/>
  <c r="T1602" i="8"/>
  <c r="T1603" i="8"/>
  <c r="T1604" i="8"/>
  <c r="T1605" i="8"/>
  <c r="T1606" i="8"/>
  <c r="T1607" i="8"/>
  <c r="T1608" i="8"/>
  <c r="T1609" i="8"/>
  <c r="T1610" i="8"/>
  <c r="T1611" i="8"/>
  <c r="T1612" i="8"/>
  <c r="T1613" i="8"/>
  <c r="T1614" i="8"/>
  <c r="T1615" i="8"/>
  <c r="T1616" i="8"/>
  <c r="T1617" i="8"/>
  <c r="T1618" i="8"/>
  <c r="T1619" i="8"/>
  <c r="T1620" i="8"/>
  <c r="T1621" i="8"/>
  <c r="T1622" i="8"/>
  <c r="T1623" i="8"/>
  <c r="T1624" i="8"/>
  <c r="T1625" i="8"/>
  <c r="T1626" i="8"/>
  <c r="T1627" i="8"/>
  <c r="T1628" i="8"/>
  <c r="T1629" i="8"/>
  <c r="T1630" i="8"/>
  <c r="T1631" i="8"/>
  <c r="T1632" i="8"/>
  <c r="T1633" i="8"/>
  <c r="T1634" i="8"/>
  <c r="T1635" i="8"/>
  <c r="T1636" i="8"/>
  <c r="T1637" i="8"/>
  <c r="T1638" i="8"/>
  <c r="T1639" i="8"/>
  <c r="T1640" i="8"/>
  <c r="T1641" i="8"/>
  <c r="T1642" i="8"/>
  <c r="T1643" i="8"/>
  <c r="T1644" i="8"/>
  <c r="T1645" i="8"/>
  <c r="T1646" i="8"/>
  <c r="T1647" i="8"/>
  <c r="T1648" i="8"/>
  <c r="T1649" i="8"/>
  <c r="T1650" i="8"/>
  <c r="T1651" i="8"/>
  <c r="T1652" i="8"/>
  <c r="T1653" i="8"/>
  <c r="T1654" i="8"/>
  <c r="T1655" i="8"/>
  <c r="T1656" i="8"/>
  <c r="T1657" i="8"/>
  <c r="T1658" i="8"/>
  <c r="T1659" i="8"/>
  <c r="T1660" i="8"/>
  <c r="T1661" i="8"/>
  <c r="T1662" i="8"/>
  <c r="T1663" i="8"/>
  <c r="T1664" i="8"/>
  <c r="T1665" i="8"/>
  <c r="T1666" i="8"/>
  <c r="T1667" i="8"/>
  <c r="T1668" i="8"/>
  <c r="T1669" i="8"/>
  <c r="T1670" i="8"/>
  <c r="T1671" i="8"/>
  <c r="T1672" i="8"/>
  <c r="T1673" i="8"/>
  <c r="T1674" i="8"/>
  <c r="T1675" i="8"/>
  <c r="T1676" i="8"/>
  <c r="T1677" i="8"/>
  <c r="T1678" i="8"/>
  <c r="T1679" i="8"/>
  <c r="T1680" i="8"/>
  <c r="T1681" i="8"/>
  <c r="T1682" i="8"/>
  <c r="T1683" i="8"/>
  <c r="T1684" i="8"/>
  <c r="T1685" i="8"/>
  <c r="T1686" i="8"/>
  <c r="T1687" i="8"/>
  <c r="T1688" i="8"/>
  <c r="T1689" i="8"/>
  <c r="T1690" i="8"/>
  <c r="T1691" i="8"/>
  <c r="T1692" i="8"/>
  <c r="T1693" i="8"/>
  <c r="T1694" i="8"/>
  <c r="T1695" i="8"/>
  <c r="T1696" i="8"/>
  <c r="T1697" i="8"/>
  <c r="T1698" i="8"/>
  <c r="T1699" i="8"/>
  <c r="T1700" i="8"/>
  <c r="T1701" i="8"/>
  <c r="T1702" i="8"/>
  <c r="T1703" i="8"/>
  <c r="T1704" i="8"/>
  <c r="T1705" i="8"/>
  <c r="T1706" i="8"/>
  <c r="T1707" i="8"/>
  <c r="T1708" i="8"/>
  <c r="T1709" i="8"/>
  <c r="T1710" i="8"/>
  <c r="T1711" i="8"/>
  <c r="T1712" i="8"/>
  <c r="T1713" i="8"/>
  <c r="T1714" i="8"/>
  <c r="T1715" i="8"/>
  <c r="T1716" i="8"/>
  <c r="T1717" i="8"/>
  <c r="T1718" i="8"/>
  <c r="T1719" i="8"/>
  <c r="T1720" i="8"/>
  <c r="T1721" i="8"/>
  <c r="T1722" i="8"/>
  <c r="T1723" i="8"/>
  <c r="T1724" i="8"/>
  <c r="T1725" i="8"/>
  <c r="T1726" i="8"/>
  <c r="T1727" i="8"/>
  <c r="T1728" i="8"/>
  <c r="T1729" i="8"/>
  <c r="T1730" i="8"/>
  <c r="T1731" i="8"/>
  <c r="T1732" i="8"/>
  <c r="T1733" i="8"/>
  <c r="T1734" i="8"/>
  <c r="T1735" i="8"/>
  <c r="T1736" i="8"/>
  <c r="T1737" i="8"/>
  <c r="T1738" i="8"/>
  <c r="T1739" i="8"/>
  <c r="T1740" i="8"/>
  <c r="T1741" i="8"/>
  <c r="T1742" i="8"/>
  <c r="T1743" i="8"/>
  <c r="T1744" i="8"/>
  <c r="T1745" i="8"/>
  <c r="T1746" i="8"/>
  <c r="T1747" i="8"/>
  <c r="T1748" i="8"/>
  <c r="T1749" i="8"/>
  <c r="T1750" i="8"/>
  <c r="T1751" i="8"/>
  <c r="T1752" i="8"/>
  <c r="T1753" i="8"/>
  <c r="T1754" i="8"/>
  <c r="T1755" i="8"/>
  <c r="T1756" i="8"/>
  <c r="T1757" i="8"/>
  <c r="T1758" i="8"/>
  <c r="T1759" i="8"/>
  <c r="T1760" i="8"/>
  <c r="T1761" i="8"/>
  <c r="T1762" i="8"/>
  <c r="T1763" i="8"/>
  <c r="T1764" i="8"/>
  <c r="T1765" i="8"/>
  <c r="T1766" i="8"/>
  <c r="T1767" i="8"/>
  <c r="T1768" i="8"/>
  <c r="T1769" i="8"/>
  <c r="T1770" i="8"/>
  <c r="T1771" i="8"/>
  <c r="T1772" i="8"/>
  <c r="T1773" i="8"/>
  <c r="T1774" i="8"/>
  <c r="T1775" i="8"/>
  <c r="T1776" i="8"/>
  <c r="T1777" i="8"/>
  <c r="T1778" i="8"/>
  <c r="T1779" i="8"/>
  <c r="T1780" i="8"/>
  <c r="T1781" i="8"/>
  <c r="T1782" i="8"/>
  <c r="T1783" i="8"/>
  <c r="T1784" i="8"/>
  <c r="T1785" i="8"/>
  <c r="T1786" i="8"/>
  <c r="T1787" i="8"/>
  <c r="T1788" i="8"/>
  <c r="T1789" i="8"/>
  <c r="T1790" i="8"/>
  <c r="T1791" i="8"/>
  <c r="T1792" i="8"/>
  <c r="T1793" i="8"/>
  <c r="T1794" i="8"/>
  <c r="T1795" i="8"/>
  <c r="T1796" i="8"/>
  <c r="T1797" i="8"/>
  <c r="T1798" i="8"/>
  <c r="T1799" i="8"/>
  <c r="T1800" i="8"/>
  <c r="T1801" i="8"/>
  <c r="T1802" i="8"/>
  <c r="T1803" i="8"/>
  <c r="T1804" i="8"/>
  <c r="T1805" i="8"/>
  <c r="T1806" i="8"/>
  <c r="T1807" i="8"/>
  <c r="T1808" i="8"/>
  <c r="T1809" i="8"/>
  <c r="T1810" i="8"/>
  <c r="T1811" i="8"/>
  <c r="T1812" i="8"/>
  <c r="T1813" i="8"/>
  <c r="T1814" i="8"/>
  <c r="T1815" i="8"/>
  <c r="T1816" i="8"/>
  <c r="T1817" i="8"/>
  <c r="T1818" i="8"/>
  <c r="T1819" i="8"/>
  <c r="T1820" i="8"/>
  <c r="T1821" i="8"/>
  <c r="T1822" i="8"/>
  <c r="T1823" i="8"/>
  <c r="T1824" i="8"/>
  <c r="T1825" i="8"/>
  <c r="T1826" i="8"/>
  <c r="T1827" i="8"/>
  <c r="T1828" i="8"/>
  <c r="T1829" i="8"/>
  <c r="T1830" i="8"/>
  <c r="T1831" i="8"/>
  <c r="T1832" i="8"/>
  <c r="T1833" i="8"/>
  <c r="T1834" i="8"/>
  <c r="T1835" i="8"/>
  <c r="T1836" i="8"/>
  <c r="T1837" i="8"/>
  <c r="T1838" i="8"/>
  <c r="T1839" i="8"/>
  <c r="T1840" i="8"/>
  <c r="T1841" i="8"/>
  <c r="T1842" i="8"/>
  <c r="T1843" i="8"/>
  <c r="T1844" i="8"/>
  <c r="T1845" i="8"/>
  <c r="T1846" i="8"/>
  <c r="T1847" i="8"/>
  <c r="T1848" i="8"/>
  <c r="T1849" i="8"/>
  <c r="T1850" i="8"/>
  <c r="T1851" i="8"/>
  <c r="T1852" i="8"/>
  <c r="T1853" i="8"/>
  <c r="T1854" i="8"/>
  <c r="T1855" i="8"/>
  <c r="T1856" i="8"/>
  <c r="T1857" i="8"/>
  <c r="T1858" i="8"/>
  <c r="T1859" i="8"/>
  <c r="T1860" i="8"/>
  <c r="T1861" i="8"/>
  <c r="T1862" i="8"/>
  <c r="T1863" i="8"/>
  <c r="T1864" i="8"/>
  <c r="T1865" i="8"/>
  <c r="T1866" i="8"/>
  <c r="T1867" i="8"/>
  <c r="T1868" i="8"/>
  <c r="T1869" i="8"/>
  <c r="T1870" i="8"/>
  <c r="T1871" i="8"/>
  <c r="T1872" i="8"/>
  <c r="T1873" i="8"/>
  <c r="T1874" i="8"/>
  <c r="T1875" i="8"/>
  <c r="T1876" i="8"/>
  <c r="T1877" i="8"/>
  <c r="T1878" i="8"/>
  <c r="T1879" i="8"/>
  <c r="T1880" i="8"/>
  <c r="T1881" i="8"/>
  <c r="T1882" i="8"/>
  <c r="T1883" i="8"/>
  <c r="T1884" i="8"/>
  <c r="T1885" i="8"/>
  <c r="T1886" i="8"/>
  <c r="T1887" i="8"/>
  <c r="T1888" i="8"/>
  <c r="T1889" i="8"/>
  <c r="T1890" i="8"/>
  <c r="T1891" i="8"/>
  <c r="T1892" i="8"/>
  <c r="T1893" i="8"/>
  <c r="T1894" i="8"/>
  <c r="T1895" i="8"/>
  <c r="T1896" i="8"/>
  <c r="T1897" i="8"/>
  <c r="T1898" i="8"/>
  <c r="T1899" i="8"/>
  <c r="T1900" i="8"/>
  <c r="T1901" i="8"/>
  <c r="T1902" i="8"/>
  <c r="T1903" i="8"/>
  <c r="T1904" i="8"/>
  <c r="T1905" i="8"/>
  <c r="T1906" i="8"/>
  <c r="T1907" i="8"/>
  <c r="T1908" i="8"/>
  <c r="T1909" i="8"/>
  <c r="T1910" i="8"/>
  <c r="T1911" i="8"/>
  <c r="T1912" i="8"/>
  <c r="T1913" i="8"/>
  <c r="T1914" i="8"/>
  <c r="T1915" i="8"/>
  <c r="T1916" i="8"/>
  <c r="T1917" i="8"/>
  <c r="T1918" i="8"/>
  <c r="T1919" i="8"/>
  <c r="T1920" i="8"/>
  <c r="T1921" i="8"/>
  <c r="T1922" i="8"/>
  <c r="T1923" i="8"/>
  <c r="T1924" i="8"/>
  <c r="T1925" i="8"/>
  <c r="T1926" i="8"/>
  <c r="T1927" i="8"/>
  <c r="T1928" i="8"/>
  <c r="T1929" i="8"/>
  <c r="T1930" i="8"/>
  <c r="T1931" i="8"/>
  <c r="T1932" i="8"/>
  <c r="T1933" i="8"/>
  <c r="T1934" i="8"/>
  <c r="T1935" i="8"/>
  <c r="T1936" i="8"/>
  <c r="T1937" i="8"/>
  <c r="T1938" i="8"/>
  <c r="T1939" i="8"/>
  <c r="T1940" i="8"/>
  <c r="T1941" i="8"/>
  <c r="T1942" i="8"/>
  <c r="T1943" i="8"/>
  <c r="T1944" i="8"/>
  <c r="T1945" i="8"/>
  <c r="T1946" i="8"/>
  <c r="T1947" i="8"/>
  <c r="T1948" i="8"/>
  <c r="T1949" i="8"/>
  <c r="T1950" i="8"/>
  <c r="T1951" i="8"/>
  <c r="T1952" i="8"/>
  <c r="T1953" i="8"/>
  <c r="T1954" i="8"/>
  <c r="T1955" i="8"/>
  <c r="T1956" i="8"/>
  <c r="T1957" i="8"/>
  <c r="T1958" i="8"/>
  <c r="T1959" i="8"/>
  <c r="T1960" i="8"/>
  <c r="T1961" i="8"/>
  <c r="T1962" i="8"/>
  <c r="T1963" i="8"/>
  <c r="T1964" i="8"/>
  <c r="T1965" i="8"/>
  <c r="T1966" i="8"/>
  <c r="T1967" i="8"/>
  <c r="T1968" i="8"/>
  <c r="T1969" i="8"/>
  <c r="T1970" i="8"/>
  <c r="T1971" i="8"/>
  <c r="T1972" i="8"/>
  <c r="T1973" i="8"/>
  <c r="T1974" i="8"/>
  <c r="T1975" i="8"/>
  <c r="T1976" i="8"/>
  <c r="T1977" i="8"/>
  <c r="T1978" i="8"/>
  <c r="T1979" i="8"/>
  <c r="T1980" i="8"/>
  <c r="T1981" i="8"/>
  <c r="T1982" i="8"/>
  <c r="T1983" i="8"/>
  <c r="T1984" i="8"/>
  <c r="T1985" i="8"/>
  <c r="T1986" i="8"/>
  <c r="T1987" i="8"/>
  <c r="T1988" i="8"/>
  <c r="T1989" i="8"/>
  <c r="T1990" i="8"/>
  <c r="T1991" i="8"/>
  <c r="T1992" i="8"/>
  <c r="T1993" i="8"/>
  <c r="T1994" i="8"/>
  <c r="T1995" i="8"/>
  <c r="T1996" i="8"/>
  <c r="T1997" i="8"/>
  <c r="T1998" i="8"/>
  <c r="T1999" i="8"/>
  <c r="T2000" i="8"/>
  <c r="T2001" i="8"/>
  <c r="T2002" i="8"/>
  <c r="T2003" i="8"/>
  <c r="T2004" i="8"/>
  <c r="T2005" i="8"/>
  <c r="T2006" i="8"/>
  <c r="T2007" i="8"/>
  <c r="T2008" i="8"/>
  <c r="T2009" i="8"/>
  <c r="T2010" i="8"/>
  <c r="T2011" i="8"/>
  <c r="T2012" i="8"/>
  <c r="T2013" i="8"/>
  <c r="T2014" i="8"/>
  <c r="T2015" i="8"/>
  <c r="T2016" i="8"/>
  <c r="T2017" i="8"/>
  <c r="T2018" i="8"/>
  <c r="T2019" i="8"/>
  <c r="T2020" i="8"/>
  <c r="T2021" i="8"/>
  <c r="T2022" i="8"/>
  <c r="T2023" i="8"/>
  <c r="T2024" i="8"/>
  <c r="T2025" i="8"/>
  <c r="T2026" i="8"/>
  <c r="T2027" i="8"/>
  <c r="T2028" i="8"/>
  <c r="T2029" i="8"/>
  <c r="T2030" i="8"/>
  <c r="T2031" i="8"/>
  <c r="T2032" i="8"/>
  <c r="T2033" i="8"/>
  <c r="T2034" i="8"/>
  <c r="T2035" i="8"/>
  <c r="T2036" i="8"/>
  <c r="T2037" i="8"/>
  <c r="T2038" i="8"/>
  <c r="T2039" i="8"/>
  <c r="T2040" i="8"/>
  <c r="T2041" i="8"/>
  <c r="T2042" i="8"/>
  <c r="T2043" i="8"/>
  <c r="T2044" i="8"/>
  <c r="T2045" i="8"/>
  <c r="T2046" i="8"/>
  <c r="T2047" i="8"/>
  <c r="T2048" i="8"/>
  <c r="T2049" i="8"/>
  <c r="T2050" i="8"/>
  <c r="T2051" i="8"/>
  <c r="T2052" i="8"/>
  <c r="T2053" i="8"/>
  <c r="T2054" i="8"/>
  <c r="T2055" i="8"/>
  <c r="T2056" i="8"/>
  <c r="T2057" i="8"/>
  <c r="T2058" i="8"/>
  <c r="T2059" i="8"/>
  <c r="T2060" i="8"/>
  <c r="T2061" i="8"/>
  <c r="T2062" i="8"/>
  <c r="T2063" i="8"/>
  <c r="T2064" i="8"/>
  <c r="T2065" i="8"/>
  <c r="T2066" i="8"/>
  <c r="T2067" i="8"/>
  <c r="T2068" i="8"/>
  <c r="T2069" i="8"/>
  <c r="T2070" i="8"/>
  <c r="T2071" i="8"/>
  <c r="T2072" i="8"/>
  <c r="T2073" i="8"/>
  <c r="T2074" i="8"/>
  <c r="T2075" i="8"/>
  <c r="T2076" i="8"/>
  <c r="T2077" i="8"/>
  <c r="T2078" i="8"/>
  <c r="T2079" i="8"/>
  <c r="T2080" i="8"/>
  <c r="T2081" i="8"/>
  <c r="T2082" i="8"/>
  <c r="T2083" i="8"/>
  <c r="T2084" i="8"/>
  <c r="T2085" i="8"/>
  <c r="T2086" i="8"/>
  <c r="T2087" i="8"/>
  <c r="T2088" i="8"/>
  <c r="T2089" i="8"/>
  <c r="T2090" i="8"/>
  <c r="T2091" i="8"/>
  <c r="T2092" i="8"/>
  <c r="T2093" i="8"/>
  <c r="T2094" i="8"/>
  <c r="T2095" i="8"/>
  <c r="T2096" i="8"/>
  <c r="T2097" i="8"/>
  <c r="T2098" i="8"/>
  <c r="T2099" i="8"/>
  <c r="T2100" i="8"/>
  <c r="T2101" i="8"/>
  <c r="T2102" i="8"/>
  <c r="T2103" i="8"/>
  <c r="T2104" i="8"/>
  <c r="T2105" i="8"/>
  <c r="T2106" i="8"/>
  <c r="T2107" i="8"/>
  <c r="T2108" i="8"/>
  <c r="T2109" i="8"/>
  <c r="T2110" i="8"/>
  <c r="T2111" i="8"/>
  <c r="T2112" i="8"/>
  <c r="T2113" i="8"/>
  <c r="T2114" i="8"/>
  <c r="T2115" i="8"/>
  <c r="T2116" i="8"/>
  <c r="T2117" i="8"/>
  <c r="T2118" i="8"/>
  <c r="T2119" i="8"/>
  <c r="T2120" i="8"/>
  <c r="T2121" i="8"/>
  <c r="T2122" i="8"/>
  <c r="T2123" i="8"/>
  <c r="T2124" i="8"/>
  <c r="T2125" i="8"/>
  <c r="T2126" i="8"/>
  <c r="T2127" i="8"/>
  <c r="T2128" i="8"/>
  <c r="T2129" i="8"/>
  <c r="T2130" i="8"/>
  <c r="T2131" i="8"/>
  <c r="T2132" i="8"/>
  <c r="T2133" i="8"/>
  <c r="T2134" i="8"/>
  <c r="T2135" i="8"/>
  <c r="T2136" i="8"/>
  <c r="T2137" i="8"/>
  <c r="T2138" i="8"/>
  <c r="T2139" i="8"/>
  <c r="T2140" i="8"/>
  <c r="T2141" i="8"/>
  <c r="T2142" i="8"/>
  <c r="T2143" i="8"/>
  <c r="T2144" i="8"/>
  <c r="T2145" i="8"/>
  <c r="T2146" i="8"/>
  <c r="T2147" i="8"/>
  <c r="T2148" i="8"/>
  <c r="T2149" i="8"/>
  <c r="T2150" i="8"/>
  <c r="T2151" i="8"/>
  <c r="T2152" i="8"/>
  <c r="T2153" i="8"/>
  <c r="T2154" i="8"/>
  <c r="T2155" i="8"/>
  <c r="T2156" i="8"/>
  <c r="T2157" i="8"/>
  <c r="T2158" i="8"/>
  <c r="T2159" i="8"/>
  <c r="T2160" i="8"/>
  <c r="T2161" i="8"/>
  <c r="T2162" i="8"/>
  <c r="T2163" i="8"/>
  <c r="T2164" i="8"/>
  <c r="T2165" i="8"/>
  <c r="T2166" i="8"/>
  <c r="T2167" i="8"/>
  <c r="T2168" i="8"/>
  <c r="T2169" i="8"/>
  <c r="T2170" i="8"/>
  <c r="T2171" i="8"/>
  <c r="T2172" i="8"/>
  <c r="T2173" i="8"/>
  <c r="T2174" i="8"/>
  <c r="T2175" i="8"/>
  <c r="T2176" i="8"/>
  <c r="T2177" i="8"/>
  <c r="T2178" i="8"/>
  <c r="T2179" i="8"/>
  <c r="T2180" i="8"/>
  <c r="T2181" i="8"/>
  <c r="T2182" i="8"/>
  <c r="T2183" i="8"/>
  <c r="T2184" i="8"/>
  <c r="T2185" i="8"/>
  <c r="T2186" i="8"/>
  <c r="T2187" i="8"/>
  <c r="T2188" i="8"/>
  <c r="T2189" i="8"/>
  <c r="T2190" i="8"/>
  <c r="T2191" i="8"/>
  <c r="T2192" i="8"/>
  <c r="T2193" i="8"/>
  <c r="T2194" i="8"/>
  <c r="T2195" i="8"/>
  <c r="T2196" i="8"/>
  <c r="T2197" i="8"/>
  <c r="T2198" i="8"/>
  <c r="T2199" i="8"/>
  <c r="T2200" i="8"/>
  <c r="T2201" i="8"/>
  <c r="T2202" i="8"/>
  <c r="T2203" i="8"/>
  <c r="T2204" i="8"/>
  <c r="T2205" i="8"/>
  <c r="T2206" i="8"/>
  <c r="T2207" i="8"/>
  <c r="T2208" i="8"/>
  <c r="T2209" i="8"/>
  <c r="T2210" i="8"/>
  <c r="T2211" i="8"/>
  <c r="T2212" i="8"/>
  <c r="T2213" i="8"/>
  <c r="T2214" i="8"/>
  <c r="T2215" i="8"/>
  <c r="T2216" i="8"/>
  <c r="T2217" i="8"/>
  <c r="T2218" i="8"/>
  <c r="T2219" i="8"/>
  <c r="T2220" i="8"/>
  <c r="T2221" i="8"/>
  <c r="T2222" i="8"/>
  <c r="T2223" i="8"/>
  <c r="T2224" i="8"/>
  <c r="T2225" i="8"/>
  <c r="T2226" i="8"/>
  <c r="T2227" i="8"/>
  <c r="T2228" i="8"/>
  <c r="T2229" i="8"/>
  <c r="T2230" i="8"/>
  <c r="T2231" i="8"/>
  <c r="T2232" i="8"/>
  <c r="T2233" i="8"/>
  <c r="T2234" i="8"/>
  <c r="T2235" i="8"/>
  <c r="T2236" i="8"/>
  <c r="T2237" i="8"/>
  <c r="T2238" i="8"/>
  <c r="T2239" i="8"/>
  <c r="T2240" i="8"/>
  <c r="T2241" i="8"/>
  <c r="T2242" i="8"/>
  <c r="T2243" i="8"/>
  <c r="T2244" i="8"/>
  <c r="T2245" i="8"/>
  <c r="T2246" i="8"/>
  <c r="T2247" i="8"/>
  <c r="T2248" i="8"/>
  <c r="T2249" i="8"/>
  <c r="T2250" i="8"/>
  <c r="T2251" i="8"/>
  <c r="T2252" i="8"/>
  <c r="T2253" i="8"/>
  <c r="T2254" i="8"/>
  <c r="T2255" i="8"/>
  <c r="T2256" i="8"/>
  <c r="T2257" i="8"/>
  <c r="T2258" i="8"/>
  <c r="T2259" i="8"/>
  <c r="T2260" i="8"/>
  <c r="T2261" i="8"/>
  <c r="T2262" i="8"/>
  <c r="T2263" i="8"/>
  <c r="T2264" i="8"/>
  <c r="T2265" i="8"/>
  <c r="T2266" i="8"/>
  <c r="T2267" i="8"/>
  <c r="T2268" i="8"/>
  <c r="T2269" i="8"/>
  <c r="T2270" i="8"/>
  <c r="T2271" i="8"/>
  <c r="T2272" i="8"/>
  <c r="T2273" i="8"/>
  <c r="T2274" i="8"/>
  <c r="T2275" i="8"/>
  <c r="T2276" i="8"/>
  <c r="T2277" i="8"/>
  <c r="T2278" i="8"/>
  <c r="T2279" i="8"/>
  <c r="T2280" i="8"/>
  <c r="T2281" i="8"/>
  <c r="T2282" i="8"/>
  <c r="T2283" i="8"/>
  <c r="T2284" i="8"/>
  <c r="T2285" i="8"/>
  <c r="T2286" i="8"/>
  <c r="T2287" i="8"/>
  <c r="T2288" i="8"/>
  <c r="T2289" i="8"/>
  <c r="T2290" i="8"/>
  <c r="T2291" i="8"/>
  <c r="T2292" i="8"/>
  <c r="T2293" i="8"/>
  <c r="T2294" i="8"/>
  <c r="T2295" i="8"/>
  <c r="T2296" i="8"/>
  <c r="T2297" i="8"/>
  <c r="T2298" i="8"/>
  <c r="T2299" i="8"/>
  <c r="T2300" i="8"/>
  <c r="T2301" i="8"/>
  <c r="T2302" i="8"/>
  <c r="T2303" i="8"/>
  <c r="T2304" i="8"/>
  <c r="T2305" i="8"/>
  <c r="T2306" i="8"/>
  <c r="T2307" i="8"/>
  <c r="T2308" i="8"/>
  <c r="T2309" i="8"/>
  <c r="T2310" i="8"/>
  <c r="T2311" i="8"/>
  <c r="T2312" i="8"/>
  <c r="T2313" i="8"/>
  <c r="T2314" i="8"/>
  <c r="T2315" i="8"/>
  <c r="T2316" i="8"/>
  <c r="T2317" i="8"/>
  <c r="T2318" i="8"/>
  <c r="T2319" i="8"/>
  <c r="T2320" i="8"/>
  <c r="T2321" i="8"/>
  <c r="T2322" i="8"/>
  <c r="T2323" i="8"/>
  <c r="T2324" i="8"/>
  <c r="T2325" i="8"/>
  <c r="T2326" i="8"/>
  <c r="T2327" i="8"/>
  <c r="T2328" i="8"/>
  <c r="T2329" i="8"/>
  <c r="T2330" i="8"/>
  <c r="T2331" i="8"/>
  <c r="T2332" i="8"/>
  <c r="T2333" i="8"/>
  <c r="T2334" i="8"/>
  <c r="T2335" i="8"/>
  <c r="T2336" i="8"/>
  <c r="T2337" i="8"/>
  <c r="T2338" i="8"/>
  <c r="T2339" i="8"/>
  <c r="T2340" i="8"/>
  <c r="T2341" i="8"/>
  <c r="T2342" i="8"/>
  <c r="T2343" i="8"/>
  <c r="T2344" i="8"/>
  <c r="T2345" i="8"/>
  <c r="T2346" i="8"/>
  <c r="T2347" i="8"/>
  <c r="T2348" i="8"/>
  <c r="T2349" i="8"/>
  <c r="T2350" i="8"/>
  <c r="T2351" i="8"/>
  <c r="T2352" i="8"/>
  <c r="T2353" i="8"/>
  <c r="T2354" i="8"/>
  <c r="T2355" i="8"/>
  <c r="T2356" i="8"/>
  <c r="T2357" i="8"/>
  <c r="T2358" i="8"/>
  <c r="T2359" i="8"/>
  <c r="T2360" i="8"/>
  <c r="T2361" i="8"/>
  <c r="T2362" i="8"/>
  <c r="T2363" i="8"/>
  <c r="T2364" i="8"/>
  <c r="T2365" i="8"/>
  <c r="T2366" i="8"/>
  <c r="T2367" i="8"/>
  <c r="T2368" i="8"/>
  <c r="T2369" i="8"/>
  <c r="T2370" i="8"/>
  <c r="T2371" i="8"/>
  <c r="T2372" i="8"/>
  <c r="T2373" i="8"/>
  <c r="T2374" i="8"/>
  <c r="T2375" i="8"/>
  <c r="T2376" i="8"/>
  <c r="T2377" i="8"/>
  <c r="T2378" i="8"/>
  <c r="T2379" i="8"/>
  <c r="T2380" i="8"/>
  <c r="T2381" i="8"/>
  <c r="T2382" i="8"/>
  <c r="T2383" i="8"/>
  <c r="T2384" i="8"/>
  <c r="T2385" i="8"/>
  <c r="T2386" i="8"/>
  <c r="T2387" i="8"/>
  <c r="T2388" i="8"/>
  <c r="T2389" i="8"/>
  <c r="T2390" i="8"/>
  <c r="T2391" i="8"/>
  <c r="T2392" i="8"/>
  <c r="T2393" i="8"/>
  <c r="T2394" i="8"/>
  <c r="T2395" i="8"/>
  <c r="T2396" i="8"/>
  <c r="T2397" i="8"/>
  <c r="T2398" i="8"/>
  <c r="T2399" i="8"/>
  <c r="T2400" i="8"/>
  <c r="T2401" i="8"/>
  <c r="T2402" i="8"/>
  <c r="T2403" i="8"/>
  <c r="T2404" i="8"/>
  <c r="T2405" i="8"/>
  <c r="T2406" i="8"/>
  <c r="T2407" i="8"/>
  <c r="T2408" i="8"/>
  <c r="T2409" i="8"/>
  <c r="T2410" i="8"/>
  <c r="T2411" i="8"/>
  <c r="T2412" i="8"/>
  <c r="T2413" i="8"/>
  <c r="T2414" i="8"/>
  <c r="T2415" i="8"/>
  <c r="T2416" i="8"/>
  <c r="T2417" i="8"/>
  <c r="T2418" i="8"/>
  <c r="T2419" i="8"/>
  <c r="T2420" i="8"/>
  <c r="T2421" i="8"/>
  <c r="T2422" i="8"/>
  <c r="T2423" i="8"/>
  <c r="T2424" i="8"/>
  <c r="T2425" i="8"/>
  <c r="T2426" i="8"/>
  <c r="T2427" i="8"/>
  <c r="T2428" i="8"/>
  <c r="T2429" i="8"/>
  <c r="T2430" i="8"/>
  <c r="T2431" i="8"/>
  <c r="T2432" i="8"/>
  <c r="T2433" i="8"/>
  <c r="T2434" i="8"/>
  <c r="T2435" i="8"/>
  <c r="T2436" i="8"/>
  <c r="T2437" i="8"/>
  <c r="T2438" i="8"/>
  <c r="T2439" i="8"/>
  <c r="T2440" i="8"/>
  <c r="T2441" i="8"/>
  <c r="T2442" i="8"/>
  <c r="T2443" i="8"/>
  <c r="T2444" i="8"/>
  <c r="T2445" i="8"/>
  <c r="T2446" i="8"/>
  <c r="T2447" i="8"/>
  <c r="T2448" i="8"/>
  <c r="T2449" i="8"/>
  <c r="T2450" i="8"/>
  <c r="T2451" i="8"/>
  <c r="T2452" i="8"/>
  <c r="T2453" i="8"/>
  <c r="T2454" i="8"/>
  <c r="T2455" i="8"/>
  <c r="T2456" i="8"/>
  <c r="T2457" i="8"/>
  <c r="T2458" i="8"/>
  <c r="T2459" i="8"/>
  <c r="T2460" i="8"/>
  <c r="T2461" i="8"/>
  <c r="T2462" i="8"/>
  <c r="T2463" i="8"/>
  <c r="T2464" i="8"/>
  <c r="T2465" i="8"/>
  <c r="T2466" i="8"/>
  <c r="T2467" i="8"/>
  <c r="T2468" i="8"/>
  <c r="T2469" i="8"/>
  <c r="T2470" i="8"/>
  <c r="T2471" i="8"/>
  <c r="T2472" i="8"/>
  <c r="T2473" i="8"/>
  <c r="T2474" i="8"/>
  <c r="T2475" i="8"/>
  <c r="T2476" i="8"/>
  <c r="T2477" i="8"/>
  <c r="T2478" i="8"/>
  <c r="T2479" i="8"/>
  <c r="T2480" i="8"/>
  <c r="T2481" i="8"/>
  <c r="T2482" i="8"/>
  <c r="T2483" i="8"/>
  <c r="T2484" i="8"/>
  <c r="T2485" i="8"/>
  <c r="T2486" i="8"/>
  <c r="T2487" i="8"/>
  <c r="T2488" i="8"/>
  <c r="T2489" i="8"/>
  <c r="T2490" i="8"/>
  <c r="T2491" i="8"/>
  <c r="T2492" i="8"/>
  <c r="T2493" i="8"/>
  <c r="T2494" i="8"/>
  <c r="T2495" i="8"/>
  <c r="T2496" i="8"/>
  <c r="T2497" i="8"/>
  <c r="T2498" i="8"/>
  <c r="T2499" i="8"/>
  <c r="T2500" i="8"/>
  <c r="T2501" i="8"/>
  <c r="T2502" i="8"/>
  <c r="T2503" i="8"/>
  <c r="T2504" i="8"/>
  <c r="T2505" i="8"/>
  <c r="T2506" i="8"/>
  <c r="T2507" i="8"/>
  <c r="T2508" i="8"/>
  <c r="T2509" i="8"/>
  <c r="T2510" i="8"/>
  <c r="T2511" i="8"/>
  <c r="T2512" i="8"/>
  <c r="T2513" i="8"/>
  <c r="T2514" i="8"/>
  <c r="T2515" i="8"/>
  <c r="T2516" i="8"/>
  <c r="T2517" i="8"/>
  <c r="T2518" i="8"/>
  <c r="T2519" i="8"/>
  <c r="T2520" i="8"/>
  <c r="T2521" i="8"/>
  <c r="T2522" i="8"/>
  <c r="T2523" i="8"/>
  <c r="T2524" i="8"/>
  <c r="T2525" i="8"/>
  <c r="T2526" i="8"/>
  <c r="T2527" i="8"/>
  <c r="T2528" i="8"/>
  <c r="T2529" i="8"/>
  <c r="T2530" i="8"/>
  <c r="T2531" i="8"/>
  <c r="T2532" i="8"/>
  <c r="T2533" i="8"/>
  <c r="T2534" i="8"/>
  <c r="T2535" i="8"/>
  <c r="T2536" i="8"/>
  <c r="T2537" i="8"/>
  <c r="T2538" i="8"/>
  <c r="T2539" i="8"/>
  <c r="T2540" i="8"/>
  <c r="T2541" i="8"/>
  <c r="T2542" i="8"/>
  <c r="T2543" i="8"/>
  <c r="T2544" i="8"/>
  <c r="T2545" i="8"/>
  <c r="T2546" i="8"/>
  <c r="T2547" i="8"/>
  <c r="T2548" i="8"/>
  <c r="T2549" i="8"/>
  <c r="T2550" i="8"/>
  <c r="T2551" i="8"/>
  <c r="T2552" i="8"/>
  <c r="T2553" i="8"/>
  <c r="T2554" i="8"/>
  <c r="T2555" i="8"/>
  <c r="T2556" i="8"/>
  <c r="T2557" i="8"/>
  <c r="T2558" i="8"/>
  <c r="T2559" i="8"/>
  <c r="T2560" i="8"/>
  <c r="T2561" i="8"/>
  <c r="T2562" i="8"/>
  <c r="T2563" i="8"/>
  <c r="T2564" i="8"/>
  <c r="T2565" i="8"/>
  <c r="T2566" i="8"/>
  <c r="T2567" i="8"/>
  <c r="T2568" i="8"/>
  <c r="T2569" i="8"/>
  <c r="T2570" i="8"/>
  <c r="T2571" i="8"/>
  <c r="T2572" i="8"/>
  <c r="T2573" i="8"/>
  <c r="T2574" i="8"/>
  <c r="T2575" i="8"/>
  <c r="T2576" i="8"/>
  <c r="T2577" i="8"/>
  <c r="T2578" i="8"/>
  <c r="T2579" i="8"/>
  <c r="T2580" i="8"/>
  <c r="T2581" i="8"/>
  <c r="T2582" i="8"/>
  <c r="T2583" i="8"/>
  <c r="T2584" i="8"/>
  <c r="T2585" i="8"/>
  <c r="T2586" i="8"/>
  <c r="T2587" i="8"/>
  <c r="T2588" i="8"/>
  <c r="T2589" i="8"/>
  <c r="T2590" i="8"/>
  <c r="T2591" i="8"/>
  <c r="T2592" i="8"/>
  <c r="T2593" i="8"/>
  <c r="T2594" i="8"/>
  <c r="T2595" i="8"/>
  <c r="T2596" i="8"/>
  <c r="T2597" i="8"/>
  <c r="T2598" i="8"/>
  <c r="T2599" i="8"/>
  <c r="T2600" i="8"/>
  <c r="T2601" i="8"/>
  <c r="T2602" i="8"/>
  <c r="T2603" i="8"/>
  <c r="T2604" i="8"/>
  <c r="T2605" i="8"/>
  <c r="T2606" i="8"/>
  <c r="T2607" i="8"/>
  <c r="T2608" i="8"/>
  <c r="T2609" i="8"/>
  <c r="T2610" i="8"/>
  <c r="T2611" i="8"/>
  <c r="T2612" i="8"/>
  <c r="T2613" i="8"/>
  <c r="T2614" i="8"/>
  <c r="T2615" i="8"/>
  <c r="T2616" i="8"/>
  <c r="T2617" i="8"/>
  <c r="T2618" i="8"/>
  <c r="T2619" i="8"/>
  <c r="T2620" i="8"/>
  <c r="T2621" i="8"/>
  <c r="T2622" i="8"/>
  <c r="T2623" i="8"/>
  <c r="T2624" i="8"/>
  <c r="T2625" i="8"/>
  <c r="T2626" i="8"/>
  <c r="T2627" i="8"/>
  <c r="T2628" i="8"/>
  <c r="T2629" i="8"/>
  <c r="T2630" i="8"/>
  <c r="T2631" i="8"/>
  <c r="T2632" i="8"/>
  <c r="T2633" i="8"/>
  <c r="T2634" i="8"/>
  <c r="T2635" i="8"/>
  <c r="T2636" i="8"/>
  <c r="T2637" i="8"/>
  <c r="T2638" i="8"/>
  <c r="T2639" i="8"/>
  <c r="T2640" i="8"/>
  <c r="T2641" i="8"/>
  <c r="T2642" i="8"/>
  <c r="T2643" i="8"/>
  <c r="T2644" i="8"/>
  <c r="T2645" i="8"/>
  <c r="T2646" i="8"/>
  <c r="T2647" i="8"/>
  <c r="T2648" i="8"/>
  <c r="T2649" i="8"/>
  <c r="T2650" i="8"/>
  <c r="T2651" i="8"/>
  <c r="T2652" i="8"/>
  <c r="T2653" i="8"/>
  <c r="T2654" i="8"/>
  <c r="T2655" i="8"/>
  <c r="T2656" i="8"/>
  <c r="T2657" i="8"/>
  <c r="T2658" i="8"/>
  <c r="T2659" i="8"/>
  <c r="T2660" i="8"/>
  <c r="T2661" i="8"/>
  <c r="T2662" i="8"/>
  <c r="T2663" i="8"/>
  <c r="T2664" i="8"/>
  <c r="T2665" i="8"/>
  <c r="T2666" i="8"/>
  <c r="T2667" i="8"/>
  <c r="T2668" i="8"/>
  <c r="T2669" i="8"/>
  <c r="T2670" i="8"/>
  <c r="T2671" i="8"/>
  <c r="T2672" i="8"/>
  <c r="T2673" i="8"/>
  <c r="T2674" i="8"/>
  <c r="T2675" i="8"/>
  <c r="T2676" i="8"/>
  <c r="T2677" i="8"/>
  <c r="T2678" i="8"/>
  <c r="T2679" i="8"/>
  <c r="T2680" i="8"/>
  <c r="T2681" i="8"/>
  <c r="T2682" i="8"/>
  <c r="T2683" i="8"/>
  <c r="T2684" i="8"/>
  <c r="T2685" i="8"/>
  <c r="T2686" i="8"/>
  <c r="T2687" i="8"/>
  <c r="T2688" i="8"/>
  <c r="T2689" i="8"/>
  <c r="T2690" i="8"/>
  <c r="T2691" i="8"/>
  <c r="T2692" i="8"/>
  <c r="T2693" i="8"/>
  <c r="T2694" i="8"/>
  <c r="T2695" i="8"/>
  <c r="T2696" i="8"/>
  <c r="T2697" i="8"/>
  <c r="T2698" i="8"/>
  <c r="T2699" i="8"/>
  <c r="T2700" i="8"/>
  <c r="T2701" i="8"/>
  <c r="T2702" i="8"/>
  <c r="T2703" i="8"/>
  <c r="T2704" i="8"/>
  <c r="T2705" i="8"/>
  <c r="T2706" i="8"/>
  <c r="T2707" i="8"/>
  <c r="T2708" i="8"/>
  <c r="T2709" i="8"/>
  <c r="T2710" i="8"/>
  <c r="T2711" i="8"/>
  <c r="T2712" i="8"/>
  <c r="T2713" i="8"/>
  <c r="T2714" i="8"/>
  <c r="T2715" i="8"/>
  <c r="T2716" i="8"/>
  <c r="T2717" i="8"/>
  <c r="T2718" i="8"/>
  <c r="T2719" i="8"/>
  <c r="T2720" i="8"/>
  <c r="T2721" i="8"/>
  <c r="T2722" i="8"/>
  <c r="T2723" i="8"/>
  <c r="T2724" i="8"/>
  <c r="T2725" i="8"/>
  <c r="T2726" i="8"/>
  <c r="T2727" i="8"/>
  <c r="T2728" i="8"/>
  <c r="T2729" i="8"/>
  <c r="T2730" i="8"/>
  <c r="T2731" i="8"/>
  <c r="T2732" i="8"/>
  <c r="T2733" i="8"/>
  <c r="T2734" i="8"/>
  <c r="T2735" i="8"/>
  <c r="T2736" i="8"/>
  <c r="T2737" i="8"/>
  <c r="T2738" i="8"/>
  <c r="T2739" i="8"/>
  <c r="T2740" i="8"/>
  <c r="T2741" i="8"/>
  <c r="T2742" i="8"/>
  <c r="T2743" i="8"/>
  <c r="T2744" i="8"/>
  <c r="T2745" i="8"/>
  <c r="T2746" i="8"/>
  <c r="T2747" i="8"/>
  <c r="T2748" i="8"/>
  <c r="T2749" i="8"/>
  <c r="T2750" i="8"/>
  <c r="T2751" i="8"/>
  <c r="T2752" i="8"/>
  <c r="T2753" i="8"/>
  <c r="T2754" i="8"/>
  <c r="T2755" i="8"/>
  <c r="T2756" i="8"/>
  <c r="T2757" i="8"/>
  <c r="T2758" i="8"/>
  <c r="T2759" i="8"/>
  <c r="T2760" i="8"/>
  <c r="T2761" i="8"/>
  <c r="T2762" i="8"/>
  <c r="T2763" i="8"/>
  <c r="T2764" i="8"/>
  <c r="T2765" i="8"/>
  <c r="T2766" i="8"/>
  <c r="T2767" i="8"/>
  <c r="T2768" i="8"/>
  <c r="T2769" i="8"/>
  <c r="T2770" i="8"/>
  <c r="T2771" i="8"/>
  <c r="T2772" i="8"/>
  <c r="T2773" i="8"/>
  <c r="T2774" i="8"/>
  <c r="T2775" i="8"/>
  <c r="T2776" i="8"/>
  <c r="T2777" i="8"/>
  <c r="T2778" i="8"/>
  <c r="T2779" i="8"/>
  <c r="T2780" i="8"/>
  <c r="T2781" i="8"/>
  <c r="T2782" i="8"/>
  <c r="T2783" i="8"/>
  <c r="T2784" i="8"/>
  <c r="T2785" i="8"/>
  <c r="T2786" i="8"/>
  <c r="T2787" i="8"/>
  <c r="T2788" i="8"/>
  <c r="T2789" i="8"/>
  <c r="T2790" i="8"/>
  <c r="T2791" i="8"/>
  <c r="T2792" i="8"/>
  <c r="T2793" i="8"/>
  <c r="T2794" i="8"/>
  <c r="T2795" i="8"/>
  <c r="T2796" i="8"/>
  <c r="T2797" i="8"/>
  <c r="T2798" i="8"/>
  <c r="T2799" i="8"/>
  <c r="T2800" i="8"/>
  <c r="T2801" i="8"/>
  <c r="T2802" i="8"/>
  <c r="T2803" i="8"/>
  <c r="T2804" i="8"/>
  <c r="T2805" i="8"/>
  <c r="T2806" i="8"/>
  <c r="T2807" i="8"/>
  <c r="T2808" i="8"/>
  <c r="T2809" i="8"/>
  <c r="T2810" i="8"/>
  <c r="T2811" i="8"/>
  <c r="T2812" i="8"/>
  <c r="T2813" i="8"/>
  <c r="T2814" i="8"/>
  <c r="T2815" i="8"/>
  <c r="T2816" i="8"/>
  <c r="T2817" i="8"/>
  <c r="T2818" i="8"/>
  <c r="T2819" i="8"/>
  <c r="T2820" i="8"/>
  <c r="T2821" i="8"/>
  <c r="T2822" i="8"/>
  <c r="T2823" i="8"/>
  <c r="T2824" i="8"/>
  <c r="T2825" i="8"/>
  <c r="T2826" i="8"/>
  <c r="T2827" i="8"/>
  <c r="T2828" i="8"/>
  <c r="T2829" i="8"/>
  <c r="T2830" i="8"/>
  <c r="T2831" i="8"/>
  <c r="T2832" i="8"/>
  <c r="T2833" i="8"/>
  <c r="T2834" i="8"/>
  <c r="T2835" i="8"/>
  <c r="T2836" i="8"/>
  <c r="T2837" i="8"/>
  <c r="T2838" i="8"/>
  <c r="T2839" i="8"/>
  <c r="T2840" i="8"/>
  <c r="T2841" i="8"/>
  <c r="T2842" i="8"/>
  <c r="T2843" i="8"/>
  <c r="T2844" i="8"/>
  <c r="T2845" i="8"/>
  <c r="T2846" i="8"/>
  <c r="T2847" i="8"/>
  <c r="T2848" i="8"/>
  <c r="T2849" i="8"/>
  <c r="T2850" i="8"/>
  <c r="T2851" i="8"/>
  <c r="T2852" i="8"/>
  <c r="T2853" i="8"/>
  <c r="T2854" i="8"/>
  <c r="T2855" i="8"/>
  <c r="T2856" i="8"/>
  <c r="T2857" i="8"/>
  <c r="T2858" i="8"/>
  <c r="T2859" i="8"/>
  <c r="T2860" i="8"/>
  <c r="T2861" i="8"/>
  <c r="T2862" i="8"/>
  <c r="T2863" i="8"/>
  <c r="T2864" i="8"/>
  <c r="T2865" i="8"/>
  <c r="T2866" i="8"/>
  <c r="T2867" i="8"/>
  <c r="T2868" i="8"/>
  <c r="T2869" i="8"/>
  <c r="T2870" i="8"/>
  <c r="T2871" i="8"/>
  <c r="T2872" i="8"/>
  <c r="T2873" i="8"/>
  <c r="T2874" i="8"/>
  <c r="T2875" i="8"/>
  <c r="T2876" i="8"/>
  <c r="T2877" i="8"/>
  <c r="T2878" i="8"/>
  <c r="T2879" i="8"/>
  <c r="T2880" i="8"/>
  <c r="T2881" i="8"/>
  <c r="T2882" i="8"/>
  <c r="T2883" i="8"/>
  <c r="T2884" i="8"/>
  <c r="T2885" i="8"/>
  <c r="T2886" i="8"/>
  <c r="T2887" i="8"/>
  <c r="T2888" i="8"/>
  <c r="T2889" i="8"/>
  <c r="T2890" i="8"/>
  <c r="T2891" i="8"/>
  <c r="T2892" i="8"/>
  <c r="T2893" i="8"/>
  <c r="T2894" i="8"/>
  <c r="T2895" i="8"/>
  <c r="T2896" i="8"/>
  <c r="T2897" i="8"/>
  <c r="T2898" i="8"/>
  <c r="T2899" i="8"/>
  <c r="T2900" i="8"/>
  <c r="T2901" i="8"/>
  <c r="T2902" i="8"/>
  <c r="T2903" i="8"/>
  <c r="T2904" i="8"/>
  <c r="T2905" i="8"/>
  <c r="T2906" i="8"/>
  <c r="T2907" i="8"/>
  <c r="T2908" i="8"/>
  <c r="T2909" i="8"/>
  <c r="T2910" i="8"/>
  <c r="T2911" i="8"/>
  <c r="T2912" i="8"/>
  <c r="T2913" i="8"/>
  <c r="T2914" i="8"/>
  <c r="T2915" i="8"/>
  <c r="T2916" i="8"/>
  <c r="T2917" i="8"/>
  <c r="T2918" i="8"/>
  <c r="T2919" i="8"/>
  <c r="T2920" i="8"/>
  <c r="T2921" i="8"/>
  <c r="T2922" i="8"/>
  <c r="T2923" i="8"/>
  <c r="T2924" i="8"/>
  <c r="T2925" i="8"/>
  <c r="T2926" i="8"/>
  <c r="T2927" i="8"/>
  <c r="T2928" i="8"/>
  <c r="T2929" i="8"/>
  <c r="T2930" i="8"/>
  <c r="T2931" i="8"/>
  <c r="T2932" i="8"/>
  <c r="T2933" i="8"/>
  <c r="T2934" i="8"/>
  <c r="T2935" i="8"/>
  <c r="T2936" i="8"/>
  <c r="T2937" i="8"/>
  <c r="T2938" i="8"/>
  <c r="T2939" i="8"/>
  <c r="T2940" i="8"/>
  <c r="T2941" i="8"/>
  <c r="T2942" i="8"/>
  <c r="T2943" i="8"/>
  <c r="T2944" i="8"/>
  <c r="T2945" i="8"/>
  <c r="T2946" i="8"/>
  <c r="T2947" i="8"/>
  <c r="T2948" i="8"/>
  <c r="T2949" i="8"/>
  <c r="T2950" i="8"/>
  <c r="T2951" i="8"/>
  <c r="T2952" i="8"/>
  <c r="T2953" i="8"/>
  <c r="T2954" i="8"/>
  <c r="T2955" i="8"/>
  <c r="T2956" i="8"/>
  <c r="T2957" i="8"/>
  <c r="T2958" i="8"/>
  <c r="T2959" i="8"/>
  <c r="T2960" i="8"/>
  <c r="T2961" i="8"/>
  <c r="T2962" i="8"/>
  <c r="T2963" i="8"/>
  <c r="T2964" i="8"/>
  <c r="T2965" i="8"/>
  <c r="T2966" i="8"/>
  <c r="T2967" i="8"/>
  <c r="T2968" i="8"/>
  <c r="T2969" i="8"/>
  <c r="T2970" i="8"/>
  <c r="T2971" i="8"/>
  <c r="T2972" i="8"/>
  <c r="T2973" i="8"/>
  <c r="T2974" i="8"/>
  <c r="T2975" i="8"/>
  <c r="T2976" i="8"/>
  <c r="T2977" i="8"/>
  <c r="T2978" i="8"/>
  <c r="T2979" i="8"/>
  <c r="T2980" i="8"/>
  <c r="T2981" i="8"/>
  <c r="T2982" i="8"/>
  <c r="T2983" i="8"/>
  <c r="T2984" i="8"/>
  <c r="T2985" i="8"/>
  <c r="T2986" i="8"/>
  <c r="T2987" i="8"/>
  <c r="T2988" i="8"/>
  <c r="T2989" i="8"/>
  <c r="T2990" i="8"/>
  <c r="T2991" i="8"/>
  <c r="T2992" i="8"/>
  <c r="T2993" i="8"/>
  <c r="T2994" i="8"/>
  <c r="T2995" i="8"/>
  <c r="T2996" i="8"/>
  <c r="T2997" i="8"/>
  <c r="T2998" i="8"/>
  <c r="T2999" i="8"/>
  <c r="T3000" i="8"/>
  <c r="T3001" i="8"/>
  <c r="T3002" i="8"/>
  <c r="T3003" i="8"/>
  <c r="T3004" i="8"/>
  <c r="T3005" i="8"/>
  <c r="T3006" i="8"/>
  <c r="T3007" i="8"/>
  <c r="T3008" i="8"/>
  <c r="T3009" i="8"/>
  <c r="T3010" i="8"/>
  <c r="T3011" i="8"/>
  <c r="T3012" i="8"/>
  <c r="T3013" i="8"/>
  <c r="T3014" i="8"/>
  <c r="T3015" i="8"/>
  <c r="T3016" i="8"/>
  <c r="T3017" i="8"/>
  <c r="T3018" i="8"/>
  <c r="T3019" i="8"/>
  <c r="T3020" i="8"/>
  <c r="T3021" i="8"/>
  <c r="T3022" i="8"/>
  <c r="T3023" i="8"/>
  <c r="T3024" i="8"/>
  <c r="T3025" i="8"/>
  <c r="T3026" i="8"/>
  <c r="T3027" i="8"/>
  <c r="T3028" i="8"/>
  <c r="T3029" i="8"/>
  <c r="T3030" i="8"/>
  <c r="T3031" i="8"/>
  <c r="T3032" i="8"/>
  <c r="T3033" i="8"/>
  <c r="T3034" i="8"/>
  <c r="T3035" i="8"/>
  <c r="T3036" i="8"/>
  <c r="T3037" i="8"/>
  <c r="T3038" i="8"/>
  <c r="T3039" i="8"/>
  <c r="T3040" i="8"/>
  <c r="T3041" i="8"/>
  <c r="T3042" i="8"/>
  <c r="T3043" i="8"/>
  <c r="T3044" i="8"/>
  <c r="T3045" i="8"/>
  <c r="T3046" i="8"/>
  <c r="T3047" i="8"/>
  <c r="T3048" i="8"/>
  <c r="T3049" i="8"/>
  <c r="T3050" i="8"/>
  <c r="T3051" i="8"/>
  <c r="T3052" i="8"/>
  <c r="T3053" i="8"/>
  <c r="T3054" i="8"/>
  <c r="T3055" i="8"/>
  <c r="T3056" i="8"/>
  <c r="T3057" i="8"/>
  <c r="T3058" i="8"/>
  <c r="T3059" i="8"/>
  <c r="T3060" i="8"/>
  <c r="T3061" i="8"/>
  <c r="T3062" i="8"/>
  <c r="T3063" i="8"/>
  <c r="T3064" i="8"/>
  <c r="T3065" i="8"/>
  <c r="T3066" i="8"/>
  <c r="T3067" i="8"/>
  <c r="T3068" i="8"/>
  <c r="T3069" i="8"/>
  <c r="T3070" i="8"/>
  <c r="T3071" i="8"/>
  <c r="T3072" i="8"/>
  <c r="T3073" i="8"/>
  <c r="T3074" i="8"/>
  <c r="T3075" i="8"/>
  <c r="T3076" i="8"/>
  <c r="T3077" i="8"/>
  <c r="T3078" i="8"/>
  <c r="T3079" i="8"/>
  <c r="T3080" i="8"/>
  <c r="T3081" i="8"/>
  <c r="T3082" i="8"/>
  <c r="T3083" i="8"/>
  <c r="T3084" i="8"/>
  <c r="T3085" i="8"/>
  <c r="T3086" i="8"/>
  <c r="T3087" i="8"/>
  <c r="T3088" i="8"/>
  <c r="T3089" i="8"/>
  <c r="T3090" i="8"/>
  <c r="T3091" i="8"/>
  <c r="T3092" i="8"/>
  <c r="T3093" i="8"/>
  <c r="T3094" i="8"/>
  <c r="T3095" i="8"/>
  <c r="T3096" i="8"/>
  <c r="T3097" i="8"/>
  <c r="T3098" i="8"/>
  <c r="T3099" i="8"/>
  <c r="T3100" i="8"/>
  <c r="T3101" i="8"/>
  <c r="T3102" i="8"/>
  <c r="T3103" i="8"/>
  <c r="T3104" i="8"/>
  <c r="T3105" i="8"/>
  <c r="T3106" i="8"/>
  <c r="T3107" i="8"/>
  <c r="T3108" i="8"/>
  <c r="T3109" i="8"/>
  <c r="T3110" i="8"/>
  <c r="T3111" i="8"/>
  <c r="T3112" i="8"/>
  <c r="T3113" i="8"/>
  <c r="T3114" i="8"/>
  <c r="T3115" i="8"/>
  <c r="T3116" i="8"/>
  <c r="T3117" i="8"/>
  <c r="T3118" i="8"/>
  <c r="T3119" i="8"/>
  <c r="T3120" i="8"/>
  <c r="T3121" i="8"/>
  <c r="T3122" i="8"/>
  <c r="T3123" i="8"/>
  <c r="T3124" i="8"/>
  <c r="T3125" i="8"/>
  <c r="T3126" i="8"/>
  <c r="T3127" i="8"/>
  <c r="T3128" i="8"/>
  <c r="T3129" i="8"/>
  <c r="T3130" i="8"/>
  <c r="T3131" i="8"/>
  <c r="T3132" i="8"/>
  <c r="T3133" i="8"/>
  <c r="T3134" i="8"/>
  <c r="T3135" i="8"/>
  <c r="T3136" i="8"/>
  <c r="T3137" i="8"/>
  <c r="T3138" i="8"/>
  <c r="T3139" i="8"/>
  <c r="T3140" i="8"/>
  <c r="T3141" i="8"/>
  <c r="T3142" i="8"/>
  <c r="T3143" i="8"/>
  <c r="T3144" i="8"/>
  <c r="T3145" i="8"/>
  <c r="T3146" i="8"/>
  <c r="T3147" i="8"/>
  <c r="T3148" i="8"/>
  <c r="T3149" i="8"/>
  <c r="T3150" i="8"/>
  <c r="T3151" i="8"/>
  <c r="T3152" i="8"/>
  <c r="T3153" i="8"/>
  <c r="T3154" i="8"/>
  <c r="T3155" i="8"/>
  <c r="T3156" i="8"/>
  <c r="T3157" i="8"/>
  <c r="T3158" i="8"/>
  <c r="T3159" i="8"/>
  <c r="T3160" i="8"/>
  <c r="T3161" i="8"/>
  <c r="T3162" i="8"/>
  <c r="T3163" i="8"/>
  <c r="T3164" i="8"/>
  <c r="T3165" i="8"/>
  <c r="T3166" i="8"/>
  <c r="T3167" i="8"/>
  <c r="T3168" i="8"/>
  <c r="T3169" i="8"/>
  <c r="T3170" i="8"/>
  <c r="T3171" i="8"/>
  <c r="T3172" i="8"/>
  <c r="T3173" i="8"/>
  <c r="T3174" i="8"/>
  <c r="T3175" i="8"/>
  <c r="T3176" i="8"/>
  <c r="T3177" i="8"/>
  <c r="T3178" i="8"/>
  <c r="T3179" i="8"/>
  <c r="T3180" i="8"/>
  <c r="T3181" i="8"/>
  <c r="T3182" i="8"/>
  <c r="T3183" i="8"/>
  <c r="T3184" i="8"/>
  <c r="T3185" i="8"/>
  <c r="T3186" i="8"/>
  <c r="T3187" i="8"/>
  <c r="T3188" i="8"/>
  <c r="T3189" i="8"/>
  <c r="T3190" i="8"/>
  <c r="T3191" i="8"/>
  <c r="T3192" i="8"/>
  <c r="T3193" i="8"/>
  <c r="T3194" i="8"/>
  <c r="T3195" i="8"/>
  <c r="T3196" i="8"/>
  <c r="T3197" i="8"/>
  <c r="T3198" i="8"/>
  <c r="T3199" i="8"/>
  <c r="T3200" i="8"/>
  <c r="T3201" i="8"/>
  <c r="T3202" i="8"/>
  <c r="T3203" i="8"/>
  <c r="T3204" i="8"/>
  <c r="T3205" i="8"/>
  <c r="T3206" i="8"/>
  <c r="T3207" i="8"/>
  <c r="T3208" i="8"/>
  <c r="T3209" i="8"/>
  <c r="T3210" i="8"/>
  <c r="T3211" i="8"/>
  <c r="T3212" i="8"/>
  <c r="T3213" i="8"/>
  <c r="T3214" i="8"/>
  <c r="T3215" i="8"/>
  <c r="T3216" i="8"/>
  <c r="T3217" i="8"/>
  <c r="T3218" i="8"/>
  <c r="T3219" i="8"/>
  <c r="T3220" i="8"/>
  <c r="T3221" i="8"/>
  <c r="T3222" i="8"/>
  <c r="T3223" i="8"/>
  <c r="T3224" i="8"/>
  <c r="T3225" i="8"/>
  <c r="T3226" i="8"/>
  <c r="T3227" i="8"/>
  <c r="T3228" i="8"/>
  <c r="T3229" i="8"/>
  <c r="T3230" i="8"/>
  <c r="T3231" i="8"/>
  <c r="T3232" i="8"/>
  <c r="T3233" i="8"/>
  <c r="T3234" i="8"/>
  <c r="T3235" i="8"/>
  <c r="T3236" i="8"/>
  <c r="T3237" i="8"/>
  <c r="T3238" i="8"/>
  <c r="T3239" i="8"/>
  <c r="T3240" i="8"/>
  <c r="T3241" i="8"/>
  <c r="T3242" i="8"/>
  <c r="T3243" i="8"/>
  <c r="T3244" i="8"/>
  <c r="T3245" i="8"/>
  <c r="T3246" i="8"/>
  <c r="T3247" i="8"/>
  <c r="T3248" i="8"/>
  <c r="T3249" i="8"/>
  <c r="T3250" i="8"/>
  <c r="T3251" i="8"/>
  <c r="T3252" i="8"/>
  <c r="T3253" i="8"/>
  <c r="T3254" i="8"/>
  <c r="T3255" i="8"/>
  <c r="T3256" i="8"/>
  <c r="T3257" i="8"/>
  <c r="T3258" i="8"/>
  <c r="T3259" i="8"/>
  <c r="T3260" i="8"/>
  <c r="T3261" i="8"/>
  <c r="T3262" i="8"/>
  <c r="T3263" i="8"/>
  <c r="T3264" i="8"/>
  <c r="T3265" i="8"/>
  <c r="T3266" i="8"/>
  <c r="T3267" i="8"/>
  <c r="T3268" i="8"/>
  <c r="T3269" i="8"/>
  <c r="T3270" i="8"/>
  <c r="T3271" i="8"/>
  <c r="T3272" i="8"/>
  <c r="T3273" i="8"/>
  <c r="T3274" i="8"/>
  <c r="T3275" i="8"/>
  <c r="T3276" i="8"/>
  <c r="T3277" i="8"/>
  <c r="T3278" i="8"/>
  <c r="T3279" i="8"/>
  <c r="T3280" i="8"/>
  <c r="T3281" i="8"/>
  <c r="T3282" i="8"/>
  <c r="T3283" i="8"/>
  <c r="T3284" i="8"/>
  <c r="T3285" i="8"/>
  <c r="T3286" i="8"/>
  <c r="T3287" i="8"/>
  <c r="T3288" i="8"/>
  <c r="T3289" i="8"/>
  <c r="T3290" i="8"/>
  <c r="T3291" i="8"/>
  <c r="T3292" i="8"/>
  <c r="T3293" i="8"/>
  <c r="T3294" i="8"/>
  <c r="T3295" i="8"/>
  <c r="T3296" i="8"/>
  <c r="T3297" i="8"/>
  <c r="T3298" i="8"/>
  <c r="T3299" i="8"/>
  <c r="T3300" i="8"/>
  <c r="T3301" i="8"/>
  <c r="T3302" i="8"/>
  <c r="T3303" i="8"/>
  <c r="T3304" i="8"/>
  <c r="T3305" i="8"/>
  <c r="T3306" i="8"/>
  <c r="T3307" i="8"/>
  <c r="T3308" i="8"/>
  <c r="T3309" i="8"/>
  <c r="T3310" i="8"/>
  <c r="T3311" i="8"/>
  <c r="T3312" i="8"/>
  <c r="T3313" i="8"/>
  <c r="T3314" i="8"/>
  <c r="T3315" i="8"/>
  <c r="T3316" i="8"/>
  <c r="T3317" i="8"/>
  <c r="T3318" i="8"/>
  <c r="T3319" i="8"/>
  <c r="T3320" i="8"/>
  <c r="T3321" i="8"/>
  <c r="T3322" i="8"/>
  <c r="T3323" i="8"/>
  <c r="T3324" i="8"/>
  <c r="T3325" i="8"/>
  <c r="T3326" i="8"/>
  <c r="T3327" i="8"/>
  <c r="T3328" i="8"/>
  <c r="T3329" i="8"/>
  <c r="T3330" i="8"/>
  <c r="T3331" i="8"/>
  <c r="T3332" i="8"/>
  <c r="T3333" i="8"/>
  <c r="T3334" i="8"/>
  <c r="T3335" i="8"/>
  <c r="T3336" i="8"/>
  <c r="T3337" i="8"/>
  <c r="T3338" i="8"/>
  <c r="T3339" i="8"/>
  <c r="T3340" i="8"/>
  <c r="T3341" i="8"/>
  <c r="T3342" i="8"/>
  <c r="T3343" i="8"/>
  <c r="T3344" i="8"/>
  <c r="T3345" i="8"/>
  <c r="T3346" i="8"/>
  <c r="T3347" i="8"/>
  <c r="T3348" i="8"/>
  <c r="T3349" i="8"/>
  <c r="T3350" i="8"/>
  <c r="T3351" i="8"/>
  <c r="T3352" i="8"/>
  <c r="T3353" i="8"/>
  <c r="T3354" i="8"/>
  <c r="T3355" i="8"/>
  <c r="T3356" i="8"/>
  <c r="T3357" i="8"/>
  <c r="T3358" i="8"/>
  <c r="T3359" i="8"/>
  <c r="T3360" i="8"/>
  <c r="T3361" i="8"/>
  <c r="T3362" i="8"/>
  <c r="T3363" i="8"/>
  <c r="T3364" i="8"/>
  <c r="T3365" i="8"/>
  <c r="T3366" i="8"/>
  <c r="T3367" i="8"/>
  <c r="T3368" i="8"/>
  <c r="T3369" i="8"/>
  <c r="T3370" i="8"/>
  <c r="T3371" i="8"/>
  <c r="T3372" i="8"/>
  <c r="T3373" i="8"/>
  <c r="T3374" i="8"/>
  <c r="T3375" i="8"/>
  <c r="T3376" i="8"/>
  <c r="T3377" i="8"/>
  <c r="T3378" i="8"/>
  <c r="T3379" i="8"/>
  <c r="T3380" i="8"/>
  <c r="T3381" i="8"/>
  <c r="T3382" i="8"/>
  <c r="T3383" i="8"/>
  <c r="T3384" i="8"/>
  <c r="T3385" i="8"/>
  <c r="T3386" i="8"/>
  <c r="T3387" i="8"/>
  <c r="T3388" i="8"/>
  <c r="T3389" i="8"/>
  <c r="T3390" i="8"/>
  <c r="T3391" i="8"/>
  <c r="T3392" i="8"/>
  <c r="T3393" i="8"/>
  <c r="T3394" i="8"/>
  <c r="T3395" i="8"/>
  <c r="T3396" i="8"/>
  <c r="T3397" i="8"/>
  <c r="T3398" i="8"/>
  <c r="T3399" i="8"/>
  <c r="T3400" i="8"/>
  <c r="T3401" i="8"/>
  <c r="T3402" i="8"/>
  <c r="T3403" i="8"/>
  <c r="T3404" i="8"/>
  <c r="T3405" i="8"/>
  <c r="T3406" i="8"/>
  <c r="T3407" i="8"/>
  <c r="T3408" i="8"/>
  <c r="T3409" i="8"/>
  <c r="T3410" i="8"/>
  <c r="T3411" i="8"/>
  <c r="T3412" i="8"/>
  <c r="T3413" i="8"/>
  <c r="T3414" i="8"/>
  <c r="T3415" i="8"/>
  <c r="T3416" i="8"/>
  <c r="T3417" i="8"/>
  <c r="T3418" i="8"/>
  <c r="T3419" i="8"/>
  <c r="T3420" i="8"/>
  <c r="T3421" i="8"/>
  <c r="T3422" i="8"/>
  <c r="T3423" i="8"/>
  <c r="T3424" i="8"/>
  <c r="T2" i="8" l="1"/>
  <c r="M39" i="1"/>
  <c r="M36" i="1"/>
  <c r="L38" i="1"/>
  <c r="L27" i="1"/>
  <c r="BA12" i="1"/>
  <c r="M12" i="1"/>
  <c r="L39" i="1"/>
  <c r="L28" i="1"/>
  <c r="M38" i="1"/>
  <c r="BA8" i="1"/>
  <c r="L12" i="1"/>
  <c r="BA38" i="1"/>
  <c r="BA9" i="1"/>
  <c r="BA7" i="1"/>
  <c r="BA3" i="1"/>
  <c r="M20" i="1"/>
  <c r="L4" i="1"/>
  <c r="M33" i="1"/>
  <c r="M23" i="1"/>
  <c r="M34" i="1"/>
  <c r="L18" i="1"/>
  <c r="L20" i="1"/>
  <c r="M31" i="1"/>
  <c r="BA24" i="1"/>
  <c r="BA20" i="1"/>
  <c r="BA17" i="1"/>
  <c r="BA15" i="1"/>
  <c r="BA16" i="1"/>
  <c r="BA18" i="1"/>
  <c r="BA19" i="1"/>
  <c r="M35" i="1"/>
  <c r="L7" i="1"/>
  <c r="L8" i="1"/>
  <c r="M26" i="1"/>
  <c r="L30" i="1"/>
  <c r="M3" i="1"/>
  <c r="M25" i="1"/>
  <c r="M22" i="1"/>
  <c r="BA36" i="1"/>
  <c r="BA33" i="1"/>
  <c r="BA23" i="1"/>
  <c r="BA34" i="1"/>
  <c r="BA27" i="1"/>
  <c r="L32" i="1"/>
  <c r="L16" i="1"/>
  <c r="L17" i="1"/>
  <c r="M10" i="1"/>
  <c r="L5" i="1"/>
  <c r="L26" i="1"/>
  <c r="L10" i="1"/>
  <c r="M19" i="1"/>
  <c r="L13" i="1"/>
  <c r="M4" i="1"/>
  <c r="M24" i="1"/>
  <c r="L3" i="1"/>
  <c r="BA25" i="1"/>
  <c r="BA10" i="1"/>
  <c r="BA31" i="1"/>
  <c r="BA35" i="1"/>
  <c r="M17" i="1"/>
  <c r="L36" i="1"/>
  <c r="L9" i="1"/>
  <c r="M8" i="1"/>
  <c r="L25" i="1"/>
  <c r="L14" i="1"/>
  <c r="M27" i="1"/>
  <c r="BA6" i="1"/>
  <c r="BA26" i="1"/>
  <c r="BA39" i="1"/>
  <c r="M32" i="1"/>
  <c r="L34" i="1"/>
  <c r="L6" i="1"/>
  <c r="L35" i="1"/>
  <c r="L19" i="1"/>
  <c r="M28" i="1"/>
  <c r="L22" i="1"/>
  <c r="L23" i="1"/>
  <c r="BA13" i="1"/>
  <c r="BA14" i="1"/>
  <c r="BA32" i="1"/>
  <c r="BA11" i="1"/>
  <c r="M6" i="1"/>
  <c r="L15" i="1"/>
  <c r="M7" i="1"/>
  <c r="M9" i="1"/>
  <c r="L31" i="1"/>
  <c r="BA21" i="1"/>
  <c r="BA22" i="1"/>
  <c r="BA5" i="1"/>
  <c r="BA28" i="1"/>
  <c r="L24" i="1"/>
  <c r="M15" i="1"/>
  <c r="M5" i="1"/>
  <c r="M16" i="1"/>
  <c r="M18" i="1"/>
  <c r="M30" i="1"/>
  <c r="M13" i="1"/>
  <c r="BA4" i="1"/>
  <c r="BA37" i="1"/>
  <c r="BA30" i="1"/>
  <c r="BA29" i="1"/>
  <c r="L33" i="1"/>
  <c r="M14" i="1"/>
  <c r="M2" i="1"/>
  <c r="L2" i="1"/>
  <c r="B218" i="8"/>
  <c r="BB14" i="1" l="1"/>
  <c r="BC14" i="1" s="1"/>
  <c r="P14" i="1"/>
  <c r="Q14" i="1" s="1"/>
  <c r="F14" i="1"/>
  <c r="E14" i="1" s="1"/>
  <c r="G14" i="1"/>
  <c r="AS28" i="1"/>
  <c r="AT28" i="1"/>
  <c r="BB34" i="1"/>
  <c r="BC34" i="1" s="1"/>
  <c r="P34" i="1"/>
  <c r="Q34" i="1" s="1"/>
  <c r="G34" i="1"/>
  <c r="F34" i="1"/>
  <c r="E34" i="1" s="1"/>
  <c r="BB19" i="1"/>
  <c r="BC19" i="1" s="1"/>
  <c r="G19" i="1"/>
  <c r="P19" i="1"/>
  <c r="Q19" i="1" s="1"/>
  <c r="F19" i="1"/>
  <c r="E19" i="1" s="1"/>
  <c r="F25" i="1"/>
  <c r="E25" i="1" s="1"/>
  <c r="P25" i="1"/>
  <c r="Q25" i="1" s="1"/>
  <c r="G25" i="1"/>
  <c r="BB25" i="1"/>
  <c r="BC25" i="1" s="1"/>
  <c r="F32" i="1"/>
  <c r="E32" i="1" s="1"/>
  <c r="G32" i="1"/>
  <c r="P32" i="1"/>
  <c r="Q32" i="1" s="1"/>
  <c r="BB32" i="1"/>
  <c r="BC32" i="1" s="1"/>
  <c r="G16" i="1"/>
  <c r="F16" i="1"/>
  <c r="E16" i="1" s="1"/>
  <c r="P16" i="1"/>
  <c r="Q16" i="1" s="1"/>
  <c r="BB16" i="1"/>
  <c r="BC16" i="1" s="1"/>
  <c r="BB13" i="1"/>
  <c r="BC13" i="1" s="1"/>
  <c r="P13" i="1"/>
  <c r="Q13" i="1" s="1"/>
  <c r="G13" i="1"/>
  <c r="F13" i="1"/>
  <c r="E13" i="1" s="1"/>
  <c r="AT10" i="1"/>
  <c r="AS10" i="1"/>
  <c r="G36" i="1"/>
  <c r="BB36" i="1"/>
  <c r="BC36" i="1" s="1"/>
  <c r="F36" i="1"/>
  <c r="E36" i="1" s="1"/>
  <c r="P36" i="1"/>
  <c r="P10" i="1"/>
  <c r="Q10" i="1" s="1"/>
  <c r="F10" i="1"/>
  <c r="E10" i="1" s="1"/>
  <c r="G10" i="1"/>
  <c r="BB10" i="1"/>
  <c r="BC10" i="1" s="1"/>
  <c r="AS11" i="1"/>
  <c r="AT11" i="1"/>
  <c r="BC11" i="1"/>
  <c r="B11" i="1" s="1"/>
  <c r="AS39" i="1"/>
  <c r="AT39" i="1"/>
  <c r="AT25" i="1"/>
  <c r="AS25" i="1"/>
  <c r="AS27" i="1"/>
  <c r="AT27" i="1"/>
  <c r="F18" i="1"/>
  <c r="E18" i="1" s="1"/>
  <c r="BB18" i="1"/>
  <c r="BC18" i="1" s="1"/>
  <c r="G18" i="1"/>
  <c r="P18" i="1"/>
  <c r="Q18" i="1" s="1"/>
  <c r="AT19" i="1"/>
  <c r="AS19" i="1"/>
  <c r="BB26" i="1"/>
  <c r="BC26" i="1" s="1"/>
  <c r="F26" i="1"/>
  <c r="E26" i="1" s="1"/>
  <c r="P26" i="1"/>
  <c r="Q26" i="1" s="1"/>
  <c r="G26" i="1"/>
  <c r="AT8" i="1"/>
  <c r="AS8" i="1"/>
  <c r="AS29" i="1"/>
  <c r="AT29" i="1"/>
  <c r="BC29" i="1"/>
  <c r="B29" i="1" s="1"/>
  <c r="AS5" i="1"/>
  <c r="AT5" i="1"/>
  <c r="AT32" i="1"/>
  <c r="AS32" i="1"/>
  <c r="AT26" i="1"/>
  <c r="AS26" i="1"/>
  <c r="AT34" i="1"/>
  <c r="AS34" i="1"/>
  <c r="AT18" i="1"/>
  <c r="AS18" i="1"/>
  <c r="P39" i="1"/>
  <c r="BB39" i="1"/>
  <c r="BC39" i="1" s="1"/>
  <c r="F39" i="1"/>
  <c r="E39" i="1" s="1"/>
  <c r="G39" i="1"/>
  <c r="BB28" i="1"/>
  <c r="BC28" i="1" s="1"/>
  <c r="P28" i="1"/>
  <c r="Q28" i="1" s="1"/>
  <c r="F28" i="1"/>
  <c r="E28" i="1" s="1"/>
  <c r="G28" i="1"/>
  <c r="G5" i="1"/>
  <c r="F5" i="1"/>
  <c r="E5" i="1" s="1"/>
  <c r="P5" i="1"/>
  <c r="Q5" i="1" s="1"/>
  <c r="BB5" i="1"/>
  <c r="BC5" i="1" s="1"/>
  <c r="AS30" i="1"/>
  <c r="AT30" i="1"/>
  <c r="AS22" i="1"/>
  <c r="AT22" i="1"/>
  <c r="AS14" i="1"/>
  <c r="AT14" i="1"/>
  <c r="P22" i="1"/>
  <c r="Q22" i="1" s="1"/>
  <c r="G22" i="1"/>
  <c r="F22" i="1"/>
  <c r="E22" i="1" s="1"/>
  <c r="BB22" i="1"/>
  <c r="BC22" i="1" s="1"/>
  <c r="AS6" i="1"/>
  <c r="AT6" i="1"/>
  <c r="AS23" i="1"/>
  <c r="AT23" i="1"/>
  <c r="AT16" i="1"/>
  <c r="AS16" i="1"/>
  <c r="P17" i="1"/>
  <c r="Q17" i="1" s="1"/>
  <c r="G17" i="1"/>
  <c r="BB17" i="1"/>
  <c r="BC17" i="1" s="1"/>
  <c r="F17" i="1"/>
  <c r="E17" i="1" s="1"/>
  <c r="BB35" i="1"/>
  <c r="BC35" i="1" s="1"/>
  <c r="P35" i="1"/>
  <c r="Q35" i="1" s="1"/>
  <c r="G35" i="1"/>
  <c r="F35" i="1"/>
  <c r="E35" i="1" s="1"/>
  <c r="AS21" i="1"/>
  <c r="BC21" i="1"/>
  <c r="B21" i="1" s="1"/>
  <c r="AT21" i="1"/>
  <c r="P31" i="1"/>
  <c r="Q31" i="1" s="1"/>
  <c r="F31" i="1"/>
  <c r="E31" i="1" s="1"/>
  <c r="BB31" i="1"/>
  <c r="BC31" i="1" s="1"/>
  <c r="G31" i="1"/>
  <c r="AS13" i="1"/>
  <c r="AT13" i="1"/>
  <c r="P4" i="1"/>
  <c r="Q4" i="1" s="1"/>
  <c r="G4" i="1"/>
  <c r="BB4" i="1"/>
  <c r="BC4" i="1" s="1"/>
  <c r="F4" i="1"/>
  <c r="E4" i="1" s="1"/>
  <c r="AT33" i="1"/>
  <c r="AS33" i="1"/>
  <c r="AS15" i="1"/>
  <c r="AT15" i="1"/>
  <c r="G15" i="1"/>
  <c r="P15" i="1"/>
  <c r="Q15" i="1" s="1"/>
  <c r="F15" i="1"/>
  <c r="E15" i="1" s="1"/>
  <c r="BB15" i="1"/>
  <c r="BC15" i="1" s="1"/>
  <c r="AS3" i="1"/>
  <c r="AT3" i="1"/>
  <c r="G38" i="1"/>
  <c r="F38" i="1"/>
  <c r="E38" i="1" s="1"/>
  <c r="BB38" i="1"/>
  <c r="BC38" i="1" s="1"/>
  <c r="P38" i="1"/>
  <c r="AS4" i="1"/>
  <c r="AT4" i="1"/>
  <c r="P6" i="1"/>
  <c r="Q6" i="1" s="1"/>
  <c r="F6" i="1"/>
  <c r="E6" i="1" s="1"/>
  <c r="BB6" i="1"/>
  <c r="BC6" i="1" s="1"/>
  <c r="G6" i="1"/>
  <c r="BB30" i="1"/>
  <c r="BC30" i="1" s="1"/>
  <c r="P30" i="1"/>
  <c r="Q30" i="1" s="1"/>
  <c r="G30" i="1"/>
  <c r="F30" i="1"/>
  <c r="E30" i="1" s="1"/>
  <c r="AS36" i="1"/>
  <c r="AT36" i="1"/>
  <c r="AT17" i="1"/>
  <c r="AS17" i="1"/>
  <c r="AS7" i="1"/>
  <c r="AT7" i="1"/>
  <c r="AS37" i="1"/>
  <c r="AT37" i="1"/>
  <c r="BC37" i="1"/>
  <c r="B37" i="1" s="1"/>
  <c r="P20" i="1"/>
  <c r="Q20" i="1" s="1"/>
  <c r="BB20" i="1"/>
  <c r="BC20" i="1" s="1"/>
  <c r="F20" i="1"/>
  <c r="E20" i="1" s="1"/>
  <c r="G20" i="1"/>
  <c r="BB27" i="1"/>
  <c r="BC27" i="1" s="1"/>
  <c r="G27" i="1"/>
  <c r="F27" i="1"/>
  <c r="E27" i="1" s="1"/>
  <c r="P27" i="1"/>
  <c r="Q27" i="1" s="1"/>
  <c r="P3" i="1"/>
  <c r="Q3" i="1" s="1"/>
  <c r="BB3" i="1"/>
  <c r="BC3" i="1" s="1"/>
  <c r="G3" i="1"/>
  <c r="F3" i="1"/>
  <c r="E3" i="1" s="1"/>
  <c r="AS35" i="1"/>
  <c r="AT35" i="1"/>
  <c r="BB33" i="1"/>
  <c r="BC33" i="1" s="1"/>
  <c r="G33" i="1"/>
  <c r="F33" i="1"/>
  <c r="E33" i="1" s="1"/>
  <c r="P33" i="1"/>
  <c r="Q33" i="1" s="1"/>
  <c r="BB9" i="1"/>
  <c r="BC9" i="1" s="1"/>
  <c r="G9" i="1"/>
  <c r="P9" i="1"/>
  <c r="Q9" i="1" s="1"/>
  <c r="F9" i="1"/>
  <c r="E9" i="1" s="1"/>
  <c r="AS20" i="1"/>
  <c r="AT20" i="1"/>
  <c r="AT9" i="1"/>
  <c r="AS9" i="1"/>
  <c r="BB23" i="1"/>
  <c r="BC23" i="1" s="1"/>
  <c r="F23" i="1"/>
  <c r="E23" i="1" s="1"/>
  <c r="P23" i="1"/>
  <c r="Q23" i="1" s="1"/>
  <c r="G23" i="1"/>
  <c r="BB12" i="1"/>
  <c r="BC12" i="1" s="1"/>
  <c r="F12" i="1"/>
  <c r="E12" i="1" s="1"/>
  <c r="P12" i="1"/>
  <c r="Q12" i="1" s="1"/>
  <c r="G12" i="1"/>
  <c r="F8" i="1"/>
  <c r="E8" i="1" s="1"/>
  <c r="P8" i="1"/>
  <c r="Q8" i="1" s="1"/>
  <c r="G8" i="1"/>
  <c r="BB8" i="1"/>
  <c r="BC8" i="1" s="1"/>
  <c r="F7" i="1"/>
  <c r="E7" i="1" s="1"/>
  <c r="P7" i="1"/>
  <c r="Q7" i="1" s="1"/>
  <c r="BB7" i="1"/>
  <c r="BC7" i="1" s="1"/>
  <c r="G7" i="1"/>
  <c r="AS31" i="1"/>
  <c r="AT31" i="1"/>
  <c r="BB24" i="1"/>
  <c r="BC24" i="1" s="1"/>
  <c r="G24" i="1"/>
  <c r="F24" i="1"/>
  <c r="E24" i="1" s="1"/>
  <c r="P24" i="1"/>
  <c r="Q24" i="1" s="1"/>
  <c r="AT24" i="1"/>
  <c r="AS24" i="1"/>
  <c r="AT38" i="1"/>
  <c r="AS38" i="1"/>
  <c r="AS12" i="1"/>
  <c r="AT12" i="1"/>
  <c r="J2" i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12" i="1" s="1"/>
  <c r="B6" i="8"/>
  <c r="B7" i="8"/>
  <c r="B8" i="8"/>
  <c r="B9" i="8"/>
  <c r="B10" i="8"/>
  <c r="B11" i="8"/>
  <c r="B15" i="1" s="1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35" i="1" s="1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6" i="1" s="1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17" i="1" s="1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B34" i="1" l="1"/>
  <c r="B33" i="1"/>
  <c r="B32" i="1"/>
  <c r="B31" i="1"/>
  <c r="B30" i="1"/>
  <c r="B4" i="1"/>
  <c r="B5" i="1"/>
  <c r="B6" i="1"/>
  <c r="B3" i="1"/>
  <c r="AR36" i="1"/>
  <c r="H36" i="1"/>
  <c r="N36" i="1"/>
  <c r="R36" i="1"/>
  <c r="B14" i="1"/>
  <c r="B13" i="1"/>
  <c r="H34" i="1"/>
  <c r="R34" i="1"/>
  <c r="N34" i="1"/>
  <c r="AR34" i="1"/>
  <c r="R17" i="1"/>
  <c r="H17" i="1"/>
  <c r="AR17" i="1"/>
  <c r="N17" i="1"/>
  <c r="H35" i="1"/>
  <c r="AR35" i="1"/>
  <c r="R35" i="1"/>
  <c r="N35" i="1"/>
  <c r="B24" i="1"/>
  <c r="B23" i="1"/>
  <c r="B25" i="1"/>
  <c r="B20" i="1"/>
  <c r="B22" i="1"/>
  <c r="B16" i="1"/>
  <c r="R12" i="1"/>
  <c r="N12" i="1"/>
  <c r="H12" i="1"/>
  <c r="AR12" i="1"/>
  <c r="B28" i="1"/>
  <c r="B27" i="1"/>
  <c r="B26" i="1"/>
  <c r="B19" i="1"/>
  <c r="B18" i="1"/>
  <c r="B7" i="1"/>
  <c r="B38" i="1"/>
  <c r="B39" i="1"/>
  <c r="R15" i="1"/>
  <c r="N15" i="1"/>
  <c r="AR15" i="1"/>
  <c r="H15" i="1"/>
  <c r="B8" i="1"/>
  <c r="B9" i="1"/>
  <c r="B10" i="1"/>
  <c r="Y3" i="8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H19" i="1" l="1"/>
  <c r="N19" i="1"/>
  <c r="AR19" i="1"/>
  <c r="R19" i="1"/>
  <c r="R16" i="1"/>
  <c r="H16" i="1"/>
  <c r="N16" i="1"/>
  <c r="AR16" i="1"/>
  <c r="R3" i="1"/>
  <c r="N3" i="1"/>
  <c r="AR3" i="1"/>
  <c r="H3" i="1"/>
  <c r="H26" i="1"/>
  <c r="N26" i="1"/>
  <c r="AR26" i="1"/>
  <c r="R26" i="1"/>
  <c r="R22" i="1"/>
  <c r="N22" i="1"/>
  <c r="AR22" i="1"/>
  <c r="H22" i="1"/>
  <c r="H6" i="1"/>
  <c r="AR6" i="1"/>
  <c r="R6" i="1"/>
  <c r="N6" i="1"/>
  <c r="H27" i="1"/>
  <c r="AR27" i="1"/>
  <c r="R27" i="1"/>
  <c r="N27" i="1"/>
  <c r="R20" i="1"/>
  <c r="H20" i="1"/>
  <c r="N20" i="1"/>
  <c r="AR20" i="1"/>
  <c r="N13" i="1"/>
  <c r="R13" i="1"/>
  <c r="AR13" i="1"/>
  <c r="H13" i="1"/>
  <c r="R5" i="1"/>
  <c r="AR5" i="1"/>
  <c r="H5" i="1"/>
  <c r="N5" i="1"/>
  <c r="N28" i="1"/>
  <c r="AR28" i="1"/>
  <c r="R28" i="1"/>
  <c r="H28" i="1"/>
  <c r="AR25" i="1"/>
  <c r="R25" i="1"/>
  <c r="N25" i="1"/>
  <c r="H25" i="1"/>
  <c r="H14" i="1"/>
  <c r="R14" i="1"/>
  <c r="N14" i="1"/>
  <c r="AR14" i="1"/>
  <c r="N4" i="1"/>
  <c r="AR4" i="1"/>
  <c r="H4" i="1"/>
  <c r="R4" i="1"/>
  <c r="R39" i="1"/>
  <c r="H39" i="1"/>
  <c r="AR39" i="1"/>
  <c r="N39" i="1"/>
  <c r="Q39" i="1" s="1"/>
  <c r="AR23" i="1"/>
  <c r="H23" i="1"/>
  <c r="R23" i="1"/>
  <c r="N23" i="1"/>
  <c r="N30" i="1"/>
  <c r="AR30" i="1"/>
  <c r="H30" i="1"/>
  <c r="R30" i="1"/>
  <c r="R10" i="1"/>
  <c r="AR10" i="1"/>
  <c r="N10" i="1"/>
  <c r="H10" i="1"/>
  <c r="N38" i="1"/>
  <c r="Q38" i="1" s="1"/>
  <c r="H38" i="1"/>
  <c r="AR38" i="1"/>
  <c r="R38" i="1"/>
  <c r="H24" i="1"/>
  <c r="R24" i="1"/>
  <c r="N24" i="1"/>
  <c r="AR24" i="1"/>
  <c r="H31" i="1"/>
  <c r="N31" i="1"/>
  <c r="AR31" i="1"/>
  <c r="R31" i="1"/>
  <c r="AR9" i="1"/>
  <c r="H9" i="1"/>
  <c r="R9" i="1"/>
  <c r="N9" i="1"/>
  <c r="N7" i="1"/>
  <c r="AR7" i="1"/>
  <c r="H7" i="1"/>
  <c r="R7" i="1"/>
  <c r="R32" i="1"/>
  <c r="AR32" i="1"/>
  <c r="N32" i="1"/>
  <c r="H32" i="1"/>
  <c r="N8" i="1"/>
  <c r="AR8" i="1"/>
  <c r="H8" i="1"/>
  <c r="R8" i="1"/>
  <c r="N18" i="1"/>
  <c r="AR18" i="1"/>
  <c r="R18" i="1"/>
  <c r="H18" i="1"/>
  <c r="R33" i="1"/>
  <c r="H33" i="1"/>
  <c r="AR33" i="1"/>
  <c r="N33" i="1"/>
  <c r="AA1" i="8"/>
  <c r="Y1" i="8"/>
  <c r="AB1" i="8" l="1"/>
  <c r="AD1" i="8" s="1"/>
  <c r="A2" i="1"/>
  <c r="BA2" i="1" l="1"/>
  <c r="D2" i="1"/>
  <c r="BB2" i="1" s="1"/>
  <c r="B2" i="1" l="1"/>
  <c r="AR2" i="1" s="1"/>
  <c r="BC2" i="1"/>
  <c r="P2" i="1"/>
  <c r="O2" i="1"/>
  <c r="G2" i="1"/>
  <c r="F2" i="1"/>
  <c r="E2" i="1" s="1"/>
  <c r="AT2" i="1"/>
  <c r="AS2" i="1"/>
  <c r="H2" i="1" l="1"/>
  <c r="N2" i="1"/>
  <c r="Q2" i="1" s="1"/>
  <c r="R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<sst xmlns="http://schemas.openxmlformats.org/spreadsheetml/2006/main" count="14190" uniqueCount="3049">
  <si>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</si>
  <si>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</si>
  <si>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</si>
  <si>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</si>
  <si>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</si>
  <si>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</si>
  <si>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</si>
  <si>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</si>
  <si>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</si>
  <si>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</si>
  <si>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</si>
  <si>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</si>
  <si>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</si>
  <si>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</si>
  <si>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</si>
  <si>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</si>
  <si>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</si>
  <si>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</si>
  <si>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</si>
  <si>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</si>
  <si>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</si>
  <si>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</si>
  <si>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</si>
  <si>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</si>
  <si>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</si>
  <si>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</si>
  <si>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</si>
  <si>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</si>
  <si>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</si>
  <si>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</si>
  <si>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</si>
  <si>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</si>
  <si>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</si>
  <si>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</si>
  <si>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</si>
  <si>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</si>
  <si>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</si>
  <si>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</si>
  <si>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</si>
  <si>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</si>
  <si>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</si>
  <si>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</si>
  <si>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</si>
  <si>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</si>
  <si>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</si>
  <si>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</si>
  <si>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</si>
  <si>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</si>
  <si>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</si>
  <si>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</si>
  <si>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</si>
  <si>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</si>
  <si>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</si>
  <si>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</si>
  <si>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</si>
  <si>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</si>
  <si>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</si>
  <si>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</si>
  <si>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</si>
  <si>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</si>
  <si>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</si>
  <si>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</si>
  <si>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</si>
  <si>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</si>
  <si>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</si>
  <si>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</si>
  <si>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</si>
  <si>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</si>
  <si>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</si>
  <si>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</si>
  <si>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</si>
  <si>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</si>
  <si>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</si>
  <si>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</si>
  <si>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</si>
  <si>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</si>
  <si>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</si>
  <si>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</si>
  <si>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</si>
  <si>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</si>
  <si>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</si>
  <si>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</si>
  <si>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</si>
  <si>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</si>
  <si>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</si>
  <si>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</si>
  <si>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</si>
  <si>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</si>
  <si>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</si>
  <si>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</si>
  <si>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</si>
  <si>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</si>
  <si>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</si>
  <si>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</si>
  <si>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</si>
  <si>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</si>
  <si>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</si>
  <si>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</si>
  <si>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</si>
  <si>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</si>
  <si>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</si>
  <si>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</si>
  <si>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</si>
  <si>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</si>
  <si>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</si>
  <si>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</si>
  <si>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</si>
  <si>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</si>
  <si>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</si>
  <si>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</si>
  <si>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</si>
  <si>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</si>
  <si>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</si>
  <si>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</si>
  <si>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</si>
  <si>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</si>
  <si>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</si>
  <si>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</si>
  <si>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</si>
  <si>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</si>
  <si>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</si>
  <si>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</si>
  <si>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</si>
  <si>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</si>
  <si>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</si>
  <si>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</si>
  <si>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</si>
  <si>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</si>
  <si>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</si>
  <si>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</si>
  <si>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</si>
  <si>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</si>
  <si>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</si>
  <si>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</si>
  <si>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</si>
  <si>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</si>
  <si>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</si>
  <si>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</si>
  <si>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</si>
  <si>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</si>
  <si>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</si>
  <si>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</si>
  <si>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</si>
  <si>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</si>
  <si>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</si>
  <si>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</si>
  <si>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</si>
  <si>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</si>
  <si>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</si>
  <si>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</si>
  <si>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</si>
  <si>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</si>
  <si>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</si>
  <si>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</si>
  <si>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</si>
  <si>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</si>
  <si>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</si>
  <si>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</si>
  <si>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</si>
  <si>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</si>
  <si>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</si>
  <si>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</si>
  <si>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</si>
  <si>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</si>
  <si>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</si>
  <si>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</si>
  <si>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</si>
  <si>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</si>
  <si>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</si>
  <si>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</si>
  <si>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</si>
  <si>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</si>
  <si>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</si>
  <si>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</si>
  <si>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</si>
  <si>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</si>
  <si>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</si>
  <si>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</si>
  <si>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</si>
  <si>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</si>
  <si>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</si>
  <si>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</si>
  <si>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</si>
  <si>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</si>
  <si>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</si>
  <si>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</si>
  <si>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</si>
  <si>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</si>
  <si>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</si>
  <si>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</si>
  <si>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</si>
  <si>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</si>
  <si>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</si>
  <si>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</si>
  <si>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</si>
  <si>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</si>
  <si>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</si>
  <si>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</si>
  <si>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</si>
  <si>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</si>
  <si>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</si>
  <si>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</si>
  <si>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</si>
  <si>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</si>
  <si>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</si>
  <si>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</si>
  <si>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</si>
  <si>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</si>
  <si>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</si>
  <si>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</si>
  <si>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</si>
  <si>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</si>
  <si>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</si>
  <si>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</si>
  <si>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</si>
  <si>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</si>
  <si>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</si>
  <si>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</si>
  <si>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</si>
  <si>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</si>
  <si>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</si>
  <si>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</si>
  <si>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</si>
  <si>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</si>
  <si>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</si>
  <si>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</si>
  <si>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</si>
  <si>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</si>
  <si>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</si>
  <si>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</si>
  <si>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</si>
  <si>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</si>
  <si>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</si>
  <si>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</si>
  <si>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</si>
  <si>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</si>
  <si>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</si>
  <si>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</si>
  <si>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</si>
  <si>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</si>
  <si>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</si>
  <si>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</si>
  <si>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</si>
  <si>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</si>
  <si>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</si>
  <si>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</si>
  <si>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</si>
  <si>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</si>
  <si>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</si>
  <si>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</si>
  <si>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</si>
  <si>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</si>
  <si>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</si>
  <si>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</si>
  <si>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</si>
  <si>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</si>
  <si>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</si>
  <si>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</si>
  <si>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</si>
  <si>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</si>
  <si>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</si>
  <si>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</si>
  <si>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</si>
  <si>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</si>
  <si>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</si>
  <si>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</si>
  <si>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</si>
  <si>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</si>
  <si>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</si>
  <si>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</si>
  <si>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</si>
  <si>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</si>
  <si>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</si>
  <si>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</si>
  <si>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</si>
  <si>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</si>
  <si>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</si>
  <si>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</si>
  <si>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</si>
  <si>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</si>
  <si>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</si>
  <si>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</si>
  <si>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</si>
  <si>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</si>
  <si>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</si>
  <si>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</si>
  <si>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</si>
  <si>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</si>
  <si>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</si>
  <si>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</si>
  <si>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</si>
  <si>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</si>
  <si>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</si>
  <si>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</si>
  <si>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</si>
  <si>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</si>
  <si>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</si>
  <si>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</si>
  <si>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</si>
  <si>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</si>
  <si>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</si>
  <si>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</si>
  <si>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</si>
  <si>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</si>
  <si>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</si>
  <si>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</si>
  <si>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</si>
  <si>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</si>
  <si>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</si>
  <si>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</si>
  <si>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</si>
  <si>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</si>
  <si>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</si>
  <si>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</si>
  <si>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</si>
  <si>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</si>
  <si>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</si>
  <si>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</si>
  <si>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</si>
  <si>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</si>
  <si>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</si>
  <si>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</si>
  <si>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</si>
  <si>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</si>
  <si>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</si>
  <si>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</si>
  <si>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</si>
  <si>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</si>
  <si>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</si>
  <si>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</si>
  <si>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</si>
  <si>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</si>
  <si>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</si>
  <si>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</si>
  <si>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</si>
  <si>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</si>
  <si>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</si>
  <si>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</si>
  <si>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</si>
  <si>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</si>
  <si>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</si>
  <si>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</si>
  <si>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</si>
  <si>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</si>
  <si>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</si>
  <si>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</si>
  <si>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</si>
  <si>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</si>
  <si>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</si>
  <si>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</si>
  <si>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</si>
  <si>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</si>
  <si>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</si>
  <si>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</si>
  <si>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</si>
  <si>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</si>
  <si>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</si>
  <si>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</si>
  <si>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</si>
  <si>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</si>
  <si>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</si>
  <si>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</si>
  <si>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</si>
  <si>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</si>
  <si>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</si>
  <si>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</si>
  <si>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</si>
  <si>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</si>
  <si>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</si>
  <si>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</si>
  <si>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</si>
  <si>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</si>
  <si>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</si>
  <si>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</si>
  <si>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</si>
  <si>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</si>
  <si>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</si>
  <si>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</si>
  <si>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</si>
  <si>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</si>
  <si>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</si>
  <si>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</si>
  <si>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</si>
  <si>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</si>
  <si>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</si>
  <si>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</si>
  <si>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</si>
  <si>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</si>
  <si>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</si>
  <si>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</si>
  <si>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</si>
  <si>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</si>
  <si>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</si>
  <si>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</si>
  <si>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</si>
  <si>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</si>
  <si>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</si>
  <si>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</si>
  <si>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</si>
  <si>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</si>
  <si>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</si>
  <si>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</si>
  <si>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</si>
  <si>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</si>
  <si>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</si>
  <si>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</si>
  <si>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</si>
  <si>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</si>
  <si>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</si>
  <si>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</si>
  <si>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</si>
  <si>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</si>
  <si>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</si>
  <si>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</si>
  <si>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</si>
  <si>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</si>
  <si>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</si>
  <si>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</si>
  <si>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</si>
  <si>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</si>
  <si>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</si>
  <si>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</si>
  <si>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</si>
  <si>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</si>
  <si>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</si>
  <si>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</si>
  <si>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</si>
  <si>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</si>
  <si>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</si>
  <si>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</si>
  <si>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</si>
  <si>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</si>
  <si>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</si>
  <si>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</si>
  <si>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</si>
  <si>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</si>
  <si>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</si>
  <si>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</si>
  <si>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</si>
  <si>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</si>
  <si>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</si>
  <si>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</si>
  <si>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</si>
  <si>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</si>
  <si>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</si>
  <si>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</si>
  <si>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</si>
  <si>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</si>
  <si>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</si>
  <si>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</si>
  <si>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</si>
  <si>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</si>
  <si>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</si>
  <si>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</si>
  <si>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</si>
  <si>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</si>
  <si>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</si>
  <si>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</si>
  <si>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</si>
  <si>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</si>
  <si>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</si>
  <si>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</si>
  <si>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</si>
  <si>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</si>
  <si>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</si>
  <si>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</si>
  <si>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</si>
  <si>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</si>
  <si>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</si>
  <si>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</si>
  <si>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</si>
  <si>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</si>
  <si>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</si>
  <si>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</si>
  <si>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</si>
  <si>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</si>
  <si>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</si>
  <si>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</si>
  <si>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</si>
  <si>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</si>
  <si>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</si>
  <si>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</si>
  <si>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</si>
  <si>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</si>
  <si>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</si>
  <si>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</si>
  <si>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</si>
  <si>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</si>
  <si>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</si>
  <si>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</si>
  <si>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</si>
  <si>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</si>
  <si>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</si>
  <si>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</si>
  <si>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</si>
  <si>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</si>
  <si>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</si>
  <si>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</si>
  <si>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</si>
  <si>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</si>
  <si>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</si>
  <si>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</si>
  <si>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</si>
  <si>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</si>
  <si>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</si>
  <si>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</si>
  <si>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</si>
  <si>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</si>
  <si>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</si>
  <si>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</si>
  <si>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</si>
  <si>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</si>
  <si>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</si>
  <si>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</si>
  <si>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</si>
  <si>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</si>
  <si>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</si>
  <si>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</si>
  <si>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</si>
  <si>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</si>
  <si>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</si>
  <si>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</si>
  <si>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</si>
  <si>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</si>
  <si>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</si>
  <si>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</si>
  <si>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</si>
  <si>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</si>
  <si>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</si>
  <si>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</si>
  <si>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</si>
  <si>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</si>
  <si>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</si>
  <si>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</si>
  <si>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</si>
  <si>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</si>
  <si>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</si>
  <si>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</si>
  <si>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</si>
  <si>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</si>
  <si>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</si>
  <si>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</si>
  <si>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</si>
  <si>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</si>
  <si>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</si>
  <si>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</si>
  <si>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</si>
  <si>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</si>
  <si>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</si>
  <si>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</si>
  <si>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</si>
  <si>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</si>
  <si>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</si>
  <si>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</si>
  <si>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</si>
  <si>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</si>
  <si>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</si>
  <si>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</si>
  <si>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</si>
  <si>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</si>
  <si>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</si>
  <si>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</si>
  <si>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</si>
  <si>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</si>
  <si>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</si>
  <si>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</si>
  <si>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</si>
  <si>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</si>
  <si>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</si>
  <si>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</si>
  <si>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</si>
  <si>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</si>
  <si>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</si>
  <si>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</si>
  <si>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</si>
  <si>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</si>
  <si>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</si>
  <si>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</si>
  <si>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</si>
  <si>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</si>
  <si>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</si>
  <si>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</si>
  <si>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</si>
  <si>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</si>
  <si>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</si>
  <si>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</si>
  <si>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</si>
  <si>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</si>
  <si>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</si>
  <si>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</si>
  <si>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</si>
  <si>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</si>
  <si>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</si>
  <si>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</si>
  <si>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</si>
  <si>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</si>
  <si>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</si>
  <si>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</si>
  <si>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</si>
  <si>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</si>
  <si>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</si>
  <si>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</si>
  <si>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</si>
  <si>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</si>
  <si>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</si>
  <si>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</si>
  <si>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</si>
  <si>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</si>
  <si>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</si>
  <si>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</si>
  <si>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</si>
  <si>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</si>
  <si>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</si>
  <si>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</si>
  <si>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</si>
  <si>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</si>
  <si>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</si>
  <si>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</si>
  <si>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</si>
  <si>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</si>
  <si>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</si>
  <si>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</si>
  <si>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</si>
  <si>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</si>
  <si>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</si>
  <si>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</si>
  <si>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</si>
  <si>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</si>
  <si>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</si>
  <si>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</si>
  <si>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</si>
  <si>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</si>
  <si>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</si>
  <si>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</si>
  <si>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</si>
  <si>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</si>
  <si>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</si>
  <si>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</si>
  <si>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</si>
  <si>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</si>
  <si>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</si>
  <si>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</si>
  <si>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</si>
  <si>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</si>
  <si>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</si>
  <si>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</si>
  <si>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</si>
  <si>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</si>
  <si>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</si>
  <si>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</si>
  <si>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</si>
  <si>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</si>
  <si>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</si>
  <si>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</si>
  <si>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</si>
  <si>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</si>
  <si>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</si>
  <si>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</si>
  <si>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</si>
  <si>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</si>
  <si>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</si>
  <si>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</si>
  <si>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</si>
  <si>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</si>
  <si>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</si>
  <si>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</si>
  <si>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</si>
  <si>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</si>
  <si>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</si>
  <si>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</si>
  <si>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</si>
  <si>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</si>
  <si>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</si>
  <si>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</si>
  <si>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</si>
  <si>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</si>
  <si>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</si>
  <si>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</si>
  <si>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</si>
  <si>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</si>
  <si>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</si>
  <si>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</si>
  <si>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</si>
  <si>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</si>
  <si>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</si>
  <si>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</si>
  <si>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</si>
  <si>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</si>
  <si>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</si>
  <si>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</si>
  <si>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</si>
  <si>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</si>
  <si>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</si>
  <si>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</si>
  <si>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</si>
  <si>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</si>
  <si>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</si>
  <si>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</si>
  <si>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</si>
  <si>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</si>
  <si>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</si>
  <si>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</si>
  <si>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</si>
  <si>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</si>
  <si>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</si>
  <si>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</si>
  <si>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</si>
  <si>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</si>
  <si>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</si>
  <si>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</si>
  <si>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</si>
  <si>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</si>
  <si>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</si>
  <si>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</si>
  <si>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</si>
  <si>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</si>
  <si>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</si>
  <si>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</si>
  <si>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</si>
  <si>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</si>
  <si>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</si>
  <si>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</si>
  <si>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</si>
  <si>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</si>
  <si>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</si>
  <si>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</si>
  <si>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</si>
  <si>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</si>
  <si>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</si>
  <si>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</si>
  <si>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</si>
  <si>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</si>
  <si>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</si>
  <si>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</si>
  <si>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</si>
  <si>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</si>
  <si>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</si>
  <si>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</si>
  <si>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</si>
  <si>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</si>
  <si>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</si>
  <si>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</si>
  <si>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</si>
  <si>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</si>
  <si>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</si>
  <si>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</si>
  <si>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</si>
  <si>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</si>
  <si>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</si>
  <si>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</si>
  <si>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</si>
  <si>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</si>
  <si>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</si>
  <si>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</si>
  <si>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</si>
  <si>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</si>
  <si>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</si>
  <si>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</si>
  <si>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</si>
  <si>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</si>
  <si>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</si>
  <si>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</si>
  <si>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</si>
  <si>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</si>
  <si>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</si>
  <si>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</si>
  <si>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</si>
  <si>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</si>
  <si>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</si>
  <si>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</si>
  <si>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</si>
  <si>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</si>
  <si>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</si>
  <si>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</si>
  <si>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</si>
  <si>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</si>
  <si>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</si>
  <si>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</si>
  <si>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</si>
  <si>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</si>
  <si>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</si>
  <si>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</si>
  <si>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</si>
  <si>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</si>
  <si>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</si>
  <si>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</si>
  <si>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</si>
  <si>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</si>
  <si>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</si>
  <si>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</si>
  <si>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</si>
  <si>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</si>
  <si>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</si>
  <si>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</si>
  <si>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</si>
  <si>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</si>
  <si>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</si>
  <si>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</si>
  <si>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</si>
  <si>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</si>
  <si>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</si>
  <si>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</si>
  <si>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</si>
  <si>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</si>
  <si>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</si>
  <si>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</si>
  <si>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</si>
  <si>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</si>
  <si>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</si>
  <si>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</si>
  <si>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</si>
  <si>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</si>
  <si>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</si>
  <si>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</si>
  <si>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</si>
  <si>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</si>
  <si>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</si>
  <si>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</si>
  <si>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</si>
  <si>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</si>
  <si>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</si>
  <si>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</si>
  <si>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</si>
  <si>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</si>
  <si>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</si>
  <si>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The Hollywood</t>
  </si>
  <si>
    <t>Bollman Headwear Europe Ltd; 2 Merchants drive, Caelisle, Cumbria CA3 0JW, UK</t>
  </si>
  <si>
    <t>Bollman Headwear Europe Ltd; 2 Merchants drive, Caelisle, Cumbria CA3 0JW, United Kingdom</t>
  </si>
  <si>
    <t>chestnut</t>
  </si>
  <si>
    <t>navy</t>
  </si>
  <si>
    <t>honey</t>
  </si>
  <si>
    <t>black</t>
  </si>
  <si>
    <t>55% бумага - 45% полиэстер</t>
  </si>
  <si>
    <t>100% полипропилен</t>
  </si>
  <si>
    <t>camel</t>
  </si>
  <si>
    <t>55% лен - 45% хлопок</t>
  </si>
  <si>
    <t>charcoal</t>
  </si>
  <si>
    <t>light grey</t>
  </si>
  <si>
    <t>olive</t>
  </si>
  <si>
    <t>putty</t>
  </si>
  <si>
    <t>white</t>
  </si>
  <si>
    <t>tobacco</t>
  </si>
  <si>
    <t>rustic red</t>
  </si>
  <si>
    <t>ivory</t>
  </si>
  <si>
    <t>natural</t>
  </si>
  <si>
    <t>tan</t>
  </si>
  <si>
    <t>natural multi</t>
  </si>
  <si>
    <t>50% бумага - 50% полиэстер</t>
  </si>
  <si>
    <t>50% бумага - 50% полипропилен</t>
  </si>
  <si>
    <t>50% шерсть - 50% полиэстер</t>
  </si>
  <si>
    <t>graphite</t>
  </si>
  <si>
    <t>chocolate</t>
  </si>
  <si>
    <t>rust</t>
  </si>
  <si>
    <t>70% полиэстер - 30% шерсть</t>
  </si>
  <si>
    <t>black.brown</t>
  </si>
  <si>
    <t>black plaid</t>
  </si>
  <si>
    <t>burgundy</t>
  </si>
  <si>
    <t>pecan</t>
  </si>
  <si>
    <t>mink</t>
  </si>
  <si>
    <t>taupe</t>
  </si>
  <si>
    <t>denim</t>
  </si>
  <si>
    <t>sand</t>
  </si>
  <si>
    <t>sunset</t>
  </si>
  <si>
    <t>100% нейлон</t>
  </si>
  <si>
    <t>beige</t>
  </si>
  <si>
    <t>natural/black</t>
  </si>
  <si>
    <t>black.white</t>
  </si>
  <si>
    <t>navy heather</t>
  </si>
  <si>
    <t>50% полиэстер - 50% бумага</t>
  </si>
  <si>
    <t>Cocoa</t>
  </si>
  <si>
    <t>true red</t>
  </si>
  <si>
    <t>coffee</t>
  </si>
  <si>
    <t>dk.blue</t>
  </si>
  <si>
    <t>brown multi</t>
  </si>
  <si>
    <t>charcoal multi</t>
  </si>
  <si>
    <t>red</t>
  </si>
  <si>
    <t>red multi</t>
  </si>
  <si>
    <t>blue</t>
  </si>
  <si>
    <t>woodland mix</t>
  </si>
  <si>
    <t>kohle</t>
  </si>
  <si>
    <t>75% полиэстер - 25% шерсть</t>
  </si>
  <si>
    <t>black multi</t>
  </si>
  <si>
    <t>charcoal heather</t>
  </si>
  <si>
    <t>slate</t>
  </si>
  <si>
    <t>silver</t>
  </si>
  <si>
    <t>deep red</t>
  </si>
  <si>
    <t>walnut</t>
  </si>
  <si>
    <t>50% бумага - 33% полипропилен - 17% полиэстер</t>
  </si>
  <si>
    <t>natural.black</t>
  </si>
  <si>
    <t>61% бумага - 39% полиэстер</t>
  </si>
  <si>
    <t>cobalt</t>
  </si>
  <si>
    <t>80% бумага - 20% полиэстер</t>
  </si>
  <si>
    <t>sepia</t>
  </si>
  <si>
    <t>mint</t>
  </si>
  <si>
    <t>sulfur</t>
  </si>
  <si>
    <t>chambray</t>
  </si>
  <si>
    <t>scarlet</t>
  </si>
  <si>
    <t>dark green</t>
  </si>
  <si>
    <t>aubergine</t>
  </si>
  <si>
    <t>multi</t>
  </si>
  <si>
    <t>black/white</t>
  </si>
  <si>
    <t>berry</t>
  </si>
  <si>
    <t>green</t>
  </si>
  <si>
    <t>blue smoke</t>
  </si>
  <si>
    <t>TOQUILLA PALM</t>
  </si>
  <si>
    <t>солома Токилла</t>
  </si>
  <si>
    <t>PAPER</t>
  </si>
  <si>
    <t>B1134H</t>
  </si>
  <si>
    <t>B124</t>
  </si>
  <si>
    <t>B1431H</t>
  </si>
  <si>
    <t>B1552H</t>
  </si>
  <si>
    <t>B1557H</t>
  </si>
  <si>
    <t>B166</t>
  </si>
  <si>
    <t>B1701H</t>
  </si>
  <si>
    <t>B1703H</t>
  </si>
  <si>
    <t>B1705H</t>
  </si>
  <si>
    <t>B1735H</t>
  </si>
  <si>
    <t>B176</t>
  </si>
  <si>
    <t>B1815H</t>
  </si>
  <si>
    <t>B1899H</t>
  </si>
  <si>
    <t>B1900H</t>
  </si>
  <si>
    <t>B1910H</t>
  </si>
  <si>
    <t>B1945H</t>
  </si>
  <si>
    <t>B1971H</t>
  </si>
  <si>
    <t>B1981H</t>
  </si>
  <si>
    <t>B964</t>
  </si>
  <si>
    <t>light grey multi</t>
  </si>
  <si>
    <t>tangerine</t>
  </si>
  <si>
    <t>natural.white</t>
  </si>
  <si>
    <t>white.black</t>
  </si>
  <si>
    <t>white.navy</t>
  </si>
  <si>
    <t>ivory.black</t>
  </si>
  <si>
    <t>navy.natural</t>
  </si>
  <si>
    <t>desert/natural</t>
  </si>
  <si>
    <t>white.natural</t>
  </si>
  <si>
    <t>desert natural</t>
  </si>
  <si>
    <t>eden green</t>
  </si>
  <si>
    <t>lavender charcoal</t>
  </si>
  <si>
    <t>rattlesnake</t>
  </si>
  <si>
    <t>tropical multi</t>
  </si>
  <si>
    <t>lemon</t>
  </si>
  <si>
    <t>auburn sand</t>
  </si>
  <si>
    <t>31-064-17-00</t>
  </si>
  <si>
    <t>Шляпа BETMAR арт. B1134H RAMONA (белый) {white}</t>
  </si>
  <si>
    <t>B1134H RAMONA</t>
  </si>
  <si>
    <t>88% бумага - 12% полиэстер</t>
  </si>
  <si>
    <t>31-078-20-00</t>
  </si>
  <si>
    <t>Шляпа BETMAR арт. B1431H DEMETRIA (белый / желтый) {white.yellow}</t>
  </si>
  <si>
    <t>B1431H DEMETRIA</t>
  </si>
  <si>
    <t>white.yellow</t>
  </si>
  <si>
    <t>31-081-36-00</t>
  </si>
  <si>
    <t>Шляпа BETMAR арт. B1449H JOANNE (кремовый) {ivory}</t>
  </si>
  <si>
    <t>B1449H JOANNE</t>
  </si>
  <si>
    <t>31-128-19-00</t>
  </si>
  <si>
    <t>Шляпа BETMAR арт. B1557H LORA (бежевый / голубой) {natural.turquoise}</t>
  </si>
  <si>
    <t>B1557H LORA</t>
  </si>
  <si>
    <t>natural.turquoise</t>
  </si>
  <si>
    <t>31-128-59-00</t>
  </si>
  <si>
    <t>Шляпа BETMAR арт. B1557H LORA (белый / бежевый) {white.natural}</t>
  </si>
  <si>
    <t>31-132-34-58</t>
  </si>
  <si>
    <t>Шляпа BETMAR арт. B1609H LAURA II (белый / розовый) {ivory.pink}</t>
  </si>
  <si>
    <t>B1609H LAURA II</t>
  </si>
  <si>
    <t>ivory.pink</t>
  </si>
  <si>
    <t>31-083-09-00</t>
  </si>
  <si>
    <t>Шляпа BETMAR арт. B166 CLASSIC ROLL UP (черный) {black}</t>
  </si>
  <si>
    <t>B166 CLASSIC ROLL UP</t>
  </si>
  <si>
    <t>45% бумага - 35% полипропилен - 20% полиэстер</t>
  </si>
  <si>
    <t>31-083-19-00</t>
  </si>
  <si>
    <t>Шляпа BETMAR арт. B166 CLASSIC ROLL UP (голубой) {lt.blue}</t>
  </si>
  <si>
    <t>lt.blue</t>
  </si>
  <si>
    <t>31-149-02-00</t>
  </si>
  <si>
    <t>Шляпа BETMAR арт. B1700H SIERRA (бежевый) {natural.printed}</t>
  </si>
  <si>
    <t>B1700H SIERRA</t>
  </si>
  <si>
    <t>natural.printed</t>
  </si>
  <si>
    <t>31-150-09-00</t>
  </si>
  <si>
    <t>Шляпа BETMAR арт. B1701H SELENA (черный) {black}</t>
  </si>
  <si>
    <t>B1701H SELENA</t>
  </si>
  <si>
    <t>31-150-02-00</t>
  </si>
  <si>
    <t>Шляпа BETMAR арт. B1701H SELENA (бежевый) {natural}</t>
  </si>
  <si>
    <t>31-151-09-00</t>
  </si>
  <si>
    <t>Шляпа BETMAR арт. B1702H KATE (белый / черный) {black.white}</t>
  </si>
  <si>
    <t>B1702H KATE</t>
  </si>
  <si>
    <t>31-152-34-00</t>
  </si>
  <si>
    <t>Шляпа BETMAR арт. B1703H PORTO (бежевый / розовый) {natural.coral}</t>
  </si>
  <si>
    <t>B1703H PORTO</t>
  </si>
  <si>
    <t>natural.coral</t>
  </si>
  <si>
    <t>31-154-48-56</t>
  </si>
  <si>
    <t>Шляпа BETMAR арт. B1706H ESTHER (белый / черный) {ivory.black}</t>
  </si>
  <si>
    <t>B1706H ESTHER</t>
  </si>
  <si>
    <t>31-154-48-58</t>
  </si>
  <si>
    <t>31-155-02-00</t>
  </si>
  <si>
    <t>Кепка BETMAR арт. B1708H FISHERMAN CAP (бежевый) {khaki}</t>
  </si>
  <si>
    <t>B1708H FISHERMAN CAP</t>
  </si>
  <si>
    <t>khaki</t>
  </si>
  <si>
    <t>31-155-18-00</t>
  </si>
  <si>
    <t>Кепка BETMAR арт. B1708H FISHERMAN CAP (красный) {poppy}</t>
  </si>
  <si>
    <t>poppy</t>
  </si>
  <si>
    <t>31-155-38-00</t>
  </si>
  <si>
    <t>Кепка BETMAR арт. B1708H FISHERMAN CAP (белый / синий) {white.navy}</t>
  </si>
  <si>
    <t>31-171-00-00</t>
  </si>
  <si>
    <t>Шляпа BETMAR арт. B1735H AUDREY (бежевый / белый) {white.natural}</t>
  </si>
  <si>
    <t>B1735H AUDREY</t>
  </si>
  <si>
    <t>31-172-17-00</t>
  </si>
  <si>
    <t>Шляпа BETMAR арт. B1736H MALLORY (белый / бежевый) {white.natural}</t>
  </si>
  <si>
    <t>B1736H MALLORY</t>
  </si>
  <si>
    <t>31-084-86-00</t>
  </si>
  <si>
    <t>Шляпа BETMAR арт. B176 GOSSAMER (светло-розовый) {lt.pink}</t>
  </si>
  <si>
    <t>B176 GOSSAMER</t>
  </si>
  <si>
    <t>lt.pink</t>
  </si>
  <si>
    <t>31-084-16-00</t>
  </si>
  <si>
    <t>Шляпа BETMAR арт. B176 GOSSAMER (темно-синий) {navy}</t>
  </si>
  <si>
    <t>31-192-09-00</t>
  </si>
  <si>
    <t>Кепка BETMAR арт. B1818H SEAPORT CAP (черный) {black}</t>
  </si>
  <si>
    <t>B1818H SEAPORT CAP</t>
  </si>
  <si>
    <t>31-192-17-00</t>
  </si>
  <si>
    <t>Кепка BETMAR арт. B1818H SEAPORT CAP (белый) {white}</t>
  </si>
  <si>
    <t>31-193-19-00</t>
  </si>
  <si>
    <t>Кепка BETMAR арт. B1819H EVI (голубой / белый) {lightblue.white}</t>
  </si>
  <si>
    <t>B1819H EVI</t>
  </si>
  <si>
    <t>50% хлопок - 50% бумага</t>
  </si>
  <si>
    <t>lightblue.white</t>
  </si>
  <si>
    <t>31-194-16-00</t>
  </si>
  <si>
    <t>Кепка BETMAR арт. B1831H ADELE II (синий) {dark denim dots}</t>
  </si>
  <si>
    <t>B1831H ADELE II</t>
  </si>
  <si>
    <t>dark denim dots</t>
  </si>
  <si>
    <t>31-061-36-00</t>
  </si>
  <si>
    <t>Шляпа BETMAR арт. B1096H TRICIA (бежевый / белый) {ecru}</t>
  </si>
  <si>
    <t>B1096H TRICIA</t>
  </si>
  <si>
    <t>ecru</t>
  </si>
  <si>
    <t>31-132-48-56</t>
  </si>
  <si>
    <t>Шляпа BETMAR арт. B1609H LAURA II (белый / черный) {ivory.black}</t>
  </si>
  <si>
    <t>31-132-48-58</t>
  </si>
  <si>
    <t>31-083-14-00</t>
  </si>
  <si>
    <t>Шляпа BETMAR арт. B166 CLASSIC ROLL UP (коричневый) {rattlesnake}</t>
  </si>
  <si>
    <t>31-163-16-00</t>
  </si>
  <si>
    <t>Шляпа BETMAR арт. B1718H CORSICA (синий / белый) {navy.white}</t>
  </si>
  <si>
    <t>B1718H CORSICA</t>
  </si>
  <si>
    <t>navy.white</t>
  </si>
  <si>
    <t>31-084-06-00</t>
  </si>
  <si>
    <t>Шляпа BETMAR арт. B176 GOSSAMER (синий) {ocean}</t>
  </si>
  <si>
    <t>ocean</t>
  </si>
  <si>
    <t>31-204-02-00</t>
  </si>
  <si>
    <t>Шляпа BETMAR арт. B1811H BARRET (бежевый) {natural.white}</t>
  </si>
  <si>
    <t>B1811H BARRET</t>
  </si>
  <si>
    <t>31-205-02-00</t>
  </si>
  <si>
    <t>Шляпа BETMAR арт. B1812H ST. TROPEZ (бежевый) {natural multi}</t>
  </si>
  <si>
    <t>B1812H ST. TROPEZ</t>
  </si>
  <si>
    <t>90% бумага - 10% полиэстер</t>
  </si>
  <si>
    <t>31-206-02-00</t>
  </si>
  <si>
    <t>Шляпа BETMAR арт. B1815H ELLERY (бежевый) {natural}</t>
  </si>
  <si>
    <t>B1815H ELLERY</t>
  </si>
  <si>
    <t>31-217-20-00</t>
  </si>
  <si>
    <t>Шляпа BETMAR арт. B1841H MALTA (желтый) {sunshine}</t>
  </si>
  <si>
    <t>B1841H MALTA</t>
  </si>
  <si>
    <t>sunshine</t>
  </si>
  <si>
    <t>31-218-02-00</t>
  </si>
  <si>
    <t>Шляпа BETMAR арт. B1859H LUCIA (бежевый) {natural.lt.blue}</t>
  </si>
  <si>
    <t>B1859H LUCIA</t>
  </si>
  <si>
    <t>natural.lt.blue</t>
  </si>
  <si>
    <t>31-219-09-00</t>
  </si>
  <si>
    <t>Бейсболка BETMAR арт. B1872H QUILTED RAIN CAP (черный) {black}</t>
  </si>
  <si>
    <t>B1872H QUILTED RAIN CAP</t>
  </si>
  <si>
    <t>31-220-00-00</t>
  </si>
  <si>
    <t>Бейсболка BETMAR арт. B1886H LEOPARD BASEBALL CAP (черный / оранжевый) {leopard}</t>
  </si>
  <si>
    <t>B1886H LEOPARD BASEBALL CAP</t>
  </si>
  <si>
    <t>leopard</t>
  </si>
  <si>
    <t>31-221-35-00</t>
  </si>
  <si>
    <t>Бейсболка BETMAR арт. B1892H FLORAL BASEBALL CAP (разноцветный) {floral multi}</t>
  </si>
  <si>
    <t>B1892H FLORAL BASEBALL CAP</t>
  </si>
  <si>
    <t>floral multi</t>
  </si>
  <si>
    <t>31-222-12-00</t>
  </si>
  <si>
    <t>Берет BETMAR арт. B1877H GRACELLA (бордовый) {bordeaux}</t>
  </si>
  <si>
    <t>B1877H GRACELLA</t>
  </si>
  <si>
    <t>bordeaux</t>
  </si>
  <si>
    <t>31-034-14-00</t>
  </si>
  <si>
    <t>Берет BETMAR арт. B515 FLOWER BERET (кирпичный) {spice}</t>
  </si>
  <si>
    <t>B515 FLOWER BERET</t>
  </si>
  <si>
    <t>spice</t>
  </si>
  <si>
    <t>31-002-86-00</t>
  </si>
  <si>
    <t>Кепка BETMAR арт. B011H ADELE (темно-бордовый) {burgundy cord}</t>
  </si>
  <si>
    <t>B011H ADELE</t>
  </si>
  <si>
    <t>burgundy cord</t>
  </si>
  <si>
    <t>31-188-03-00</t>
  </si>
  <si>
    <t>Кепка BETMAR арт. B1794H CRYSTAL CAP (оливковый) {olive}</t>
  </si>
  <si>
    <t>B1794H CRYSTAL CAP</t>
  </si>
  <si>
    <t>31-223-05-00</t>
  </si>
  <si>
    <t>Кепка BETMAR арт. B1865H DITA (темно-серый) {charcoal heather}</t>
  </si>
  <si>
    <t>B1865H DITA</t>
  </si>
  <si>
    <t>31-224-03-00</t>
  </si>
  <si>
    <t>Кепка BETMAR арт. B1873H LIEUTENANT CAP (оливковый) {olive}</t>
  </si>
  <si>
    <t>B1873H LIEUTENANT CAP</t>
  </si>
  <si>
    <t>31-225-09-00</t>
  </si>
  <si>
    <t>Кепка BETMAR арт. B1891H LIEUTENANT RAIN CAP (черный) {black}</t>
  </si>
  <si>
    <t>B1891H LIEUTENANT RAIN CAP</t>
  </si>
  <si>
    <t>31-035-45-00</t>
  </si>
  <si>
    <t>Кепка BETMAR арт. B521 RHINESTONE CAP (лиловый) {lilac}</t>
  </si>
  <si>
    <t>B521 RHINESTONE CAP</t>
  </si>
  <si>
    <t>lilac</t>
  </si>
  <si>
    <t>31-038-05-00</t>
  </si>
  <si>
    <t>Кепка BETMAR арт. B562 BOY MEETS GIRL (темно-серый) {black.white glen plaid}</t>
  </si>
  <si>
    <t>B562 BOY MEETS GIRL</t>
  </si>
  <si>
    <t>black.white glen plaid</t>
  </si>
  <si>
    <t>31-008-03-00</t>
  </si>
  <si>
    <t>Шляпа BETMAR арт. B1249H DARCY (оливковый) {woodland mix}</t>
  </si>
  <si>
    <t>B1249H DARCY</t>
  </si>
  <si>
    <t>31-142-86-00</t>
  </si>
  <si>
    <t>Шляпа BETMAR арт. B1488H CHRISTINA (кирпичный) {spice}</t>
  </si>
  <si>
    <t>B1488H CHRISTINA</t>
  </si>
  <si>
    <t>31-184-01-00</t>
  </si>
  <si>
    <t>Шляпа BETMAR арт. B1779H PIPPA (светло-серый) {oatmeal}</t>
  </si>
  <si>
    <t>B1779H PIPPA</t>
  </si>
  <si>
    <t>55% шерсть - 45% вискоза</t>
  </si>
  <si>
    <t>oatmeal</t>
  </si>
  <si>
    <t>31-226-09-00</t>
  </si>
  <si>
    <t>Шляпа BETMAR арт. B1788H EMELIA (черный) {black multi}</t>
  </si>
  <si>
    <t>B1788H EMELIA</t>
  </si>
  <si>
    <t>75% акрил - 25% полиэстер</t>
  </si>
  <si>
    <t>31-183-13-56</t>
  </si>
  <si>
    <t>Шляпа BETMAR арт. B1795H SAWYER (рыжий) {twig}</t>
  </si>
  <si>
    <t>B1795H SAWYER</t>
  </si>
  <si>
    <t>twig</t>
  </si>
  <si>
    <t>31-183-13-58</t>
  </si>
  <si>
    <t>31-187-06-00</t>
  </si>
  <si>
    <t>Шляпа BETMAR арт. B1796H DIXIE (синий) {denim mix}</t>
  </si>
  <si>
    <t>B1796H DIXIE</t>
  </si>
  <si>
    <t>denim mix</t>
  </si>
  <si>
    <t>31-185-41-58</t>
  </si>
  <si>
    <t>Шляпа BETMAR арт. B1798H CASSAT (фиолетовый) {aubergine}</t>
  </si>
  <si>
    <t>B1798H CASSAT</t>
  </si>
  <si>
    <t>31-185-41-56</t>
  </si>
  <si>
    <t>31-178-13-00</t>
  </si>
  <si>
    <t>Шляпа BETMAR арт. B1799H MULLINS (черный / оранжевый) {leopard}</t>
  </si>
  <si>
    <t>B1799H MULLINS</t>
  </si>
  <si>
    <t>31-227-09-00</t>
  </si>
  <si>
    <t>Шляпа BETMAR арт. B1863H SOPHIYA (черный) {black}</t>
  </si>
  <si>
    <t>B1863H SOPHIYA</t>
  </si>
  <si>
    <t>50% олефин - 40% шерсть - 10% нейлон</t>
  </si>
  <si>
    <t>31-228-09-00</t>
  </si>
  <si>
    <t>Шляпа BETMAR арт. B1866H FRIDA (черный) {black}</t>
  </si>
  <si>
    <t>B1866H FRIDA</t>
  </si>
  <si>
    <t>31-229-08-00</t>
  </si>
  <si>
    <t>Шляпа BETMAR арт. B1868H BARDOT (серый) {heather grey}</t>
  </si>
  <si>
    <t>B1868H BARDOT</t>
  </si>
  <si>
    <t>heather grey</t>
  </si>
  <si>
    <t>31-230-09-00</t>
  </si>
  <si>
    <t>Шляпа BETMAR арт. B1869H ZELDA (черный) {black}</t>
  </si>
  <si>
    <t>B1869H ZELDA</t>
  </si>
  <si>
    <t>31-231-14-00</t>
  </si>
  <si>
    <t>Шляпа BETMAR арт. B1879H LUCILLE (коричневый) {brown multi}</t>
  </si>
  <si>
    <t>B1879H LUCILLE</t>
  </si>
  <si>
    <t>72% акрил - 28% полиэстер</t>
  </si>
  <si>
    <t>31-232-16-00</t>
  </si>
  <si>
    <t>Шляпа BETMAR арт. B1881H CHERIE (темно-синий) {concord multi}</t>
  </si>
  <si>
    <t>B1881H CHERIE</t>
  </si>
  <si>
    <t>93% акрил - 7% полиэстер</t>
  </si>
  <si>
    <t>concord multi</t>
  </si>
  <si>
    <t>31-233-03-56</t>
  </si>
  <si>
    <t>Шляпа BETMAR арт. B1883H ASHLAND (оливковый) {olive}</t>
  </si>
  <si>
    <t>B1883H ASHLAND</t>
  </si>
  <si>
    <t>31-233-03-58</t>
  </si>
  <si>
    <t>31-234-41-58</t>
  </si>
  <si>
    <t>Шляпа BETMAR арт. B1884H BARTON (фиолетовый) {plum}</t>
  </si>
  <si>
    <t>B1884H BARTON</t>
  </si>
  <si>
    <t>plum</t>
  </si>
  <si>
    <t>31-234-41-56</t>
  </si>
  <si>
    <t>31-235-12-00</t>
  </si>
  <si>
    <t>Шляпа BETMAR арт. B1889H NOELLE (бордовый) {cranberry}</t>
  </si>
  <si>
    <t>B1889H NOELLE</t>
  </si>
  <si>
    <t>cranberry</t>
  </si>
  <si>
    <t>31-236-14-00</t>
  </si>
  <si>
    <t>Шляпа BETMAR арт. B1890H CAROLENA (коричневый) {chocolate}</t>
  </si>
  <si>
    <t>B1890H CAROLENA</t>
  </si>
  <si>
    <t>31-032-16-00</t>
  </si>
  <si>
    <t>Шляпа BETMAR арт. B434H WILLOW (темно-синий) {navy multi}</t>
  </si>
  <si>
    <t>B434H WILLOW</t>
  </si>
  <si>
    <t>navy multi</t>
  </si>
  <si>
    <t>31-037-72-00</t>
  </si>
  <si>
    <t>Шляпа BETMAR арт. B545H ALEXANDRITE (красный / черный) {scarlet.black}</t>
  </si>
  <si>
    <t>B545H ALEXANDRITE</t>
  </si>
  <si>
    <t>scarlet.black</t>
  </si>
  <si>
    <t>31-045-07-00</t>
  </si>
  <si>
    <t>Шляпа BETMAR арт. B952H MAYA (зеленый) {forest multi}</t>
  </si>
  <si>
    <t>B952H MAYA</t>
  </si>
  <si>
    <t>70% полиэстер - 30% акрил</t>
  </si>
  <si>
    <t>forest multi</t>
  </si>
  <si>
    <t>31-190-19-00</t>
  </si>
  <si>
    <t>Бейсболка BETMAR арт. B1844H ASTRID (голубой) {denim}</t>
  </si>
  <si>
    <t>B1844H ASTRID</t>
  </si>
  <si>
    <t>31-191-06-00</t>
  </si>
  <si>
    <t>Бейсболка BETMAR арт. B1860H JESSA (синий) {polka dots}</t>
  </si>
  <si>
    <t>B1860H JESSA</t>
  </si>
  <si>
    <t>polka dots</t>
  </si>
  <si>
    <t>31-155-08-00</t>
  </si>
  <si>
    <t>Кепка BETMAR арт. B1708H FISHERMAN CAP (серый) {pinstripes}</t>
  </si>
  <si>
    <t>pinstripes</t>
  </si>
  <si>
    <t>31-192-06-00</t>
  </si>
  <si>
    <t>Кепка BETMAR арт. B1818H SEAPORT CAP (синий) {denim}</t>
  </si>
  <si>
    <t>31-193-59-00</t>
  </si>
  <si>
    <t>Кепка BETMAR арт. B1819H EVI (белый / розовый) {white.coral}</t>
  </si>
  <si>
    <t>white.coral</t>
  </si>
  <si>
    <t>31-194-19-00</t>
  </si>
  <si>
    <t>Кепка BETMAR арт. B1831H ADELE II (голубой) {lt.denim}</t>
  </si>
  <si>
    <t>lt.denim</t>
  </si>
  <si>
    <t>31-195-08-00</t>
  </si>
  <si>
    <t>Кепка BETMAR арт. B1845H SAILOR CAP (синий) {pinstripes}</t>
  </si>
  <si>
    <t>B1845H SAILOR CAP</t>
  </si>
  <si>
    <t>31-053-06-00</t>
  </si>
  <si>
    <t>Кепка BETMAR арт. B964 FACE FRAMER (синий) {denim}</t>
  </si>
  <si>
    <t>B964 FACE FRAMER</t>
  </si>
  <si>
    <t>31-197-18-00</t>
  </si>
  <si>
    <t>Обруч BETMAR арт. B1834H EMMABELLA (красный) {scarlet}</t>
  </si>
  <si>
    <t>B1834H EMMABELLA</t>
  </si>
  <si>
    <t>31-198-34-00</t>
  </si>
  <si>
    <t>Панама BETMAR арт. B1710H GIGI (темно-розовый) {coral}</t>
  </si>
  <si>
    <t>B1710H GIGI</t>
  </si>
  <si>
    <t>coral</t>
  </si>
  <si>
    <t>31-199-06-00</t>
  </si>
  <si>
    <t>Панама BETMAR арт. B1816H CAMILLA (синий) {denim}</t>
  </si>
  <si>
    <t>B1816H CAMILLA</t>
  </si>
  <si>
    <t>31-200-18-00</t>
  </si>
  <si>
    <t>Панама BETMAR арт. B1817H CLOVER (красный) {poppy}</t>
  </si>
  <si>
    <t>B1817H CLOVER</t>
  </si>
  <si>
    <t>31-090-45-00</t>
  </si>
  <si>
    <t>Панама BETMAR арт. B962 KNOTTED CLOCHE (лиловый) {lilac}</t>
  </si>
  <si>
    <t>B962 KNOTTED CLOCHE</t>
  </si>
  <si>
    <t>31-061-19-00</t>
  </si>
  <si>
    <t>Шляпа BETMAR арт. B1096H TRICIA (голубой) {lt.blue}</t>
  </si>
  <si>
    <t>31-064-14-00</t>
  </si>
  <si>
    <t>Шляпа BETMAR арт. B1134H RAMONA (коричневый) {rattlesnake}</t>
  </si>
  <si>
    <t>31-078-35-00</t>
  </si>
  <si>
    <t>Шляпа BETMAR арт. B1431H DEMETRIA (разноцветный) {white/multi}</t>
  </si>
  <si>
    <t>white/multi</t>
  </si>
  <si>
    <t>31-080-33-00</t>
  </si>
  <si>
    <t>Шляпа BETMAR арт. B1440H PERLA (черный / коричневый) {black/brown}</t>
  </si>
  <si>
    <t>B1440H Perla</t>
  </si>
  <si>
    <t>31-081-06-00</t>
  </si>
  <si>
    <t>Шляпа BETMAR арт. B1449H JOANNE (синий) {denim wash}</t>
  </si>
  <si>
    <t>denim wash</t>
  </si>
  <si>
    <t>31-152-53-00</t>
  </si>
  <si>
    <t>Шляпа BETMAR арт. B1703H PORTO (бежевый / черный) {natural/black}</t>
  </si>
  <si>
    <t>31-163-53-00</t>
  </si>
  <si>
    <t>Шляпа BETMAR арт. B1718H CORSICA (черный / бежевый) {black/natural}</t>
  </si>
  <si>
    <t>black/natural</t>
  </si>
  <si>
    <t>31-171-95-00</t>
  </si>
  <si>
    <t>Шляпа BETMAR арт. B1735H AUDREY (синий / белый) {navy/white}</t>
  </si>
  <si>
    <t>40% полипропилен - 30% бумага - 30% полиэстер</t>
  </si>
  <si>
    <t>navy/white</t>
  </si>
  <si>
    <t>31-084-87-00</t>
  </si>
  <si>
    <t>Шляпа BETMAR арт. B176 GOSSAMER (кирпичный) {tropical multi}</t>
  </si>
  <si>
    <t>31-201-19-00</t>
  </si>
  <si>
    <t>Шляпа BETMAR арт. B1807H WILLA (голубой) {lt.blue}</t>
  </si>
  <si>
    <t>B1807H WILLA</t>
  </si>
  <si>
    <t>31-202-02-00</t>
  </si>
  <si>
    <t>Шляпа BETMAR арт. B1808H STELLA (бежевый) {stardust}</t>
  </si>
  <si>
    <t>B1808H STELLA</t>
  </si>
  <si>
    <t>50% бумага - 30% полипропилен - 20% полиэстер</t>
  </si>
  <si>
    <t>stardust</t>
  </si>
  <si>
    <t>31-203-06-00</t>
  </si>
  <si>
    <t>Шляпа BETMAR арт. B1809H MANCHESTER (синий) {navy multi}</t>
  </si>
  <si>
    <t>B1809H MANCHESTER</t>
  </si>
  <si>
    <t>75% бумага - 25% полиэстер</t>
  </si>
  <si>
    <t>31-204-96-00</t>
  </si>
  <si>
    <t>Шляпа BETMAR арт. B1811H BARRET (черный / коричневый) {black.brown}</t>
  </si>
  <si>
    <t>31-205-06-00</t>
  </si>
  <si>
    <t>Шляпа BETMAR арт. B1812H ST.TROPEZ (синий) {navy multi}</t>
  </si>
  <si>
    <t>31-206-14-00</t>
  </si>
  <si>
    <t>Шляпа BETMAR арт. B1815H ELLERY (коричневый) {brown multi}</t>
  </si>
  <si>
    <t>31-207-17-00</t>
  </si>
  <si>
    <t>Шляпа BETMAR арт. B1820H MORGANE (белый) {white}</t>
  </si>
  <si>
    <t>B1820H MORGANE</t>
  </si>
  <si>
    <t>31-208-35-00</t>
  </si>
  <si>
    <t>Шляпа BETMAR арт. B1826H MEADOW (разноцветный) {multi}</t>
  </si>
  <si>
    <t>B1826H MEADOW</t>
  </si>
  <si>
    <t>31-209-35-00</t>
  </si>
  <si>
    <t>Шляпа BETMAR арт. B1830H TULUM (разноцветный) {multi}</t>
  </si>
  <si>
    <t>B1830H TULUM</t>
  </si>
  <si>
    <t>31-210-34-00</t>
  </si>
  <si>
    <t>Шляпа BETMAR арт. B1835H GRACIE (розовый) {blush}</t>
  </si>
  <si>
    <t>B1835H GRACIE</t>
  </si>
  <si>
    <t>blush</t>
  </si>
  <si>
    <t>31-211-09-00</t>
  </si>
  <si>
    <t>Шляпа BETMAR арт. B1836H VALENTINA (черный) {black}</t>
  </si>
  <si>
    <t>B1836H VALENTINA</t>
  </si>
  <si>
    <t>31-212-08-00</t>
  </si>
  <si>
    <t>Шляпа BETMAR арт. B1837H ODETTE (серый) {light grey}</t>
  </si>
  <si>
    <t>B1837H ODETTE</t>
  </si>
  <si>
    <t>31-213-02-56</t>
  </si>
  <si>
    <t>Шляпа BETMAR арт. B1848H MONTEREY (бежевый) {natural multi}</t>
  </si>
  <si>
    <t>B1848H MONTEREY</t>
  </si>
  <si>
    <t>31-213-02-58</t>
  </si>
  <si>
    <t>31-214-53-00</t>
  </si>
  <si>
    <t>Шляпа BETMAR арт. B1862H CHANTALLE (бежевый / черный) {natural.black}</t>
  </si>
  <si>
    <t>B1862H CHANTALLE</t>
  </si>
  <si>
    <t>31-087-20-00</t>
  </si>
  <si>
    <t>Шляпа BETMAR арт. B3261 COCONUT RING SAFARI (желтый) {sunshine}</t>
  </si>
  <si>
    <t>B3261 COCONUT RING SAFARI</t>
  </si>
  <si>
    <t>31-008-12-00</t>
  </si>
  <si>
    <t>Шляпа BETMAR арт. B1249H DARCY (бордовый) {spice}</t>
  </si>
  <si>
    <t>31-008-08-00</t>
  </si>
  <si>
    <t>Шляпа BETMAR арт. B1249H DARCY (серый) {heather grey}</t>
  </si>
  <si>
    <t>31-182-02-00</t>
  </si>
  <si>
    <t>Шляпа BETMAR арт. B1765H WALDEN (бежевый) {camel}</t>
  </si>
  <si>
    <t>B1765H WALDEN</t>
  </si>
  <si>
    <t>31-180-14-56</t>
  </si>
  <si>
    <t>Шляпа BETMAR арт. B1781H ALDRIDGE (коричневый) {chocolate}</t>
  </si>
  <si>
    <t>B1781H ALDRIDGE</t>
  </si>
  <si>
    <t>31-180-14-58</t>
  </si>
  <si>
    <t>31-180-01-56</t>
  </si>
  <si>
    <t>Шляпа BETMAR арт. B1781H ALDRIDGE (светло-серый) {silver}</t>
  </si>
  <si>
    <t>31-180-01-58</t>
  </si>
  <si>
    <t>31-177-14-56</t>
  </si>
  <si>
    <t>Шляпа BETMAR арт. B1782H BYRNE (темно-бордовый) {burgundy}</t>
  </si>
  <si>
    <t>B1782H BYRNE</t>
  </si>
  <si>
    <t>31-177-14-58</t>
  </si>
  <si>
    <t>31-215-09-00</t>
  </si>
  <si>
    <t>Шляпа BETMAR арт. B1790H MINDENHALL (черный) {black}</t>
  </si>
  <si>
    <t>B1790H MINDENHALL</t>
  </si>
  <si>
    <t>31-215-18-00</t>
  </si>
  <si>
    <t>Шляпа BETMAR арт. B1790H MINDENHALL (красный) {true red}</t>
  </si>
  <si>
    <t>31-215-17-00</t>
  </si>
  <si>
    <t>Шляпа BETMAR арт. B1790H MINDENHALL (белый) {winter white}</t>
  </si>
  <si>
    <t>winter white</t>
  </si>
  <si>
    <t>31-216-09-00</t>
  </si>
  <si>
    <t>Шляпа BETMAR арт. B1791H ANNIE (черный) {black}</t>
  </si>
  <si>
    <t>B1791H ANNIE</t>
  </si>
  <si>
    <t>50% водостойкий ПУ - 50% хлопок</t>
  </si>
  <si>
    <t>31-188-41-00</t>
  </si>
  <si>
    <t>Кепка BETMAR арт. B1794H CRYSTAL CAP (фиолетовый) {plum}</t>
  </si>
  <si>
    <t>31-185-09-58</t>
  </si>
  <si>
    <t>Шляпа BETMAR арт. B1798H CASSAT (черный) {black}</t>
  </si>
  <si>
    <t>31-185-09-56</t>
  </si>
  <si>
    <t>31-185-16-56</t>
  </si>
  <si>
    <t>Шляпа BETMAR арт. B1798H CASSAT (темно-синий) {navy}</t>
  </si>
  <si>
    <t>31-185-16-58</t>
  </si>
  <si>
    <t>31-181-13-56</t>
  </si>
  <si>
    <t>Шляпа BETMAR арт. B1806H DICKINSON (оливковый / рыжий) {olive/cognac}</t>
  </si>
  <si>
    <t>B1806H DICKINSON</t>
  </si>
  <si>
    <t>olive/cognac</t>
  </si>
  <si>
    <t>31-181-13-58</t>
  </si>
  <si>
    <t>31-034-16-00</t>
  </si>
  <si>
    <t>Берет BETMAR арт. B515 FLOWER BERET (темно-синий) {navy}</t>
  </si>
  <si>
    <t>31-035-03-00</t>
  </si>
  <si>
    <t>Кепка BETMAR арт. B521 RHINESTONE CAP (оливковый) {olive}</t>
  </si>
  <si>
    <t>31-039-14-00</t>
  </si>
  <si>
    <t>Кепка BETMAR арт. B612H FERN (коричневый) {chocolate}</t>
  </si>
  <si>
    <t>B612H FERN</t>
  </si>
  <si>
    <t>100% водостойкий нейлон</t>
  </si>
  <si>
    <t>31-224-09-00</t>
  </si>
  <si>
    <t>Кепка BETMAR арт. B1873H LIEUTENANT CAP (черный) {black}</t>
  </si>
  <si>
    <t>31-224-12-00</t>
  </si>
  <si>
    <t>Кепка BETMAR арт. B1873H LIEUTENANT CAP (бордовый) {bordeaux}</t>
  </si>
  <si>
    <t>31-236-09-00</t>
  </si>
  <si>
    <t>Шляпа BETMAR арт. B1890H CAROLENA (черный) {black}</t>
  </si>
  <si>
    <t>31-227-05-00</t>
  </si>
  <si>
    <t>Шляпа BETMAR арт. B1863H SOPHIYA (темно-серый) {charcoal heather}</t>
  </si>
  <si>
    <t>31-222-09-00</t>
  </si>
  <si>
    <t>Берет BETMAR арт. B1877H GRACELLA (черный) {black}</t>
  </si>
  <si>
    <t>31-083-91-00</t>
  </si>
  <si>
    <t>Шляпа BETMAR арт. B166 CLASSIC ROLL UP (кофейный) {auburn sand}</t>
  </si>
  <si>
    <t>31-155-06-00</t>
  </si>
  <si>
    <t>Кепка BETMAR арт. B1708H FISHERMAN CAP (синий) {light denim}</t>
  </si>
  <si>
    <t>light denim</t>
  </si>
  <si>
    <t>31-084-63-00</t>
  </si>
  <si>
    <t>Шляпа BETMAR арт. B176 GOSSAMER (темно-голубой) {denim multi}</t>
  </si>
  <si>
    <t>denim multi</t>
  </si>
  <si>
    <t>31-205-17-00</t>
  </si>
  <si>
    <t>Шляпа BETMAR арт. B1812H ST. TROPEZ (белый) {ivory multi}</t>
  </si>
  <si>
    <t>ivory multi</t>
  </si>
  <si>
    <t>31-206-09-00</t>
  </si>
  <si>
    <t>Шляпа BETMAR арт. B1815H ELLERY (черный) {black}</t>
  </si>
  <si>
    <t>31-192-03-00</t>
  </si>
  <si>
    <t>Кепка BETMAR арт. B1818H SEAPORT CAP (белый / оливковый) {white.olive}</t>
  </si>
  <si>
    <t>white.olive</t>
  </si>
  <si>
    <t>31-207-16-00</t>
  </si>
  <si>
    <t>Шляпа BETMAR арт. B1820H MORGANE (темно-синий) {navy}</t>
  </si>
  <si>
    <t>31-208-09-00</t>
  </si>
  <si>
    <t>Шляпа BETMAR арт. B1826H MEADOW (черный) {black multi}</t>
  </si>
  <si>
    <t>31-197-16-00</t>
  </si>
  <si>
    <t>Обруч BETMAR арт. B1834H EMMABELLA (темно-синий) {navy}</t>
  </si>
  <si>
    <t>31-217-16-00</t>
  </si>
  <si>
    <t>Шляпа BETMAR арт. B1841H MALTA (темно-синий) {navy}</t>
  </si>
  <si>
    <t>31-195-26-00</t>
  </si>
  <si>
    <t>Кепка BETMAR арт. B1845H SAILOR CAP (серый / синий) {denim static}</t>
  </si>
  <si>
    <t>denim static</t>
  </si>
  <si>
    <t>31-237-14-00</t>
  </si>
  <si>
    <t>Шляпа BETMAR арт. B1899H GOSSAMER MINI (коричневый) {rattlesnake}</t>
  </si>
  <si>
    <t>B1899H GOSSAMER MINI</t>
  </si>
  <si>
    <t>31-238-02-00</t>
  </si>
  <si>
    <t>Шляпа BETMAR арт. B1900H BLANCHET (бежевый) {natural}</t>
  </si>
  <si>
    <t>B1900H BLANCHET</t>
  </si>
  <si>
    <t>31-239-17-00</t>
  </si>
  <si>
    <t>Шляпа BETMAR арт. B1902H PALMA (белый) {white}</t>
  </si>
  <si>
    <t>B1902H PALMA</t>
  </si>
  <si>
    <t>31-240-48-00</t>
  </si>
  <si>
    <t>Шляпа BETMAR арт. B1904H BARRYMORE (черный / белый) {black.white}</t>
  </si>
  <si>
    <t>B1904H BARRYMORE</t>
  </si>
  <si>
    <t>31-241-16-00</t>
  </si>
  <si>
    <t>Шляпа BETMAR арт. B1906H ATLANTIS (темно-синий) {navy}</t>
  </si>
  <si>
    <t>B1906H ATLANTIS</t>
  </si>
  <si>
    <t>31-242-00-00</t>
  </si>
  <si>
    <t>Шляпа BETMAR арт. B1907H ABBEY (темно-бежевый) {honey}</t>
  </si>
  <si>
    <t>B1907H ABBEY</t>
  </si>
  <si>
    <t>31-243-02-00</t>
  </si>
  <si>
    <t>Шляпа BETMAR арт. B1910H RIVERIA (бежевый) {natural}</t>
  </si>
  <si>
    <t>B1910H RIVERIA</t>
  </si>
  <si>
    <t>31-244-09-00</t>
  </si>
  <si>
    <t>Обруч BETMAR арт. B1911H COCO (черный) {black}</t>
  </si>
  <si>
    <t>B1911H COCO</t>
  </si>
  <si>
    <t>31-245-38-00</t>
  </si>
  <si>
    <t>Бейсболка BETMAR арт. B1913H LACE BASEBALL CAP (белый / синий) {white.denim}</t>
  </si>
  <si>
    <t>B1913H LACE BASEBALL CAP</t>
  </si>
  <si>
    <t>white.denim</t>
  </si>
  <si>
    <t>31-246-00-00</t>
  </si>
  <si>
    <t>Шляпа BETMAR арт. B1914H KIKI (темно-бежевый) {honey}</t>
  </si>
  <si>
    <t>B1914H KIKI</t>
  </si>
  <si>
    <t>31-247-06-00</t>
  </si>
  <si>
    <t>Панама BETMAR арт. B1915H REVERSIBLE ROLL UP (синий) {navy.floral}</t>
  </si>
  <si>
    <t>B1915H REVERSIBLE ROLL UP</t>
  </si>
  <si>
    <t>83% полиэстер - 17% хлопок</t>
  </si>
  <si>
    <t>navy.floral</t>
  </si>
  <si>
    <t>31-085-83-00</t>
  </si>
  <si>
    <t>Шляпа BETMAR арт. B213 CLASSIC SUNSHADE (темно-бежевый) {honey}</t>
  </si>
  <si>
    <t>B213 CLASSIC SUNSHADE</t>
  </si>
  <si>
    <t>65% хлопок - 35% полиэстер</t>
  </si>
  <si>
    <t>31-087-84-00</t>
  </si>
  <si>
    <t>Шляпа BETMAR арт. B3261 COCONUT RING SAFARI (темно-розовый) {fuchsia}</t>
  </si>
  <si>
    <t>fuchsia</t>
  </si>
  <si>
    <t>31-090-48-00</t>
  </si>
  <si>
    <t>Панама BETMAR арт. B962 KNOTTED CLOCHE (белый / черный) {black.white}</t>
  </si>
  <si>
    <t>31-053-46-00</t>
  </si>
  <si>
    <t>Кепка BETMAR арт. B964 FACE FRAMER (белый / синий) {blue check}</t>
  </si>
  <si>
    <t>blue check</t>
  </si>
  <si>
    <t>31-033-16-00</t>
  </si>
  <si>
    <t>Берет BETMAR арт. B512 WOOL BERET (темно-синий) {dark blue}</t>
  </si>
  <si>
    <t>B512 WOOL BERET</t>
  </si>
  <si>
    <t>dark blue</t>
  </si>
  <si>
    <t>31-190-17-00</t>
  </si>
  <si>
    <t>Бейсболка BETMAR арт. B1844H ASTRID (белый) {white}</t>
  </si>
  <si>
    <t>31-053-48-00</t>
  </si>
  <si>
    <t>Кепка BETMAR арт. B964 FACE FRAMER (черный / белый) {black.white}</t>
  </si>
  <si>
    <t>31-056-09-00</t>
  </si>
  <si>
    <t>Козырек BETMAR арт. B124 DUNEWOOD VISOR (черный) {black}</t>
  </si>
  <si>
    <t>B124 Dunewood Visor</t>
  </si>
  <si>
    <t>31-247-17-00</t>
  </si>
  <si>
    <t>Панама BETMAR арт. B1915H REVERSIBLE ROLL UP (белый) {white}</t>
  </si>
  <si>
    <t>31-083-08-00</t>
  </si>
  <si>
    <t>Шляпа BETMAR арт. B166 CLASSIC ROLL UP (серый) {black multi}</t>
  </si>
  <si>
    <t>31-083-29-00</t>
  </si>
  <si>
    <t>Шляпа BETMAR арт. B166 CLASSIC ROLL UP (светло-синий) {denim multi}</t>
  </si>
  <si>
    <t>31-084-91-00</t>
  </si>
  <si>
    <t>Шляпа BETMAR арт. B176 GOSSAMER (кофейный) {auburn sand}</t>
  </si>
  <si>
    <t>31-084-00-00</t>
  </si>
  <si>
    <t>Шляпа BETMAR арт. B176 GOSSAMER (белый / бежевый) {confetti}</t>
  </si>
  <si>
    <t>confetti</t>
  </si>
  <si>
    <t>31-084-14-00</t>
  </si>
  <si>
    <t>Шляпа BETMAR арт. B176 GOSSAMER (коричневый) {rattlesnake}</t>
  </si>
  <si>
    <t>31-217-18-00</t>
  </si>
  <si>
    <t>Шляпа BETMAR арт. B1841H MALTA (красный) {poppy}</t>
  </si>
  <si>
    <t>31-237-91-00</t>
  </si>
  <si>
    <t>Шляпа BETMAR арт. B1899H GOSSAMER MINI (кофейный) {auburn sand}</t>
  </si>
  <si>
    <t>31-237-48-00</t>
  </si>
  <si>
    <t>Шляпа BETMAR арт. B1899H GOSSAMER MINI (черный / белый) {black multi}</t>
  </si>
  <si>
    <t>31-237-00-00</t>
  </si>
  <si>
    <t>Шляпа BETMAR арт. B1899H GOSSAMER MINI (белый / бежевый) {confetti}</t>
  </si>
  <si>
    <t>31-237-19-00</t>
  </si>
  <si>
    <t>Шляпа BETMAR арт. B1899H GOSSAMER MINI (голубой) {denim multi}</t>
  </si>
  <si>
    <t>31-237-02-00</t>
  </si>
  <si>
    <t>Шляпа BETMAR арт. B1899H GOSSAMER MINI (бежевый) {natural}</t>
  </si>
  <si>
    <t>31-237-17-00</t>
  </si>
  <si>
    <t>Шляпа BETMAR арт. B1899H GOSSAMER MINI (белый) {white}</t>
  </si>
  <si>
    <t>31-238-91-00</t>
  </si>
  <si>
    <t>Шляпа BETMAR арт. B1900H BLANCHET (кофейный) {auburn sand}</t>
  </si>
  <si>
    <t>31-238-19-00</t>
  </si>
  <si>
    <t>Шляпа BETMAR арт. B1900H BLANCHET (голубой) {denim multi}</t>
  </si>
  <si>
    <t>31-219-13-00</t>
  </si>
  <si>
    <t>Бейсболка BETMAR арт. B1872H QUILTED RAIN CAP (оранжевый) {sunset}</t>
  </si>
  <si>
    <t>31-248-16-00</t>
  </si>
  <si>
    <t>Бейсболка BETMAR арт. B1943H PATTERN BASEBALL CAP (темно-синий) {navy}</t>
  </si>
  <si>
    <t>B1943H PATTERN BASEBALL CAP</t>
  </si>
  <si>
    <t>31-251-13-00</t>
  </si>
  <si>
    <t>Берет BETMAR арт. B1933H LIZA (кирпичный) {raisin}</t>
  </si>
  <si>
    <t>B1933H LIZA</t>
  </si>
  <si>
    <t>65% полиуретан - 35% хлопок</t>
  </si>
  <si>
    <t>raisin</t>
  </si>
  <si>
    <t>31-034-01-00</t>
  </si>
  <si>
    <t>Берет BETMAR арт. B515 FLOWER BERET (светло-серый) {silver birch}</t>
  </si>
  <si>
    <t>silver birch</t>
  </si>
  <si>
    <t>31-001-11-00</t>
  </si>
  <si>
    <t>Кепка BETMAR арт. B008H LYDIA (зеленый) {ivy heather}</t>
  </si>
  <si>
    <t>B008H LYDIA</t>
  </si>
  <si>
    <t>ivy heather</t>
  </si>
  <si>
    <t>31-002-99-00</t>
  </si>
  <si>
    <t>Кепка BETMAR арт. B011H ADELE (черный) {black marl}</t>
  </si>
  <si>
    <t>black marl</t>
  </si>
  <si>
    <t>31-188-02-00</t>
  </si>
  <si>
    <t>Кепка BETMAR арт. B1794H CRYSTAL CAP (коричневый) {sepia}</t>
  </si>
  <si>
    <t>31-224-91-00</t>
  </si>
  <si>
    <t>Кепка BETMAR арт. B1873H LIEUTENANT CAP (темно-коричневый) {root}</t>
  </si>
  <si>
    <t>root</t>
  </si>
  <si>
    <t>31-225-91-00</t>
  </si>
  <si>
    <t>Кепка BETMAR арт. B1891H LIEUTENANT RAIN CAP (оранжевый) {root}</t>
  </si>
  <si>
    <t>31-252-96-00</t>
  </si>
  <si>
    <t>Кепка BETMAR арт. B1934H CLARA (коричневый / черный) {raisin}</t>
  </si>
  <si>
    <t>B1934H CLARA</t>
  </si>
  <si>
    <t>50% хлопок - 50% полиэстер</t>
  </si>
  <si>
    <t>31-035-16-00</t>
  </si>
  <si>
    <t>Кепка BETMAR арт. B521 RHINESTONE CAP (темно-синий) {navy}</t>
  </si>
  <si>
    <t>31-039-11-00</t>
  </si>
  <si>
    <t>Кепка BETMAR арт. B612H FERN (зеленый) {ivy}</t>
  </si>
  <si>
    <t>ivy</t>
  </si>
  <si>
    <t>31-253-17-00</t>
  </si>
  <si>
    <t>Панама BETMAR арт. B1936H RACHEL (белый) {ivy}</t>
  </si>
  <si>
    <t>B1936H RACHEL</t>
  </si>
  <si>
    <t>100% полиуретан</t>
  </si>
  <si>
    <t>31-008-91-00</t>
  </si>
  <si>
    <t>Шляпа BETMAR арт. B1249H DARCY (темно-коричневый) {root}</t>
  </si>
  <si>
    <t>31-261-12-00</t>
  </si>
  <si>
    <t>Шляпа BETMAR арт. B1624H MAGGIE (бордовый) {dark plum}</t>
  </si>
  <si>
    <t>B1624H MAGGIE</t>
  </si>
  <si>
    <t>dark plum</t>
  </si>
  <si>
    <t>31-119-16-00</t>
  </si>
  <si>
    <t>Шляпа BETMAR арт. B1639H EMMA (темно-синий) {navy heather}</t>
  </si>
  <si>
    <t>B1639H EMMA</t>
  </si>
  <si>
    <t>31-120-01-00</t>
  </si>
  <si>
    <t>Шляпа BETMAR арт. B1646H HAYDEN (светло-серый) {light grey}</t>
  </si>
  <si>
    <t>B1646H HAYDEN</t>
  </si>
  <si>
    <t>31-145-12-56</t>
  </si>
  <si>
    <t>Шляпа BETMAR арт. B1677H HANNAH (бордовый) {dark plum}</t>
  </si>
  <si>
    <t>B1677H HANNAH</t>
  </si>
  <si>
    <t>31-145-12-58</t>
  </si>
  <si>
    <t>31-176-02-00</t>
  </si>
  <si>
    <t>Шляпа BETMAR арт. B1758 WHARTON (бежевый) {sepia}</t>
  </si>
  <si>
    <t>B1758 WHARTON</t>
  </si>
  <si>
    <t>31-185-02-58</t>
  </si>
  <si>
    <t>Шляпа BETMAR арт. B1798H CASSAT (бежевый) {sepia}</t>
  </si>
  <si>
    <t>31-178-02-00</t>
  </si>
  <si>
    <t>Шляпа BETMAR арт. B1799H MULLINS (бежевый) {sepia}</t>
  </si>
  <si>
    <t>31-227-02-00</t>
  </si>
  <si>
    <t>Шляпа BETMAR арт. B1863H SOPHIYA (бежевый) {light camel}</t>
  </si>
  <si>
    <t>light camel</t>
  </si>
  <si>
    <t>31-233-05-56</t>
  </si>
  <si>
    <t>Шляпа BETMAR арт. B1883H ASHLAND (темно-серый) {slate}</t>
  </si>
  <si>
    <t>31-233-05-58</t>
  </si>
  <si>
    <t>31-255-00-00</t>
  </si>
  <si>
    <t>Шляпа BETMAR арт. B1923H COLETTE (красный / синий) {scarlet}</t>
  </si>
  <si>
    <t>B1923H COLETTE</t>
  </si>
  <si>
    <t>68% шерсть - 32% акрил</t>
  </si>
  <si>
    <t>31-259-09-00</t>
  </si>
  <si>
    <t>Шляпа BETMAR арт. B1924H ELEANORE (черный) {black}</t>
  </si>
  <si>
    <t>B1924H ELEANORE</t>
  </si>
  <si>
    <t>31-250-07-00</t>
  </si>
  <si>
    <t>Шляпа BETMAR арт. B1925H FRANCESCA (темно-зеленый) {dark green}</t>
  </si>
  <si>
    <t>B1925H FRANCESCA</t>
  </si>
  <si>
    <t>31-254-12-00</t>
  </si>
  <si>
    <t>Шляпа BETMAR арт. B1928H KATE (бордовый) {dark plum}</t>
  </si>
  <si>
    <t>B1928H KATE</t>
  </si>
  <si>
    <t>31-258-01-00</t>
  </si>
  <si>
    <t>Шляпа BETMAR арт. B1929H VICTORIA (светло-серый) {silver birch}</t>
  </si>
  <si>
    <t>B1929H VICTORIA</t>
  </si>
  <si>
    <t>31-260-09-00</t>
  </si>
  <si>
    <t>Шляпа BETMAR арт. B1930H INEZ (черный) {black}</t>
  </si>
  <si>
    <t>B1930H INEZ</t>
  </si>
  <si>
    <t>31-256-16-00</t>
  </si>
  <si>
    <t>Шляпа BETMAR арт. B1937H AUDREY (темно-синий) {dk.blue}</t>
  </si>
  <si>
    <t>B1937H AUDREY</t>
  </si>
  <si>
    <t>55% акрил - 45% полиэстер</t>
  </si>
  <si>
    <t>31-249-01-00</t>
  </si>
  <si>
    <t>Шляпа BETMAR арт. B1938H SUZETTE (светло-серый) {silver birch}</t>
  </si>
  <si>
    <t>B1938H SUZETTE</t>
  </si>
  <si>
    <t>31-257-05-58</t>
  </si>
  <si>
    <t>Шляпа BETMAR арт. B1942H VANESSA (темно-серый) {slate}</t>
  </si>
  <si>
    <t>B1942H VANESSA</t>
  </si>
  <si>
    <t>31-032-65-00</t>
  </si>
  <si>
    <t>Шляпа BETMAR арт. B434H WILLOW (бирюзовый / черный) {teal}</t>
  </si>
  <si>
    <t>teal</t>
  </si>
  <si>
    <t>31-037-14-00</t>
  </si>
  <si>
    <t>Шляпа BETMAR арт. B545H ALEXANDRITE (коричневый) {sepia}</t>
  </si>
  <si>
    <t>31-041-13-00</t>
  </si>
  <si>
    <t>Шляпа BETMAR арт. B745 QUILTED BUCKET (оранжевый) {sunset}</t>
  </si>
  <si>
    <t>B745 QUILTED BUCKET</t>
  </si>
  <si>
    <t>31-155-19-00</t>
  </si>
  <si>
    <t>Кепка BETMAR арт. B1708H FISHERMAN CAP (голубой) {skyway}</t>
  </si>
  <si>
    <t>skyway</t>
  </si>
  <si>
    <t>31-261-19-00</t>
  </si>
  <si>
    <t>Козырек BETMAR арт. B1952H CHRISTIANE (голубой) {tide blue}</t>
  </si>
  <si>
    <t>B1952H CHRISTIANE</t>
  </si>
  <si>
    <t>tide blue</t>
  </si>
  <si>
    <t>31-262-18-00</t>
  </si>
  <si>
    <t>Бейсболка BETMAR арт. B1955H SYLVIANE (красный) {red floral}</t>
  </si>
  <si>
    <t>B1955H SYLVIANE</t>
  </si>
  <si>
    <t>red floral</t>
  </si>
  <si>
    <t>31-090-34-00</t>
  </si>
  <si>
    <t>Панама BETMAR арт. B962 KNOTTED CLOCHE (розовый) {red}</t>
  </si>
  <si>
    <t>31-053-01-00</t>
  </si>
  <si>
    <t>Кепка BETMAR арт. B964 FACE FRAMER (светло-серый) {navy daisy}</t>
  </si>
  <si>
    <t>navy daisy</t>
  </si>
  <si>
    <t>31-263-48-00</t>
  </si>
  <si>
    <t>Шляпа BETMAR арт. B1949H NADINE (белый / черный) {black/white mix}</t>
  </si>
  <si>
    <t>B1949H NADINE</t>
  </si>
  <si>
    <t>black/white mix</t>
  </si>
  <si>
    <t>31-264-06-00</t>
  </si>
  <si>
    <t>Панама BETMAR арт. B1953H FLORENCE (синий) {navy floral}</t>
  </si>
  <si>
    <t>B1953H FLORENCE</t>
  </si>
  <si>
    <t>navy floral</t>
  </si>
  <si>
    <t>31-265-12-00</t>
  </si>
  <si>
    <t>Шляпа BETMAR арт. B1950H BEATRICE (бордовый) {burgundy multi}</t>
  </si>
  <si>
    <t>B1950H BEATRICE</t>
  </si>
  <si>
    <t>37% полипропилен - 37% полиэстер - 26% бумага</t>
  </si>
  <si>
    <t>burgundy multi</t>
  </si>
  <si>
    <t>31-083-75-00</t>
  </si>
  <si>
    <t>Шляпа BETMAR арт. B166 CLASSIC ROLL UP (светло-бежевый) {desert/natural}</t>
  </si>
  <si>
    <t>31-237-20-00</t>
  </si>
  <si>
    <t>Шляпа BETMAR арт. B1899H GOSSAMER MINI (лимонный) {lemon}</t>
  </si>
  <si>
    <t>31-266-00-00</t>
  </si>
  <si>
    <t>Шляпа BETMAR арт. B1944H CATHERINE (розовый / бежевый) {pink multi}</t>
  </si>
  <si>
    <t>B1944H CATHERINE</t>
  </si>
  <si>
    <t>pink multi</t>
  </si>
  <si>
    <t>31-084-31-00</t>
  </si>
  <si>
    <t>Шляпа BETMAR арт. B176 GOSSAMER (сиреневый) {lavender charcoal}</t>
  </si>
  <si>
    <t>31-267-08-00</t>
  </si>
  <si>
    <t>Шляпа BETMAR арт. B1948H FRANOISE (серый) {black/gold}</t>
  </si>
  <si>
    <t>B1948H FRANOISE</t>
  </si>
  <si>
    <t>56% бумага - 17% полипропилен - 14% металл - 13% полиэстер</t>
  </si>
  <si>
    <t>black/gold</t>
  </si>
  <si>
    <t>31-268-16-00</t>
  </si>
  <si>
    <t>Шляпа BETMAR арт. B1947H MARTINE (темно-синий / серый) {navy/lt. grey}</t>
  </si>
  <si>
    <t>B1947H MARTINE</t>
  </si>
  <si>
    <t>68% бумага - 18% полипропилен - 14% полиэстер</t>
  </si>
  <si>
    <t>navy/lt. grey</t>
  </si>
  <si>
    <t>31-269-08-00</t>
  </si>
  <si>
    <t>Кепка BETMAR арт. B1954H JOCELYN (серый) {black/white}</t>
  </si>
  <si>
    <t>B1954H JOCELYN</t>
  </si>
  <si>
    <t>75% полиэстер - 22% искусственный шелк - 3% спандекс</t>
  </si>
  <si>
    <t>31-270-14-00</t>
  </si>
  <si>
    <t>Шляпа BETMAR арт. B1945H MARIE (коричневый) {tan}</t>
  </si>
  <si>
    <t>B1945H MARIE</t>
  </si>
  <si>
    <t>79% бумага - 12% полипропилен - 9% полиэстер</t>
  </si>
  <si>
    <t>31-136-08-00</t>
  </si>
  <si>
    <t>Шляпа BETMAR арт. B1552H JASMINE (серый) {charcoal/sky}</t>
  </si>
  <si>
    <t>B1552H JASMINE</t>
  </si>
  <si>
    <t>charcoal/sky</t>
  </si>
  <si>
    <t>31-271-09-00</t>
  </si>
  <si>
    <t>Шляпа BETMAR арт. B1951H CLAUDINE (черный) {black}</t>
  </si>
  <si>
    <t>B1951H CLAUDINE</t>
  </si>
  <si>
    <t>87% бумага - 13% полиэстер</t>
  </si>
  <si>
    <t>31-064-01-00</t>
  </si>
  <si>
    <t>Шляпа BETMAR арт. B1134H RAMONA (светло-серый) {light grey multi}</t>
  </si>
  <si>
    <t>31-272-53-58</t>
  </si>
  <si>
    <t>Берет BETMAR арт. B1946H CHRISTINE (бежевый / черный) {black/sand}</t>
  </si>
  <si>
    <t>B1946H CHRISTINE</t>
  </si>
  <si>
    <t>97% бумага - 3% полиэстер</t>
  </si>
  <si>
    <t>black/sand</t>
  </si>
  <si>
    <t>31-219-12-00</t>
  </si>
  <si>
    <t>Бейсболка BETMAR арт. B1872H QUILTED RAIN CAP (бордовый) {plum}</t>
  </si>
  <si>
    <t>31-251-09-00</t>
  </si>
  <si>
    <t>Берет BETMAR арт. B1933H LIZA (черный) {black}</t>
  </si>
  <si>
    <t>31-252-09-00</t>
  </si>
  <si>
    <t>Кепка BETMAR арт. B1934H CLARA (черный) {black}</t>
  </si>
  <si>
    <t>31-008-41-00</t>
  </si>
  <si>
    <t>Шляпа BETMAR арт. B1249H DARCY (фиолетовый) {plum}</t>
  </si>
  <si>
    <t>31-229-09-00</t>
  </si>
  <si>
    <t>Шляпа BETMAR арт. B1868H BARDOT (черный) {black}</t>
  </si>
  <si>
    <t>31-233-09-56</t>
  </si>
  <si>
    <t>Шляпа BETMAR арт. B1883H ASHLAND (черный) {black}</t>
  </si>
  <si>
    <t>31-233-09-58</t>
  </si>
  <si>
    <t>31-258-91-00</t>
  </si>
  <si>
    <t>Шляпа BETMAR арт. B1929H VICTORIA (темно-коричневый) {root}</t>
  </si>
  <si>
    <t>31-249-09-00</t>
  </si>
  <si>
    <t>Шляпа BETMAR арт. B1938H SUZETTE (черный) {black}</t>
  </si>
  <si>
    <t>31-084-59-00</t>
  </si>
  <si>
    <t>Шляпа BETMAR арт. B176 GOSSAMER (темно-бежевый) {desert natural}</t>
  </si>
  <si>
    <t>31-084-74-00</t>
  </si>
  <si>
    <t>Шляпа BETMAR арт. B176 GOSSAMER (лимонный) {lemon}</t>
  </si>
  <si>
    <t>31-237-09-00</t>
  </si>
  <si>
    <t>Шляпа BETMAR арт. B1899H GOSSAMER MINI (черный) {black}</t>
  </si>
  <si>
    <t>31-237-36-00</t>
  </si>
  <si>
    <t>Шляпа BETMAR арт. B1899H GOSSAMER MINI (кремовый) {desert/natural}</t>
  </si>
  <si>
    <t>31-267-02-00</t>
  </si>
  <si>
    <t>Шляпа BETMAR арт. B1948H FRANOISE (бежевый) {natural/gold}</t>
  </si>
  <si>
    <t>natural/gold</t>
  </si>
  <si>
    <t>31-265-08-00</t>
  </si>
  <si>
    <t>Шляпа BETMAR арт. B1950H BEATRICE (серый) {rattlesnake multi}</t>
  </si>
  <si>
    <t>rattlesnake multi</t>
  </si>
  <si>
    <t>31-271-02-00</t>
  </si>
  <si>
    <t>Шляпа BETMAR арт. B1951H CLAUDINE (бежевый) {natural}</t>
  </si>
  <si>
    <t>31-261-02-00</t>
  </si>
  <si>
    <t>Козырек BETMAR арт. B1952H CHRISTIANE (бежевый) {natural}</t>
  </si>
  <si>
    <t>31-264-20-00</t>
  </si>
  <si>
    <t>Панама BETMAR арт. B1953H FLORENCE (лимонный) {citrus floral}</t>
  </si>
  <si>
    <t>citrus floral</t>
  </si>
  <si>
    <t>31-264-17-00</t>
  </si>
  <si>
    <t>Панама BETMAR арт. B1953H FLORENCE (белый) {white floral}</t>
  </si>
  <si>
    <t>white floral</t>
  </si>
  <si>
    <t>31-001-16-00</t>
  </si>
  <si>
    <t>Кепка BETMAR арт. B008H LYDIA (темно-синий) {french navy}</t>
  </si>
  <si>
    <t>french navy</t>
  </si>
  <si>
    <t>31-002-41-00</t>
  </si>
  <si>
    <t>Кепка BETMAR арт. B011H ADELE (фиолетовый) {plum multi}</t>
  </si>
  <si>
    <t>plum multi</t>
  </si>
  <si>
    <t>31-008-13-00</t>
  </si>
  <si>
    <t>Шляпа BETMAR арт. B1249H DARCY (рыжий) {redwood}</t>
  </si>
  <si>
    <t>redwood</t>
  </si>
  <si>
    <t>31-119-99-00</t>
  </si>
  <si>
    <t>Шляпа BETMAR арт. B1639H EMMA (черный) {black.black}</t>
  </si>
  <si>
    <t>black.black</t>
  </si>
  <si>
    <t>31-127-34-00</t>
  </si>
  <si>
    <t>Шляпа BETMAR арт. B1688H MARSIELLE (темно-розовый) {strawberry}</t>
  </si>
  <si>
    <t>B1688H MARSIELLE</t>
  </si>
  <si>
    <t>strawberry</t>
  </si>
  <si>
    <t>31-188-16-00</t>
  </si>
  <si>
    <t>Кепка BETMAR арт. B1794H CRYSTAL CAP (темно-синий) {french navy}</t>
  </si>
  <si>
    <t>31-219-19-00</t>
  </si>
  <si>
    <t>Бейсболка BETMAR арт. B1872H QUILTED RAIN CAP (голубой) {teal}</t>
  </si>
  <si>
    <t>31-224-20-00</t>
  </si>
  <si>
    <t>Кепка BETMAR арт. B1873H LIEUTENANT CAP (горчичный) {sulfur}</t>
  </si>
  <si>
    <t>31-258-16-00</t>
  </si>
  <si>
    <t>Шляпа BETMAR арт. B1929H VICTORIA (темно-синий) {french navy heather}</t>
  </si>
  <si>
    <t>french navy heather</t>
  </si>
  <si>
    <t>31-248-72-00</t>
  </si>
  <si>
    <t>Бейсболка BETMAR арт. B1943H PATTERN BASEBALL CAP (черный / белый) {black/white}</t>
  </si>
  <si>
    <t>31-273-08-00</t>
  </si>
  <si>
    <t>Шляпа BETMAR арт. B1957H VALERIE (серый) {grey heather}</t>
  </si>
  <si>
    <t>B1957H VALERIE</t>
  </si>
  <si>
    <t>grey heather</t>
  </si>
  <si>
    <t>31-274-01-00</t>
  </si>
  <si>
    <t>Шляпа BETMAR арт. B1958H JOSETTE (светло-серый) {light grey heather}</t>
  </si>
  <si>
    <t>B1958H JOSETTE</t>
  </si>
  <si>
    <t>light grey heather</t>
  </si>
  <si>
    <t>31-275-09-00</t>
  </si>
  <si>
    <t>Шляпа BETMAR арт. B1959H YVETTE (черный) {black}</t>
  </si>
  <si>
    <t>B1959H YVETTE</t>
  </si>
  <si>
    <t>31-276-09-00</t>
  </si>
  <si>
    <t>Шляпа BETMAR арт. B1960H MURIEL (черный) {black}</t>
  </si>
  <si>
    <t>B1960H MURIEL</t>
  </si>
  <si>
    <t>31-277-41-00</t>
  </si>
  <si>
    <t>Кепка BETMAR арт. B1961H ANNICK (фиолетовый) {italian plum}</t>
  </si>
  <si>
    <t>B1961H ANNICK</t>
  </si>
  <si>
    <t>italian plum</t>
  </si>
  <si>
    <t>31-278-09-00</t>
  </si>
  <si>
    <t>Кепка BETMAR арт. B1962H LYDIE (черный) {black}</t>
  </si>
  <si>
    <t>B1962H LYDIE</t>
  </si>
  <si>
    <t>31-279-09-00</t>
  </si>
  <si>
    <t>Кепка BETMAR арт. B1963H VIVIANE (черный) {black}</t>
  </si>
  <si>
    <t>B1963H VIVIANE</t>
  </si>
  <si>
    <t>31-280-12-00</t>
  </si>
  <si>
    <t>Кепка BETMAR арт. B1964H JOSIANE (бордовый) {red multi}</t>
  </si>
  <si>
    <t>B1964H JOSIANE</t>
  </si>
  <si>
    <t>31-281-16-00</t>
  </si>
  <si>
    <t>Шляпа BETMAR арт. B1965H LILIANE (темно-синий) {french navy}</t>
  </si>
  <si>
    <t>B1965H LILIANE</t>
  </si>
  <si>
    <t>85% акрил - 15% полиэстер</t>
  </si>
  <si>
    <t>31-282-34-00</t>
  </si>
  <si>
    <t>Шляпа BETMAR арт. B1966H DANIELE (розовый) {redwood heather}</t>
  </si>
  <si>
    <t>B1966H DANIELE</t>
  </si>
  <si>
    <t>56% полиэстер - 28% хлопок - 14% акрил - 2% нейлон</t>
  </si>
  <si>
    <t>redwood heather</t>
  </si>
  <si>
    <t>31-283-48-00</t>
  </si>
  <si>
    <t>Шляпа BETMAR арт. B1967H FRANCINE (черный / белый) {black/white}</t>
  </si>
  <si>
    <t>B1967H FRANCINE</t>
  </si>
  <si>
    <t>31-032-13-00</t>
  </si>
  <si>
    <t>Шляпа BETMAR арт. B434H WILLOW (горчичный) {sulfur}</t>
  </si>
  <si>
    <t>31-034-71-00</t>
  </si>
  <si>
    <t>Берет BETMAR арт. B515 FLOWER BERET (мятный) {mint}</t>
  </si>
  <si>
    <t>31-035-05-00</t>
  </si>
  <si>
    <t>Кепка BETMAR арт. B521 RHINESTONE CAP (темно-серый) {truffle}</t>
  </si>
  <si>
    <t>truffle</t>
  </si>
  <si>
    <t>31-037-41-00</t>
  </si>
  <si>
    <t>Шляпа BETMAR арт. B545H ALEXANDRITE (фиолетовый) {italian plum}</t>
  </si>
  <si>
    <t>31-039-41-00</t>
  </si>
  <si>
    <t>Кепка BETMAR арт. B612H FERN (фиолетовый) {italian plum}</t>
  </si>
  <si>
    <t>31-041-91-00</t>
  </si>
  <si>
    <t>Шляпа BETMAR арт. B745 QUILTED BUCKET (рыжий) {redwood}</t>
  </si>
  <si>
    <t>100% полиамид</t>
  </si>
  <si>
    <t>31-003-05-00</t>
  </si>
  <si>
    <t>Шляпа BETMAR арт. B026H ELLA (темно-серый) {charcoal multi}</t>
  </si>
  <si>
    <t>B026H ELLA</t>
  </si>
  <si>
    <t>47% акрил - 45% полиэстер - 8% шерсть</t>
  </si>
  <si>
    <t>31-284-19-00</t>
  </si>
  <si>
    <t>Шляпа BETMAR арт. B1900HS BLANCHET NEW (голубой) {denim multi}</t>
  </si>
  <si>
    <t>B1900HS BLANCHET NEW</t>
  </si>
  <si>
    <t>31-285-09-00</t>
  </si>
  <si>
    <t>Бейсболка BETMAR арт. B1969H HELENE (черный) {black}</t>
  </si>
  <si>
    <t>B1969H HELENE</t>
  </si>
  <si>
    <t>95% бумага - 5% полиэстер</t>
  </si>
  <si>
    <t>31-286-02-00</t>
  </si>
  <si>
    <t>Кепка BETMAR арт. B1976H ROXANE (бежевый) {beige}</t>
  </si>
  <si>
    <t>B1976H ROXANE</t>
  </si>
  <si>
    <t>31-247-18-00</t>
  </si>
  <si>
    <t>Панама BETMAR арт. B1915H REVERSIBLE ROLL UP (белый / красный) {white.red}</t>
  </si>
  <si>
    <t>55% полиэстер - 45% хлопок</t>
  </si>
  <si>
    <t>white.red</t>
  </si>
  <si>
    <t>31-264-74-00</t>
  </si>
  <si>
    <t>Панама BETMAR арт. B1953H FLORENCE (желтый / синий) {yellow floral}</t>
  </si>
  <si>
    <t>yellow floral</t>
  </si>
  <si>
    <t>31-287-08-00</t>
  </si>
  <si>
    <t>Панама BETMAR арт. B1975H BELL (серый) {light grey}</t>
  </si>
  <si>
    <t>B1975H BELL</t>
  </si>
  <si>
    <t>31-090-06-00</t>
  </si>
  <si>
    <t>Панама BETMAR арт. B962 KNOTTED CLOCHE (разноцветный) {navy floral}</t>
  </si>
  <si>
    <t>31-078-78-00</t>
  </si>
  <si>
    <t>Шляпа BETMAR арт. B1431H DEMETRIA (бежевый / красный) {natural.deepred}</t>
  </si>
  <si>
    <t>natural.deepred</t>
  </si>
  <si>
    <t>31-083-64-00</t>
  </si>
  <si>
    <t>Шляпа BETMAR арт. B166 CLASSIC ROLL UP (сливовый) {plum mix}</t>
  </si>
  <si>
    <t>plum mix</t>
  </si>
  <si>
    <t>31-084-12-00</t>
  </si>
  <si>
    <t>Шляпа BETMAR арт. B176 GOSSAMER (бордовый) {deep red}</t>
  </si>
  <si>
    <t>31-237-03-00</t>
  </si>
  <si>
    <t>Шляпа BETMAR арт. B1899H GOSSAMER MINI (зеленый) {eden green}</t>
  </si>
  <si>
    <t>31-238-36-00</t>
  </si>
  <si>
    <t>Шляпа BETMAR арт. B1900H BLANCHET (кремовый) {tan multi}</t>
  </si>
  <si>
    <t>tan multi</t>
  </si>
  <si>
    <t>31-266-02-00</t>
  </si>
  <si>
    <t>Шляпа BETMAR арт. B1944H CATHERINE (бежевый / бордовый) {deep red}</t>
  </si>
  <si>
    <t>31-288-09-57</t>
  </si>
  <si>
    <t>Шляпа BETMAR арт. B1970H CORETTA (черный) {black}</t>
  </si>
  <si>
    <t>B1970H CORETTA</t>
  </si>
  <si>
    <t>31-289-09-00</t>
  </si>
  <si>
    <t>Шляпа BETMAR арт. B1971H EMMELINE (черный) {black}</t>
  </si>
  <si>
    <t>B1971H EMMELINE</t>
  </si>
  <si>
    <t>31-290-20-00</t>
  </si>
  <si>
    <t>Шляпа BETMAR арт. B1972H RUTH (желтый) {yellow}</t>
  </si>
  <si>
    <t>B1972H RUTH</t>
  </si>
  <si>
    <t>85% бумага - 15% полиэстер</t>
  </si>
  <si>
    <t>yellow</t>
  </si>
  <si>
    <t>31-291-53-00</t>
  </si>
  <si>
    <t>Шляпа BETMAR арт. B1973H MAE (бежевый / черный) {black foral}</t>
  </si>
  <si>
    <t>B1973H MAE</t>
  </si>
  <si>
    <t>88% бумага 12% полиэстер</t>
  </si>
  <si>
    <t>black foral</t>
  </si>
  <si>
    <t>31-292-17-00</t>
  </si>
  <si>
    <t>Шляпа BETMAR арт. B1974H ZORA (белый) {ivory}</t>
  </si>
  <si>
    <t>B1974H ZORA</t>
  </si>
  <si>
    <t>31-293-34-00</t>
  </si>
  <si>
    <t>Шляпа BETMAR арт. B1977H HILLARY (розовый) {nectar}</t>
  </si>
  <si>
    <t>B1977H HILLARY</t>
  </si>
  <si>
    <t>nectar</t>
  </si>
  <si>
    <t>31-294-08-00</t>
  </si>
  <si>
    <t>Шляпа BETMAR арт. B1980H REGINE (серый) {charcoal.floral}</t>
  </si>
  <si>
    <t>B1980H REGINE</t>
  </si>
  <si>
    <t>88% бумага - 8% полипропилен - 4% полиэстер</t>
  </si>
  <si>
    <t>charcoal.floral</t>
  </si>
  <si>
    <t>31-295-36-00</t>
  </si>
  <si>
    <t>Шляпа BETMAR арт. B1981H ALICE (кремовый) {natural multi}</t>
  </si>
  <si>
    <t>B1981H ALICE</t>
  </si>
  <si>
    <t>65% бумага - 23% полипропилен - 12% полиэстер</t>
  </si>
  <si>
    <t>31-296-05-00</t>
  </si>
  <si>
    <t>Шляпа BETMAR арт. B1982H MARLENE (темно-серый) {black.frenchnavy}</t>
  </si>
  <si>
    <t>B1982H MARLENE</t>
  </si>
  <si>
    <t>59% бумага - 26% полипропилен - 15% полиэстер</t>
  </si>
  <si>
    <t>black.frenchnavy</t>
  </si>
  <si>
    <t>31-297-54-00</t>
  </si>
  <si>
    <t>Шляпа BETMAR арт. B1983H ANGELA (бежевый / красный) {natural.deepred}</t>
  </si>
  <si>
    <t>B1983H ANGELA</t>
  </si>
  <si>
    <t>88% бумага - 8% полиэстер - 4% полипропилен</t>
  </si>
  <si>
    <t>31-298-36-00</t>
  </si>
  <si>
    <t>Шляпа BETMAR арт. B1984H MYRIAM (кремовый) {white multi}</t>
  </si>
  <si>
    <t>B1984H MYRIAM</t>
  </si>
  <si>
    <t>63% бумага - 37% полиэстер</t>
  </si>
  <si>
    <t>white multi</t>
  </si>
  <si>
    <t>31-299-36-00</t>
  </si>
  <si>
    <t>Шляпа BETMAR арт. B1985H EDITH (кремовый) {natural multi}</t>
  </si>
  <si>
    <t>B1985H EDITH</t>
  </si>
  <si>
    <t>77% бумага - 16% полипропилен - 7% полиэстер</t>
  </si>
  <si>
    <t>31-300-19-00</t>
  </si>
  <si>
    <t>Шляпа BETMAR арт. B1986H GENEVIEVE (голубой) {white multi}</t>
  </si>
  <si>
    <t>B1986H GENEVIEVE</t>
  </si>
  <si>
    <t>31-301-09-00</t>
  </si>
  <si>
    <t>Кепка BETMAR арт. B1989H ODILE (черный) {black}</t>
  </si>
  <si>
    <t>B1989H ODILE</t>
  </si>
  <si>
    <t>95% полиэстер - 5% эластан</t>
  </si>
  <si>
    <t>31-302-17-00</t>
  </si>
  <si>
    <t>Кепка BETMAR арт. B1990H FABIENNE (кремовый) {whisper white}</t>
  </si>
  <si>
    <t>B1990H FABIENNE</t>
  </si>
  <si>
    <t>65% нейлон - 35% полиэстер</t>
  </si>
  <si>
    <t>whisper white</t>
  </si>
  <si>
    <t>31-303-06-00</t>
  </si>
  <si>
    <t>Шляпа BETMAR арт. B1987H ELIANE (бирюзовый) {deep ocean}</t>
  </si>
  <si>
    <t>B1987H ELIANE</t>
  </si>
  <si>
    <t>55% полиэстер - 45% полиуретан</t>
  </si>
  <si>
    <t>deep ocean</t>
  </si>
  <si>
    <t>31-304-17-00</t>
  </si>
  <si>
    <t>Шляпа BETMAR арт. B1988H FREDERIQUE (белый) {whisper white}</t>
  </si>
  <si>
    <t>B1988H FREDERIQUE</t>
  </si>
  <si>
    <t>31-305-09-00</t>
  </si>
  <si>
    <t>Шляпа BETMAR арт. B1991H KARA (черный) {black multi}</t>
  </si>
  <si>
    <t>B1991H KARA</t>
  </si>
  <si>
    <t>75% нейлон - 25% полиэстер</t>
  </si>
  <si>
    <t>31-306-02-00</t>
  </si>
  <si>
    <t>Шляпа BETMAR арт. B1992H JUDY (бежевый) {butterscotch multi}</t>
  </si>
  <si>
    <t>B1992H JUDY</t>
  </si>
  <si>
    <t>38% полиэстер - 24% бумага - 18% акрил - 12% нейлон - 7% хлопок - 1% лайкра</t>
  </si>
  <si>
    <t>butterscotch multi</t>
  </si>
  <si>
    <t>31-307-09-56</t>
  </si>
  <si>
    <t>Шляпа BETMAR арт. B1994H AGUSTA (черный) {kohle}</t>
  </si>
  <si>
    <t>B1994H AGUSTA</t>
  </si>
  <si>
    <t>31-307-09-59</t>
  </si>
  <si>
    <t>31-308-08-58</t>
  </si>
  <si>
    <t>Шляпа BETMAR арт. B1995H MIREILLE (серый) {graphite}</t>
  </si>
  <si>
    <t>B1995H MIREILLE</t>
  </si>
  <si>
    <t>31-308-08-56</t>
  </si>
  <si>
    <t>31-309-17-56</t>
  </si>
  <si>
    <t>Шляпа BETMAR арт. B1996H GEORGIA (белый) {whisper white}</t>
  </si>
  <si>
    <t>B1996H GEORGIA</t>
  </si>
  <si>
    <t>31-309-17-58</t>
  </si>
  <si>
    <t>31-032-08-00</t>
  </si>
  <si>
    <t>Шляпа BETMAR арт. B434H WILLOW (серый) {charcoal}</t>
  </si>
  <si>
    <t>31-064-42-00</t>
  </si>
  <si>
    <t>Шляпа BETMAR арт. B1134H RAMONA (светло-бежевый) {natural multi}</t>
  </si>
  <si>
    <t>31-084-61-00</t>
  </si>
  <si>
    <t>Шляпа BETMAR арт. B176 GOSSAMER (сливовый) {plum mix}</t>
  </si>
  <si>
    <t>31-243-09-00</t>
  </si>
  <si>
    <t>Шляпа BETMAR арт. B1910H RIVERIA (черный) {black}</t>
  </si>
  <si>
    <t>31-300-02-00</t>
  </si>
  <si>
    <t>Шляпа BETMAR арт. B1986H GENEVIEVE (бежевый) {natural multi}</t>
  </si>
  <si>
    <t>31-320-17-58</t>
  </si>
  <si>
    <t>Бейсболка BETMAR арт. B2007H DINA (белый) {offwhite}</t>
  </si>
  <si>
    <t>B2007H DINA</t>
  </si>
  <si>
    <t>67% бумага - 30% полипропилен - 3% полиэстер</t>
  </si>
  <si>
    <t>offwhite</t>
  </si>
  <si>
    <t>31-313-08-00</t>
  </si>
  <si>
    <t>Козырек BETMAR арт. B1999H BESSIE (серый) {charcoal}</t>
  </si>
  <si>
    <t>B1999H BESSIE</t>
  </si>
  <si>
    <t>31-317-16-00</t>
  </si>
  <si>
    <t>Панама BETMAR арт. B2004H FLOSSIE (темно-синий) {navy}</t>
  </si>
  <si>
    <t>B2004H FLOSSIE</t>
  </si>
  <si>
    <t>50% нейлон - 50% полиэстер / подклад: 100% полиэстер</t>
  </si>
  <si>
    <t>31-318-13-00</t>
  </si>
  <si>
    <t>Панама BETMAR арт. B2005H ANIDA (рыжий) {ginger snap}</t>
  </si>
  <si>
    <t>B2005H ANIDA</t>
  </si>
  <si>
    <t>100% хлопок / подклад: 100% полиэстер</t>
  </si>
  <si>
    <t>ginger snap</t>
  </si>
  <si>
    <t>31-319-11-00</t>
  </si>
  <si>
    <t>Панама BETMAR арт. B2006H ZARINA (зеленый) {deep green}</t>
  </si>
  <si>
    <t>B2006H ZARINA</t>
  </si>
  <si>
    <t>deep green</t>
  </si>
  <si>
    <t>31-120-15-00</t>
  </si>
  <si>
    <t>Шляпа BETMAR арт. B1646H HAYDEN (светло-коричневый) {light camel}</t>
  </si>
  <si>
    <t>31-083-83-00</t>
  </si>
  <si>
    <t>Шляпа BETMAR арт. B166 CLASSIC ROLL UP (светло-зеленый) {celadon}</t>
  </si>
  <si>
    <t>celadon</t>
  </si>
  <si>
    <t>31-084-41-00</t>
  </si>
  <si>
    <t>Шляпа BETMAR арт. B176 GOSSAMER (фиолетовый) {violet chalk}</t>
  </si>
  <si>
    <t>violet chalk</t>
  </si>
  <si>
    <t>31-237-06-00</t>
  </si>
  <si>
    <t>Шляпа BETMAR арт. B1899H GOSSAMER MINI (синий) {daylight blue}</t>
  </si>
  <si>
    <t>daylight blue</t>
  </si>
  <si>
    <t>31-310-09-56</t>
  </si>
  <si>
    <t>Шляпа BETMAR арт. B1956H MICHELE (черный) {black}</t>
  </si>
  <si>
    <t>B1956H MICHELE</t>
  </si>
  <si>
    <t>31-310-09-58</t>
  </si>
  <si>
    <t>31-310-41-56</t>
  </si>
  <si>
    <t>Шляпа BETMAR арт. B1956H MICHELE (сливовый) {italian plum}</t>
  </si>
  <si>
    <t>31-310-41-58</t>
  </si>
  <si>
    <t>31-310-14-56</t>
  </si>
  <si>
    <t>Шляпа BETMAR арт. B1956H MICHELE (коричневый) {redwood}</t>
  </si>
  <si>
    <t>31-310-14-58</t>
  </si>
  <si>
    <t>31-309-02-56</t>
  </si>
  <si>
    <t>Шляпа BETMAR арт. B1996H GEORGIA (бежевый) {beige.camel swirl
}</t>
  </si>
  <si>
    <t>beige.camel swirl</t>
  </si>
  <si>
    <t>31-309-02-58</t>
  </si>
  <si>
    <t>31-309-00-56</t>
  </si>
  <si>
    <t>Шляпа BETMAR арт. B1996H GEORGIA (коньячный) {lt.whiskey}</t>
  </si>
  <si>
    <t>lt.whiskey</t>
  </si>
  <si>
    <t>31-309-00-58</t>
  </si>
  <si>
    <t>31-309-18-56</t>
  </si>
  <si>
    <t>Шляпа BETMAR арт. B1996H GEORGIA (красный) {rustic red}</t>
  </si>
  <si>
    <t>31-309-18-58</t>
  </si>
  <si>
    <t>31-311-02-00</t>
  </si>
  <si>
    <t>Шляпа BETMAR арт. B1997H ELLEN (бежевый) {natural heather}</t>
  </si>
  <si>
    <t>B1997H ELLEN</t>
  </si>
  <si>
    <t>72% бумага - 28% полиэстер</t>
  </si>
  <si>
    <t>natural heather</t>
  </si>
  <si>
    <t>31-312-06-00</t>
  </si>
  <si>
    <t>Шляпа BETMAR арт. B1998H MARINA (синий) {denim}</t>
  </si>
  <si>
    <t>B1998H MARINA</t>
  </si>
  <si>
    <t>31-314-03-58</t>
  </si>
  <si>
    <t>Шляпа BETMAR арт. B2001H GERALDINE (светло-зеленый) {celadon}</t>
  </si>
  <si>
    <t>B2001H GERALDINE</t>
  </si>
  <si>
    <t>31-315-17-56</t>
  </si>
  <si>
    <t>Шляпа BETMAR арт. B2002H CLAUDE (белый) {white}</t>
  </si>
  <si>
    <t>B2002H CLAUDE</t>
  </si>
  <si>
    <t>31-316-13-58</t>
  </si>
  <si>
    <t>Шляпа BETMAR арт. B2003H ALETTA (рыжий) {ginger snap}</t>
  </si>
  <si>
    <t>B2003H ALETTA</t>
  </si>
  <si>
    <t>31-077-09-00</t>
  </si>
  <si>
    <t>Шляпа BETMAR арт. B1417H Kali (черный) {Black}</t>
  </si>
  <si>
    <t>B1417H Kali</t>
  </si>
  <si>
    <t>31-084-17-00</t>
  </si>
  <si>
    <t>Шляпа BETMAR арт. B176 GOSSAMER (белый) {white}</t>
  </si>
  <si>
    <t>31-002-53-00</t>
  </si>
  <si>
    <t>Кепка BETMAR арт. B011H ADELE (белый / черный) {houndstooth}</t>
  </si>
  <si>
    <t>houndstooth</t>
  </si>
  <si>
    <t>31-174-09-00</t>
  </si>
  <si>
    <t>Кепка BETMAR арт. B1632H JANET (черный) {black}</t>
  </si>
  <si>
    <t>B1632H JANET</t>
  </si>
  <si>
    <t>56% шерсть - 30% олефин - 14% полиамид</t>
  </si>
  <si>
    <t>31-174-02-00</t>
  </si>
  <si>
    <t>Кепка BETMAR арт. B1632H JANET (бежевый) {camel}</t>
  </si>
  <si>
    <t>31-174-05-00</t>
  </si>
  <si>
    <t>Кепка BETMAR арт. B1632H JANET (темно-серый) {charcoal}</t>
  </si>
  <si>
    <t>31-139-34-00</t>
  </si>
  <si>
    <t>Кепка BETMAR арт. B1665H STEPHANIE (розовый) {blush}</t>
  </si>
  <si>
    <t>B1665H STEPHANIE</t>
  </si>
  <si>
    <t>50% шерсть - 50% вискоза</t>
  </si>
  <si>
    <t>31-175-12-00</t>
  </si>
  <si>
    <t>Кепка BETMAR арт. B1670H LUCERNE (бордовый) {berry}</t>
  </si>
  <si>
    <t>B1670H LUCERNE</t>
  </si>
  <si>
    <t>63% шерсть - 27% полиамид - 10% металл</t>
  </si>
  <si>
    <t>31-175-09-00</t>
  </si>
  <si>
    <t>Кепка BETMAR арт. B1670H LUCERNE (черный) {black}</t>
  </si>
  <si>
    <t>31-175-05-00</t>
  </si>
  <si>
    <t>Кепка BETMAR арт. B1670H LUCERNE (темно-серый) {charcoal}</t>
  </si>
  <si>
    <t>31-109-02-00</t>
  </si>
  <si>
    <t>Шляпа BETMAR арт. B1485H Janis (бежевый) {camel}</t>
  </si>
  <si>
    <t>B1485H Janis</t>
  </si>
  <si>
    <t>31-119-02-00</t>
  </si>
  <si>
    <t>Шляпа BETMAR арт. B1639H EMMA (бежевый) {camel}</t>
  </si>
  <si>
    <t>31-119-18-00</t>
  </si>
  <si>
    <t>Шляпа BETMAR арт. B1639H EMMA (красный) {scarlet}</t>
  </si>
  <si>
    <t>31-146-41-00</t>
  </si>
  <si>
    <t>Шляпа BETMAR арт. B1643H RAVEN (фиолетовый) {plum}</t>
  </si>
  <si>
    <t>B1643H RAVEN</t>
  </si>
  <si>
    <t>31-120-09-00</t>
  </si>
  <si>
    <t>Шляпа BETMAR арт. B1646H HAYDEN (черный) {black}</t>
  </si>
  <si>
    <t>31-120-12-00</t>
  </si>
  <si>
    <t>Шляпа BETMAR арт. B1646H HAYDEN (бордовый) {cranberry}</t>
  </si>
  <si>
    <t>31-122-12-00</t>
  </si>
  <si>
    <t>Шляпа BETMAR арт. B1655H GERTRUDE (бордовый / черный) {bord/black}</t>
  </si>
  <si>
    <t>B1655H GERTRUDE</t>
  </si>
  <si>
    <t>bord/black</t>
  </si>
  <si>
    <t>31-037-11-00</t>
  </si>
  <si>
    <t>Шляпа BETMAR арт. B545H ALEXANDRITE (зеленый) {emerald}</t>
  </si>
  <si>
    <t>emerald</t>
  </si>
  <si>
    <t>31-115-14-56</t>
  </si>
  <si>
    <t>Шляпа BETMAR арт. B1521H CINDY (коричневый) {walnut}</t>
  </si>
  <si>
    <t>B1521H CINDY</t>
  </si>
  <si>
    <t>31-119-09-00</t>
  </si>
  <si>
    <t>Шляпа BETMAR арт. B1639H EMMA (черный / бордовый) {black}</t>
  </si>
  <si>
    <t>31-120-02-00</t>
  </si>
  <si>
    <t>Шляпа BETMAR арт. B1646H HAYDEN (бежевый) {camel}</t>
  </si>
  <si>
    <t>31-121-06-00</t>
  </si>
  <si>
    <t>Кепка BETMAR арт. B1652H CAMERON (синий) {royal blue}</t>
  </si>
  <si>
    <t>B1652H CAMERON</t>
  </si>
  <si>
    <t>65% полиэстер - 35% акрил</t>
  </si>
  <si>
    <t>royal blue</t>
  </si>
  <si>
    <t>31-122-09-00</t>
  </si>
  <si>
    <t>Шляпа BETMAR арт. B1655H GERTRUDE (черный / бордовый) {black/bord}</t>
  </si>
  <si>
    <t>black/bord</t>
  </si>
  <si>
    <t>31-123-16-58</t>
  </si>
  <si>
    <t>Кепка BETMAR арт. B1666H MULHOUSE (темно-синий) {navy}</t>
  </si>
  <si>
    <t>B1666H MULHOUSE</t>
  </si>
  <si>
    <t>31-123-16-00</t>
  </si>
  <si>
    <t>31-124-09-56</t>
  </si>
  <si>
    <t>Шляпа BETMAR арт. B1671H TESSA (черный) {black}</t>
  </si>
  <si>
    <t>B1671H TESSA</t>
  </si>
  <si>
    <t>31-124-09-58</t>
  </si>
  <si>
    <t>31-125-16-56</t>
  </si>
  <si>
    <t>Шляпа BETMAR арт. B1674H COLLEEN (темно-синий) {navy}</t>
  </si>
  <si>
    <t>B1674H COLLEEN</t>
  </si>
  <si>
    <t>31-126-02-56</t>
  </si>
  <si>
    <t>Шляпа BETMAR арт. B1676H EVELYN (бежевый) {camel}</t>
  </si>
  <si>
    <t>B1676H EVELYN</t>
  </si>
  <si>
    <t>31-127-09-00</t>
  </si>
  <si>
    <t>Шляпа BETMAR арт. B1688H MARSIELLE (черный) {black}</t>
  </si>
  <si>
    <t>31-083-86-00</t>
  </si>
  <si>
    <t>Шляпа BETMAR арт. B166 CLASSIC ROLL UP (темно-розовый) {melon}</t>
  </si>
  <si>
    <t>melon</t>
  </si>
  <si>
    <t>31-136-95-00</t>
  </si>
  <si>
    <t>Шляпа BETMAR арт. B1552H JASMINE (синий / бежевый) {navy/natural}</t>
  </si>
  <si>
    <t>31-135-00-00</t>
  </si>
  <si>
    <t>Кепка BETMAR арт. B1554H CYNTHIA (белый / бежевый) {white/natural}</t>
  </si>
  <si>
    <t>B1554H CYNTHIA</t>
  </si>
  <si>
    <t>63% хлопок - 30% бумага - 7% полиэстер</t>
  </si>
  <si>
    <t>white/natural</t>
  </si>
  <si>
    <t>31-137-02-00</t>
  </si>
  <si>
    <t>Шляпа BETMAR арт. B1555H TIA (бежевый) {natural}</t>
  </si>
  <si>
    <t>B1555H TIA</t>
  </si>
  <si>
    <t>31-084-02-00</t>
  </si>
  <si>
    <t>Шляпа BETMAR арт. B176 GOSSAMER (бежевый) {natural}</t>
  </si>
  <si>
    <t>31-040-35-00</t>
  </si>
  <si>
    <t>Берет BETMAR арт. B640 PRECIOUS PRESENT (разноцветный) {tiger}</t>
  </si>
  <si>
    <t>B640 PRECIOUS PRESENT</t>
  </si>
  <si>
    <t>80% ангора - 20% нейлон</t>
  </si>
  <si>
    <t>tiger</t>
  </si>
  <si>
    <t>31-047-35-00</t>
  </si>
  <si>
    <t>Шляпа BETMAR арт. B992H ARLENE (разноцветный) {tiger}</t>
  </si>
  <si>
    <t>B992H ARLENE</t>
  </si>
  <si>
    <t>50% олефин - 35% ангора - 15% нейлон</t>
  </si>
  <si>
    <t>31-001-09-00</t>
  </si>
  <si>
    <t>Кепка BETMAR арт. B008H LYDIA (черный) {black}</t>
  </si>
  <si>
    <t>31-001-08-00</t>
  </si>
  <si>
    <t>Кепка BETMAR арт. B008H LYDIA (серый) {charcoal}</t>
  </si>
  <si>
    <t>31-001-18-00</t>
  </si>
  <si>
    <t>Кепка BETMAR арт. B008H LYDIA (красный) {scarlet}</t>
  </si>
  <si>
    <t>31-002-48-00</t>
  </si>
  <si>
    <t>Кепка BETMAR арт. B011H ADELE (черный / черный) {black}</t>
  </si>
  <si>
    <t>31-002-09-00</t>
  </si>
  <si>
    <t>Кепка BETMAR арт. B011H ADELE (черный / белый) {herringbone}</t>
  </si>
  <si>
    <t>herringbone</t>
  </si>
  <si>
    <t>31-002-12-00</t>
  </si>
  <si>
    <t>Кепка BETMAR арт. B011H ADELE (бордовый) {bordeaux}</t>
  </si>
  <si>
    <t>31-002-18-00</t>
  </si>
  <si>
    <t>Кепка BETMAR арт. B011H ADELE (красный) {scarlet}</t>
  </si>
  <si>
    <t>31-003-12-00</t>
  </si>
  <si>
    <t>Шляпа BETMAR арт. B026H ELLA (бордовый) {bordeaux}</t>
  </si>
  <si>
    <t>31-003-13-00</t>
  </si>
  <si>
    <t>Шляпа BETMAR арт. B026H ELLA (оранжевый) {rust}</t>
  </si>
  <si>
    <t>31-004-09-00</t>
  </si>
  <si>
    <t>Шляпа BETMAR арт. B1001H DOLORES (черный) {Black}</t>
  </si>
  <si>
    <t>B1001H DOLORES</t>
  </si>
  <si>
    <t>31-005-09-00</t>
  </si>
  <si>
    <t>Кепка BETMAR арт. B1002H LEONORA (черный) {Black}</t>
  </si>
  <si>
    <t>B1002H LEONORA</t>
  </si>
  <si>
    <t>31-006-09-00</t>
  </si>
  <si>
    <t>Шляпа BETMAR арт. B1008H ANITA (черный) {Black}</t>
  </si>
  <si>
    <t>B1008H ANITA</t>
  </si>
  <si>
    <t>31-006-17-00</t>
  </si>
  <si>
    <t>Шляпа BETMAR арт. B1008H ANITA (белый) {ivory}</t>
  </si>
  <si>
    <t>31-007-09-00</t>
  </si>
  <si>
    <t>Шляпа BETMAR арт. B1050H OKSANA (черный) {Black}</t>
  </si>
  <si>
    <t>B1050H OKSANA</t>
  </si>
  <si>
    <t>31-008-09-00</t>
  </si>
  <si>
    <t>Шляпа BETMAR арт. B1249H DARCY (черный) {black}</t>
  </si>
  <si>
    <t>31-008-34-00</t>
  </si>
  <si>
    <t>Шляпа BETMAR арт. B1249H DARCY (розовый) {blush}</t>
  </si>
  <si>
    <t>31-009-09-00</t>
  </si>
  <si>
    <t>Кепка BETMAR арт. B1253H BRIE (черный) {Black}</t>
  </si>
  <si>
    <t>B1253H BRIE</t>
  </si>
  <si>
    <t>56% ангора - 30%  - 14% нейлон</t>
  </si>
  <si>
    <t>31-009-17-00</t>
  </si>
  <si>
    <t>Кепка BETMAR арт. B1253H BRIE (белый) {ivory}</t>
  </si>
  <si>
    <t>56% ангора - 30% олефин - 14% нейлон</t>
  </si>
  <si>
    <t>31-009-02-00</t>
  </si>
  <si>
    <t>Кепка BETMAR арт. B1253H BRIE (бежевый / черный) {tiger}</t>
  </si>
  <si>
    <t>31-010-19-00</t>
  </si>
  <si>
    <t>Кепка BETMAR арт. B1260H SORINA (голубой) {Blue}</t>
  </si>
  <si>
    <t>B1260H SORINA</t>
  </si>
  <si>
    <t>60% полиэстер -  40% шерсть</t>
  </si>
  <si>
    <t>31-010-14-00</t>
  </si>
  <si>
    <t>Кепка BETMAR арт. B1260H SORINA (коричневый) {russet}</t>
  </si>
  <si>
    <t>russet</t>
  </si>
  <si>
    <t>31-011-12-00</t>
  </si>
  <si>
    <t>Кепка BETMAR арт. B1263H SIGRID (бордовый) {bordeaux}</t>
  </si>
  <si>
    <t>B1263H SIGRID</t>
  </si>
  <si>
    <t>90% полиэстер - 10% искусственный шёлк</t>
  </si>
  <si>
    <t>31-012-09-00</t>
  </si>
  <si>
    <t>Кепка BETMAR арт. B1279H ADENE (черный) {Black}</t>
  </si>
  <si>
    <t>B1279H ADENE</t>
  </si>
  <si>
    <t>31-012-08-00</t>
  </si>
  <si>
    <t>Кепка BETMAR арт. B1279H ADENE (серый) {Taupe}</t>
  </si>
  <si>
    <t>31-013-09-00</t>
  </si>
  <si>
    <t>Шляпа BETMAR арт. B1280H LANEY (черный) {Black}</t>
  </si>
  <si>
    <t>B1280H LANEY</t>
  </si>
  <si>
    <t>31-013-14-00</t>
  </si>
  <si>
    <t>Шляпа BETMAR арт. B1280H LANEY (коричневый / бежевый) {Taupe}</t>
  </si>
  <si>
    <t>31-014-09-00</t>
  </si>
  <si>
    <t>Кепка BETMAR арт. B1284H LYNN (черный) {black}</t>
  </si>
  <si>
    <t>B1284H LYNN</t>
  </si>
  <si>
    <t>31-014-17-00</t>
  </si>
  <si>
    <t>Кепка BETMAR арт. B1284H LYNN (белый) {white}</t>
  </si>
  <si>
    <t>31-015-09-00</t>
  </si>
  <si>
    <t>Шляпа BETMAR арт. B1285H PATTY (черный) {Black}</t>
  </si>
  <si>
    <t>B1285H PATTY</t>
  </si>
  <si>
    <t>56% шерсть - 30% полипропилен - 14% нейлон</t>
  </si>
  <si>
    <t>31-015-17-00</t>
  </si>
  <si>
    <t>Шляпа BETMAR арт. B1285H PATTY (белый) {White}</t>
  </si>
  <si>
    <t>31-016-11-00</t>
  </si>
  <si>
    <t>Шапка BETMAR арт. B1289H TURBAN (зеленый / желтый) {jade}</t>
  </si>
  <si>
    <t>B1289H TURBAN</t>
  </si>
  <si>
    <t>60% акрил - 40% металл</t>
  </si>
  <si>
    <t>jade</t>
  </si>
  <si>
    <t>31-016-14-00</t>
  </si>
  <si>
    <t>Шапка BETMAR арт. B1289H TURBAN (коричневый) {Taupe}</t>
  </si>
  <si>
    <t>31-017-09-00</t>
  </si>
  <si>
    <t>Шапка BETMAR арт. B1290H LUX CABLE (черный) {Black}</t>
  </si>
  <si>
    <t>B1290H LUX CABLE</t>
  </si>
  <si>
    <t>31-017-11-00</t>
  </si>
  <si>
    <t>Шапка BETMAR арт. B1290H LUX CABLE (зеленый) {jade}</t>
  </si>
  <si>
    <t>31-017-14-00</t>
  </si>
  <si>
    <t>Шапка BETMAR арт. B1290H LUX CABLE (коричневый) {Taupe}</t>
  </si>
  <si>
    <t>31-018-34-00</t>
  </si>
  <si>
    <t>Шляпа BETMAR арт. B1298H AISLIN (розовый) {blush}</t>
  </si>
  <si>
    <t>B1298H AISLIN</t>
  </si>
  <si>
    <t>31-018-14-00</t>
  </si>
  <si>
    <t>Шляпа BETMAR арт. B1298H AISLIN (коричневый) {coffee}</t>
  </si>
  <si>
    <t>31-019-09-00</t>
  </si>
  <si>
    <t>Шляпа BETMAR арт. B1299H FREDERICA (черный) {Black}</t>
  </si>
  <si>
    <t>B1299H FREDERICA</t>
  </si>
  <si>
    <t>31-020-09-00</t>
  </si>
  <si>
    <t>Шляпа BETMAR арт. B1301H TEGAN (черный) {Black}</t>
  </si>
  <si>
    <t>B1301H TEGAN</t>
  </si>
  <si>
    <t>31-021-09-00</t>
  </si>
  <si>
    <t>Шляпа BETMAR арт. B1305H GIULIA (черный) {Black}</t>
  </si>
  <si>
    <t>B1305H GIULIA</t>
  </si>
  <si>
    <t>31-021-41-00</t>
  </si>
  <si>
    <t>Шляпа BETMAR арт. B1305H GIULIA (фиолетовый) {raisin}</t>
  </si>
  <si>
    <t>31-022-09-00</t>
  </si>
  <si>
    <t>Шляпа BETMAR арт. B1307H GAILE (черный) {Black}</t>
  </si>
  <si>
    <t>B1307H GAILE</t>
  </si>
  <si>
    <t>31-022-18-00</t>
  </si>
  <si>
    <t>Шляпа BETMAR арт. B1307H GAILE (красный) {portrd}</t>
  </si>
  <si>
    <t>portrd</t>
  </si>
  <si>
    <t>31-023-09-00</t>
  </si>
  <si>
    <t>Кепка BETMAR арт. B1310H MELANIA (черный) {Black}</t>
  </si>
  <si>
    <t>B1310H MELANIA</t>
  </si>
  <si>
    <t>31-024-09-00</t>
  </si>
  <si>
    <t>Шляпа BETMAR арт. B1326H TALLY (черный) {Black}</t>
  </si>
  <si>
    <t>B1326H TALLY</t>
  </si>
  <si>
    <t>30% акрил - 30% полиэстер - 22% полипропилен - 18% металл</t>
  </si>
  <si>
    <t>31-024-14-00</t>
  </si>
  <si>
    <t>Шляпа BETMAR арт. B1326H TALLY (коричневый) {chestnut}</t>
  </si>
  <si>
    <t>31-025-12-00</t>
  </si>
  <si>
    <t>Шляпа BETMAR арт. B1330H LEENA (бордовый) {bordeaux}</t>
  </si>
  <si>
    <t>B1330H LEENA</t>
  </si>
  <si>
    <t>83% акрил - 17% полиэстер</t>
  </si>
  <si>
    <t>31-025-08-00</t>
  </si>
  <si>
    <t>Шляпа BETMAR арт. B1330H LEENA (серый) {charcoal}</t>
  </si>
  <si>
    <t>31-025-02-00</t>
  </si>
  <si>
    <t>Шляпа BETMAR арт. B1330H LEENA (бежевый) {mink}</t>
  </si>
  <si>
    <t>31-026-12-00</t>
  </si>
  <si>
    <t>Шляпа BETMAR арт. B1333H ILANE (бордовый) {bordeaux}</t>
  </si>
  <si>
    <t>B1333H ILANE</t>
  </si>
  <si>
    <t>31-027-09-00</t>
  </si>
  <si>
    <t>Шляпа BETMAR арт. B1336H IZETTE (черный) {Black}</t>
  </si>
  <si>
    <t>B1336H IZETTE</t>
  </si>
  <si>
    <t>31-027-41-00</t>
  </si>
  <si>
    <t>Шляпа BETMAR арт. B1336H IZETTE (фиолетовый) {plum}</t>
  </si>
  <si>
    <t>31-027-14-00</t>
  </si>
  <si>
    <t>Шляпа BETMAR арт. B1336H IZETTE (коричневый) {walnut}</t>
  </si>
  <si>
    <t>31-028-11-00</t>
  </si>
  <si>
    <t>Шляпа BETMAR арт. B1337H MADRI (зеленый) {teal}</t>
  </si>
  <si>
    <t>B1337H MADRI</t>
  </si>
  <si>
    <t>31-029-09-00</t>
  </si>
  <si>
    <t>Шляпа BETMAR арт. B1338H GLENNA (черный) {Black}</t>
  </si>
  <si>
    <t>B1338H GLENNA</t>
  </si>
  <si>
    <t>31-030-09-00</t>
  </si>
  <si>
    <t>Шляпа BETMAR арт. B1339H LIL (черный) {Black}</t>
  </si>
  <si>
    <t>B1339H LIL</t>
  </si>
  <si>
    <t>31-031-11-00</t>
  </si>
  <si>
    <t>Шарф BETMAR арт. B1341S METALLIC (зеленый / желтый) {jade}</t>
  </si>
  <si>
    <t>B1341S METALLIC</t>
  </si>
  <si>
    <t>31-031-14-00</t>
  </si>
  <si>
    <t>Шарф BETMAR арт. B1341S METALLIC (коричневый) {Taupe}</t>
  </si>
  <si>
    <t>31-032-09-00</t>
  </si>
  <si>
    <t>Шляпа BETMAR арт. B434H WILLOW (черный) {black}</t>
  </si>
  <si>
    <t>31-032-14-00</t>
  </si>
  <si>
    <t>Шляпа BETMAR арт. B434H WILLOW (коричневый) {pecan}</t>
  </si>
  <si>
    <t>31-033-09-00</t>
  </si>
  <si>
    <t>Берет BETMAR арт. B512 WOOL BERET (черный) {black}</t>
  </si>
  <si>
    <t>31-033-20-00</t>
  </si>
  <si>
    <t>Берет BETMAR арт. B512 WOOL BERET (желтый) {camel}</t>
  </si>
  <si>
    <t>31-033-14-00</t>
  </si>
  <si>
    <t>Берет BETMAR арт. B512 WOOL BERET (коричневый) {chocolate}</t>
  </si>
  <si>
    <t>31-033-08-00</t>
  </si>
  <si>
    <t>Берет BETMAR арт. B512 WOOL BERET (серый) {grey}</t>
  </si>
  <si>
    <t>31-033-06-00</t>
  </si>
  <si>
    <t>Берет BETMAR арт. B512 WOOL BERET (синий) {navy}</t>
  </si>
  <si>
    <t>31-033-34-00</t>
  </si>
  <si>
    <t>Берет BETMAR арт. B512 WOOL BERET (розовый) {pink}</t>
  </si>
  <si>
    <t>pink</t>
  </si>
  <si>
    <t>31-033-18-00</t>
  </si>
  <si>
    <t>Берет BETMAR арт. B512 WOOL BERET (красный) {red}</t>
  </si>
  <si>
    <t>31-033-17-00</t>
  </si>
  <si>
    <t>Берет BETMAR арт. B512 WOOL BERET (белый) {white}</t>
  </si>
  <si>
    <t>31-034-41-00</t>
  </si>
  <si>
    <t>Берет BETMAR арт. B515 FLOWER BERET (фиолетовый) {berry}</t>
  </si>
  <si>
    <t>31-034-09-00</t>
  </si>
  <si>
    <t>Берет BETMAR арт. B515 FLOWER BERET (черный) {black}</t>
  </si>
  <si>
    <t>31-034-08-00</t>
  </si>
  <si>
    <t>Берет BETMAR арт. B515 FLOWER BERET (серый) {charcoal}</t>
  </si>
  <si>
    <t>31-034-17-00</t>
  </si>
  <si>
    <t>Берет BETMAR арт. B515 FLOWER BERET (белый) {white}</t>
  </si>
  <si>
    <t>31-035-41-00</t>
  </si>
  <si>
    <t>Кепка BETMAR арт. B521 RHINESTONE CAP (фиолетовый) {berry}</t>
  </si>
  <si>
    <t>31-035-09-00</t>
  </si>
  <si>
    <t>Кепка BETMAR арт. B521 RHINESTONE CAP (черный) {black}</t>
  </si>
  <si>
    <t>31-035-18-00</t>
  </si>
  <si>
    <t>Кепка BETMAR арт. B521 RHINESTONE CAP (красный) {red}</t>
  </si>
  <si>
    <t>31-036-09-00</t>
  </si>
  <si>
    <t>Кепка BETMAR арт. B523 RIDGE FLOWER (черный) {Black}</t>
  </si>
  <si>
    <t>B523 Ridge Flower Cap</t>
  </si>
  <si>
    <t>31-036-08-00</t>
  </si>
  <si>
    <t>Кепка BETMAR арт. B523 Ridge Flower Cap (серый) {charcoal}</t>
  </si>
  <si>
    <t>31-037-09-00</t>
  </si>
  <si>
    <t>Шляпа BETMAR арт. B545H ALEXANDRITE (черный) {black}</t>
  </si>
  <si>
    <t>31-037-18-00</t>
  </si>
  <si>
    <t>Шляпа BETMAR арт. B545H ALEXANDRITE (красный) {scarlet}</t>
  </si>
  <si>
    <t>31-038-09-00</t>
  </si>
  <si>
    <t>Кепка BETMAR арт. B562 BOY MEETS GIRL (черный) {black}</t>
  </si>
  <si>
    <t>65% полиэстер - 35% шерсть</t>
  </si>
  <si>
    <t>31-038-20-00</t>
  </si>
  <si>
    <t>Кепка BETMAR арт. B562 BOY MEETS GIRL (бежевый) {camel}</t>
  </si>
  <si>
    <t>31-038-08-00</t>
  </si>
  <si>
    <t>Кепка BETMAR арт. B562 BOY MEETS GIRL (серый) {charcoal}</t>
  </si>
  <si>
    <t>31-038-14-00</t>
  </si>
  <si>
    <t>Кепка BETMAR арт. B562 BOY MEETS GIRL (коричневый) {chocolate}</t>
  </si>
  <si>
    <t>31-038-18-00</t>
  </si>
  <si>
    <t>Кепка BETMAR арт. B562 BOY MEETS GIRL (красный) {red}</t>
  </si>
  <si>
    <t>31-039-09-00</t>
  </si>
  <si>
    <t>Кепка BETMAR арт. B612H FERN (черный) {black}</t>
  </si>
  <si>
    <t>31-040-09-00</t>
  </si>
  <si>
    <t>Берет BETMAR арт. B640 PRECIOUS PRESENT (черный) {Black}</t>
  </si>
  <si>
    <t>72% ангора - 20% нейлон - 8% спандекс</t>
  </si>
  <si>
    <t>31-040-17-00</t>
  </si>
  <si>
    <t>Берет BETMAR арт. B640 PRECIOUS PRESENT (белый) {ivory}</t>
  </si>
  <si>
    <t>31-040-02-00</t>
  </si>
  <si>
    <t>Берет BETMAR арт. B640 PRECIOUS PRESENT (бежевый / черный) {tiger}</t>
  </si>
  <si>
    <t>31-041-09-00</t>
  </si>
  <si>
    <t>Шляпа BETMAR арт. B745 QUILTED BUCKET (черный) {Black}</t>
  </si>
  <si>
    <t>31-042-14-00</t>
  </si>
  <si>
    <t>Шапка BETMAR арт. B858 JULIE (коричневый) {tobacco}</t>
  </si>
  <si>
    <t>B858 JULIE</t>
  </si>
  <si>
    <t>75% пух кролика - 25% нейлон</t>
  </si>
  <si>
    <t>31-043-34-00</t>
  </si>
  <si>
    <t>Кепка BETMAR арт. B928H CATALIN (розовый) {Rose}</t>
  </si>
  <si>
    <t>B928H CATALIN</t>
  </si>
  <si>
    <t>rose</t>
  </si>
  <si>
    <t>31-043-17-00</t>
  </si>
  <si>
    <t>Кепка BETMAR арт. B928H CATALIN (белый) {White}</t>
  </si>
  <si>
    <t>31-044-09-00</t>
  </si>
  <si>
    <t>Шляпа BETMAR арт. B932H NALDA (черный) {Black}</t>
  </si>
  <si>
    <t>B932H NALDA</t>
  </si>
  <si>
    <t>31-044-35-00</t>
  </si>
  <si>
    <t>Шляпа BETMAR арт. B932H NALDA (разноцветный) {leopard}</t>
  </si>
  <si>
    <t>31-044-18-00</t>
  </si>
  <si>
    <t>Шляпа BETMAR арт. B932H NALDA (красный) {truered}</t>
  </si>
  <si>
    <t>truered</t>
  </si>
  <si>
    <t>31-045-09-00</t>
  </si>
  <si>
    <t>Шляпа BETMAR арт. B952H MAYA (черный) {Black}</t>
  </si>
  <si>
    <t>31-045-12-00</t>
  </si>
  <si>
    <t>Шляпа BETMAR арт. B952H MAYA (бордовый) {bordeaux}</t>
  </si>
  <si>
    <t>31-045-08-00</t>
  </si>
  <si>
    <t>Шляпа BETMAR арт. B952H MAYA (серый) {charcoal}</t>
  </si>
  <si>
    <t>31-045-41-00</t>
  </si>
  <si>
    <t>Шляпа BETMAR арт. B952H MAYA (фиолетовый) {Purple}</t>
  </si>
  <si>
    <t>purple</t>
  </si>
  <si>
    <t>31-046-09-00</t>
  </si>
  <si>
    <t>Шляпа BETMAR арт. B987H CAROL (черный) {Black}</t>
  </si>
  <si>
    <t>B987H CAROL</t>
  </si>
  <si>
    <t>31-046-35-00</t>
  </si>
  <si>
    <t>Шляпа BETMAR арт. B987H CAROL (разноцветный) {leopard}</t>
  </si>
  <si>
    <t>31-046-18-00</t>
  </si>
  <si>
    <t>Шляпа BETMAR арт. B987H CAROL (красный) {truered}</t>
  </si>
  <si>
    <t>31-046-17-00</t>
  </si>
  <si>
    <t>Шляпа BETMAR арт. B987H CAROL (белый) {White}</t>
  </si>
  <si>
    <t>31-047-09-00</t>
  </si>
  <si>
    <t>Шляпа BETMAR арт. B992H ARLENE (черный) {Black}</t>
  </si>
  <si>
    <t>31-047-02-00</t>
  </si>
  <si>
    <t>Шляпа BETMAR арт. B992H ARLENE (бежевый / черный) {tiger}</t>
  </si>
  <si>
    <t>31-048-22-00</t>
  </si>
  <si>
    <t>Кепка BETMAR арт. B1117H Zoi (светло-синий) {Chambray}</t>
  </si>
  <si>
    <t>B1117H Zoi</t>
  </si>
  <si>
    <t>31-049-17-00</t>
  </si>
  <si>
    <t>Кепка BETMAR арт. B1409H Sue (белый) {White}</t>
  </si>
  <si>
    <t>B1409H Sue</t>
  </si>
  <si>
    <t>31-050-36-00</t>
  </si>
  <si>
    <t>Кепка BETMAR арт. B1413H Karla (кремовый) {ivory}</t>
  </si>
  <si>
    <t>B1413H Karla</t>
  </si>
  <si>
    <t>31-051-18-00</t>
  </si>
  <si>
    <t>Кепка BETMAR арт. B702H Aimee (красный) {Poppy}</t>
  </si>
  <si>
    <t>B702H Aimee</t>
  </si>
  <si>
    <t>31-052-56-00</t>
  </si>
  <si>
    <t>Кепка BETMAR арт. B777H Denise (хаки) {natural}</t>
  </si>
  <si>
    <t>B777H Denise</t>
  </si>
  <si>
    <t>31-053-16-00</t>
  </si>
  <si>
    <t>Кепка BETMAR арт. B964 FACE FRAMER (темно-синий) {navy}</t>
  </si>
  <si>
    <t>31-054-16-00</t>
  </si>
  <si>
    <t>Кепка BETMAR арт. B986 Blake Cap (темно-синий) {navy}</t>
  </si>
  <si>
    <t>B986 Blake Cap</t>
  </si>
  <si>
    <t>31-055-02-00</t>
  </si>
  <si>
    <t>Козырек BETMAR арт. B1143H Mila (бежевый) {natural}</t>
  </si>
  <si>
    <t>B1143H Mila</t>
  </si>
  <si>
    <t>31-056-02-00</t>
  </si>
  <si>
    <t>Козырек BETMAR арт. B124 Dunewood Visor (бежевый / розовый) {Rouge}</t>
  </si>
  <si>
    <t>rouge</t>
  </si>
  <si>
    <t>31-057-02-00</t>
  </si>
  <si>
    <t>Козырек BETMAR арт. B1405H Yana (бежевый) {Chambray}</t>
  </si>
  <si>
    <t>B1405H Yana</t>
  </si>
  <si>
    <t>100% солома Рафия</t>
  </si>
  <si>
    <t>31-058-02-00</t>
  </si>
  <si>
    <t>Сумка BETMAR арт. B738B Braid Shopper (бежевый / черный) {Rattlesnake}</t>
  </si>
  <si>
    <t>B738B Braid Shopper</t>
  </si>
  <si>
    <t>Сумка</t>
  </si>
  <si>
    <t>31-059-09-00</t>
  </si>
  <si>
    <t>Сумка BETMAR арт. BH1531N Braid Tote (черный) {Black}</t>
  </si>
  <si>
    <t>BH1531N Braid Tote</t>
  </si>
  <si>
    <t>31-060-02-00</t>
  </si>
  <si>
    <t>Сумка BETMAR арт. BH1650N Mini Hobo (бежевый / черный) {Rattlesnake}</t>
  </si>
  <si>
    <t>BH1650N Mini Hobo</t>
  </si>
  <si>
    <t>31-061-02-00</t>
  </si>
  <si>
    <t>Шляпа BETMAR арт. B1096H TRICIA (бежевый / черный) {black}</t>
  </si>
  <si>
    <t>31-062-36-00</t>
  </si>
  <si>
    <t>Шляпа BETMAR арт. B1122H Gemma (кремовый) {Khaki}</t>
  </si>
  <si>
    <t>B1122H Gemma</t>
  </si>
  <si>
    <t>31-063-02-00</t>
  </si>
  <si>
    <t>Шляпа BETMAR арт. B1129H Abby (бежевый / коричневый) {natural}</t>
  </si>
  <si>
    <t>B1129H Abby</t>
  </si>
  <si>
    <t>31-064-34-00</t>
  </si>
  <si>
    <t>Шляпа BETMAR арт. B1134H RAMONA (розовый) {pink}</t>
  </si>
  <si>
    <t>31-065-02-00</t>
  </si>
  <si>
    <t>Шляпа BETMAR арт. B1146H Liv (бежевый) {natural}</t>
  </si>
  <si>
    <t>B1146H Liv</t>
  </si>
  <si>
    <t>31-066-02-00</t>
  </si>
  <si>
    <t>Шляпа BETMAR арт. B1391H Orianna (бежевый) {natural}</t>
  </si>
  <si>
    <t>B1391H Orianna</t>
  </si>
  <si>
    <t>31-067-02-00</t>
  </si>
  <si>
    <t>Шляпа BETMAR арт. B1392H Lupita (бежевый) {natural}</t>
  </si>
  <si>
    <t>B1392H Lupita</t>
  </si>
  <si>
    <t>31-068-35-00</t>
  </si>
  <si>
    <t>Шляпа BETMAR арт. B1393H Violet (разноцветный) {Rose}</t>
  </si>
  <si>
    <t>B1393H Violet</t>
  </si>
  <si>
    <t>31-069-02-00</t>
  </si>
  <si>
    <t>Шляпа BETMAR арт. B1395H Bjorn (бежевый / розовый) {fuchsia}</t>
  </si>
  <si>
    <t>B1395H Bjorn</t>
  </si>
  <si>
    <t>31-070-08-00</t>
  </si>
  <si>
    <t>Шляпа BETMAR арт. B1399H Peyton (серый) {Blue}</t>
  </si>
  <si>
    <t>B1399H Peyton</t>
  </si>
  <si>
    <t>31-071-16-00</t>
  </si>
  <si>
    <t>Шляпа BETMAR арт. B1401H Alysia (темно-синий) {navy}</t>
  </si>
  <si>
    <t>B1401H Alysia</t>
  </si>
  <si>
    <t>31-072-02-00</t>
  </si>
  <si>
    <t>Шляпа BETMAR арт. B1402H Giorgia (бежевый / серый) {Chambray}</t>
  </si>
  <si>
    <t>B1402H Giorgia</t>
  </si>
  <si>
    <t>31-073-02-00</t>
  </si>
  <si>
    <t>Шляпа BETMAR арт. B1403H Emiry (бежевый) {natural}</t>
  </si>
  <si>
    <t>B1403H Emiry</t>
  </si>
  <si>
    <t>31-074-17-00</t>
  </si>
  <si>
    <t>Шляпа BETMAR арт. B1404H Drew (белый) {White}</t>
  </si>
  <si>
    <t>B1404H Drew</t>
  </si>
  <si>
    <t>31-075-18-00</t>
  </si>
  <si>
    <t>Шляпа BETMAR арт. B1406H Mily (красный) {Poppy}</t>
  </si>
  <si>
    <t>B1406H Mily</t>
  </si>
  <si>
    <t>31-076-04-00</t>
  </si>
  <si>
    <t>Шляпа BETMAR арт. B1416H Shanti (горчичный) {Cocoa}</t>
  </si>
  <si>
    <t>B1416H Shanti</t>
  </si>
  <si>
    <t>31-077-02-00</t>
  </si>
  <si>
    <t>Шляпа BETMAR арт. B1417H Kali (бежевый) {natural}</t>
  </si>
  <si>
    <t>31-078-17-00</t>
  </si>
  <si>
    <t>Шляпа BETMAR арт. B1431H DEMETRIA (белый / синий) {white.navy}</t>
  </si>
  <si>
    <t>31-079-08-00</t>
  </si>
  <si>
    <t>Шляпа BETMAR арт. B1434H Inge (серый / черный) {Black}</t>
  </si>
  <si>
    <t>B1434H Inge</t>
  </si>
  <si>
    <t>31-080-34-00</t>
  </si>
  <si>
    <t>Шляпа BETMAR арт. B1440H Perla (розовый / бежевый) {Fuchia}</t>
  </si>
  <si>
    <t>Fuchia</t>
  </si>
  <si>
    <t>31-081-02-00</t>
  </si>
  <si>
    <t>Шляпа BETMAR арт. B1449H JOANNE (бежевый / черный) {rattlesnake}</t>
  </si>
  <si>
    <t>31-082-20-00</t>
  </si>
  <si>
    <t>Шляпа BETMAR арт. B1450H Fleur (золотистый) {gold}</t>
  </si>
  <si>
    <t>B1450H Fleur</t>
  </si>
  <si>
    <t>gold</t>
  </si>
  <si>
    <t>31-083-34-00</t>
  </si>
  <si>
    <t>Шляпа BETMAR арт. B166 CLASSIC ROLL UP (розовый) {coral}</t>
  </si>
  <si>
    <t>31-084-09-00</t>
  </si>
  <si>
    <t>Шляпа BETMAR арт. B176 GOSSAMER (черный / белый) {black multi}</t>
  </si>
  <si>
    <t>31-085-34-00</t>
  </si>
  <si>
    <t>Шляпа BETMAR арт. B213 CLASSIC SUNSHADE (розовый) {rouge}</t>
  </si>
  <si>
    <t>31-086-02-00</t>
  </si>
  <si>
    <t>Шляпа BETMAR арт. B318H Ocean Drive (бежевый) {natural}</t>
  </si>
  <si>
    <t>B318H Ocean Drive</t>
  </si>
  <si>
    <t>31-087-36-00</t>
  </si>
  <si>
    <t>Шляпа BETMAR арт. B3261 COCONUT RING SAFARI (кремовый) {natural}</t>
  </si>
  <si>
    <t>31-088-02-00</t>
  </si>
  <si>
    <t>Шляпа BETMAR арт. B687H Maribel (бежевый / черный) {natural}</t>
  </si>
  <si>
    <t>B687H Maribel</t>
  </si>
  <si>
    <t>31-089-09-00</t>
  </si>
  <si>
    <t>Шляпа BETMAR арт. B880H Donna (черный / бежевый) {Black}</t>
  </si>
  <si>
    <t>B880H Donna</t>
  </si>
  <si>
    <t>60% бумага - 40% полиэстер</t>
  </si>
  <si>
    <t>31-090-18-00</t>
  </si>
  <si>
    <t>Панама BETMAR арт. B962 KNOTTED CLOCHE (красный) {poppy}</t>
  </si>
  <si>
    <t>31-096-09-00</t>
  </si>
  <si>
    <t>Кепка BETMAR арт. B1511H Faye (черный) {Black}</t>
  </si>
  <si>
    <t>B1511H Faye</t>
  </si>
  <si>
    <t>70% шерсть - 30% нейлон</t>
  </si>
  <si>
    <t>31-008-16-00</t>
  </si>
  <si>
    <t>Шляпа BETMAR арт. B1249H DARCY (темно-синий) {blue}</t>
  </si>
  <si>
    <t>31-037-16-00</t>
  </si>
  <si>
    <t>Шляпа BETMAR арт. B545H ALEXANDRITE (темно-синий) {blue}</t>
  </si>
  <si>
    <t>31-109-09-00</t>
  </si>
  <si>
    <t>Шляпа BETMAR арт. B1485H Janis (черный) {Black}</t>
  </si>
  <si>
    <t>31-109-16-00</t>
  </si>
  <si>
    <t>Шляпа BETMAR арт. B1485H Janis (темно-синий) {Blue}</t>
  </si>
  <si>
    <t>31-099-16-00</t>
  </si>
  <si>
    <t>Шляпа BETMAR арт. B1482H Rory (темно-синий) {Blue}</t>
  </si>
  <si>
    <t>B1482H Rory</t>
  </si>
  <si>
    <t>31-100-09-00</t>
  </si>
  <si>
    <t>Шляпа BETMAR арт. B1484H Joan (черный) {Black}</t>
  </si>
  <si>
    <t>B1484H Joan</t>
  </si>
  <si>
    <t>31-100-12-00</t>
  </si>
  <si>
    <t>Шляпа BETMAR арт. B1484H Joan (бордовый) {cranberry}</t>
  </si>
  <si>
    <t>31-115-09-56</t>
  </si>
  <si>
    <t>Шляпа BETMAR арт. B1521H CINDY (черный) {Black}</t>
  </si>
  <si>
    <t>31-115-09-58</t>
  </si>
  <si>
    <t>31-115-12-56</t>
  </si>
  <si>
    <t>Шляпа BETMAR арт. B1521H CINDY (бордовый) {cranberry}</t>
  </si>
  <si>
    <t>31-115-12-58</t>
  </si>
  <si>
    <t>31-115-06-56</t>
  </si>
  <si>
    <t>Шляпа BETMAR арт. B1521H CINDY (темно-зеленый) {teal}</t>
  </si>
  <si>
    <t>31-115-06-58</t>
  </si>
  <si>
    <t>31-116-09-56</t>
  </si>
  <si>
    <t>Шляпа BETMAR арт. B1524H IZETTE II (черный) {black}</t>
  </si>
  <si>
    <t>B1524H IZETTE II</t>
  </si>
  <si>
    <t>31-116-09-58</t>
  </si>
  <si>
    <t>31-116-41-56</t>
  </si>
  <si>
    <t>Шляпа BETMAR арт. B1524H IZETTE II (фиолетовый) {plum}</t>
  </si>
  <si>
    <t>31-116-41-58</t>
  </si>
  <si>
    <t>31-116-14-58</t>
  </si>
  <si>
    <t>Шляпа BETMAR арт. B1524H IZETTE II (коричневый) {walnut}</t>
  </si>
  <si>
    <t>31-116-14-56</t>
  </si>
  <si>
    <t>31-117-09-56</t>
  </si>
  <si>
    <t>Шляпа BETMAR арт. B1520H CHARLIE (черный) {Black}</t>
  </si>
  <si>
    <t>B1520H CHARLIE</t>
  </si>
  <si>
    <t>31-117-09-58</t>
  </si>
  <si>
    <t>31-117-14-56</t>
  </si>
  <si>
    <t>Шляпа BETMAR арт. B1520H CHARLIE (коричневый) {walnut}</t>
  </si>
  <si>
    <t>31-117-14-58</t>
  </si>
  <si>
    <t>31-118-09-58</t>
  </si>
  <si>
    <t>Шляпа BETMAR арт. B1607H JOVANA (черный) {Black}</t>
  </si>
  <si>
    <t>B1607H JOVANA</t>
  </si>
  <si>
    <t>31-091-09-00</t>
  </si>
  <si>
    <t>Кепка BETMAR арт. B1481H Kiley (черный) {Black}</t>
  </si>
  <si>
    <t>B1481H Kiley</t>
  </si>
  <si>
    <t>31-092-03-00</t>
  </si>
  <si>
    <t>Кепка BETMAR арт. B1496H Maureen (оливковый) {olive}</t>
  </si>
  <si>
    <t>B1496H Maureen</t>
  </si>
  <si>
    <t>31-093-09-00</t>
  </si>
  <si>
    <t>Кепка BETMAR арт. B1499H Caron (черный) {Black}</t>
  </si>
  <si>
    <t>B1499H Caron</t>
  </si>
  <si>
    <t>50 % шерсть - 50% вискоза</t>
  </si>
  <si>
    <t>31-094-09-00</t>
  </si>
  <si>
    <t>Кепка BETMAR арт. B1504H Oria (черный) {Black}</t>
  </si>
  <si>
    <t>B1504H Oria</t>
  </si>
  <si>
    <t>5% шерсть - 95% полиэстер</t>
  </si>
  <si>
    <t>31-095-08-00</t>
  </si>
  <si>
    <t>Кепка BETMAR арт. B1508H Savannah (серый) {Grey}</t>
  </si>
  <si>
    <t>B1508H Savannah</t>
  </si>
  <si>
    <t>63% шерсть - 27% нейлон - 10% металл</t>
  </si>
  <si>
    <t>31-096-14-00</t>
  </si>
  <si>
    <t>Кепка BETMAR арт. B1511H Faye (коричневый) {Taupe}</t>
  </si>
  <si>
    <t>31-098-08-00</t>
  </si>
  <si>
    <t>Шапка BETMAR арт. B1506H Shaina (серый) {Grey}</t>
  </si>
  <si>
    <t>B1506H Shaina</t>
  </si>
  <si>
    <t>63% шерсть - 27% нейлон - 10% металлик</t>
  </si>
  <si>
    <t>31-099-09-00</t>
  </si>
  <si>
    <t>Шляпа BETMAR арт. B1482H Rory (черный) {Black}</t>
  </si>
  <si>
    <t>31-100-06-00</t>
  </si>
  <si>
    <t>Шляпа BETMAR арт. B1484H Joan (темно-синий) {Blue}</t>
  </si>
  <si>
    <t>31-101-02-00</t>
  </si>
  <si>
    <t>Шляпа BETMAR арт. B1492H Bethany (бежевый) {Camel}</t>
  </si>
  <si>
    <t>B1492H Bethany</t>
  </si>
  <si>
    <t>31-003-09-00</t>
  </si>
  <si>
    <t>Шляпа BETMAR арт. B026H ELLA (черный) {Black}</t>
  </si>
  <si>
    <t>31-102-09-00</t>
  </si>
  <si>
    <t>Шляпа BETMAR арт. B1476H Reesa (черный) {Black}</t>
  </si>
  <si>
    <t>B1476H Reesa</t>
  </si>
  <si>
    <t>41% полиэстер - 35% акрил - 24% шерсть</t>
  </si>
  <si>
    <t>31-103-09-00</t>
  </si>
  <si>
    <t>Шляпа BETMAR арт. B1503H Nell (черный) {Black}</t>
  </si>
  <si>
    <t>B1503H Nell</t>
  </si>
  <si>
    <t>95% полиэстер - 5% шерсть</t>
  </si>
  <si>
    <t>31-104-08-00</t>
  </si>
  <si>
    <t>Шляпа BETMAR арт. B1510H Walene (серый) {Grey}</t>
  </si>
  <si>
    <t>B1510H Walene</t>
  </si>
  <si>
    <t>21% шерсть - 30% олефин - 40% полиэстер - 9% нейлон</t>
  </si>
  <si>
    <t>31-105-09-00</t>
  </si>
  <si>
    <t>Шляпа BETMAR арт. B1515H Pat (черный) {Black}</t>
  </si>
  <si>
    <t>B1515H Pat</t>
  </si>
  <si>
    <t>80% ангора - 20% шерсть</t>
  </si>
  <si>
    <t>31-106-09-00</t>
  </si>
  <si>
    <t>Шляпа BETMAR арт. B1523H Kathy (черный) {Black}</t>
  </si>
  <si>
    <t>B1523H Kathy</t>
  </si>
  <si>
    <t>45% акрил - 30% полиэстер - 15% бумага - 5% нейлон - 5% шерсть</t>
  </si>
  <si>
    <t>31-108-07-00</t>
  </si>
  <si>
    <t>Шляпа BETMAR арт. B1479H Evans (темно-зеленый) {jade}</t>
  </si>
  <si>
    <t>B1479H Evans</t>
  </si>
  <si>
    <t>60% акрил - 22% полиэстер - 18% шерсть</t>
  </si>
  <si>
    <t>31-109-03-00</t>
  </si>
  <si>
    <t>Шляпа BETMAR арт. B1485H Janis (оливковый) {Olive}</t>
  </si>
  <si>
    <t>31-110-08-00</t>
  </si>
  <si>
    <t>Шляпа BETMAR арт. B1509H Scarlett (серый) {Grey}</t>
  </si>
  <si>
    <t>B1509H Scarlett</t>
  </si>
  <si>
    <t>31-028-14-00</t>
  </si>
  <si>
    <t>Шляпа BETMAR арт. B1337H MADRI (коричневый) {walnut}</t>
  </si>
  <si>
    <t>31-008-02-00</t>
  </si>
  <si>
    <t>Шляпа BETMAR арт. B1249H DARCY (бежевый) {putty}</t>
  </si>
  <si>
    <t>31-023-14-00</t>
  </si>
  <si>
    <t>Кепка BETMAR арт. B1310H MELANIA (коричневый) {rust}</t>
  </si>
  <si>
    <t>31-002-08-00</t>
  </si>
  <si>
    <t>Кепка BETMAR арт. B011H ADELE (серый) {grey}</t>
  </si>
  <si>
    <t>31-034-02-00</t>
  </si>
  <si>
    <t>Берет BETMAR арт. B515 FLOWER BERET (бежевый) {mink}</t>
  </si>
  <si>
    <t>31-034-18-00</t>
  </si>
  <si>
    <t>Берет BETMAR арт. B515 FLOWER BERET (красный) {red}</t>
  </si>
  <si>
    <t>31-036-02-00</t>
  </si>
  <si>
    <t>Кепка BETMAR арт. B523 Ridge Flower Cap (бежевый) {camel}</t>
  </si>
  <si>
    <t>31-036-11-00</t>
  </si>
  <si>
    <t>Кепка BETMAR арт. B523 Ridge Flower Cap (зеленый) {green}</t>
  </si>
  <si>
    <t>31-036-18-00</t>
  </si>
  <si>
    <t>Кепка BETMAR арт. B523 Ridge Flower Cap (красный) {true red}</t>
  </si>
  <si>
    <t>31-121-09-00</t>
  </si>
  <si>
    <t>Кепка BETMAR арт. B1652H CAMERON (черный) {black}</t>
  </si>
  <si>
    <t>31-139-09-00</t>
  </si>
  <si>
    <t>Кепка BETMAR арт. B1665H STEPHANIE (черный) {black}</t>
  </si>
  <si>
    <t>31-123-12-00</t>
  </si>
  <si>
    <t>Кепка BETMAR арт. B1666H MULHOUSE (бордовый) {bordeaux}</t>
  </si>
  <si>
    <t>31-038-12-00</t>
  </si>
  <si>
    <t>Кепка BETMAR арт. B562 BOY MEETS GIRL (фиолетовый) {bordeaux}</t>
  </si>
  <si>
    <t>31-035-02-00</t>
  </si>
  <si>
    <t>Кепка BETMAR арт. B521 RHINESTONE CAP (бежевый) {camel}</t>
  </si>
  <si>
    <t>31-035-08-00</t>
  </si>
  <si>
    <t>Кепка BETMAR арт. B521 RHINESTONE CAP (серый) {grey}</t>
  </si>
  <si>
    <t>31-001-01-00</t>
  </si>
  <si>
    <t>Кепка BETMAR арт. B008H LYDIA (светло-серый) {heather grey}</t>
  </si>
  <si>
    <t>31-001-03-00</t>
  </si>
  <si>
    <t>Кепка BETMAR арт. B008H LYDIA (оливковый) {olive}</t>
  </si>
  <si>
    <t>31-014-18-00</t>
  </si>
  <si>
    <t>Кепка BETMAR арт. B1284H LYNN (красный) {true red}</t>
  </si>
  <si>
    <t>31-092-09-00</t>
  </si>
  <si>
    <t>Кепка BETMAR арт. B1496H Maureen (черный) {black}</t>
  </si>
  <si>
    <t>31-092-02-00</t>
  </si>
  <si>
    <t>Кепка BETMAR арт. B1496H Maureen (бежевый) {camel}</t>
  </si>
  <si>
    <t>31-142-09-00</t>
  </si>
  <si>
    <t>Шляпа BETMAR арт. B1488H CHRISTINA (черный) {black}</t>
  </si>
  <si>
    <t>31-143-34-56</t>
  </si>
  <si>
    <t>Шляпа BETMAR арт. B1675H MARY (розовый) {blush}</t>
  </si>
  <si>
    <t>B1675H MARY</t>
  </si>
  <si>
    <t>31-037-02-00</t>
  </si>
  <si>
    <t>Шляпа BETMAR арт. B545H ALEXANDRITE (розовый) {blush}</t>
  </si>
  <si>
    <t>31-142-12-00</t>
  </si>
  <si>
    <t>Шляпа BETMAR арт. B1488H CHRISTINA (бордовый) {cranberry}</t>
  </si>
  <si>
    <t>31-142-18-00</t>
  </si>
  <si>
    <t>Шляпа BETMAR арт. B1488H CHRISTINA (красный) {red}</t>
  </si>
  <si>
    <t>31-143-18-56</t>
  </si>
  <si>
    <t>Шляпа BETMAR арт. B1675H MARY (красный) {scarlet}</t>
  </si>
  <si>
    <t>31-143-18-58</t>
  </si>
  <si>
    <t>31-145-09-56</t>
  </si>
  <si>
    <t>Шляпа BETMAR арт. B1677H HANNAH (черный) {black}</t>
  </si>
  <si>
    <t>31-145-09-58</t>
  </si>
  <si>
    <t>31-145-02-56</t>
  </si>
  <si>
    <t>Шляпа BETMAR арт. B1677H HANNAH (бежевый) {camel}</t>
  </si>
  <si>
    <t>31-145-02-58</t>
  </si>
  <si>
    <t>31-145-03-56</t>
  </si>
  <si>
    <t>Шляпа BETMAR арт. B1677H HANNAH (оливковый) {olive}</t>
  </si>
  <si>
    <t>31-145-03-58</t>
  </si>
  <si>
    <t>31-146-09-00</t>
  </si>
  <si>
    <t>Шляпа BETMAR арт. B1643H RAVEN (черный) {black}</t>
  </si>
  <si>
    <t>31-124-12-56</t>
  </si>
  <si>
    <t>Шляпа BETMAR арт. B1671H TESSA (бордовый) {burgundy}</t>
  </si>
  <si>
    <t>31-124-12-58</t>
  </si>
  <si>
    <t>31-125-12-56</t>
  </si>
  <si>
    <t>Шляпа BETMAR арт. B1674H COLLEEN (бордовый) {chestnut roast}</t>
  </si>
  <si>
    <t>chestnut roast</t>
  </si>
  <si>
    <t>31-125-12-58</t>
  </si>
  <si>
    <t>31-116-12-56</t>
  </si>
  <si>
    <t>Шляпа BETMAR арт. B1524H IZETTE II (сиреневый) {cranberry}</t>
  </si>
  <si>
    <t>31-116-12-58</t>
  </si>
  <si>
    <t>31-116-16-56</t>
  </si>
  <si>
    <t>Шляпа BETMAR арт. B1524H IZETTE II (темно-синий) {navy}</t>
  </si>
  <si>
    <t>31-116-16-58</t>
  </si>
  <si>
    <t>31-064-86-00</t>
  </si>
  <si>
    <t>Шляпа BETMAR арт. B1134H RAMONA (светло-розовый) {bubblegum}</t>
  </si>
  <si>
    <t>bubblegum</t>
  </si>
  <si>
    <t>31-056-17-00</t>
  </si>
  <si>
    <t>Козырек BETMAR арт. B124 Dunewood Visor (бежевый / белый) {natural.white}</t>
  </si>
  <si>
    <t>31-078-34-00</t>
  </si>
  <si>
    <t>Шляпа BETMAR арт. B1431H DEMETRIA (бежевый / розовый) {natural.bubblegum}</t>
  </si>
  <si>
    <t>natural.bubblegum</t>
  </si>
  <si>
    <t>31-080-22-00</t>
  </si>
  <si>
    <t>Шляпа BETMAR арт. B1440H Perla (белый / голубой) {white.ltblue}</t>
  </si>
  <si>
    <t>white.ltblue</t>
  </si>
  <si>
    <t>31-081-19-00</t>
  </si>
  <si>
    <t>Шляпа BETMAR арт. B1449H JOANNE (голубой) {lt.blue}</t>
  </si>
  <si>
    <t>31-147-17-00</t>
  </si>
  <si>
    <t>Шляпа BETMAR арт. B1551H Alexia (белый) {white}</t>
  </si>
  <si>
    <t>B1551H Alexia</t>
  </si>
  <si>
    <t>31-137-17-00</t>
  </si>
  <si>
    <t>Шляпа BETMAR арт. B1555H TIA (белый) {white}</t>
  </si>
  <si>
    <t>31-128-17-00</t>
  </si>
  <si>
    <t>Шляпа BETMAR арт. B1557H LORA (белый / розовый) {white.blush}</t>
  </si>
  <si>
    <t>white.blush</t>
  </si>
  <si>
    <t>31-148-19-00</t>
  </si>
  <si>
    <t>Шляпа BETMAR арт. B1582H Suellen (голубой) {seafoam}</t>
  </si>
  <si>
    <t>B1582H Suellen</t>
  </si>
  <si>
    <t>seafoam</t>
  </si>
  <si>
    <t>31-132-19-56</t>
  </si>
  <si>
    <t>Шляпа BETMAR арт. B1609H LAURA II (белый / голубой) {ivory.blue}</t>
  </si>
  <si>
    <t>ivory.blue</t>
  </si>
  <si>
    <t>31-132-19-00</t>
  </si>
  <si>
    <t>31-083-32-00</t>
  </si>
  <si>
    <t>Шляпа BETMAR арт. B166 CLASSIC ROLL UP (светло-розовый) {lt.pink}</t>
  </si>
  <si>
    <t>31-149-53-00</t>
  </si>
  <si>
    <t>Шляпа BETMAR арт. B1700H SIERRA (бежевый / черный) {natural.black}</t>
  </si>
  <si>
    <t>31-150-17-00</t>
  </si>
  <si>
    <t>Шляпа BETMAR арт. B1701H SELENA (белый) {white}</t>
  </si>
  <si>
    <t>31-151-00-00</t>
  </si>
  <si>
    <t>Шляпа BETMAR арт. B1702H KATE (бежевый / белый) {white.natural}</t>
  </si>
  <si>
    <t>31-152-00-00</t>
  </si>
  <si>
    <t>Шляпа BETMAR арт. B1703H PORTO (бежевый / белый) {white.natural}</t>
  </si>
  <si>
    <t>31-153-48-00</t>
  </si>
  <si>
    <t>Шляпа BETMAR арт. B1705H MONACO (белый / черный) {ivory.black}</t>
  </si>
  <si>
    <t>B1705H MONACO</t>
  </si>
  <si>
    <t>31-154-38-58</t>
  </si>
  <si>
    <t>Шляпа BETMAR арт. B1706H ESTHER (белый / синий) {ivory.navy}</t>
  </si>
  <si>
    <t>ivory.navy</t>
  </si>
  <si>
    <t>31-154-38-56</t>
  </si>
  <si>
    <t>31-155-09-00</t>
  </si>
  <si>
    <t>Кепка BETMAR арт. B1708H FISHERMAN CAP (черный) {black}</t>
  </si>
  <si>
    <t>31-156-17-00</t>
  </si>
  <si>
    <t>Кепка BETMAR арт. B1709H Rhinestop Cap II (белый) {white}</t>
  </si>
  <si>
    <t>B1709H Rhinestop Cap II</t>
  </si>
  <si>
    <t>31-157-16-00</t>
  </si>
  <si>
    <t>Панама BETMAR арт. B1710H GIGI (темно-синий) {navy}</t>
  </si>
  <si>
    <t>31-158-32-00</t>
  </si>
  <si>
    <t>Козырек BETMAR арт. B1711H Cannes (бежевый / голубой) {natural.floral}</t>
  </si>
  <si>
    <t>B1711H Cannes</t>
  </si>
  <si>
    <t>natural.floral</t>
  </si>
  <si>
    <t>31-159-38-00</t>
  </si>
  <si>
    <t>Панама BETMAR арт. B1712H Adeline (белый / синий) {white.navy}</t>
  </si>
  <si>
    <t>B1712H Adeline</t>
  </si>
  <si>
    <t>31-160-00-00</t>
  </si>
  <si>
    <t>Панама BETMAR арт. B1713H FELICITY (белый / красный) {floral}</t>
  </si>
  <si>
    <t>B1713H FELICITY</t>
  </si>
  <si>
    <t>floral</t>
  </si>
  <si>
    <t>31-161-00-00</t>
  </si>
  <si>
    <t>Панама BETMAR арт. B1714H Ava (белый / красный) {white.red}</t>
  </si>
  <si>
    <t>B1714H Ava</t>
  </si>
  <si>
    <t>31-162-53-00</t>
  </si>
  <si>
    <t>Шляпа BETMAR арт. B1717H Bridgitte (бежевый / черный) {natural.black}</t>
  </si>
  <si>
    <t>B1717H Bridgitte</t>
  </si>
  <si>
    <t>31-163-00-00</t>
  </si>
  <si>
    <t>Шляпа BETMAR арт. B1718H CORSICA (бежевый / белый) {natural.white}</t>
  </si>
  <si>
    <t>31-164-19-00</t>
  </si>
  <si>
    <t>Шляпа BETMAR арт. B1719H Marilyn (голубой / белый) {lt.blue.white}</t>
  </si>
  <si>
    <t>B1719H Marilyn</t>
  </si>
  <si>
    <t>lt.blue.white</t>
  </si>
  <si>
    <t>31-165-09-00</t>
  </si>
  <si>
    <t>Обруч BETMAR арт. B1727H Josephina (черный) {black}</t>
  </si>
  <si>
    <t>B1727H Josephina</t>
  </si>
  <si>
    <t>31-166-02-00</t>
  </si>
  <si>
    <t>Обруч BETMAR арт. B1728H Antoinette (бежевый) {nude.glitter}</t>
  </si>
  <si>
    <t>B1728H Antoinette</t>
  </si>
  <si>
    <t>nude.glitter</t>
  </si>
  <si>
    <t>31-167-34-00</t>
  </si>
  <si>
    <t>Шляпа BETMAR арт. B1729H Mavis (розовый) {blush}</t>
  </si>
  <si>
    <t>B1729H Mavis</t>
  </si>
  <si>
    <t>31-168-02-00</t>
  </si>
  <si>
    <t>Шляпа BETMAR арт. B1731H Edna (бежевый) {cream}</t>
  </si>
  <si>
    <t>B1731H Edna</t>
  </si>
  <si>
    <t>cream</t>
  </si>
  <si>
    <t>31-169-09-00</t>
  </si>
  <si>
    <t>Шляпа BETMAR арт. B1732H Vivienne (черный) {black}</t>
  </si>
  <si>
    <t>B1732H Vivienne</t>
  </si>
  <si>
    <t>31-170-00-00</t>
  </si>
  <si>
    <t>Козырек BETMAR арт. B1734H Lace Visor (бежевый / белый) {white.natural}</t>
  </si>
  <si>
    <t>B1734H Lace Visor</t>
  </si>
  <si>
    <t>31-171-53-00</t>
  </si>
  <si>
    <t>Шляпа BETMAR арт. B1735H AUDREY (бежевый / черный) {natural.black}</t>
  </si>
  <si>
    <t>31-172-00-00</t>
  </si>
  <si>
    <t>Шляпа BETMAR арт. B1736H MALLORY (бежевый / розовый) {natural.coral}</t>
  </si>
  <si>
    <t>31-173-59-58</t>
  </si>
  <si>
    <t>Шляпа BETMAR арт. B1755H JILL (белый / розовый) {ivory.pink}</t>
  </si>
  <si>
    <t>B1755H JILL</t>
  </si>
  <si>
    <t>31-084-22-00</t>
  </si>
  <si>
    <t>Шляпа BETMAR арт. B176 GOSSAMER (светло-синий) {lt.blue}</t>
  </si>
  <si>
    <t>31-087-34-00</t>
  </si>
  <si>
    <t>Шляпа BETMAR арт. B3261 COCONUT RING SAFARI (розовый) {light pink}</t>
  </si>
  <si>
    <t>light pink</t>
  </si>
  <si>
    <t>31-090-19-00</t>
  </si>
  <si>
    <t>Панама BETMAR арт. B962 KNOTTED CLOCHE (голубой) {lt.blue}</t>
  </si>
  <si>
    <t>31-176-09-00</t>
  </si>
  <si>
    <t>Шляпа BETMAR арт. B1758 WHARTON (черный) {black}</t>
  </si>
  <si>
    <t>31-176-11-00</t>
  </si>
  <si>
    <t>Шляпа BETMAR арт. B1758 WHARTON (зеленый) {emerald}</t>
  </si>
  <si>
    <t>31-176-12-00</t>
  </si>
  <si>
    <t>Шляпа BETMAR арт. B1758 WHARTON (фиолетовый) {cranberry}</t>
  </si>
  <si>
    <t>31-177-09-56</t>
  </si>
  <si>
    <t>Шляпа BETMAR арт. B1782H BYRNE (черный) {black}</t>
  </si>
  <si>
    <t>31-177-09-58</t>
  </si>
  <si>
    <t>31-177-12-56</t>
  </si>
  <si>
    <t>Шляпа BETMAR арт. B1782H BYRNE (бордовый) {cranberry}</t>
  </si>
  <si>
    <t>31-178-41-00</t>
  </si>
  <si>
    <t>Шляпа BETMAR арт. B1799H MULLINS (фиолетовый) {plum}</t>
  </si>
  <si>
    <t>31-178-09-00</t>
  </si>
  <si>
    <t>Шляпа BETMAR арт. B1799H MULLINS (черный) {black}</t>
  </si>
  <si>
    <t>31-120-87-00</t>
  </si>
  <si>
    <t>Шляпа BETMAR арт. B1646H HAYDEN (кирпичный) {spice}</t>
  </si>
  <si>
    <t>31-179-09-56</t>
  </si>
  <si>
    <t>Шляпа BETMAR арт. B1780H ELEANORE (черный) {black}</t>
  </si>
  <si>
    <t>B1780H ELEANORE</t>
  </si>
  <si>
    <t>31-179-09-58</t>
  </si>
  <si>
    <t>31-180-08-58</t>
  </si>
  <si>
    <t>Шляпа BETMAR арт. B1781H ALDRIDGE (серый) {slate}</t>
  </si>
  <si>
    <t>31-180-09-56</t>
  </si>
  <si>
    <t>Шляпа BETMAR арт. B1781H ALDRIDGE (черный) {black}</t>
  </si>
  <si>
    <t>31-180-09-58</t>
  </si>
  <si>
    <t>31-181-03-56</t>
  </si>
  <si>
    <t>Шляпа BETMAR арт. B1806H DICKINSON (оливковый / розовый) {olive/rose}</t>
  </si>
  <si>
    <t>olive/rose</t>
  </si>
  <si>
    <t>31-181-03-58</t>
  </si>
  <si>
    <t>31-182-08-00</t>
  </si>
  <si>
    <t>Шляпа BETMAR арт. B1765H WALDEN (серый) {slate}</t>
  </si>
  <si>
    <t>31-182-34-00</t>
  </si>
  <si>
    <t>Шляпа BETMAR арт. B1765H WALDEN (розовый) {Rose}</t>
  </si>
  <si>
    <t>31-008-01-00</t>
  </si>
  <si>
    <t>Шляпа BETMAR арт. B1249H DARCY (светло-серый) {blue smoke}</t>
  </si>
  <si>
    <t>31-183-09-58</t>
  </si>
  <si>
    <t>Шляпа BETMAR арт. B1795H SAWYER (черный) {black}</t>
  </si>
  <si>
    <t>31-183-09-00</t>
  </si>
  <si>
    <t>31-183-14-58</t>
  </si>
  <si>
    <t>Шляпа BETMAR арт. B1795H SAWYER (коричневый) {mahagony}</t>
  </si>
  <si>
    <t>mahagony</t>
  </si>
  <si>
    <t>31-183-14-56</t>
  </si>
  <si>
    <t>31-183-34-58</t>
  </si>
  <si>
    <t>Шляпа BETMAR арт. B1795H SAWYER (розовый) {rose}</t>
  </si>
  <si>
    <t>31-183-34-00</t>
  </si>
  <si>
    <t>31-184-08-57</t>
  </si>
  <si>
    <t>Шляпа BETMAR арт. B1779H PIPPA (серый) {heater grey}</t>
  </si>
  <si>
    <t>heater grey</t>
  </si>
  <si>
    <t>31-185-18-58</t>
  </si>
  <si>
    <t>Шляпа BETMAR арт. B1798H CASSAT (красный) {cardinal}</t>
  </si>
  <si>
    <t>cardinal</t>
  </si>
  <si>
    <t>31-185-18-56</t>
  </si>
  <si>
    <t>31-186-08-00</t>
  </si>
  <si>
    <t>Шляпа BETMAR арт. B1759H ALCOTT (серый) {slate}</t>
  </si>
  <si>
    <t>B1759H ALCOTT</t>
  </si>
  <si>
    <t>31-142-08-00</t>
  </si>
  <si>
    <t>Шляпа BETMAR арт. B1488H CHRISTINA (серый) {slate}</t>
  </si>
  <si>
    <t>31-187-09-00</t>
  </si>
  <si>
    <t>Шляпа BETMAR арт. B1796H DIXIE (черный) {black}</t>
  </si>
  <si>
    <t>31-119-11-00</t>
  </si>
  <si>
    <t>Шляпа BETMAR арт. B1639H EMMA (зеленый) {emerald}</t>
  </si>
  <si>
    <t>31-188-17-00</t>
  </si>
  <si>
    <t>Кепка BETMAR арт. B1794H CRYSTAL CAP (белый) {winter white}</t>
  </si>
  <si>
    <t>31-188-09-00</t>
  </si>
  <si>
    <t>Кепка BETMAR арт. B1794H CRYSTAL CAP (черный) {black}</t>
  </si>
  <si>
    <t>31-175-02-00</t>
  </si>
  <si>
    <t>Кепка BETMAR арт. B1670H LUCERNE (бежевый) {camel}</t>
  </si>
  <si>
    <t>31-189-09-00</t>
  </si>
  <si>
    <t>Кепка BETMAR арт. B1787H KITSEY (черный) {black multi}</t>
  </si>
  <si>
    <t>B1787H KITSEY</t>
  </si>
  <si>
    <t>31-189-09-57</t>
  </si>
  <si>
    <t>31-038-01-00</t>
  </si>
  <si>
    <t>Кепка BETMAR арт. B562 BOY MEETS GIRL (светло-серый) {blue smoke}</t>
  </si>
  <si>
    <t>31-002-10-00</t>
  </si>
  <si>
    <t>Кепка BETMAR арт. B011H ADELE (черный / серый) {polka dots}</t>
  </si>
  <si>
    <t>20% шерсть - 80% полиэстер</t>
  </si>
  <si>
    <t>31-123-48-00</t>
  </si>
  <si>
    <t>Кепка BETMAR арт. B1666H MULHOUSE (черный / белый) {black plaid}</t>
  </si>
  <si>
    <t>90% вискоза - 10% лен</t>
  </si>
  <si>
    <t>31-001-41-00</t>
  </si>
  <si>
    <t>Кепка BETMAR арт. B008H LYDIA (фиолетовый) {plum}</t>
  </si>
  <si>
    <t>31-061-73-00</t>
  </si>
  <si>
    <t>Шляпа BETMAR арт. B1096H TRICIA (бежевый / коричневый) {natural}</t>
  </si>
  <si>
    <t>31-048-09-00</t>
  </si>
  <si>
    <t>Кепка BETMAR арт. B1117H Zoi (черный) {Black}</t>
  </si>
  <si>
    <t>31-048-17-00</t>
  </si>
  <si>
    <t>Кепка BETMAR арт. B1117H Zoi (белый) {White}</t>
  </si>
  <si>
    <t>31-062-53-00</t>
  </si>
  <si>
    <t>Шляпа BETMAR арт. B1122H Gemma (черный / бежевый) {Black}</t>
  </si>
  <si>
    <t>31-064-02-00</t>
  </si>
  <si>
    <t>Шляпа BETMAR арт. B1134H RAMONA (бежевый) {natural}</t>
  </si>
  <si>
    <t>31-064-19-00</t>
  </si>
  <si>
    <t>Шляпа BETMAR арт. B1134H RAMONA (голубой) {Seagreen}</t>
  </si>
  <si>
    <t>Seagreen</t>
  </si>
  <si>
    <t>31-064-13-00</t>
  </si>
  <si>
    <t>Шляпа BETMAR арт. B1134H RAMONA (оранжевый) {tangerine}</t>
  </si>
  <si>
    <t>31-055-09-00</t>
  </si>
  <si>
    <t>Козырек BETMAR арт. B1143H Mila (черный) {Black}</t>
  </si>
  <si>
    <t>31-111-34-00</t>
  </si>
  <si>
    <t>Шляпа BETMAR арт. B1157H APRIL (розовый / бежевый) {Apricot}</t>
  </si>
  <si>
    <t>B1157H APRIL</t>
  </si>
  <si>
    <t>50% бумага - 50% хлопок</t>
  </si>
  <si>
    <t>Apricot</t>
  </si>
  <si>
    <t>31-111-48-00</t>
  </si>
  <si>
    <t>Шляпа BETMAR арт. B1157H APRIL (черный / бежевый) {Black}</t>
  </si>
  <si>
    <t>31-056-99-00</t>
  </si>
  <si>
    <t>Козырек BETMAR арт. B124 Dunewood Visor (бежевый) {natural}</t>
  </si>
  <si>
    <t>31-056-53-00</t>
  </si>
  <si>
    <t>Козырек BETMAR арт. B124 Dunewood Visor (бежевый / черный) {natural.black}</t>
  </si>
  <si>
    <t>31-056-32-00</t>
  </si>
  <si>
    <t>Козырек BETMAR арт. B124 Dunewood Visor (бежевый / синий) {cobalt}</t>
  </si>
  <si>
    <t>31-069-53-00</t>
  </si>
  <si>
    <t>Шляпа BETMAR арт. B1395H Bjorn (бежевый / черный) {Black}</t>
  </si>
  <si>
    <t>31-070-02-00</t>
  </si>
  <si>
    <t>Шляпа BETMAR арт. B1399H Peyton (бежевый) {natural}</t>
  </si>
  <si>
    <t>31-071-17-00</t>
  </si>
  <si>
    <t>Шляпа BETMAR арт. B1401H Alysia (белый) {White}</t>
  </si>
  <si>
    <t>31-074-16-00</t>
  </si>
  <si>
    <t>Шляпа BETMAR арт. B1404H Drew (темно-синий) {navy}</t>
  </si>
  <si>
    <t>31-049-09-00</t>
  </si>
  <si>
    <t>Кепка BETMAR арт. B1409H Sue (черный) {Black}</t>
  </si>
  <si>
    <t>31-078-49-00</t>
  </si>
  <si>
    <t>Шляпа BETMAR арт. B1431H DEMETRIA (белый / бежевый) {natural}</t>
  </si>
  <si>
    <t>31-080-32-00</t>
  </si>
  <si>
    <t>Шляпа BETMAR арт. B1440H Perla (синий / бежевый) {navy}</t>
  </si>
  <si>
    <t>31-080-49-00</t>
  </si>
  <si>
    <t>Шляпа BETMAR арт. B1440H Perla (белый / бежевый) {White}</t>
  </si>
  <si>
    <t>31-081-01-00</t>
  </si>
  <si>
    <t>Шляпа BETMAR арт. B1449H JOANNE (серый) {lt.grey}</t>
  </si>
  <si>
    <t>lt.grey</t>
  </si>
  <si>
    <t>31-081-99-00</t>
  </si>
  <si>
    <t>Шляпа BETMAR арт. B1449H JOANNE (бежевый) {natural}</t>
  </si>
  <si>
    <t>31-112-17-00</t>
  </si>
  <si>
    <t>Шляпа BETMAR арт. B1455H AURORA (белый / бежевый) {natural}</t>
  </si>
  <si>
    <t>B1455H AURORA</t>
  </si>
  <si>
    <t>31-112-59-00</t>
  </si>
  <si>
    <t>Шляпа BETMAR арт. B1455H AURORA (белый / розовый) {Pale Peach}</t>
  </si>
  <si>
    <t>Pale Peach</t>
  </si>
  <si>
    <t>31-113-48-00</t>
  </si>
  <si>
    <t>Шляпа BETMAR арт. B1456H MILEY (белый / черный) {Black}</t>
  </si>
  <si>
    <t>B1456H MILEY</t>
  </si>
  <si>
    <t>31-113-17-00</t>
  </si>
  <si>
    <t>Шляпа BETMAR арт. B1456H MILEY (белый / бежевый) {natural}</t>
  </si>
  <si>
    <t>31-083-36-00</t>
  </si>
  <si>
    <t>Шляпа BETMAR арт. B166 CLASSIC ROLL UP (кремовый) {ecru}</t>
  </si>
  <si>
    <t>31-083-02-00</t>
  </si>
  <si>
    <t>Шляпа BETMAR арт. B166 CLASSIC ROLL UP (бежевый) {natural}</t>
  </si>
  <si>
    <t>31-083-17-00</t>
  </si>
  <si>
    <t>Шляпа BETMAR арт. B166 CLASSIC ROLL UP (белый) {white}</t>
  </si>
  <si>
    <t>31-084-34-00</t>
  </si>
  <si>
    <t>Шляпа BETMAR арт. B176 GOSSAMER (розовый) {azalea}</t>
  </si>
  <si>
    <t>azalea</t>
  </si>
  <si>
    <t>31-084-48-00</t>
  </si>
  <si>
    <t>Шляпа BETMAR арт. B176 GOSSAMER (черный) {black}</t>
  </si>
  <si>
    <t>31-084-19-00</t>
  </si>
  <si>
    <t>Шляпа BETMAR арт. B176 GOSSAMER (голубой) {cobalt}</t>
  </si>
  <si>
    <t>31-084-36-00</t>
  </si>
  <si>
    <t>Шляпа BETMAR арт. B176 GOSSAMER (кремовый) {ecru}</t>
  </si>
  <si>
    <t>31-084-13-00</t>
  </si>
  <si>
    <t>Шляпа BETMAR арт. B176 GOSSAMER (оранжевый) {tangerine}</t>
  </si>
  <si>
    <t>31-084-18-00</t>
  </si>
  <si>
    <t>Шляпа BETMAR арт. B176 GOSSAMER (красный) {red}</t>
  </si>
  <si>
    <t>31-085-18-00</t>
  </si>
  <si>
    <t>Шляпа BETMAR арт. B213 CLASSIC SUNSHADE (красный) {coral}</t>
  </si>
  <si>
    <t>31-085-02-00</t>
  </si>
  <si>
    <t>Шляпа BETMAR арт. B213 Classic Sunshade (бежевый) {natural}</t>
  </si>
  <si>
    <t>31-085-17-00</t>
  </si>
  <si>
    <t>Шляпа BETMAR арт. B213 CLASSIC SUNSHADE (белый) {white}</t>
  </si>
  <si>
    <t>31-087-09-00</t>
  </si>
  <si>
    <t>Шляпа BETMAR арт. B3261 COCONUT RING SAFARI (черный) {black}</t>
  </si>
  <si>
    <t>31-087-17-00</t>
  </si>
  <si>
    <t>Шляпа BETMAR арт. B3261 COCONUT RING SAFARI (белый) {white}</t>
  </si>
  <si>
    <t>31-051-09-00</t>
  </si>
  <si>
    <t>Кепка BETMAR арт. B702H Aimee (черный) {Black}</t>
  </si>
  <si>
    <t>31-051-02-00</t>
  </si>
  <si>
    <t>Кепка BETMAR арт. B702H Aimee (бежевый) {natural}</t>
  </si>
  <si>
    <t>31-051-17-00</t>
  </si>
  <si>
    <t>Кепка BETMAR арт. B702H Aimee (белый) {White}</t>
  </si>
  <si>
    <t>31-052-19-00</t>
  </si>
  <si>
    <t>Кепка BETMAR арт. B777H Denise (голубой) {Chambray}</t>
  </si>
  <si>
    <t>31-114-48-00</t>
  </si>
  <si>
    <t>Шляпа BETMAR арт. B853H LAURA (белый / черный) {Black}</t>
  </si>
  <si>
    <t>B853H LAURA</t>
  </si>
  <si>
    <t>31-114-25-00</t>
  </si>
  <si>
    <t>Шляпа BETMAR арт. B853H LAURA (белый / бежевый) {natural}</t>
  </si>
  <si>
    <t>31-114-46-00</t>
  </si>
  <si>
    <t>Шляпа BETMAR арт. B853H LAURA (белый / голубой) {Blue}</t>
  </si>
  <si>
    <t>31-114-59-00</t>
  </si>
  <si>
    <t>Шляпа BETMAR арт. B853H LAURA (белый / розовый) {Peach}</t>
  </si>
  <si>
    <t>peach</t>
  </si>
  <si>
    <t>31-089-19-00</t>
  </si>
  <si>
    <t>Шляпа BETMAR арт. B880H Donna (голубой) {teal}</t>
  </si>
  <si>
    <t>31-089-50-00</t>
  </si>
  <si>
    <t>Шляпа BETMAR арт. B880H Donna (белый / бежевый) {White}</t>
  </si>
  <si>
    <t>31-090-16-00</t>
  </si>
  <si>
    <t>Панама BETMAR арт. B962 KNOTTED CLOCHE (темно-синий) {navy}</t>
  </si>
  <si>
    <t>31-090-41-00</t>
  </si>
  <si>
    <t>Панама BETMAR арт. B962 KNOTTED CLOCHE (фиолетовый) {rouge}</t>
  </si>
  <si>
    <t>31-090-02-00</t>
  </si>
  <si>
    <t>Панама BETMAR арт. B962 KNOTTED CLOCHE (бежевый) {sand}</t>
  </si>
  <si>
    <t>31-053-09-00</t>
  </si>
  <si>
    <t>Кепка BETMAR арт. B964 FACE FRAMER (черный) {black}</t>
  </si>
  <si>
    <t>31-053-18-00</t>
  </si>
  <si>
    <t>Кепка BETMAR арт. B964 FACE FRAMER (красный) {poppy}</t>
  </si>
  <si>
    <t>31-053-41-00</t>
  </si>
  <si>
    <t>Кепка BETMAR арт. B964 FACE FRAMER (фиолетовый) {rouge}</t>
  </si>
  <si>
    <t>31-053-02-00</t>
  </si>
  <si>
    <t>Кепка BETMAR арт. B964 FACE FRAMER (бежевый) {sand}</t>
  </si>
  <si>
    <t>31-053-17-00</t>
  </si>
  <si>
    <t>Кепка BETMAR арт. B964 FACE FRAMER (белый) {white}</t>
  </si>
  <si>
    <t>31-054-09-00</t>
  </si>
  <si>
    <t>Кепка BETMAR арт. B986 Blake Cap (черный) {Black}</t>
  </si>
  <si>
    <t>31-054-02-00</t>
  </si>
  <si>
    <t>Кепка BETMAR арт. B986 Blake Cap (бежевый) {natural}</t>
  </si>
  <si>
    <t>31-054-18-00</t>
  </si>
  <si>
    <t>Кепка BETMAR арт. B986 Blake Cap (красный) {Poppy}</t>
  </si>
  <si>
    <t>31-054-17-00</t>
  </si>
  <si>
    <t>Кепка BETMAR арт. B986 Blake Cap (белый) {White}</t>
  </si>
  <si>
    <t>31-138-09-00</t>
  </si>
  <si>
    <t>Кепка BETMAR арт. B1251H DLYN (черный) {black}</t>
  </si>
  <si>
    <t>B1251H DLYN</t>
  </si>
  <si>
    <t>31-064-03-00</t>
  </si>
  <si>
    <t>Шляпа BETMAR арт. B1134H RAMONA (светло-зеленый) {mint}</t>
  </si>
  <si>
    <t>31-064-06-00</t>
  </si>
  <si>
    <t>Шляпа BETMAR арт. B1134H RAMONA (синий) {navy}</t>
  </si>
  <si>
    <t>31-078-09-00</t>
  </si>
  <si>
    <t>Шляпа BETMAR арт. B1431H DEMETRIA (белый / черный) {white.black}</t>
  </si>
  <si>
    <t>31-128-02-57</t>
  </si>
  <si>
    <t>Шляпа BETMAR арт. B1557H LORA (бежевый / розовый) {natural.pink}</t>
  </si>
  <si>
    <t>natural.pink</t>
  </si>
  <si>
    <t>31-128-95-00</t>
  </si>
  <si>
    <t>Шляпа BETMAR арт. B1557H LORA (синий / бежевый) {navy.natural}</t>
  </si>
  <si>
    <t>31-128-95-57</t>
  </si>
  <si>
    <t>31-129-32-57</t>
  </si>
  <si>
    <t>Шляпа BETMAR арт. B1564H JOY (бежевый / синий) {natural/blue}</t>
  </si>
  <si>
    <t>B1564H JOY</t>
  </si>
  <si>
    <t>50% бумага - 50% солома</t>
  </si>
  <si>
    <t>natural/blue</t>
  </si>
  <si>
    <t>31-129-02-57</t>
  </si>
  <si>
    <t>Шляпа BETMAR арт. B1564H JOY (бежевый / розовый) {natural/pink}</t>
  </si>
  <si>
    <t>31-130-09-00</t>
  </si>
  <si>
    <t>Обруч BETMAR арт. B1604H MAREE (черный) {black}</t>
  </si>
  <si>
    <t>B1604H MAREE</t>
  </si>
  <si>
    <t>31-130-17-00</t>
  </si>
  <si>
    <t>Обруч BETMAR арт. B1604H MAREE (белый) {White}</t>
  </si>
  <si>
    <t>31-131-09-00</t>
  </si>
  <si>
    <t>Обруч BETMAR арт. B1605H CARI (черный) {black}</t>
  </si>
  <si>
    <t>B1605H CARI</t>
  </si>
  <si>
    <t>31-131-17-00</t>
  </si>
  <si>
    <t>Обруч BETMAR арт. B1605H CARI (белый) {White}</t>
  </si>
  <si>
    <t>31-132-59-56</t>
  </si>
  <si>
    <t>Шляпа BETMAR арт. B1609H LAURA II (белый / оранжевый) {ivory.coral}</t>
  </si>
  <si>
    <t>ivory.coral</t>
  </si>
  <si>
    <t>31-132-59-58</t>
  </si>
  <si>
    <t>31-132-38-56</t>
  </si>
  <si>
    <t>Шляпа BETMAR арт. B1609H LAURA II (белый / синий) {ivory.navy}</t>
  </si>
  <si>
    <t>31-132-38-58</t>
  </si>
  <si>
    <t>31-083-13-00</t>
  </si>
  <si>
    <t>Шляпа BETMAR арт. B166 CLASSIC ROLL UP (желтый) {buttercup}</t>
  </si>
  <si>
    <t>buttercup</t>
  </si>
  <si>
    <t>31-089-06-00</t>
  </si>
  <si>
    <t>Шляпа BETMAR арт. B880H Donna (синий) {navy}</t>
  </si>
  <si>
    <t>31-133-34-57</t>
  </si>
  <si>
    <t>Шляпа BETMAR арт. PB4321 LANNA (розовый) {raspberry}</t>
  </si>
  <si>
    <t>PB4321 LANNA</t>
  </si>
  <si>
    <t>raspberry</t>
  </si>
  <si>
    <t>31-133-48-00</t>
  </si>
  <si>
    <t>Шляпа BETMAR арт. PB4321 LANNA (белый / черный) {white.black}</t>
  </si>
  <si>
    <t>31-133-48-57</t>
  </si>
  <si>
    <t>31-133-17-57</t>
  </si>
  <si>
    <t>Шляпа BETMAR арт. PB4321 LANNA (белый) {White}</t>
  </si>
  <si>
    <t>31-134-09-57</t>
  </si>
  <si>
    <t>Шляпа BETMAR арт. PB4999 VANESSA (черный) {black}</t>
  </si>
  <si>
    <t>PB4999 VANESSA</t>
  </si>
  <si>
    <t>31-134-17-57</t>
  </si>
  <si>
    <t>Шляпа BETMAR арт. PB4999 VANESSA (белый) {White}</t>
  </si>
  <si>
    <t>ivory black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</si>
</sst>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_-* #,##0.00\ [$₽-419]_-;\-* #,##0.00\ [$₽-419]_-;_-* &quot;-&quot;??\ [$₽-419]_-;_-@_-"/>
    <numFmt numFmtId="171" formatCode="_ * #,##0.00_ \ [$€-1]_ ;_ * \-#,##0.00\ \ [$€-1]_ ;_ * &quot;-&quot;??_ \ [$€-1]_ ;_ @_ 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171" fontId="4" fillId="0" borderId="0" xfId="0" applyNumberFormat="1" applyFont="1" applyBorder="1" applyAlignment="1" applyProtection="1">
      <alignment horizontal="center" vertical="center" wrapText="1"/>
      <protection hidden="1"/>
    </xf>
    <xf numFmtId="171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locked="0"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2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70" zoomScaleNormal="70" workbookViewId="0">
      <pane ySplit="1" topLeftCell="A2" activePane="bottomLeft" state="frozen"/>
      <selection pane="bottomLeft" activeCell="I5" sqref="I5"/>
    </sheetView>
  </sheetViews>
  <sheetFormatPr defaultColWidth="9" defaultRowHeight="78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7.42578125" style="58" customWidth="1"/>
    <col min="10" max="10" width="9" style="44"/>
    <col min="11" max="11" width="9" style="104"/>
    <col min="12" max="13" width="9" style="58"/>
    <col min="14" max="14" width="15.42578125" style="143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49" bestFit="1" customWidth="1"/>
    <col min="52" max="52" width="16.5703125" style="106" customWidth="1"/>
    <col min="53" max="53" width="9" style="45"/>
    <col min="54" max="54" width="9" style="115"/>
    <col min="55" max="55" width="9" style="45"/>
    <col min="56" max="56" width="95" style="44" customWidth="1"/>
    <col min="57" max="16384" width="9" style="43"/>
  </cols>
  <sheetData>
    <row r="1" spans="1:56" s="41" customFormat="1" ht="66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42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69">
        <v>6</v>
      </c>
      <c r="AH1" s="169">
        <v>6.5</v>
      </c>
      <c r="AI1" s="169">
        <v>7</v>
      </c>
      <c r="AJ1" s="169">
        <v>7.5</v>
      </c>
      <c r="AK1" s="169">
        <v>8</v>
      </c>
      <c r="AL1" s="169">
        <v>8.5</v>
      </c>
      <c r="AM1" s="169">
        <v>9</v>
      </c>
      <c r="AN1" s="169">
        <v>9.5</v>
      </c>
      <c r="AO1" s="169" t="s">
        <v>550</v>
      </c>
      <c r="AP1" s="169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47" t="s">
        <v>499</v>
      </c>
      <c r="AZ1" s="105" t="s">
        <v>473</v>
      </c>
      <c r="BA1" s="62" t="s">
        <v>500</v>
      </c>
      <c r="BB1" s="41" t="s">
        <v>585</v>
      </c>
      <c r="BC1" s="69" t="s">
        <v>501</v>
      </c>
      <c r="BD1" s="114" t="s">
        <v>558</v>
      </c>
    </row>
    <row r="2" spans="1:56" s="42" customFormat="1" ht="83.25" hidden="1" customHeight="1">
      <c r="A2" s="66" t="str">
        <f t="shared" ref="A2:A39" si="0">IF(C2&amp;K2&lt;&gt;"",C2&amp;K2,"")</f>
        <v/>
      </c>
      <c r="B2" s="45" t="b">
        <f>_xlfn.LET(_xlpm.NAME,IF(D2&lt;&gt;""," "&amp;D2,D2),IF(C2&lt;&gt;"",_xlfn.XLOOKUP(A2,'1C'!A:A,'1C'!B:B,MID(_xlfn.XLOOKUP(C2&amp;_xlpm.NAME,'1C'!G:G,'1C'!B:B,"new",0),1,7)&amp;IF(BC2=1,IF(L2&lt;&gt;"",_xlfn.XLOOKUP(L2,Colors!A:A,Colors!B:B,"new",0),"требуется цвет"),""),0)))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/>
      </c>
      <c r="F2" s="44">
        <f>_xlfn.LET(_xlpm.NAME,IF(D2&lt;&gt;""," "&amp;D2,D2),IF(BA2&gt;0,IFERROR(VLOOKUP(A2,'1C'!A:T,10,0),""),IFERROR(VLOOKUP(C2&amp;_xlpm.NAME,'1C'!G:J,4,0),"")))</f>
        <v>0</v>
      </c>
      <c r="G2" s="56" t="str">
        <f>_xlfn.LET(_xlpm.NAME,IF(D2&lt;&gt;""," "&amp;D2,D2),IF(C2&lt;&gt;"",IF(BA2&gt;0,IFERROR(VLOOKUP(A2,'1C'!A:L,12,0),""),IF(BB2&lt;1,IFERROR(VLOOKUP(C2&amp;_xlpm.NAME,'1C'!G:L,6,0),""),"")),""))</f>
        <v/>
      </c>
      <c r="H2" s="44">
        <f>_xlfn.LET(_xlpm.NAME,IF(D2&lt;&gt;""," "&amp;D2,D2),IF(BA2&gt;0,IF(B2&lt;&gt;"",IFERROR(VLOOKUP(A2,'1C'!A:T,13,0),""),""),IFERROR(VLOOKUP(C2&amp;_xlpm.NAME,'1C'!G:M,7,0),"")))</f>
        <v>0</v>
      </c>
      <c r="I2" s="90"/>
      <c r="J2" s="65" t="str">
        <f>'1C'!$AF$1</f>
        <v>Betmar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66">
        <f>_xlfn.LET(_xlpm.NAME,IF(D2&lt;&gt;""," "&amp;D2,D2),IF(BA2&gt;0,IF(B2&lt;&gt;"",_xlfn.XLOOKUP(A2,'1C'!A:A,'1C'!I:I,""),0),_xlfn.XLOOKUP(C2&amp;_xlpm.NAME,'1C'!G:G,'1C'!I:I,"",0)))</f>
        <v>0</v>
      </c>
      <c r="O2" s="65" t="str">
        <f>IF(D2&lt;&gt;"",IFERROR(IF(VLOOKUP(D2,'1C'!D:D,1,0)&lt;&gt;"",1,0),""),"")</f>
        <v/>
      </c>
      <c r="P2" s="63" t="str">
        <f>_xlfn.LET(_xlpm.NAME,IF(D2&lt;&gt;""," "&amp;D2,D2),IF(A2&lt;&gt;"",_xlfn.XLOOKUP(A2,'1C'!A:A,'1C'!N:N,_xlfn.XLOOKUP(C2&amp;_xlpm.NAME,'1C'!G:G,'1C'!N:N,"",0),0),""))</f>
        <v/>
      </c>
      <c r="Q2" s="63" t="str">
        <f>IF(P2&lt;&gt;"",IFERROR(VLOOKUP(P2,MaterialsTypes!F:G,2,0),IFERROR(VLOOKUP(N2,MaterialsTypes100,2,0),"")),IFERROR(VLOOKUP(N2,MaterialsTypes100,2,0),""))</f>
        <v/>
      </c>
      <c r="R2" s="58">
        <f>_xlfn.LET(_xlpm.NAME,IF(D2&lt;&gt;""," "&amp;D2,D2),IF(B2&lt;&gt;"",IFERROR(VLOOKUP(A2,'1C'!A:T,11,0),_xlfn.XLOOKUP(C2&amp;_xlpm.NAME,'1C'!G:G,'1C'!K:K,"",0)),""))</f>
        <v>0</v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39" si="1">IF(COUNTBLANK(S2:AP2)&lt;24,SUM(S2:AP2),"")</f>
        <v/>
      </c>
      <c r="AR2" s="66" t="str">
        <f>IF(BA2&gt;0,IF(B2&lt;&gt;"",IFERROR(VLOOKUP(VLOOKUP(A2,'1C'!A:T,15,0),Settings!N:O,2,0),""),""),"")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39" si="2">0.05+0.05</f>
        <v>0.1</v>
      </c>
      <c r="AV2" s="56">
        <f t="shared" ref="AV2:AV39" si="3">IF(AU2&lt;&gt;"",AU2*1.5,"Требуется нетто")</f>
        <v>0.15000000000000002</v>
      </c>
      <c r="AW2" s="56" t="str">
        <f t="shared" ref="AW2:AW39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39" si="5">IF(AV2&lt;&gt;"",IFERROR(AQ2*AV2,"Требуются кол-во и брутто"),"Требуются кол-во и брутто")</f>
        <v>Требуются кол-во и брутто</v>
      </c>
      <c r="AY2" s="148"/>
      <c r="AZ2" s="168" t="str">
        <f t="shared" ref="AZ2:AZ39" si="6">+IF(AY2&lt;&gt;0,IFERROR(AQ2*AY2,"Требуются кол-во и цена"),"Требуются кол-во и цена")</f>
        <v>Требуются кол-во и цена</v>
      </c>
      <c r="BA2" s="45" t="str">
        <f>IF(A2&lt;&gt;"",IFERROR(IF(VLOOKUP(A2,'1C'!A:A,1,0)&lt;&gt;"",1,0),0),"")</f>
        <v/>
      </c>
      <c r="BB2" s="146">
        <f>_xlfn.LET(_xlpm.NAME,IF(D2&lt;&gt;""," "&amp;D2,D2),IF(_xlfn.XLOOKUP(C2&amp;_xlpm.NAME,'1C'!G:G,'1C'!F:F,0,0)=0,0,1))</f>
        <v>0</v>
      </c>
      <c r="BC2" s="73">
        <f>IF(BB2,"-",IF(BA2&gt;0,0,1))</f>
        <v>0</v>
      </c>
      <c r="BD2" s="91"/>
    </row>
    <row r="3" spans="1:56" ht="107.25" customHeight="1">
      <c r="A3" s="43" t="str">
        <f t="shared" si="0"/>
        <v>B1134Hlight grey multi</v>
      </c>
      <c r="B3" s="45" t="str">
        <f>_xlfn.LET(_xlpm.NAME,IF(D3&lt;&gt;""," "&amp;D3,D3),IF(C3&lt;&gt;"",_xlfn.XLOOKUP(A3,'1C'!A:A,'1C'!B:B,MID(_xlfn.XLOOKUP(C3&amp;_xlpm.NAME,'1C'!G:G,'1C'!B:B,"new",0),1,7)&amp;IF(BC3=1,IF(L3&lt;&gt;"",_xlfn.XLOOKUP(L3,Colors!A:A,Colors!B:B,"new",0),"требуется цвет"),""),0)))</f>
        <v>31-064-01</v>
      </c>
      <c r="C3" s="61" t="s">
        <v>907</v>
      </c>
      <c r="D3" s="44" t="str">
        <f>IF(A3&lt;&gt;"",_xlfn.XLOOKUP(C3,'1C'!S:S,'1C'!T:T,"",0),"")</f>
        <v>RAMONA</v>
      </c>
      <c r="E3" s="43" t="str">
        <f>IF(F3&lt;&gt;"",IFERROR(VLOOKUP(F3,Категории!A:B,2,0),""),"Требуется категория")</f>
        <v>Шляпы</v>
      </c>
      <c r="F3" s="43" t="str">
        <f>_xlfn.LET(_xlpm.NAME,IF(D3&lt;&gt;""," "&amp;D3,D3),IF(BA3&gt;0,IFERROR(VLOOKUP(A3,'1C'!A:T,10,0),""),IFERROR(VLOOKUP(C3&amp;_xlpm.NAME,'1C'!G:J,4,0),"")))</f>
        <v>Шляпа с широкими полями</v>
      </c>
      <c r="G3" s="56" t="str">
        <f>_xlfn.LET(_xlpm.NAME,IF(D3&lt;&gt;""," "&amp;D3,D3),IF(C3&lt;&gt;"",IF(BA3&gt;0,IFERROR(VLOOKUP(A3,'1C'!A:L,12,0),""),IF(BB3&lt;1,IFERROR(VLOOKUP(C3&amp;_xlpm.NAME,'1C'!G:L,6,0),""),"")),""))</f>
        <v>Betmar</v>
      </c>
      <c r="H3" s="43" t="str">
        <f>_xlfn.LET(_xlpm.NAME,IF(D3&lt;&gt;""," "&amp;D3,D3),IF(BA3&gt;0,IF(B3&lt;&gt;"",IFERROR(VLOOKUP(A3,'1C'!A:T,13,0),""),""),IFERROR(VLOOKUP(C3&amp;_xlpm.NAME,'1C'!G:M,7,0),"")))</f>
        <v>летний</v>
      </c>
      <c r="J3" s="57" t="str">
        <f>'1C'!$AF$1</f>
        <v>Betmar</v>
      </c>
      <c r="K3" s="102" t="s">
        <v>926</v>
      </c>
      <c r="L3" s="144" t="str">
        <f>IF(K3&lt;&gt;"",IFERROR(VLOOKUP(A3,'1C'!A:T,8,0),IFERROR(VLOOKUP(K3,Colors!D:E,2,0),"")),"")</f>
        <v>светло-серый</v>
      </c>
      <c r="M3" s="144" t="str">
        <f>IF(K3&lt;&gt;"",IFERROR(VLOOKUP(A3,'1C'!A:T,18,0),IFERROR(VLOOKUP(K3,Colors!D:E,2,0),"")),"")</f>
        <v>серый</v>
      </c>
      <c r="N3" s="145" t="str">
        <f>_xlfn.LET(_xlpm.NAME,IF(D3&lt;&gt;""," "&amp;D3,D3),IF(BA3&gt;0,IF(B3&lt;&gt;"",_xlfn.XLOOKUP(A3,'1C'!A:A,'1C'!I:I,""),0),_xlfn.XLOOKUP(C3&amp;_xlpm.NAME,'1C'!G:G,'1C'!I:I,"",0)))</f>
        <v>88% бумага - 12% полиэстер</v>
      </c>
      <c r="O3" s="65"/>
      <c r="P3" s="56" t="str">
        <f>_xlfn.LET(_xlpm.NAME,IF(D3&lt;&gt;""," "&amp;D3,D3),IF(A3&lt;&gt;"",_xlfn.XLOOKUP(A3,'1C'!A:A,'1C'!N:N,_xlfn.XLOOKUP(C3&amp;_xlpm.NAME,'1C'!G:G,'1C'!N:N,"",0),0),""))</f>
        <v>бумажные</v>
      </c>
      <c r="Q3" s="59" t="str">
        <f>IF(P3&lt;&gt;"",IFERROR(VLOOKUP(P3,MaterialsTypes!F:G,2,0),IFERROR(VLOOKUP(N3,MaterialsTypes100,2,0),"")),IFERROR(VLOOKUP(N3,MaterialsTypes100,2,0),""))</f>
        <v>Плетёный</v>
      </c>
      <c r="R3" s="59" t="str">
        <f>_xlfn.LET(_xlpm.NAME,IF(D3&lt;&gt;""," "&amp;D3,D3),IF(B3&lt;&gt;"",IFERROR(VLOOKUP(A3,'1C'!A:T,11,0),_xlfn.XLOOKUP(C3&amp;_xlpm.NAME,'1C'!G:G,'1C'!K:K,"",0)),""))</f>
        <v>Женский</v>
      </c>
      <c r="S3" s="58"/>
      <c r="V3" s="58"/>
      <c r="X3" s="58"/>
      <c r="Z3" s="58"/>
      <c r="AB3" s="58"/>
      <c r="AD3" s="58"/>
      <c r="AQ3" s="57" t="str">
        <f t="shared" si="1"/>
        <v/>
      </c>
      <c r="AR3" s="43" t="str">
        <f>IF(BA3&gt;0,IF(B3&lt;&gt;"",IFERROR(VLOOKUP(VLOOKUP(A3,'1C'!A:T,15,0),Settings!N:O,2,0),""),""),"")</f>
        <v>CN</v>
      </c>
      <c r="AS3" s="56" t="str">
        <f ca="1">IF(BA3&gt;0,_xlfn.XLOOKUP(A3,'1C'!$A:$A,'1C'!P:P,"",0,),IF(AR3&lt;&gt;"",VLOOKUP(AR3,INDIRECT(SUBSTITUTE($J3," ","")&amp;"Manufactures"),3,0),"Требуется код страны"))</f>
        <v>Bollman Headwear Europe Ltd; 2 Merchants drive, Caelisle, Cumbria CA3 0JW, United Kingdom</v>
      </c>
      <c r="AT3" s="56" t="str">
        <f ca="1">IF(BA3&gt;0,_xlfn.XLOOKUP(A3,'1C'!$A:$A,'1C'!O:O,"",0),IF(AR3&lt;&gt;"",VLOOKUP(AR3,INDIRECT(SUBSTITUTE($J3," ","")&amp;"Manufactures"),2,0),"Требуется код страны"))</f>
        <v>Китай</v>
      </c>
      <c r="AU3" s="76">
        <f t="shared" si="2"/>
        <v>0.1</v>
      </c>
      <c r="AV3" s="43">
        <f t="shared" si="3"/>
        <v>0.15000000000000002</v>
      </c>
      <c r="AW3" s="43" t="str">
        <f t="shared" si="4"/>
        <v>Требуются кол-во и нетто</v>
      </c>
      <c r="AX3" s="43" t="str">
        <f t="shared" si="5"/>
        <v>Требуются кол-во и брутто</v>
      </c>
      <c r="AZ3" s="107" t="str">
        <f t="shared" si="6"/>
        <v>Требуются кол-во и цена</v>
      </c>
      <c r="BA3" s="45">
        <f>IF(A3&lt;&gt;"",IFERROR(IF(VLOOKUP(A3,'1C'!A:A,1,0)&lt;&gt;"",1,0),0),"")</f>
        <v>1</v>
      </c>
      <c r="BB3" s="146">
        <f>_xlfn.LET(_xlpm.NAME,IF(D3&lt;&gt;""," "&amp;D3,D3),IF(_xlfn.XLOOKUP(C3&amp;_xlpm.NAME,'1C'!G:G,'1C'!F:F,0,0)=0,0,1))</f>
        <v>0</v>
      </c>
      <c r="BC3" s="73">
        <f>IF(BB3,"-",IF(BA3&gt;0,0,1))</f>
        <v>0</v>
      </c>
    </row>
    <row r="4" spans="1:56" ht="95.1" customHeight="1">
      <c r="A4" s="43" t="str">
        <f t="shared" si="0"/>
        <v>B1134Hnatural multi</v>
      </c>
      <c r="B4" s="45" t="str">
        <f>_xlfn.LET(_xlpm.NAME,IF(D4&lt;&gt;""," "&amp;D4,D4),IF(C4&lt;&gt;"",_xlfn.XLOOKUP(A4,'1C'!A:A,'1C'!B:B,MID(_xlfn.XLOOKUP(C4&amp;_xlpm.NAME,'1C'!G:G,'1C'!B:B,"new",0),1,7)&amp;IF(BC4=1,IF(L4&lt;&gt;"",_xlfn.XLOOKUP(L4,Colors!A:A,Colors!B:B,"new",0),"требуется цвет"),""),0)))</f>
        <v>31-064-42</v>
      </c>
      <c r="C4" s="61" t="s">
        <v>907</v>
      </c>
      <c r="D4" s="44" t="str">
        <f>IF(A4&lt;&gt;"",_xlfn.XLOOKUP(C4,'1C'!S:S,'1C'!T:T,"",0),"")</f>
        <v>RAMONA</v>
      </c>
      <c r="E4" s="43" t="str">
        <f>IF(F4&lt;&gt;"",IFERROR(VLOOKUP(F4,Категории!A:B,2,0),""),"Требуется категория")</f>
        <v>Шляпы</v>
      </c>
      <c r="F4" s="43" t="str">
        <f>_xlfn.LET(_xlpm.NAME,IF(D4&lt;&gt;""," "&amp;D4,D4),IF(BA4&gt;0,IFERROR(VLOOKUP(A4,'1C'!A:T,10,0),""),IFERROR(VLOOKUP(C4&amp;_xlpm.NAME,'1C'!G:J,4,0),"")))</f>
        <v>Шляпа с широкими полями</v>
      </c>
      <c r="G4" s="56" t="str">
        <f>_xlfn.LET(_xlpm.NAME,IF(D4&lt;&gt;""," "&amp;D4,D4),IF(C4&lt;&gt;"",IF(BA4&gt;0,IFERROR(VLOOKUP(A4,'1C'!A:L,12,0),""),IF(BB4&lt;1,IFERROR(VLOOKUP(C4&amp;_xlpm.NAME,'1C'!G:L,6,0),""),"")),""))</f>
        <v>Betmar</v>
      </c>
      <c r="H4" s="43" t="str">
        <f>_xlfn.LET(_xlpm.NAME,IF(D4&lt;&gt;""," "&amp;D4,D4),IF(BA4&gt;0,IF(B4&lt;&gt;"",IFERROR(VLOOKUP(A4,'1C'!A:T,13,0),""),""),IFERROR(VLOOKUP(C4&amp;_xlpm.NAME,'1C'!G:M,7,0),"")))</f>
        <v>летний</v>
      </c>
      <c r="J4" s="57" t="str">
        <f>'1C'!$AF$1</f>
        <v>Betmar</v>
      </c>
      <c r="K4" s="101" t="s">
        <v>846</v>
      </c>
      <c r="L4" s="56" t="str">
        <f>IF(K4&lt;&gt;"",IFERROR(VLOOKUP(A4,'1C'!A:T,8,0),IFERROR(VLOOKUP(K4,Colors!D:E,2,0),"")),"")</f>
        <v>светло-бежевый</v>
      </c>
      <c r="M4" s="144" t="str">
        <f>IF(K4&lt;&gt;"",IFERROR(VLOOKUP(A4,'1C'!A:T,18,0),IFERROR(VLOOKUP(K4,Colors!D:E,2,0),"")),"")</f>
        <v>бежевый</v>
      </c>
      <c r="N4" s="145" t="str">
        <f>_xlfn.LET(_xlpm.NAME,IF(D4&lt;&gt;""," "&amp;D4,D4),IF(BA4&gt;0,IF(B4&lt;&gt;"",_xlfn.XLOOKUP(A4,'1C'!A:A,'1C'!I:I,""),0),_xlfn.XLOOKUP(C4&amp;_xlpm.NAME,'1C'!G:G,'1C'!I:I,"",0)))</f>
        <v>88% бумага - 12% полиэстер</v>
      </c>
      <c r="O4" s="65"/>
      <c r="P4" s="56" t="str">
        <f>_xlfn.LET(_xlpm.NAME,IF(D4&lt;&gt;""," "&amp;D4,D4),IF(A4&lt;&gt;"",_xlfn.XLOOKUP(A4,'1C'!A:A,'1C'!N:N,_xlfn.XLOOKUP(C4&amp;_xlpm.NAME,'1C'!G:G,'1C'!N:N,"",0),0),""))</f>
        <v>бумажные</v>
      </c>
      <c r="Q4" s="59" t="str">
        <f>IF(P4&lt;&gt;"",IFERROR(VLOOKUP(P4,MaterialsTypes!F:G,2,0),IFERROR(VLOOKUP(N4,MaterialsTypes100,2,0),"")),IFERROR(VLOOKUP(N4,MaterialsTypes100,2,0),""))</f>
        <v>Плетёный</v>
      </c>
      <c r="R4" s="59" t="str">
        <f>_xlfn.LET(_xlpm.NAME,IF(D4&lt;&gt;""," "&amp;D4,D4),IF(B4&lt;&gt;"",IFERROR(VLOOKUP(A4,'1C'!A:T,11,0),_xlfn.XLOOKUP(C4&amp;_xlpm.NAME,'1C'!G:G,'1C'!K:K,"",0)),""))</f>
        <v>Женский</v>
      </c>
      <c r="S4" s="58"/>
      <c r="V4" s="58"/>
      <c r="X4" s="58"/>
      <c r="Z4" s="58"/>
      <c r="AB4" s="58"/>
      <c r="AD4" s="58"/>
      <c r="AQ4" s="57" t="str">
        <f t="shared" si="1"/>
        <v/>
      </c>
      <c r="AR4" s="43" t="str">
        <f>IF(BA4&gt;0,IF(B4&lt;&gt;"",IFERROR(VLOOKUP(VLOOKUP(A4,'1C'!A:T,15,0),Settings!N:O,2,0),""),""),"")</f>
        <v>CN</v>
      </c>
      <c r="AS4" s="56" t="str">
        <f ca="1">IF(BA4&gt;0,_xlfn.XLOOKUP(A4,'1C'!$A:$A,'1C'!P:P,"",0,),IF(AR4&lt;&gt;"",VLOOKUP(AR4,INDIRECT(SUBSTITUTE($J4," ","")&amp;"Manufactures"),3,0),"Требуется код страны"))</f>
        <v>Bollman Headwear Europe Ltd; 2 Merchants drive, Caelisle, Cumbria CA3 0JW, United Kingdom</v>
      </c>
      <c r="AT4" s="56" t="str">
        <f ca="1">IF(BA4&gt;0,_xlfn.XLOOKUP(A4,'1C'!$A:$A,'1C'!O:O,"",0),IF(AR4&lt;&gt;"",VLOOKUP(AR4,INDIRECT(SUBSTITUTE($J4," ","")&amp;"Manufactures"),2,0),"Требуется код страны"))</f>
        <v>Китай</v>
      </c>
      <c r="AU4" s="76">
        <f t="shared" si="2"/>
        <v>0.1</v>
      </c>
      <c r="AV4" s="43">
        <f t="shared" si="3"/>
        <v>0.15000000000000002</v>
      </c>
      <c r="AW4" s="43" t="str">
        <f t="shared" si="4"/>
        <v>Требуются кол-во и нетто</v>
      </c>
      <c r="AX4" s="43" t="str">
        <f t="shared" si="5"/>
        <v>Требуются кол-во и брутто</v>
      </c>
      <c r="AZ4" s="107" t="str">
        <f t="shared" si="6"/>
        <v>Требуются кол-во и цена</v>
      </c>
      <c r="BA4" s="45">
        <f>IF(A4&lt;&gt;"",IFERROR(IF(VLOOKUP(A4,'1C'!A:A,1,0)&lt;&gt;"",1,0),0),"")</f>
        <v>1</v>
      </c>
      <c r="BB4" s="146">
        <f>_xlfn.LET(_xlpm.NAME,IF(D4&lt;&gt;""," "&amp;D4,D4),IF(_xlfn.XLOOKUP(C4&amp;_xlpm.NAME,'1C'!G:G,'1C'!F:F,0,0)=0,0,1))</f>
        <v>0</v>
      </c>
      <c r="BC4" s="73">
        <f>IF(BB4,"-",IF(BA4&gt;0,0,1))</f>
        <v>0</v>
      </c>
    </row>
    <row r="5" spans="1:56" ht="93.2" customHeight="1">
      <c r="A5" s="43" t="str">
        <f t="shared" si="0"/>
        <v>B1134Hnavy</v>
      </c>
      <c r="B5" s="45" t="str">
        <f>_xlfn.LET(_xlpm.NAME,IF(D5&lt;&gt;""," "&amp;D5,D5),IF(C5&lt;&gt;"",_xlfn.XLOOKUP(A5,'1C'!A:A,'1C'!B:B,MID(_xlfn.XLOOKUP(C5&amp;_xlpm.NAME,'1C'!G:G,'1C'!B:B,"new",0),1,7)&amp;IF(BC5=1,IF(L5&lt;&gt;"",_xlfn.XLOOKUP(L5,Colors!A:A,Colors!B:B,"new",0),"требуется цвет"),""),0)))</f>
        <v>31-064-06</v>
      </c>
      <c r="C5" s="61" t="s">
        <v>907</v>
      </c>
      <c r="D5" s="44" t="str">
        <f>IF(A5&lt;&gt;"",_xlfn.XLOOKUP(C5,'1C'!S:S,'1C'!T:T,"",0),"")</f>
        <v>RAMONA</v>
      </c>
      <c r="E5" s="43" t="str">
        <f>IF(F5&lt;&gt;"",IFERROR(VLOOKUP(F5,Категории!A:B,2,0),""),"Требуется категория")</f>
        <v>Шляпы</v>
      </c>
      <c r="F5" s="43" t="str">
        <f>_xlfn.LET(_xlpm.NAME,IF(D5&lt;&gt;""," "&amp;D5,D5),IF(BA5&gt;0,IFERROR(VLOOKUP(A5,'1C'!A:T,10,0),""),IFERROR(VLOOKUP(C5&amp;_xlpm.NAME,'1C'!G:J,4,0),"")))</f>
        <v>Шляпа с широкими полями</v>
      </c>
      <c r="G5" s="56" t="str">
        <f>_xlfn.LET(_xlpm.NAME,IF(D5&lt;&gt;""," "&amp;D5,D5),IF(C5&lt;&gt;"",IF(BA5&gt;0,IFERROR(VLOOKUP(A5,'1C'!A:L,12,0),""),IF(BB5&lt;1,IFERROR(VLOOKUP(C5&amp;_xlpm.NAME,'1C'!G:L,6,0),""),"")),""))</f>
        <v>Betmar</v>
      </c>
      <c r="H5" s="43" t="str">
        <f>_xlfn.LET(_xlpm.NAME,IF(D5&lt;&gt;""," "&amp;D5,D5),IF(BA5&gt;0,IF(B5&lt;&gt;"",IFERROR(VLOOKUP(A5,'1C'!A:T,13,0),""),""),IFERROR(VLOOKUP(C5&amp;_xlpm.NAME,'1C'!G:M,7,0),"")))</f>
        <v>летний</v>
      </c>
      <c r="J5" s="57" t="str">
        <f>'1C'!$AF$1</f>
        <v>Betmar</v>
      </c>
      <c r="K5" s="101" t="s">
        <v>829</v>
      </c>
      <c r="L5" s="56" t="str">
        <f>IF(K5&lt;&gt;"",IFERROR(VLOOKUP(A5,'1C'!A:T,8,0),IFERROR(VLOOKUP(K5,Colors!D:E,2,0),"")),"")</f>
        <v>синий</v>
      </c>
      <c r="M5" s="144" t="str">
        <f>IF(K5&lt;&gt;"",IFERROR(VLOOKUP(A5,'1C'!A:T,18,0),IFERROR(VLOOKUP(K5,Colors!D:E,2,0),"")),"")</f>
        <v>синий</v>
      </c>
      <c r="N5" s="145" t="str">
        <f>_xlfn.LET(_xlpm.NAME,IF(D5&lt;&gt;""," "&amp;D5,D5),IF(BA5&gt;0,IF(B5&lt;&gt;"",_xlfn.XLOOKUP(A5,'1C'!A:A,'1C'!I:I,""),0),_xlfn.XLOOKUP(C5&amp;_xlpm.NAME,'1C'!G:G,'1C'!I:I,"",0)))</f>
        <v>88% бумага - 12% полиэстер</v>
      </c>
      <c r="O5" s="65"/>
      <c r="P5" s="56" t="str">
        <f>_xlfn.LET(_xlpm.NAME,IF(D5&lt;&gt;""," "&amp;D5,D5),IF(A5&lt;&gt;"",_xlfn.XLOOKUP(A5,'1C'!A:A,'1C'!N:N,_xlfn.XLOOKUP(C5&amp;_xlpm.NAME,'1C'!G:G,'1C'!N:N,"",0),0),""))</f>
        <v>бумажные</v>
      </c>
      <c r="Q5" s="59" t="str">
        <f>IF(P5&lt;&gt;"",IFERROR(VLOOKUP(P5,MaterialsTypes!F:G,2,0),IFERROR(VLOOKUP(N5,MaterialsTypes100,2,0),"")),IFERROR(VLOOKUP(N5,MaterialsTypes100,2,0),""))</f>
        <v>Плетёный</v>
      </c>
      <c r="R5" s="59" t="str">
        <f>_xlfn.LET(_xlpm.NAME,IF(D5&lt;&gt;""," "&amp;D5,D5),IF(B5&lt;&gt;"",IFERROR(VLOOKUP(A5,'1C'!A:T,11,0),_xlfn.XLOOKUP(C5&amp;_xlpm.NAME,'1C'!G:G,'1C'!K:K,"",0)),""))</f>
        <v>Женский</v>
      </c>
      <c r="S5" s="58"/>
      <c r="V5" s="58"/>
      <c r="X5" s="58"/>
      <c r="Z5" s="58"/>
      <c r="AB5" s="58"/>
      <c r="AD5" s="58"/>
      <c r="AQ5" s="57" t="str">
        <f t="shared" si="1"/>
        <v/>
      </c>
      <c r="AR5" s="43" t="str">
        <f>IF(BA5&gt;0,IF(B5&lt;&gt;"",IFERROR(VLOOKUP(VLOOKUP(A5,'1C'!A:T,15,0),Settings!N:O,2,0),""),""),"")</f>
        <v>CN</v>
      </c>
      <c r="AS5" s="56" t="str">
        <f ca="1">IF(BA5&gt;0,_xlfn.XLOOKUP(A5,'1C'!$A:$A,'1C'!P:P,"",0,),IF(AR5&lt;&gt;"",VLOOKUP(AR5,INDIRECT(SUBSTITUTE($J5," ","")&amp;"Manufactures"),3,0),"Требуется код страны"))</f>
        <v>Bollman Headwear Europe Ltd; 2 Merchants drive, Caelisle, Cumbria CA3 0JW, United Kingdom</v>
      </c>
      <c r="AT5" s="56" t="str">
        <f ca="1">IF(BA5&gt;0,_xlfn.XLOOKUP(A5,'1C'!$A:$A,'1C'!O:O,"",0),IF(AR5&lt;&gt;"",VLOOKUP(AR5,INDIRECT(SUBSTITUTE($J5," ","")&amp;"Manufactures"),2,0),"Требуется код страны"))</f>
        <v>Китай</v>
      </c>
      <c r="AU5" s="76">
        <f t="shared" si="2"/>
        <v>0.1</v>
      </c>
      <c r="AV5" s="43">
        <f t="shared" si="3"/>
        <v>0.15000000000000002</v>
      </c>
      <c r="AW5" s="43" t="str">
        <f t="shared" si="4"/>
        <v>Требуются кол-во и нетто</v>
      </c>
      <c r="AX5" s="43" t="str">
        <f t="shared" si="5"/>
        <v>Требуются кол-во и брутто</v>
      </c>
      <c r="AZ5" s="107" t="str">
        <f t="shared" si="6"/>
        <v>Требуются кол-во и цена</v>
      </c>
      <c r="BA5" s="45">
        <f>IF(A5&lt;&gt;"",IFERROR(IF(VLOOKUP(A5,'1C'!A:A,1,0)&lt;&gt;"",1,0),0),"")</f>
        <v>1</v>
      </c>
      <c r="BB5" s="146">
        <f>_xlfn.LET(_xlpm.NAME,IF(D5&lt;&gt;""," "&amp;D5,D5),IF(_xlfn.XLOOKUP(C5&amp;_xlpm.NAME,'1C'!G:G,'1C'!F:F,0,0)=0,0,1))</f>
        <v>0</v>
      </c>
      <c r="BC5" s="73">
        <f>IF(BB5,"-",IF(BA5&gt;0,0,1))</f>
        <v>0</v>
      </c>
    </row>
    <row r="6" spans="1:56" ht="96.95" customHeight="1">
      <c r="A6" s="43" t="str">
        <f t="shared" si="0"/>
        <v>B1134Htangerine</v>
      </c>
      <c r="B6" s="45" t="str">
        <f>_xlfn.LET(_xlpm.NAME,IF(D6&lt;&gt;""," "&amp;D6,D6),IF(C6&lt;&gt;"",_xlfn.XLOOKUP(A6,'1C'!A:A,'1C'!B:B,MID(_xlfn.XLOOKUP(C6&amp;_xlpm.NAME,'1C'!G:G,'1C'!B:B,"new",0),1,7)&amp;IF(BC6=1,IF(L6&lt;&gt;"",_xlfn.XLOOKUP(L6,Colors!A:A,Colors!B:B,"new",0),"требуется цвет"),""),0)))</f>
        <v>31-064-13</v>
      </c>
      <c r="C6" s="44" t="s">
        <v>907</v>
      </c>
      <c r="D6" s="44" t="str">
        <f>IF(A6&lt;&gt;"",_xlfn.XLOOKUP(C6,'1C'!S:S,'1C'!T:T,"",0),"")</f>
        <v>RAMONA</v>
      </c>
      <c r="E6" s="43" t="str">
        <f>IF(F6&lt;&gt;"",IFERROR(VLOOKUP(F6,Категории!A:B,2,0),""),"Требуется категория")</f>
        <v>Шляпы</v>
      </c>
      <c r="F6" s="43" t="str">
        <f>_xlfn.LET(_xlpm.NAME,IF(D6&lt;&gt;""," "&amp;D6,D6),IF(BA6&gt;0,IFERROR(VLOOKUP(A6,'1C'!A:T,10,0),""),IFERROR(VLOOKUP(C6&amp;_xlpm.NAME,'1C'!G:J,4,0),"")))</f>
        <v>Шляпа с широкими полями</v>
      </c>
      <c r="G6" s="56" t="str">
        <f>_xlfn.LET(_xlpm.NAME,IF(D6&lt;&gt;""," "&amp;D6,D6),IF(C6&lt;&gt;"",IF(BA6&gt;0,IFERROR(VLOOKUP(A6,'1C'!A:L,12,0),""),IF(BB6&lt;1,IFERROR(VLOOKUP(C6&amp;_xlpm.NAME,'1C'!G:L,6,0),""),"")),""))</f>
        <v>Betmar</v>
      </c>
      <c r="H6" s="43" t="str">
        <f>_xlfn.LET(_xlpm.NAME,IF(D6&lt;&gt;""," "&amp;D6,D6),IF(BA6&gt;0,IF(B6&lt;&gt;"",IFERROR(VLOOKUP(A6,'1C'!A:T,13,0),""),""),IFERROR(VLOOKUP(C6&amp;_xlpm.NAME,'1C'!G:M,7,0),"")))</f>
        <v>летний</v>
      </c>
      <c r="J6" s="57" t="str">
        <f>'1C'!$AF$1</f>
        <v>Betmar</v>
      </c>
      <c r="K6" s="103" t="s">
        <v>927</v>
      </c>
      <c r="L6" s="56" t="str">
        <f>IF(K6&lt;&gt;"",IFERROR(VLOOKUP(A6,'1C'!A:T,8,0),IFERROR(VLOOKUP(K6,Colors!D:E,2,0),"")),"")</f>
        <v>оранжевый</v>
      </c>
      <c r="M6" s="144" t="str">
        <f>IF(K6&lt;&gt;"",IFERROR(VLOOKUP(A6,'1C'!A:T,18,0),IFERROR(VLOOKUP(K6,Colors!D:E,2,0),"")),"")</f>
        <v>оранжевый</v>
      </c>
      <c r="N6" s="145" t="str">
        <f>_xlfn.LET(_xlpm.NAME,IF(D6&lt;&gt;""," "&amp;D6,D6),IF(BA6&gt;0,IF(B6&lt;&gt;"",_xlfn.XLOOKUP(A6,'1C'!A:A,'1C'!I:I,""),0),_xlfn.XLOOKUP(C6&amp;_xlpm.NAME,'1C'!G:G,'1C'!I:I,"",0)))</f>
        <v>88% бумага - 12% полиэстер</v>
      </c>
      <c r="O6" s="65"/>
      <c r="P6" s="56" t="str">
        <f>_xlfn.LET(_xlpm.NAME,IF(D6&lt;&gt;""," "&amp;D6,D6),IF(A6&lt;&gt;"",_xlfn.XLOOKUP(A6,'1C'!A:A,'1C'!N:N,_xlfn.XLOOKUP(C6&amp;_xlpm.NAME,'1C'!G:G,'1C'!N:N,"",0),0),""))</f>
        <v>бумажные</v>
      </c>
      <c r="Q6" s="59" t="str">
        <f>IF(P6&lt;&gt;"",IFERROR(VLOOKUP(P6,MaterialsTypes!F:G,2,0),IFERROR(VLOOKUP(N6,MaterialsTypes100,2,0),"")),IFERROR(VLOOKUP(N6,MaterialsTypes100,2,0),""))</f>
        <v>Плетёный</v>
      </c>
      <c r="R6" s="59" t="str">
        <f>_xlfn.LET(_xlpm.NAME,IF(D6&lt;&gt;""," "&amp;D6,D6),IF(B6&lt;&gt;"",IFERROR(VLOOKUP(A6,'1C'!A:T,11,0),_xlfn.XLOOKUP(C6&amp;_xlpm.NAME,'1C'!G:G,'1C'!K:K,"",0)),""))</f>
        <v>Женский</v>
      </c>
      <c r="S6" s="58"/>
      <c r="V6" s="58"/>
      <c r="X6" s="58"/>
      <c r="Z6" s="58"/>
      <c r="AB6" s="58"/>
      <c r="AD6" s="58"/>
      <c r="AQ6" s="57" t="str">
        <f t="shared" si="1"/>
        <v/>
      </c>
      <c r="AR6" s="43" t="str">
        <f>IF(BA6&gt;0,IF(B6&lt;&gt;"",IFERROR(VLOOKUP(VLOOKUP(A6,'1C'!A:T,15,0),Settings!N:O,2,0),""),""),"")</f>
        <v>CN</v>
      </c>
      <c r="AS6" s="56" t="str">
        <f ca="1">IF(BA6&gt;0,_xlfn.XLOOKUP(A6,'1C'!$A:$A,'1C'!P:P,"",0,),IF(AR6&lt;&gt;"",VLOOKUP(AR6,INDIRECT(SUBSTITUTE($J6," ","")&amp;"Manufactures"),3,0),"Требуется код страны"))</f>
        <v>Bollman Headwear Europe Ltd; 2 Merchants drive, Caelisle, Cumbria CA3 0JW, United Kingdom</v>
      </c>
      <c r="AT6" s="56" t="str">
        <f ca="1">IF(BA6&gt;0,_xlfn.XLOOKUP(A6,'1C'!$A:$A,'1C'!O:O,"",0),IF(AR6&lt;&gt;"",VLOOKUP(AR6,INDIRECT(SUBSTITUTE($J6," ","")&amp;"Manufactures"),2,0),"Требуется код страны"))</f>
        <v>Китай</v>
      </c>
      <c r="AU6" s="76">
        <f t="shared" si="2"/>
        <v>0.1</v>
      </c>
      <c r="AV6" s="43">
        <f t="shared" si="3"/>
        <v>0.15000000000000002</v>
      </c>
      <c r="AW6" s="43" t="str">
        <f t="shared" si="4"/>
        <v>Требуются кол-во и нетто</v>
      </c>
      <c r="AX6" s="43" t="str">
        <f t="shared" si="5"/>
        <v>Требуются кол-во и брутто</v>
      </c>
      <c r="AZ6" s="107" t="str">
        <f t="shared" si="6"/>
        <v>Требуются кол-во и цена</v>
      </c>
      <c r="BA6" s="45">
        <f>IF(A6&lt;&gt;"",IFERROR(IF(VLOOKUP(A6,'1C'!A:A,1,0)&lt;&gt;"",1,0),0),"")</f>
        <v>1</v>
      </c>
      <c r="BB6" s="146">
        <f>_xlfn.LET(_xlpm.NAME,IF(D6&lt;&gt;""," "&amp;D6,D6),IF(_xlfn.XLOOKUP(C6&amp;_xlpm.NAME,'1C'!G:G,'1C'!F:F,0,0)=0,0,1))</f>
        <v>0</v>
      </c>
      <c r="BC6" s="73">
        <f>IF(BB6,"-",IF(BA6&gt;0,0,1))</f>
        <v>0</v>
      </c>
    </row>
    <row r="7" spans="1:56" ht="98.25" customHeight="1">
      <c r="A7" s="43" t="str">
        <f t="shared" si="0"/>
        <v>B124natural.white</v>
      </c>
      <c r="B7" s="45" t="str">
        <f>_xlfn.LET(_xlpm.NAME,IF(D7&lt;&gt;""," "&amp;D7,D7),IF(C7&lt;&gt;"",_xlfn.XLOOKUP(A7,'1C'!A:A,'1C'!B:B,MID(_xlfn.XLOOKUP(C7&amp;_xlpm.NAME,'1C'!G:G,'1C'!B:B,"new",0),1,7)&amp;IF(BC7=1,IF(L7&lt;&gt;"",_xlfn.XLOOKUP(L7,Colors!A:A,Colors!B:B,"new",0),"требуется цвет"),""),0)))</f>
        <v>31-056-17</v>
      </c>
      <c r="C7" s="44" t="s">
        <v>908</v>
      </c>
      <c r="D7" s="44" t="str">
        <f>IF(A7&lt;&gt;"",_xlfn.XLOOKUP(C7,'1C'!S:S,'1C'!T:T,"",0),"")</f>
        <v>Dunewood Visor</v>
      </c>
      <c r="E7" s="43" t="str">
        <f>IF(F7&lt;&gt;"",IFERROR(VLOOKUP(F7,Категории!A:B,2,0),""),"Требуется категория")</f>
        <v>Козыреки</v>
      </c>
      <c r="F7" s="43" t="str">
        <f>_xlfn.LET(_xlpm.NAME,IF(D7&lt;&gt;""," "&amp;D7,D7),IF(BA7&gt;0,IFERROR(VLOOKUP(A7,'1C'!A:T,10,0),""),IFERROR(VLOOKUP(C7&amp;_xlpm.NAME,'1C'!G:J,4,0),"")))</f>
        <v>Козырек</v>
      </c>
      <c r="G7" s="56" t="str">
        <f>_xlfn.LET(_xlpm.NAME,IF(D7&lt;&gt;""," "&amp;D7,D7),IF(C7&lt;&gt;"",IF(BA7&gt;0,IFERROR(VLOOKUP(A7,'1C'!A:L,12,0),""),IF(BB7&lt;1,IFERROR(VLOOKUP(C7&amp;_xlpm.NAME,'1C'!G:L,6,0),""),"")),""))</f>
        <v>Betmar</v>
      </c>
      <c r="H7" s="43" t="str">
        <f>_xlfn.LET(_xlpm.NAME,IF(D7&lt;&gt;""," "&amp;D7,D7),IF(BA7&gt;0,IF(B7&lt;&gt;"",IFERROR(VLOOKUP(A7,'1C'!A:T,13,0),""),""),IFERROR(VLOOKUP(C7&amp;_xlpm.NAME,'1C'!G:M,7,0),"")))</f>
        <v>летний</v>
      </c>
      <c r="J7" s="57" t="str">
        <f>'1C'!$AF$1</f>
        <v>Betmar</v>
      </c>
      <c r="K7" s="103" t="s">
        <v>928</v>
      </c>
      <c r="L7" s="56" t="str">
        <f>IF(K7&lt;&gt;"",IFERROR(VLOOKUP(A7,'1C'!A:T,8,0),IFERROR(VLOOKUP(K7,Colors!D:E,2,0),"")),"")</f>
        <v>бежевый / белый</v>
      </c>
      <c r="M7" s="144" t="str">
        <f>IF(K7&lt;&gt;"",IFERROR(VLOOKUP(A7,'1C'!A:T,18,0),IFERROR(VLOOKUP(K7,Colors!D:E,2,0),"")),"")</f>
        <v>бежевый</v>
      </c>
      <c r="N7" s="145" t="str">
        <f>_xlfn.LET(_xlpm.NAME,IF(D7&lt;&gt;""," "&amp;D7,D7),IF(BA7&gt;0,IF(B7&lt;&gt;"",_xlfn.XLOOKUP(A7,'1C'!A:A,'1C'!I:I,""),0),_xlfn.XLOOKUP(C7&amp;_xlpm.NAME,'1C'!G:G,'1C'!I:I,"",0)))</f>
        <v>100% солома</v>
      </c>
      <c r="O7" s="65"/>
      <c r="P7" s="56" t="str">
        <f>_xlfn.LET(_xlpm.NAME,IF(D7&lt;&gt;""," "&amp;D7,D7),IF(A7&lt;&gt;"",_xlfn.XLOOKUP(A7,'1C'!A:A,'1C'!N:N,_xlfn.XLOOKUP(C7&amp;_xlpm.NAME,'1C'!G:G,'1C'!N:N,"",0),0),""))</f>
        <v>соломенные</v>
      </c>
      <c r="Q7" s="59" t="str">
        <f>IF(P7&lt;&gt;"",IFERROR(VLOOKUP(P7,MaterialsTypes!F:G,2,0),IFERROR(VLOOKUP(N7,MaterialsTypes100,2,0),"")),IFERROR(VLOOKUP(N7,MaterialsTypes100,2,0),""))</f>
        <v>Плетёный</v>
      </c>
      <c r="R7" s="59" t="str">
        <f>_xlfn.LET(_xlpm.NAME,IF(D7&lt;&gt;""," "&amp;D7,D7),IF(B7&lt;&gt;"",IFERROR(VLOOKUP(A7,'1C'!A:T,11,0),_xlfn.XLOOKUP(C7&amp;_xlpm.NAME,'1C'!G:G,'1C'!K:K,"",0)),""))</f>
        <v>Женский</v>
      </c>
      <c r="S7" s="58"/>
      <c r="V7" s="58"/>
      <c r="X7" s="58"/>
      <c r="Z7" s="58"/>
      <c r="AB7" s="58"/>
      <c r="AD7" s="58"/>
      <c r="AQ7" s="57" t="str">
        <f t="shared" si="1"/>
        <v/>
      </c>
      <c r="AR7" s="43" t="str">
        <f>IF(BA7&gt;0,IF(B7&lt;&gt;"",IFERROR(VLOOKUP(VLOOKUP(A7,'1C'!A:T,15,0),Settings!N:O,2,0),""),""),"")</f>
        <v>CN</v>
      </c>
      <c r="AS7" s="56" t="str">
        <f ca="1">IF(BA7&gt;0,_xlfn.XLOOKUP(A7,'1C'!$A:$A,'1C'!P:P,"",0,),IF(AR7&lt;&gt;"",VLOOKUP(AR7,INDIRECT(SUBSTITUTE($J7," ","")&amp;"Manufactures"),3,0),"Требуется код страны"))</f>
        <v>Bollman Headwear Europe Ltd; 2 Merchants drive, Caelisle, Cumbria CA3 0JW, United Kingdom</v>
      </c>
      <c r="AT7" s="56" t="str">
        <f ca="1">IF(BA7&gt;0,_xlfn.XLOOKUP(A7,'1C'!$A:$A,'1C'!O:O,"",0),IF(AR7&lt;&gt;"",VLOOKUP(AR7,INDIRECT(SUBSTITUTE($J7," ","")&amp;"Manufactures"),2,0),"Требуется код страны"))</f>
        <v>Китай</v>
      </c>
      <c r="AU7" s="76">
        <f t="shared" si="2"/>
        <v>0.1</v>
      </c>
      <c r="AV7" s="43">
        <f t="shared" si="3"/>
        <v>0.15000000000000002</v>
      </c>
      <c r="AW7" s="43" t="str">
        <f t="shared" si="4"/>
        <v>Требуются кол-во и нетто</v>
      </c>
      <c r="AX7" s="43" t="str">
        <f t="shared" si="5"/>
        <v>Требуются кол-во и брутто</v>
      </c>
      <c r="AZ7" s="107" t="str">
        <f t="shared" si="6"/>
        <v>Требуются кол-во и цена</v>
      </c>
      <c r="BA7" s="45">
        <f>IF(A7&lt;&gt;"",IFERROR(IF(VLOOKUP(A7,'1C'!A:A,1,0)&lt;&gt;"",1,0),0),"")</f>
        <v>1</v>
      </c>
      <c r="BB7" s="146">
        <f>_xlfn.LET(_xlpm.NAME,IF(D7&lt;&gt;""," "&amp;D7,D7),IF(_xlfn.XLOOKUP(C7&amp;_xlpm.NAME,'1C'!G:G,'1C'!F:F,0,0)=0,0,1))</f>
        <v>0</v>
      </c>
      <c r="BC7" s="73">
        <f>IF(BB7,"-",IF(BA7&gt;0,0,1))</f>
        <v>0</v>
      </c>
    </row>
    <row r="8" spans="1:56" ht="88.9" customHeight="1">
      <c r="A8" s="43" t="str">
        <f t="shared" si="0"/>
        <v>B1431Hwhite.black</v>
      </c>
      <c r="B8" s="45" t="str">
        <f>_xlfn.LET(_xlpm.NAME,IF(D8&lt;&gt;""," "&amp;D8,D8),IF(C8&lt;&gt;"",_xlfn.XLOOKUP(A8,'1C'!A:A,'1C'!B:B,MID(_xlfn.XLOOKUP(C8&amp;_xlpm.NAME,'1C'!G:G,'1C'!B:B,"new",0),1,7)&amp;IF(BC8=1,IF(L8&lt;&gt;"",_xlfn.XLOOKUP(L8,Colors!A:A,Colors!B:B,"new",0),"требуется цвет"),""),0)))</f>
        <v>31-078-09</v>
      </c>
      <c r="C8" s="44" t="s">
        <v>909</v>
      </c>
      <c r="D8" s="44" t="str">
        <f>IF(A8&lt;&gt;"",_xlfn.XLOOKUP(C8,'1C'!S:S,'1C'!T:T,"",0),"")</f>
        <v>DEMETRIA</v>
      </c>
      <c r="E8" s="43" t="str">
        <f>IF(F8&lt;&gt;"",IFERROR(VLOOKUP(F8,Категории!A:B,2,0),""),"Требуется категория")</f>
        <v>Шляпы</v>
      </c>
      <c r="F8" s="43" t="str">
        <f>_xlfn.LET(_xlpm.NAME,IF(D8&lt;&gt;""," "&amp;D8,D8),IF(BA8&gt;0,IFERROR(VLOOKUP(A8,'1C'!A:T,10,0),""),IFERROR(VLOOKUP(C8&amp;_xlpm.NAME,'1C'!G:J,4,0),"")))</f>
        <v>Шляпа с широкими полями</v>
      </c>
      <c r="G8" s="56" t="str">
        <f>_xlfn.LET(_xlpm.NAME,IF(D8&lt;&gt;""," "&amp;D8,D8),IF(C8&lt;&gt;"",IF(BA8&gt;0,IFERROR(VLOOKUP(A8,'1C'!A:L,12,0),""),IF(BB8&lt;1,IFERROR(VLOOKUP(C8&amp;_xlpm.NAME,'1C'!G:L,6,0),""),"")),""))</f>
        <v>Betmar</v>
      </c>
      <c r="H8" s="43" t="str">
        <f>_xlfn.LET(_xlpm.NAME,IF(D8&lt;&gt;""," "&amp;D8,D8),IF(BA8&gt;0,IF(B8&lt;&gt;"",IFERROR(VLOOKUP(A8,'1C'!A:T,13,0),""),""),IFERROR(VLOOKUP(C8&amp;_xlpm.NAME,'1C'!G:M,7,0),"")))</f>
        <v>летний</v>
      </c>
      <c r="J8" s="57" t="str">
        <f>'1C'!$AF$1</f>
        <v>Betmar</v>
      </c>
      <c r="K8" s="103" t="s">
        <v>929</v>
      </c>
      <c r="L8" s="56" t="str">
        <f>IF(K8&lt;&gt;"",IFERROR(VLOOKUP(A8,'1C'!A:T,8,0),IFERROR(VLOOKUP(K8,Colors!D:E,2,0),"")),"")</f>
        <v>белый / черный</v>
      </c>
      <c r="M8" s="144" t="str">
        <f>IF(K8&lt;&gt;"",IFERROR(VLOOKUP(A8,'1C'!A:T,18,0),IFERROR(VLOOKUP(K8,Colors!D:E,2,0),"")),"")</f>
        <v>белый</v>
      </c>
      <c r="N8" s="145" t="str">
        <f>_xlfn.LET(_xlpm.NAME,IF(D8&lt;&gt;""," "&amp;D8,D8),IF(BA8&gt;0,IF(B8&lt;&gt;"",_xlfn.XLOOKUP(A8,'1C'!A:A,'1C'!I:I,""),0),_xlfn.XLOOKUP(C8&amp;_xlpm.NAME,'1C'!G:G,'1C'!I:I,"",0)))</f>
        <v>88% бумага - 12% полиэстер</v>
      </c>
      <c r="O8" s="65"/>
      <c r="P8" s="56" t="str">
        <f>_xlfn.LET(_xlpm.NAME,IF(D8&lt;&gt;""," "&amp;D8,D8),IF(A8&lt;&gt;"",_xlfn.XLOOKUP(A8,'1C'!A:A,'1C'!N:N,_xlfn.XLOOKUP(C8&amp;_xlpm.NAME,'1C'!G:G,'1C'!N:N,"",0),0),""))</f>
        <v>бумажные</v>
      </c>
      <c r="Q8" s="59" t="str">
        <f>IF(P8&lt;&gt;"",IFERROR(VLOOKUP(P8,MaterialsTypes!F:G,2,0),IFERROR(VLOOKUP(N8,MaterialsTypes100,2,0),"")),IFERROR(VLOOKUP(N8,MaterialsTypes100,2,0),""))</f>
        <v>Плетёный</v>
      </c>
      <c r="R8" s="59" t="str">
        <f>_xlfn.LET(_xlpm.NAME,IF(D8&lt;&gt;""," "&amp;D8,D8),IF(B8&lt;&gt;"",IFERROR(VLOOKUP(A8,'1C'!A:T,11,0),_xlfn.XLOOKUP(C8&amp;_xlpm.NAME,'1C'!G:G,'1C'!K:K,"",0)),""))</f>
        <v>Женский</v>
      </c>
      <c r="S8" s="58"/>
      <c r="V8" s="58"/>
      <c r="X8" s="58"/>
      <c r="Z8" s="58"/>
      <c r="AB8" s="58"/>
      <c r="AD8" s="58"/>
      <c r="AQ8" s="57" t="str">
        <f t="shared" si="1"/>
        <v/>
      </c>
      <c r="AR8" s="43" t="str">
        <f>IF(BA8&gt;0,IF(B8&lt;&gt;"",IFERROR(VLOOKUP(VLOOKUP(A8,'1C'!A:T,15,0),Settings!N:O,2,0),""),""),"")</f>
        <v>CN</v>
      </c>
      <c r="AS8" s="56" t="str">
        <f ca="1">IF(BA8&gt;0,_xlfn.XLOOKUP(A8,'1C'!$A:$A,'1C'!P:P,"",0,),IF(AR8&lt;&gt;"",VLOOKUP(AR8,INDIRECT(SUBSTITUTE($J8," ","")&amp;"Manufactures"),3,0),"Требуется код страны"))</f>
        <v>Bollman Headwear Europe Ltd; 2 Merchants drive, Caelisle, Cumbria CA3 0JW, UK</v>
      </c>
      <c r="AT8" s="56" t="str">
        <f ca="1">IF(BA8&gt;0,_xlfn.XLOOKUP(A8,'1C'!$A:$A,'1C'!O:O,"",0),IF(AR8&lt;&gt;"",VLOOKUP(AR8,INDIRECT(SUBSTITUTE($J8," ","")&amp;"Manufactures"),2,0),"Требуется код страны"))</f>
        <v>Китай</v>
      </c>
      <c r="AU8" s="76">
        <f t="shared" si="2"/>
        <v>0.1</v>
      </c>
      <c r="AV8" s="43">
        <f t="shared" si="3"/>
        <v>0.15000000000000002</v>
      </c>
      <c r="AW8" s="43" t="str">
        <f t="shared" si="4"/>
        <v>Требуются кол-во и нетто</v>
      </c>
      <c r="AX8" s="43" t="str">
        <f t="shared" si="5"/>
        <v>Требуются кол-во и брутто</v>
      </c>
      <c r="AZ8" s="107" t="str">
        <f t="shared" si="6"/>
        <v>Требуются кол-во и цена</v>
      </c>
      <c r="BA8" s="45">
        <f>IF(A8&lt;&gt;"",IFERROR(IF(VLOOKUP(A8,'1C'!A:A,1,0)&lt;&gt;"",1,0),0),"")</f>
        <v>1</v>
      </c>
      <c r="BB8" s="146">
        <f>_xlfn.LET(_xlpm.NAME,IF(D8&lt;&gt;""," "&amp;D8,D8),IF(_xlfn.XLOOKUP(C8&amp;_xlpm.NAME,'1C'!G:G,'1C'!F:F,0,0)=0,0,1))</f>
        <v>0</v>
      </c>
      <c r="BC8" s="73">
        <f>IF(BB8,"-",IF(BA8&gt;0,0,1))</f>
        <v>0</v>
      </c>
    </row>
    <row r="9" spans="1:56" ht="95.45" customHeight="1">
      <c r="A9" s="43" t="str">
        <f t="shared" si="0"/>
        <v>B1431Hnatural</v>
      </c>
      <c r="B9" s="45" t="str">
        <f>_xlfn.LET(_xlpm.NAME,IF(D9&lt;&gt;""," "&amp;D9,D9),IF(C9&lt;&gt;"",_xlfn.XLOOKUP(A9,'1C'!A:A,'1C'!B:B,MID(_xlfn.XLOOKUP(C9&amp;_xlpm.NAME,'1C'!G:G,'1C'!B:B,"new",0),1,7)&amp;IF(BC9=1,IF(L9&lt;&gt;"",_xlfn.XLOOKUP(L9,Colors!A:A,Colors!B:B,"new",0),"требуется цвет"),""),0)))</f>
        <v>31-078-49</v>
      </c>
      <c r="C9" s="44" t="s">
        <v>909</v>
      </c>
      <c r="D9" s="44" t="str">
        <f>IF(A9&lt;&gt;"",_xlfn.XLOOKUP(C9,'1C'!S:S,'1C'!T:T,"",0),"")</f>
        <v>DEMETRIA</v>
      </c>
      <c r="E9" s="43" t="str">
        <f>IF(F9&lt;&gt;"",IFERROR(VLOOKUP(F9,Категории!A:B,2,0),""),"Требуется категория")</f>
        <v>Шляпы</v>
      </c>
      <c r="F9" s="43" t="str">
        <f>_xlfn.LET(_xlpm.NAME,IF(D9&lt;&gt;""," "&amp;D9,D9),IF(BA9&gt;0,IFERROR(VLOOKUP(A9,'1C'!A:T,10,0),""),IFERROR(VLOOKUP(C9&amp;_xlpm.NAME,'1C'!G:J,4,0),"")))</f>
        <v>Шляпа с широкими полями</v>
      </c>
      <c r="G9" s="56" t="str">
        <f>_xlfn.LET(_xlpm.NAME,IF(D9&lt;&gt;""," "&amp;D9,D9),IF(C9&lt;&gt;"",IF(BA9&gt;0,IFERROR(VLOOKUP(A9,'1C'!A:L,12,0),""),IF(BB9&lt;1,IFERROR(VLOOKUP(C9&amp;_xlpm.NAME,'1C'!G:L,6,0),""),"")),""))</f>
        <v>Betmar</v>
      </c>
      <c r="H9" s="43" t="str">
        <f>_xlfn.LET(_xlpm.NAME,IF(D9&lt;&gt;""," "&amp;D9,D9),IF(BA9&gt;0,IF(B9&lt;&gt;"",IFERROR(VLOOKUP(A9,'1C'!A:T,13,0),""),""),IFERROR(VLOOKUP(C9&amp;_xlpm.NAME,'1C'!G:M,7,0),"")))</f>
        <v>летний</v>
      </c>
      <c r="J9" s="57" t="str">
        <f>'1C'!$AF$1</f>
        <v>Betmar</v>
      </c>
      <c r="K9" s="103" t="s">
        <v>844</v>
      </c>
      <c r="L9" s="56" t="str">
        <f>IF(K9&lt;&gt;"",IFERROR(VLOOKUP(A9,'1C'!A:T,8,0),IFERROR(VLOOKUP(K9,Colors!D:E,2,0),"")),"")</f>
        <v>белый / бежевый</v>
      </c>
      <c r="M9" s="144" t="str">
        <f>IF(K9&lt;&gt;"",IFERROR(VLOOKUP(A9,'1C'!A:T,18,0),IFERROR(VLOOKUP(K9,Colors!D:E,2,0),"")),"")</f>
        <v>белый</v>
      </c>
      <c r="N9" s="145" t="str">
        <f>_xlfn.LET(_xlpm.NAME,IF(D9&lt;&gt;""," "&amp;D9,D9),IF(BA9&gt;0,IF(B9&lt;&gt;"",_xlfn.XLOOKUP(A9,'1C'!A:A,'1C'!I:I,""),0),_xlfn.XLOOKUP(C9&amp;_xlpm.NAME,'1C'!G:G,'1C'!I:I,"",0)))</f>
        <v>88% бумага - 12% полиэстер</v>
      </c>
      <c r="O9" s="65"/>
      <c r="P9" s="56" t="str">
        <f>_xlfn.LET(_xlpm.NAME,IF(D9&lt;&gt;""," "&amp;D9,D9),IF(A9&lt;&gt;"",_xlfn.XLOOKUP(A9,'1C'!A:A,'1C'!N:N,_xlfn.XLOOKUP(C9&amp;_xlpm.NAME,'1C'!G:G,'1C'!N:N,"",0),0),""))</f>
        <v>бумажные</v>
      </c>
      <c r="Q9" s="59" t="str">
        <f>IF(P9&lt;&gt;"",IFERROR(VLOOKUP(P9,MaterialsTypes!F:G,2,0),IFERROR(VLOOKUP(N9,MaterialsTypes100,2,0),"")),IFERROR(VLOOKUP(N9,MaterialsTypes100,2,0),""))</f>
        <v>Плетёный</v>
      </c>
      <c r="R9" s="59" t="str">
        <f>_xlfn.LET(_xlpm.NAME,IF(D9&lt;&gt;""," "&amp;D9,D9),IF(B9&lt;&gt;"",IFERROR(VLOOKUP(A9,'1C'!A:T,11,0),_xlfn.XLOOKUP(C9&amp;_xlpm.NAME,'1C'!G:G,'1C'!K:K,"",0)),""))</f>
        <v>Женский</v>
      </c>
      <c r="S9" s="58"/>
      <c r="V9" s="58"/>
      <c r="X9" s="58"/>
      <c r="Z9" s="58"/>
      <c r="AB9" s="58"/>
      <c r="AD9" s="58"/>
      <c r="AQ9" s="57" t="str">
        <f t="shared" si="1"/>
        <v/>
      </c>
      <c r="AR9" s="43" t="str">
        <f>IF(BA9&gt;0,IF(B9&lt;&gt;"",IFERROR(VLOOKUP(VLOOKUP(A9,'1C'!A:T,15,0),Settings!N:O,2,0),""),""),"")</f>
        <v>CN</v>
      </c>
      <c r="AS9" s="56" t="str">
        <f ca="1">IF(BA9&gt;0,_xlfn.XLOOKUP(A9,'1C'!$A:$A,'1C'!P:P,"",0,),IF(AR9&lt;&gt;"",VLOOKUP(AR9,INDIRECT(SUBSTITUTE($J9," ","")&amp;"Manufactures"),3,0),"Требуется код страны"))</f>
        <v>Bollman Headwear Europe Ltd; 2 Merchants drive, Caelisle, Cumbria CA3 0JW, UK</v>
      </c>
      <c r="AT9" s="56" t="str">
        <f ca="1">IF(BA9&gt;0,_xlfn.XLOOKUP(A9,'1C'!$A:$A,'1C'!O:O,"",0),IF(AR9&lt;&gt;"",VLOOKUP(AR9,INDIRECT(SUBSTITUTE($J9," ","")&amp;"Manufactures"),2,0),"Требуется код страны"))</f>
        <v>Китай</v>
      </c>
      <c r="AU9" s="76">
        <f t="shared" si="2"/>
        <v>0.1</v>
      </c>
      <c r="AV9" s="43">
        <f t="shared" si="3"/>
        <v>0.15000000000000002</v>
      </c>
      <c r="AW9" s="43" t="str">
        <f t="shared" si="4"/>
        <v>Требуются кол-во и нетто</v>
      </c>
      <c r="AX9" s="43" t="str">
        <f t="shared" si="5"/>
        <v>Требуются кол-во и брутто</v>
      </c>
      <c r="AZ9" s="107" t="str">
        <f t="shared" si="6"/>
        <v>Требуются кол-во и цена</v>
      </c>
      <c r="BA9" s="45">
        <f>IF(A9&lt;&gt;"",IFERROR(IF(VLOOKUP(A9,'1C'!A:A,1,0)&lt;&gt;"",1,0),0),"")</f>
        <v>1</v>
      </c>
      <c r="BB9" s="146">
        <f>_xlfn.LET(_xlpm.NAME,IF(D9&lt;&gt;""," "&amp;D9,D9),IF(_xlfn.XLOOKUP(C9&amp;_xlpm.NAME,'1C'!G:G,'1C'!F:F,0,0)=0,0,1))</f>
        <v>0</v>
      </c>
      <c r="BC9" s="73">
        <f>IF(BB9,"-",IF(BA9&gt;0,0,1))</f>
        <v>0</v>
      </c>
    </row>
    <row r="10" spans="1:56" ht="101.65" customHeight="1">
      <c r="A10" s="43" t="str">
        <f t="shared" si="0"/>
        <v>B1431Hwhite.navy</v>
      </c>
      <c r="B10" s="45" t="str">
        <f>_xlfn.LET(_xlpm.NAME,IF(D10&lt;&gt;""," "&amp;D10,D10),IF(C10&lt;&gt;"",_xlfn.XLOOKUP(A10,'1C'!A:A,'1C'!B:B,MID(_xlfn.XLOOKUP(C10&amp;_xlpm.NAME,'1C'!G:G,'1C'!B:B,"new",0),1,7)&amp;IF(BC10=1,IF(L10&lt;&gt;"",_xlfn.XLOOKUP(L10,Colors!A:A,Colors!B:B,"new",0),"требуется цвет"),""),0)))</f>
        <v>31-078-17</v>
      </c>
      <c r="C10" s="44" t="s">
        <v>909</v>
      </c>
      <c r="D10" s="44" t="str">
        <f>IF(A10&lt;&gt;"",_xlfn.XLOOKUP(C10,'1C'!S:S,'1C'!T:T,"",0),"")</f>
        <v>DEMETRIA</v>
      </c>
      <c r="E10" s="43" t="str">
        <f>IF(F10&lt;&gt;"",IFERROR(VLOOKUP(F10,Категории!A:B,2,0),""),"Требуется категория")</f>
        <v>Шляпы</v>
      </c>
      <c r="F10" s="43" t="str">
        <f>_xlfn.LET(_xlpm.NAME,IF(D10&lt;&gt;""," "&amp;D10,D10),IF(BA10&gt;0,IFERROR(VLOOKUP(A10,'1C'!A:T,10,0),""),IFERROR(VLOOKUP(C10&amp;_xlpm.NAME,'1C'!G:J,4,0),"")))</f>
        <v>Шляпа с широкими полями</v>
      </c>
      <c r="G10" s="56" t="str">
        <f>_xlfn.LET(_xlpm.NAME,IF(D10&lt;&gt;""," "&amp;D10,D10),IF(C10&lt;&gt;"",IF(BA10&gt;0,IFERROR(VLOOKUP(A10,'1C'!A:L,12,0),""),IF(BB10&lt;1,IFERROR(VLOOKUP(C10&amp;_xlpm.NAME,'1C'!G:L,6,0),""),"")),""))</f>
        <v>Betmar</v>
      </c>
      <c r="H10" s="43" t="str">
        <f>_xlfn.LET(_xlpm.NAME,IF(D10&lt;&gt;""," "&amp;D10,D10),IF(BA10&gt;0,IF(B10&lt;&gt;"",IFERROR(VLOOKUP(A10,'1C'!A:T,13,0),""),""),IFERROR(VLOOKUP(C10&amp;_xlpm.NAME,'1C'!G:M,7,0),"")))</f>
        <v>летний</v>
      </c>
      <c r="J10" s="57" t="str">
        <f>'1C'!$AF$1</f>
        <v>Betmar</v>
      </c>
      <c r="K10" s="103" t="s">
        <v>930</v>
      </c>
      <c r="L10" s="56" t="str">
        <f>IF(K10&lt;&gt;"",IFERROR(VLOOKUP(A10,'1C'!A:T,8,0),IFERROR(VLOOKUP(K10,Colors!D:E,2,0),"")),"")</f>
        <v>белый / синий</v>
      </c>
      <c r="M10" s="144" t="str">
        <f>IF(K10&lt;&gt;"",IFERROR(VLOOKUP(A10,'1C'!A:T,18,0),IFERROR(VLOOKUP(K10,Colors!D:E,2,0),"")),"")</f>
        <v>белый</v>
      </c>
      <c r="N10" s="145" t="str">
        <f>_xlfn.LET(_xlpm.NAME,IF(D10&lt;&gt;""," "&amp;D10,D10),IF(BA10&gt;0,IF(B10&lt;&gt;"",_xlfn.XLOOKUP(A10,'1C'!A:A,'1C'!I:I,""),0),_xlfn.XLOOKUP(C10&amp;_xlpm.NAME,'1C'!G:G,'1C'!I:I,"",0)))</f>
        <v>88% бумага - 12% полиэстер</v>
      </c>
      <c r="O10" s="65"/>
      <c r="P10" s="56" t="str">
        <f>_xlfn.LET(_xlpm.NAME,IF(D10&lt;&gt;""," "&amp;D10,D10),IF(A10&lt;&gt;"",_xlfn.XLOOKUP(A10,'1C'!A:A,'1C'!N:N,_xlfn.XLOOKUP(C10&amp;_xlpm.NAME,'1C'!G:G,'1C'!N:N,"",0),0),""))</f>
        <v>бумажные</v>
      </c>
      <c r="Q10" s="59" t="str">
        <f>IF(P10&lt;&gt;"",IFERROR(VLOOKUP(P10,MaterialsTypes!F:G,2,0),IFERROR(VLOOKUP(N10,MaterialsTypes100,2,0),"")),IFERROR(VLOOKUP(N10,MaterialsTypes100,2,0),""))</f>
        <v>Плетёный</v>
      </c>
      <c r="R10" s="59" t="str">
        <f>_xlfn.LET(_xlpm.NAME,IF(D10&lt;&gt;""," "&amp;D10,D10),IF(B10&lt;&gt;"",IFERROR(VLOOKUP(A10,'1C'!A:T,11,0),_xlfn.XLOOKUP(C10&amp;_xlpm.NAME,'1C'!G:G,'1C'!K:K,"",0)),""))</f>
        <v>Женский</v>
      </c>
      <c r="S10" s="58"/>
      <c r="V10" s="58"/>
      <c r="X10" s="58"/>
      <c r="Z10" s="58"/>
      <c r="AB10" s="58"/>
      <c r="AD10" s="58"/>
      <c r="AQ10" s="57" t="str">
        <f t="shared" si="1"/>
        <v/>
      </c>
      <c r="AR10" s="43" t="str">
        <f>IF(BA10&gt;0,IF(B10&lt;&gt;"",IFERROR(VLOOKUP(VLOOKUP(A10,'1C'!A:T,15,0),Settings!N:O,2,0),""),""),"")</f>
        <v>CN</v>
      </c>
      <c r="AS10" s="56" t="str">
        <f ca="1">IF(BA10&gt;0,_xlfn.XLOOKUP(A10,'1C'!$A:$A,'1C'!P:P,"",0,),IF(AR10&lt;&gt;"",VLOOKUP(AR10,INDIRECT(SUBSTITUTE($J10," ","")&amp;"Manufactures"),3,0),"Требуется код страны"))</f>
        <v>Bollman Headwear Europe Ltd; 2 Merchants drive, Caelisle, Cumbria CA3 0JW, United Kingdom</v>
      </c>
      <c r="AT10" s="56" t="str">
        <f ca="1">IF(BA10&gt;0,_xlfn.XLOOKUP(A10,'1C'!$A:$A,'1C'!O:O,"",0),IF(AR10&lt;&gt;"",VLOOKUP(AR10,INDIRECT(SUBSTITUTE($J10," ","")&amp;"Manufactures"),2,0),"Требуется код страны"))</f>
        <v>Китай</v>
      </c>
      <c r="AU10" s="76">
        <f t="shared" si="2"/>
        <v>0.1</v>
      </c>
      <c r="AV10" s="43">
        <f t="shared" si="3"/>
        <v>0.15000000000000002</v>
      </c>
      <c r="AW10" s="43" t="str">
        <f t="shared" si="4"/>
        <v>Требуются кол-во и нетто</v>
      </c>
      <c r="AX10" s="43" t="str">
        <f t="shared" si="5"/>
        <v>Требуются кол-во и брутто</v>
      </c>
      <c r="AZ10" s="107" t="str">
        <f t="shared" si="6"/>
        <v>Требуются кол-во и цена</v>
      </c>
      <c r="BA10" s="45">
        <f>IF(A10&lt;&gt;"",IFERROR(IF(VLOOKUP(A10,'1C'!A:A,1,0)&lt;&gt;"",1,0),0),"")</f>
        <v>1</v>
      </c>
      <c r="BB10" s="146">
        <f>_xlfn.LET(_xlpm.NAME,IF(D10&lt;&gt;""," "&amp;D10,D10),IF(_xlfn.XLOOKUP(C10&amp;_xlpm.NAME,'1C'!G:G,'1C'!F:F,0,0)=0,0,1))</f>
        <v>0</v>
      </c>
      <c r="BC10" s="73">
        <f>IF(BB10,"-",IF(BA10&gt;0,0,1))</f>
        <v>0</v>
      </c>
    </row>
    <row r="11" spans="1:56" ht="91.35" customHeight="1">
      <c r="A11" s="43" t="str">
        <f t="shared" si="0"/>
        <v>B1552Hivory black</v>
      </c>
      <c r="B11" s="45" t="str">
        <f>_xlfn.LET(_xlpm.NAME,IF(D11&lt;&gt;""," "&amp;D11,D11),IF(C11&lt;&gt;"",_xlfn.XLOOKUP(A11,'1C'!A:A,'1C'!B:B,MID(_xlfn.XLOOKUP(C11&amp;_xlpm.NAME,'1C'!G:G,'1C'!B:B,"new",0),1,7)&amp;IF(BC11=1,IF(L11&lt;&gt;"",_xlfn.XLOOKUP(L11,Colors!A:A,Colors!B:B,"new",0),"требуется цвет"),""),0)))</f>
        <v>31-136-требуется цвет</v>
      </c>
      <c r="C11" s="44" t="s">
        <v>910</v>
      </c>
      <c r="D11" s="44" t="str">
        <f>IF(A11&lt;&gt;"",_xlfn.XLOOKUP(C11,'1C'!S:S,'1C'!T:T,"",0),"")</f>
        <v>JASMINE</v>
      </c>
      <c r="E11" s="43" t="str">
        <f>IF(F11&lt;&gt;"",IFERROR(VLOOKUP(F11,Категории!A:B,2,0),""),"Требуется категория")</f>
        <v>Требуется категория</v>
      </c>
      <c r="G11" s="63"/>
      <c r="J11" s="57" t="str">
        <f>'1C'!$AF$1</f>
        <v>Betmar</v>
      </c>
      <c r="K11" s="103" t="s">
        <v>3048</v>
      </c>
      <c r="L11" s="63"/>
      <c r="M11" s="66"/>
      <c r="N11" s="166"/>
      <c r="O11" s="65"/>
      <c r="P11" s="63"/>
      <c r="Q11" s="58"/>
      <c r="R11" s="58"/>
      <c r="S11" s="58"/>
      <c r="V11" s="58"/>
      <c r="X11" s="58"/>
      <c r="Z11" s="58"/>
      <c r="AB11" s="58"/>
      <c r="AD11" s="58"/>
      <c r="AQ11" s="57" t="str">
        <f t="shared" si="1"/>
        <v/>
      </c>
      <c r="AS11" s="56" t="str">
        <f ca="1">IF(BA11&gt;0,_xlfn.XLOOKUP(A11,'1C'!$A:$A,'1C'!P:P,"",0,),IF(AR11&lt;&gt;"",VLOOKUP(AR11,INDIRECT(SUBSTITUTE($J11," ","")&amp;"Manufactures"),3,0),"Требуется код страны"))</f>
        <v>Требуется код страны</v>
      </c>
      <c r="AT11" s="56" t="str">
        <f ca="1">IF(BA11&gt;0,_xlfn.XLOOKUP(A11,'1C'!$A:$A,'1C'!O:O,"",0),IF(AR11&lt;&gt;"",VLOOKUP(AR11,INDIRECT(SUBSTITUTE($J11," ","")&amp;"Manufactures"),2,0),"Требуется код страны"))</f>
        <v>Требуется код страны</v>
      </c>
      <c r="AU11" s="76">
        <f t="shared" si="2"/>
        <v>0.1</v>
      </c>
      <c r="AV11" s="43">
        <f t="shared" si="3"/>
        <v>0.15000000000000002</v>
      </c>
      <c r="AW11" s="43" t="str">
        <f t="shared" si="4"/>
        <v>Требуются кол-во и нетто</v>
      </c>
      <c r="AX11" s="43" t="str">
        <f t="shared" si="5"/>
        <v>Требуются кол-во и брутто</v>
      </c>
      <c r="AZ11" s="107" t="str">
        <f t="shared" si="6"/>
        <v>Требуются кол-во и цена</v>
      </c>
      <c r="BA11" s="45">
        <f>IF(A11&lt;&gt;"",IFERROR(IF(VLOOKUP(A11,'1C'!A:A,1,0)&lt;&gt;"",1,0),0),"")</f>
        <v>0</v>
      </c>
      <c r="BB11" s="146">
        <f>_xlfn.LET(_xlpm.NAME,IF(D11&lt;&gt;""," "&amp;D11,D11),IF(_xlfn.XLOOKUP(C11&amp;_xlpm.NAME,'1C'!G:G,'1C'!F:F,0,0)=0,0,1))</f>
        <v>0</v>
      </c>
      <c r="BC11" s="73">
        <f>IF(BB11,"-",IF(BA11&gt;0,0,1))</f>
        <v>1</v>
      </c>
    </row>
    <row r="12" spans="1:56" ht="105.75" customHeight="1">
      <c r="A12" s="43" t="str">
        <f t="shared" si="0"/>
        <v>B1557Hnavy.natural</v>
      </c>
      <c r="B12" s="45" t="str">
        <f>_xlfn.LET(_xlpm.NAME,IF(D12&lt;&gt;""," "&amp;D12,D12),IF(C12&lt;&gt;"",_xlfn.XLOOKUP(A12,'1C'!A:A,'1C'!B:B,MID(_xlfn.XLOOKUP(C12&amp;_xlpm.NAME,'1C'!G:G,'1C'!B:B,"new",0),1,7)&amp;IF(BC12=1,IF(L12&lt;&gt;"",_xlfn.XLOOKUP(L12,Colors!A:A,Colors!B:B,"new",0),"требуется цвет"),""),0)))</f>
        <v>31-128-95</v>
      </c>
      <c r="C12" s="44" t="s">
        <v>911</v>
      </c>
      <c r="D12" s="44" t="str">
        <f>IF(A12&lt;&gt;"",_xlfn.XLOOKUP(C12,'1C'!S:S,'1C'!T:T,"",0),"")</f>
        <v>LORA</v>
      </c>
      <c r="E12" s="43" t="str">
        <f>IF(F12&lt;&gt;"",IFERROR(VLOOKUP(F12,Категории!A:B,2,0),""),"Требуется категория")</f>
        <v>Шляпы</v>
      </c>
      <c r="F12" s="43" t="str">
        <f>_xlfn.LET(_xlpm.NAME,IF(D12&lt;&gt;""," "&amp;D12,D12),IF(BA12&gt;0,IFERROR(VLOOKUP(A12,'1C'!A:T,10,0),""),IFERROR(VLOOKUP(C12&amp;_xlpm.NAME,'1C'!G:J,4,0),"")))</f>
        <v>Шляпа с широкими полями</v>
      </c>
      <c r="G12" s="56" t="str">
        <f>_xlfn.LET(_xlpm.NAME,IF(D12&lt;&gt;""," "&amp;D12,D12),IF(C12&lt;&gt;"",IF(BA12&gt;0,IFERROR(VLOOKUP(A12,'1C'!A:L,12,0),""),IF(BB12&lt;1,IFERROR(VLOOKUP(C12&amp;_xlpm.NAME,'1C'!G:L,6,0),""),"")),""))</f>
        <v>Betmar</v>
      </c>
      <c r="H12" s="43" t="str">
        <f>_xlfn.LET(_xlpm.NAME,IF(D12&lt;&gt;""," "&amp;D12,D12),IF(BA12&gt;0,IF(B12&lt;&gt;"",IFERROR(VLOOKUP(A12,'1C'!A:T,13,0),""),""),IFERROR(VLOOKUP(C12&amp;_xlpm.NAME,'1C'!G:M,7,0),"")))</f>
        <v>летний</v>
      </c>
      <c r="J12" s="57" t="str">
        <f>'1C'!$AF$1</f>
        <v>Betmar</v>
      </c>
      <c r="K12" s="103" t="s">
        <v>932</v>
      </c>
      <c r="L12" s="56" t="str">
        <f>IF(K12&lt;&gt;"",IFERROR(VLOOKUP(A12,'1C'!A:T,8,0),IFERROR(VLOOKUP(K12,Colors!D:E,2,0),"")),"")</f>
        <v>синий / бежевый</v>
      </c>
      <c r="M12" s="144" t="str">
        <f>IF(K12&lt;&gt;"",IFERROR(VLOOKUP(A12,'1C'!A:T,18,0),IFERROR(VLOOKUP(K12,Colors!D:E,2,0),"")),"")</f>
        <v>синий</v>
      </c>
      <c r="N12" s="145" t="str">
        <f>_xlfn.LET(_xlpm.NAME,IF(D12&lt;&gt;""," "&amp;D12,D12),IF(BA12&gt;0,IF(B12&lt;&gt;"",_xlfn.XLOOKUP(A12,'1C'!A:A,'1C'!I:I,""),0),_xlfn.XLOOKUP(C12&amp;_xlpm.NAME,'1C'!G:G,'1C'!I:I,"",0)))</f>
        <v>100% бумага</v>
      </c>
      <c r="O12" s="65"/>
      <c r="P12" s="56" t="str">
        <f>_xlfn.LET(_xlpm.NAME,IF(D12&lt;&gt;""," "&amp;D12,D12),IF(A12&lt;&gt;"",_xlfn.XLOOKUP(A12,'1C'!A:A,'1C'!N:N,_xlfn.XLOOKUP(C12&amp;_xlpm.NAME,'1C'!G:G,'1C'!N:N,"",0),0),""))</f>
        <v>бумажные</v>
      </c>
      <c r="Q12" s="59" t="str">
        <f>IF(P12&lt;&gt;"",IFERROR(VLOOKUP(P12,MaterialsTypes!F:G,2,0),IFERROR(VLOOKUP(N12,MaterialsTypes100,2,0),"")),IFERROR(VLOOKUP(N12,MaterialsTypes100,2,0),""))</f>
        <v>Плетёный</v>
      </c>
      <c r="R12" s="59" t="str">
        <f>_xlfn.LET(_xlpm.NAME,IF(D12&lt;&gt;""," "&amp;D12,D12),IF(B12&lt;&gt;"",IFERROR(VLOOKUP(A12,'1C'!A:T,11,0),_xlfn.XLOOKUP(C12&amp;_xlpm.NAME,'1C'!G:G,'1C'!K:K,"",0)),""))</f>
        <v>Женский</v>
      </c>
      <c r="S12" s="58"/>
      <c r="V12" s="58"/>
      <c r="X12" s="58"/>
      <c r="Z12" s="58"/>
      <c r="AB12" s="58"/>
      <c r="AD12" s="58"/>
      <c r="AQ12" s="57" t="str">
        <f t="shared" si="1"/>
        <v/>
      </c>
      <c r="AR12" s="43" t="str">
        <f>IF(BA12&gt;0,IF(B12&lt;&gt;"",IFERROR(VLOOKUP(VLOOKUP(A12,'1C'!A:T,15,0),Settings!N:O,2,0),""),""),"")</f>
        <v>CN</v>
      </c>
      <c r="AS12" s="56" t="str">
        <f ca="1">IF(BA12&gt;0,_xlfn.XLOOKUP(A12,'1C'!$A:$A,'1C'!P:P,"",0,),IF(AR12&lt;&gt;"",VLOOKUP(AR12,INDIRECT(SUBSTITUTE($J12," ","")&amp;"Manufactures"),3,0),"Требуется код страны"))</f>
        <v>Bollman Headwear Europe Ltd; 2 Merchants drive, Caelisle, Cumbria CA3 0JW, UK</v>
      </c>
      <c r="AT12" s="56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76">
        <f t="shared" si="2"/>
        <v>0.1</v>
      </c>
      <c r="AV12" s="43">
        <f t="shared" si="3"/>
        <v>0.15000000000000002</v>
      </c>
      <c r="AW12" s="43" t="str">
        <f t="shared" si="4"/>
        <v>Требуются кол-во и нетто</v>
      </c>
      <c r="AX12" s="43" t="str">
        <f t="shared" si="5"/>
        <v>Требуются кол-во и брутто</v>
      </c>
      <c r="AZ12" s="107" t="str">
        <f t="shared" si="6"/>
        <v>Требуются кол-во и цена</v>
      </c>
      <c r="BA12" s="45">
        <f>IF(A12&lt;&gt;"",IFERROR(IF(VLOOKUP(A12,'1C'!A:A,1,0)&lt;&gt;"",1,0),0),"")</f>
        <v>1</v>
      </c>
      <c r="BB12" s="146">
        <f>_xlfn.LET(_xlpm.NAME,IF(D12&lt;&gt;""," "&amp;D12,D12),IF(_xlfn.XLOOKUP(C12&amp;_xlpm.NAME,'1C'!G:G,'1C'!F:F,0,0)=0,0,1))</f>
        <v>0</v>
      </c>
      <c r="BC12" s="73">
        <f>IF(BB12,"-",IF(BA12&gt;0,0,1))</f>
        <v>0</v>
      </c>
    </row>
    <row r="13" spans="1:56" ht="99.95" customHeight="1">
      <c r="A13" s="43" t="str">
        <f t="shared" si="0"/>
        <v>B166desert/natural</v>
      </c>
      <c r="B13" s="45" t="str">
        <f>_xlfn.LET(_xlpm.NAME,IF(D13&lt;&gt;""," "&amp;D13,D13),IF(C13&lt;&gt;"",_xlfn.XLOOKUP(A13,'1C'!A:A,'1C'!B:B,MID(_xlfn.XLOOKUP(C13&amp;_xlpm.NAME,'1C'!G:G,'1C'!B:B,"new",0),1,7)&amp;IF(BC13=1,IF(L13&lt;&gt;"",_xlfn.XLOOKUP(L13,Colors!A:A,Colors!B:B,"new",0),"требуется цвет"),""),0)))</f>
        <v>31-083-75</v>
      </c>
      <c r="C13" s="44" t="s">
        <v>912</v>
      </c>
      <c r="D13" s="44" t="str">
        <f>IF(A13&lt;&gt;"",_xlfn.XLOOKUP(C13,'1C'!S:S,'1C'!T:T,"",0),"")</f>
        <v>CLASSIC ROLL UP</v>
      </c>
      <c r="E13" s="43" t="str">
        <f>IF(F13&lt;&gt;"",IFERROR(VLOOKUP(F13,Категории!A:B,2,0),""),"Требуется категория")</f>
        <v>Шляпы</v>
      </c>
      <c r="F13" s="43" t="str">
        <f>_xlfn.LET(_xlpm.NAME,IF(D13&lt;&gt;""," "&amp;D13,D13),IF(BA13&gt;0,IFERROR(VLOOKUP(A13,'1C'!A:T,10,0),""),IFERROR(VLOOKUP(C13&amp;_xlpm.NAME,'1C'!G:J,4,0),"")))</f>
        <v>Шляпа с широкими полями</v>
      </c>
      <c r="G13" s="56" t="str">
        <f>_xlfn.LET(_xlpm.NAME,IF(D13&lt;&gt;""," "&amp;D13,D13),IF(C13&lt;&gt;"",IF(BA13&gt;0,IFERROR(VLOOKUP(A13,'1C'!A:L,12,0),""),IF(BB13&lt;1,IFERROR(VLOOKUP(C13&amp;_xlpm.NAME,'1C'!G:L,6,0),""),"")),""))</f>
        <v>Betmar</v>
      </c>
      <c r="H13" s="43" t="str">
        <f>_xlfn.LET(_xlpm.NAME,IF(D13&lt;&gt;""," "&amp;D13,D13),IF(BA13&gt;0,IF(B13&lt;&gt;"",IFERROR(VLOOKUP(A13,'1C'!A:T,13,0),""),""),IFERROR(VLOOKUP(C13&amp;_xlpm.NAME,'1C'!G:M,7,0),"")))</f>
        <v>летний</v>
      </c>
      <c r="J13" s="57" t="str">
        <f>'1C'!$AF$1</f>
        <v>Betmar</v>
      </c>
      <c r="K13" s="103" t="s">
        <v>933</v>
      </c>
      <c r="L13" s="56" t="str">
        <f>IF(K13&lt;&gt;"",IFERROR(VLOOKUP(A13,'1C'!A:T,8,0),IFERROR(VLOOKUP(K13,Colors!D:E,2,0),"")),"")</f>
        <v>светло-бежевый</v>
      </c>
      <c r="M13" s="144" t="str">
        <f>IF(K13&lt;&gt;"",IFERROR(VLOOKUP(A13,'1C'!A:T,18,0),IFERROR(VLOOKUP(K13,Colors!D:E,2,0),"")),"")</f>
        <v>бежевый</v>
      </c>
      <c r="N13" s="145" t="str">
        <f>_xlfn.LET(_xlpm.NAME,IF(D13&lt;&gt;""," "&amp;D13,D13),IF(BA13&gt;0,IF(B13&lt;&gt;"",_xlfn.XLOOKUP(A13,'1C'!A:A,'1C'!I:I,""),0),_xlfn.XLOOKUP(C13&amp;_xlpm.NAME,'1C'!G:G,'1C'!I:I,"",0)))</f>
        <v>45% бумага - 35% полипропилен - 20% полиэстер</v>
      </c>
      <c r="O13" s="65"/>
      <c r="P13" s="56" t="str">
        <f>_xlfn.LET(_xlpm.NAME,IF(D13&lt;&gt;""," "&amp;D13,D13),IF(A13&lt;&gt;"",_xlfn.XLOOKUP(A13,'1C'!A:A,'1C'!N:N,_xlfn.XLOOKUP(C13&amp;_xlpm.NAME,'1C'!G:G,'1C'!N:N,"",0),0),""))</f>
        <v>бумажные</v>
      </c>
      <c r="Q13" s="59" t="str">
        <f>IF(P13&lt;&gt;"",IFERROR(VLOOKUP(P13,MaterialsTypes!F:G,2,0),IFERROR(VLOOKUP(N13,MaterialsTypes100,2,0),"")),IFERROR(VLOOKUP(N13,MaterialsTypes100,2,0),""))</f>
        <v>Плетёный</v>
      </c>
      <c r="R13" s="59" t="str">
        <f>_xlfn.LET(_xlpm.NAME,IF(D13&lt;&gt;""," "&amp;D13,D13),IF(B13&lt;&gt;"",IFERROR(VLOOKUP(A13,'1C'!A:T,11,0),_xlfn.XLOOKUP(C13&amp;_xlpm.NAME,'1C'!G:G,'1C'!K:K,"",0)),""))</f>
        <v>Женский</v>
      </c>
      <c r="S13" s="58"/>
      <c r="V13" s="58"/>
      <c r="X13" s="58"/>
      <c r="Z13" s="58"/>
      <c r="AB13" s="58"/>
      <c r="AD13" s="58"/>
      <c r="AQ13" s="57" t="str">
        <f t="shared" si="1"/>
        <v/>
      </c>
      <c r="AR13" s="43" t="str">
        <f>IF(BA13&gt;0,IF(B13&lt;&gt;"",IFERROR(VLOOKUP(VLOOKUP(A13,'1C'!A:T,15,0),Settings!N:O,2,0),""),""),"")</f>
        <v>CN</v>
      </c>
      <c r="AS13" s="56" t="str">
        <f ca="1">IF(BA13&gt;0,_xlfn.XLOOKUP(A13,'1C'!$A:$A,'1C'!P:P,"",0,),IF(AR13&lt;&gt;"",VLOOKUP(AR13,INDIRECT(SUBSTITUTE($J13," ","")&amp;"Manufactures"),3,0),"Требуется код страны"))</f>
        <v>Bollman Headwear Europe Ltd; 2 Merchants drive, Caelisle, Cumbria CA3 0JW, United Kingdom</v>
      </c>
      <c r="AT13" s="56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76">
        <f t="shared" si="2"/>
        <v>0.1</v>
      </c>
      <c r="AV13" s="43">
        <f t="shared" si="3"/>
        <v>0.15000000000000002</v>
      </c>
      <c r="AW13" s="43" t="str">
        <f t="shared" si="4"/>
        <v>Требуются кол-во и нетто</v>
      </c>
      <c r="AX13" s="43" t="str">
        <f t="shared" si="5"/>
        <v>Требуются кол-во и брутто</v>
      </c>
      <c r="AZ13" s="107" t="str">
        <f t="shared" si="6"/>
        <v>Требуются кол-во и цена</v>
      </c>
      <c r="BA13" s="45">
        <f>IF(A13&lt;&gt;"",IFERROR(IF(VLOOKUP(A13,'1C'!A:A,1,0)&lt;&gt;"",1,0),0),"")</f>
        <v>1</v>
      </c>
      <c r="BB13" s="146">
        <f>_xlfn.LET(_xlpm.NAME,IF(D13&lt;&gt;""," "&amp;D13,D13),IF(_xlfn.XLOOKUP(C13&amp;_xlpm.NAME,'1C'!G:G,'1C'!F:F,0,0)=0,0,1))</f>
        <v>0</v>
      </c>
      <c r="BC13" s="73">
        <f>IF(BB13,"-",IF(BA13&gt;0,0,1))</f>
        <v>0</v>
      </c>
    </row>
    <row r="14" spans="1:56" ht="114.4" customHeight="1">
      <c r="A14" s="43" t="str">
        <f t="shared" si="0"/>
        <v>B166white</v>
      </c>
      <c r="B14" s="45" t="str">
        <f>_xlfn.LET(_xlpm.NAME,IF(D14&lt;&gt;""," "&amp;D14,D14),IF(C14&lt;&gt;"",_xlfn.XLOOKUP(A14,'1C'!A:A,'1C'!B:B,MID(_xlfn.XLOOKUP(C14&amp;_xlpm.NAME,'1C'!G:G,'1C'!B:B,"new",0),1,7)&amp;IF(BC14=1,IF(L14&lt;&gt;"",_xlfn.XLOOKUP(L14,Colors!A:A,Colors!B:B,"new",0),"требуется цвет"),""),0)))</f>
        <v>31-083-17</v>
      </c>
      <c r="C14" s="44" t="s">
        <v>912</v>
      </c>
      <c r="D14" s="44" t="str">
        <f>IF(A14&lt;&gt;"",_xlfn.XLOOKUP(C14,'1C'!S:S,'1C'!T:T,"",0),"")</f>
        <v>CLASSIC ROLL UP</v>
      </c>
      <c r="E14" s="43" t="str">
        <f>IF(F14&lt;&gt;"",IFERROR(VLOOKUP(F14,Категории!A:B,2,0),""),"Требуется категория")</f>
        <v>Шляпы</v>
      </c>
      <c r="F14" s="43" t="str">
        <f>_xlfn.LET(_xlpm.NAME,IF(D14&lt;&gt;""," "&amp;D14,D14),IF(BA14&gt;0,IFERROR(VLOOKUP(A14,'1C'!A:T,10,0),""),IFERROR(VLOOKUP(C14&amp;_xlpm.NAME,'1C'!G:J,4,0),"")))</f>
        <v>Шляпа с широкими полями</v>
      </c>
      <c r="G14" s="56" t="str">
        <f>_xlfn.LET(_xlpm.NAME,IF(D14&lt;&gt;""," "&amp;D14,D14),IF(C14&lt;&gt;"",IF(BA14&gt;0,IFERROR(VLOOKUP(A14,'1C'!A:L,12,0),""),IF(BB14&lt;1,IFERROR(VLOOKUP(C14&amp;_xlpm.NAME,'1C'!G:L,6,0),""),"")),""))</f>
        <v>Betmar</v>
      </c>
      <c r="H14" s="43" t="str">
        <f>_xlfn.LET(_xlpm.NAME,IF(D14&lt;&gt;""," "&amp;D14,D14),IF(BA14&gt;0,IF(B14&lt;&gt;"",IFERROR(VLOOKUP(A14,'1C'!A:T,13,0),""),""),IFERROR(VLOOKUP(C14&amp;_xlpm.NAME,'1C'!G:M,7,0),"")))</f>
        <v>летний</v>
      </c>
      <c r="J14" s="57" t="str">
        <f>'1C'!$AF$1</f>
        <v>Betmar</v>
      </c>
      <c r="K14" s="103" t="s">
        <v>840</v>
      </c>
      <c r="L14" s="56" t="str">
        <f>IF(K14&lt;&gt;"",IFERROR(VLOOKUP(A14,'1C'!A:T,8,0),IFERROR(VLOOKUP(K14,Colors!D:E,2,0),"")),"")</f>
        <v>белый</v>
      </c>
      <c r="M14" s="144" t="str">
        <f>IF(K14&lt;&gt;"",IFERROR(VLOOKUP(A14,'1C'!A:T,18,0),IFERROR(VLOOKUP(K14,Colors!D:E,2,0),"")),"")</f>
        <v>белый</v>
      </c>
      <c r="N14" s="145" t="str">
        <f>_xlfn.LET(_xlpm.NAME,IF(D14&lt;&gt;""," "&amp;D14,D14),IF(BA14&gt;0,IF(B14&lt;&gt;"",_xlfn.XLOOKUP(A14,'1C'!A:A,'1C'!I:I,""),0),_xlfn.XLOOKUP(C14&amp;_xlpm.NAME,'1C'!G:G,'1C'!I:I,"",0)))</f>
        <v>50% бумага - 33% полипропилен - 17% полиэстер</v>
      </c>
      <c r="O14" s="65"/>
      <c r="P14" s="56" t="str">
        <f>_xlfn.LET(_xlpm.NAME,IF(D14&lt;&gt;""," "&amp;D14,D14),IF(A14&lt;&gt;"",_xlfn.XLOOKUP(A14,'1C'!A:A,'1C'!N:N,_xlfn.XLOOKUP(C14&amp;_xlpm.NAME,'1C'!G:G,'1C'!N:N,"",0),0),""))</f>
        <v>бумажные</v>
      </c>
      <c r="Q14" s="59" t="str">
        <f>IF(P14&lt;&gt;"",IFERROR(VLOOKUP(P14,MaterialsTypes!F:G,2,0),IFERROR(VLOOKUP(N14,MaterialsTypes100,2,0),"")),IFERROR(VLOOKUP(N14,MaterialsTypes100,2,0),""))</f>
        <v>Плетёный</v>
      </c>
      <c r="R14" s="59" t="str">
        <f>_xlfn.LET(_xlpm.NAME,IF(D14&lt;&gt;""," "&amp;D14,D14),IF(B14&lt;&gt;"",IFERROR(VLOOKUP(A14,'1C'!A:T,11,0),_xlfn.XLOOKUP(C14&amp;_xlpm.NAME,'1C'!G:G,'1C'!K:K,"",0)),""))</f>
        <v>Женский</v>
      </c>
      <c r="S14" s="58"/>
      <c r="V14" s="58"/>
      <c r="X14" s="58"/>
      <c r="Z14" s="58"/>
      <c r="AB14" s="58"/>
      <c r="AD14" s="58"/>
      <c r="AQ14" s="57" t="str">
        <f t="shared" si="1"/>
        <v/>
      </c>
      <c r="AR14" s="43" t="str">
        <f>IF(BA14&gt;0,IF(B14&lt;&gt;"",IFERROR(VLOOKUP(VLOOKUP(A14,'1C'!A:T,15,0),Settings!N:O,2,0),""),""),"")</f>
        <v>CN</v>
      </c>
      <c r="AS14" s="56" t="str">
        <f ca="1">IF(BA14&gt;0,_xlfn.XLOOKUP(A14,'1C'!$A:$A,'1C'!P:P,"",0,),IF(AR14&lt;&gt;"",VLOOKUP(AR14,INDIRECT(SUBSTITUTE($J14," ","")&amp;"Manufactures"),3,0),"Требуется код страны"))</f>
        <v>Bollman Headwear Europe Ltd; 2 Merchants drive, Caelisle, Cumbria CA3 0JW, United Kingdom</v>
      </c>
      <c r="AT14" s="56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76">
        <f t="shared" si="2"/>
        <v>0.1</v>
      </c>
      <c r="AV14" s="43">
        <f t="shared" si="3"/>
        <v>0.15000000000000002</v>
      </c>
      <c r="AW14" s="43" t="str">
        <f t="shared" si="4"/>
        <v>Требуются кол-во и нетто</v>
      </c>
      <c r="AX14" s="43" t="str">
        <f t="shared" si="5"/>
        <v>Требуются кол-во и брутто</v>
      </c>
      <c r="AZ14" s="107" t="str">
        <f t="shared" si="6"/>
        <v>Требуются кол-во и цена</v>
      </c>
      <c r="BA14" s="45">
        <f>IF(A14&lt;&gt;"",IFERROR(IF(VLOOKUP(A14,'1C'!A:A,1,0)&lt;&gt;"",1,0),0),"")</f>
        <v>1</v>
      </c>
      <c r="BB14" s="146">
        <f>_xlfn.LET(_xlpm.NAME,IF(D14&lt;&gt;""," "&amp;D14,D14),IF(_xlfn.XLOOKUP(C14&amp;_xlpm.NAME,'1C'!G:G,'1C'!F:F,0,0)=0,0,1))</f>
        <v>0</v>
      </c>
      <c r="BC14" s="73">
        <f>IF(BB14,"-",IF(BA14&gt;0,0,1))</f>
        <v>0</v>
      </c>
    </row>
    <row r="15" spans="1:56" ht="92.1" customHeight="1">
      <c r="A15" s="43" t="str">
        <f t="shared" si="0"/>
        <v>B1701Hblack</v>
      </c>
      <c r="B15" s="45" t="str">
        <f>_xlfn.LET(_xlpm.NAME,IF(D15&lt;&gt;""," "&amp;D15,D15),IF(C15&lt;&gt;"",_xlfn.XLOOKUP(A15,'1C'!A:A,'1C'!B:B,MID(_xlfn.XLOOKUP(C15&amp;_xlpm.NAME,'1C'!G:G,'1C'!B:B,"new",0),1,7)&amp;IF(BC15=1,IF(L15&lt;&gt;"",_xlfn.XLOOKUP(L15,Colors!A:A,Colors!B:B,"new",0),"требуется цвет"),""),0)))</f>
        <v>31-150-09</v>
      </c>
      <c r="C15" s="44" t="s">
        <v>913</v>
      </c>
      <c r="D15" s="44" t="str">
        <f>IF(A15&lt;&gt;"",_xlfn.XLOOKUP(C15,'1C'!S:S,'1C'!T:T,"",0),"")</f>
        <v>SELENA</v>
      </c>
      <c r="E15" s="43" t="str">
        <f>IF(F15&lt;&gt;"",IFERROR(VLOOKUP(F15,Категории!A:B,2,0),""),"Требуется категория")</f>
        <v>Шляпы</v>
      </c>
      <c r="F15" s="43" t="str">
        <f>_xlfn.LET(_xlpm.NAME,IF(D15&lt;&gt;""," "&amp;D15,D15),IF(BA15&gt;0,IFERROR(VLOOKUP(A15,'1C'!A:T,10,0),""),IFERROR(VLOOKUP(C15&amp;_xlpm.NAME,'1C'!G:J,4,0),"")))</f>
        <v>Шляпа с широкими полями</v>
      </c>
      <c r="G15" s="56" t="str">
        <f>_xlfn.LET(_xlpm.NAME,IF(D15&lt;&gt;""," "&amp;D15,D15),IF(C15&lt;&gt;"",IF(BA15&gt;0,IFERROR(VLOOKUP(A15,'1C'!A:L,12,0),""),IF(BB15&lt;1,IFERROR(VLOOKUP(C15&amp;_xlpm.NAME,'1C'!G:L,6,0),""),"")),""))</f>
        <v>Betmar</v>
      </c>
      <c r="H15" s="43" t="str">
        <f>_xlfn.LET(_xlpm.NAME,IF(D15&lt;&gt;""," "&amp;D15,D15),IF(BA15&gt;0,IF(B15&lt;&gt;"",IFERROR(VLOOKUP(A15,'1C'!A:T,13,0),""),""),IFERROR(VLOOKUP(C15&amp;_xlpm.NAME,'1C'!G:M,7,0),"")))</f>
        <v>летний</v>
      </c>
      <c r="J15" s="57" t="str">
        <f>'1C'!$AF$1</f>
        <v>Betmar</v>
      </c>
      <c r="K15" s="103" t="s">
        <v>831</v>
      </c>
      <c r="L15" s="56" t="str">
        <f>IF(K15&lt;&gt;"",IFERROR(VLOOKUP(A15,'1C'!A:T,8,0),IFERROR(VLOOKUP(K15,Colors!D:E,2,0),"")),"")</f>
        <v>черный</v>
      </c>
      <c r="M15" s="144" t="str">
        <f>IF(K15&lt;&gt;"",IFERROR(VLOOKUP(A15,'1C'!A:T,18,0),IFERROR(VLOOKUP(K15,Colors!D:E,2,0),"")),"")</f>
        <v>черный</v>
      </c>
      <c r="N15" s="145" t="str">
        <f>_xlfn.LET(_xlpm.NAME,IF(D15&lt;&gt;""," "&amp;D15,D15),IF(BA15&gt;0,IF(B15&lt;&gt;"",_xlfn.XLOOKUP(A15,'1C'!A:A,'1C'!I:I,""),0),_xlfn.XLOOKUP(C15&amp;_xlpm.NAME,'1C'!G:G,'1C'!I:I,"",0)))</f>
        <v>88% бумага - 12% полиэстер</v>
      </c>
      <c r="O15" s="65"/>
      <c r="P15" s="56" t="str">
        <f>_xlfn.LET(_xlpm.NAME,IF(D15&lt;&gt;""," "&amp;D15,D15),IF(A15&lt;&gt;"",_xlfn.XLOOKUP(A15,'1C'!A:A,'1C'!N:N,_xlfn.XLOOKUP(C15&amp;_xlpm.NAME,'1C'!G:G,'1C'!N:N,"",0),0),""))</f>
        <v>бумажные</v>
      </c>
      <c r="Q15" s="59" t="str">
        <f>IF(P15&lt;&gt;"",IFERROR(VLOOKUP(P15,MaterialsTypes!F:G,2,0),IFERROR(VLOOKUP(N15,MaterialsTypes100,2,0),"")),IFERROR(VLOOKUP(N15,MaterialsTypes100,2,0),""))</f>
        <v>Плетёный</v>
      </c>
      <c r="R15" s="59" t="str">
        <f>_xlfn.LET(_xlpm.NAME,IF(D15&lt;&gt;""," "&amp;D15,D15),IF(B15&lt;&gt;"",IFERROR(VLOOKUP(A15,'1C'!A:T,11,0),_xlfn.XLOOKUP(C15&amp;_xlpm.NAME,'1C'!G:G,'1C'!K:K,"",0)),""))</f>
        <v>Женский</v>
      </c>
      <c r="S15" s="58"/>
      <c r="V15" s="58"/>
      <c r="X15" s="58"/>
      <c r="Z15" s="58"/>
      <c r="AB15" s="58"/>
      <c r="AD15" s="58"/>
      <c r="AQ15" s="57" t="str">
        <f t="shared" si="1"/>
        <v/>
      </c>
      <c r="AR15" s="43" t="str">
        <f>IF(BA15&gt;0,IF(B15&lt;&gt;"",IFERROR(VLOOKUP(VLOOKUP(A15,'1C'!A:T,15,0),Settings!N:O,2,0),""),""),"")</f>
        <v>CN</v>
      </c>
      <c r="AS15" s="56" t="str">
        <f ca="1">IF(BA15&gt;0,_xlfn.XLOOKUP(A15,'1C'!$A:$A,'1C'!P:P,"",0,),IF(AR15&lt;&gt;"",VLOOKUP(AR15,INDIRECT(SUBSTITUTE($J15," ","")&amp;"Manufactures"),3,0),"Требуется код страны"))</f>
        <v>Bollman Headwear Europe Ltd; 2 Merchants drive, Caelisle, Cumbria CA3 0JW, UK</v>
      </c>
      <c r="AT15" s="56" t="str">
        <f ca="1">IF(BA15&gt;0,_xlfn.XLOOKUP(A15,'1C'!$A:$A,'1C'!O:O,"",0),IF(AR15&lt;&gt;"",VLOOKUP(AR15,INDIRECT(SUBSTITUTE($J15," ","")&amp;"Manufactures"),2,0),"Требуется код страны"))</f>
        <v>Китай</v>
      </c>
      <c r="AU15" s="76">
        <f t="shared" si="2"/>
        <v>0.1</v>
      </c>
      <c r="AV15" s="43">
        <f t="shared" si="3"/>
        <v>0.15000000000000002</v>
      </c>
      <c r="AW15" s="43" t="str">
        <f t="shared" si="4"/>
        <v>Требуются кол-во и нетто</v>
      </c>
      <c r="AX15" s="43" t="str">
        <f t="shared" si="5"/>
        <v>Требуются кол-во и брутто</v>
      </c>
      <c r="AZ15" s="107" t="str">
        <f t="shared" si="6"/>
        <v>Требуются кол-во и цена</v>
      </c>
      <c r="BA15" s="45">
        <f>IF(A15&lt;&gt;"",IFERROR(IF(VLOOKUP(A15,'1C'!A:A,1,0)&lt;&gt;"",1,0),0),"")</f>
        <v>1</v>
      </c>
      <c r="BB15" s="146">
        <f>_xlfn.LET(_xlpm.NAME,IF(D15&lt;&gt;""," "&amp;D15,D15),IF(_xlfn.XLOOKUP(C15&amp;_xlpm.NAME,'1C'!G:G,'1C'!F:F,0,0)=0,0,1))</f>
        <v>0</v>
      </c>
      <c r="BC15" s="73">
        <f>IF(BB15,"-",IF(BA15&gt;0,0,1))</f>
        <v>0</v>
      </c>
    </row>
    <row r="16" spans="1:56" ht="108.75" customHeight="1">
      <c r="A16" s="43" t="str">
        <f t="shared" si="0"/>
        <v>B1703Hnatural/black</v>
      </c>
      <c r="B16" s="45" t="str">
        <f>_xlfn.LET(_xlpm.NAME,IF(D16&lt;&gt;""," "&amp;D16,D16),IF(C16&lt;&gt;"",_xlfn.XLOOKUP(A16,'1C'!A:A,'1C'!B:B,MID(_xlfn.XLOOKUP(C16&amp;_xlpm.NAME,'1C'!G:G,'1C'!B:B,"new",0),1,7)&amp;IF(BC16=1,IF(L16&lt;&gt;"",_xlfn.XLOOKUP(L16,Colors!A:A,Colors!B:B,"new",0),"требуется цвет"),""),0)))</f>
        <v>31-152-53</v>
      </c>
      <c r="C16" s="44" t="s">
        <v>914</v>
      </c>
      <c r="D16" s="44" t="str">
        <f>IF(A16&lt;&gt;"",_xlfn.XLOOKUP(C16,'1C'!S:S,'1C'!T:T,"",0),"")</f>
        <v>PORTO</v>
      </c>
      <c r="E16" s="43" t="str">
        <f>IF(F16&lt;&gt;"",IFERROR(VLOOKUP(F16,Категории!A:B,2,0),""),"Требуется категория")</f>
        <v>Шляпы</v>
      </c>
      <c r="F16" s="43" t="str">
        <f>_xlfn.LET(_xlpm.NAME,IF(D16&lt;&gt;""," "&amp;D16,D16),IF(BA16&gt;0,IFERROR(VLOOKUP(A16,'1C'!A:T,10,0),""),IFERROR(VLOOKUP(C16&amp;_xlpm.NAME,'1C'!G:J,4,0),"")))</f>
        <v>Шляпа с широкими полями</v>
      </c>
      <c r="G16" s="56" t="str">
        <f>_xlfn.LET(_xlpm.NAME,IF(D16&lt;&gt;""," "&amp;D16,D16),IF(C16&lt;&gt;"",IF(BA16&gt;0,IFERROR(VLOOKUP(A16,'1C'!A:L,12,0),""),IF(BB16&lt;1,IFERROR(VLOOKUP(C16&amp;_xlpm.NAME,'1C'!G:L,6,0),""),"")),""))</f>
        <v>Betmar</v>
      </c>
      <c r="H16" s="43" t="str">
        <f>_xlfn.LET(_xlpm.NAME,IF(D16&lt;&gt;""," "&amp;D16,D16),IF(BA16&gt;0,IF(B16&lt;&gt;"",IFERROR(VLOOKUP(A16,'1C'!A:T,13,0),""),""),IFERROR(VLOOKUP(C16&amp;_xlpm.NAME,'1C'!G:M,7,0),"")))</f>
        <v>летний</v>
      </c>
      <c r="J16" s="57" t="str">
        <f>'1C'!$AF$1</f>
        <v>Betmar</v>
      </c>
      <c r="K16" s="103" t="s">
        <v>865</v>
      </c>
      <c r="L16" s="56" t="str">
        <f>IF(K16&lt;&gt;"",IFERROR(VLOOKUP(A16,'1C'!A:T,8,0),IFERROR(VLOOKUP(K16,Colors!D:E,2,0),"")),"")</f>
        <v>бежевый / черный</v>
      </c>
      <c r="M16" s="144" t="str">
        <f>IF(K16&lt;&gt;"",IFERROR(VLOOKUP(A16,'1C'!A:T,18,0),IFERROR(VLOOKUP(K16,Colors!D:E,2,0),"")),"")</f>
        <v>бежевый</v>
      </c>
      <c r="N16" s="145" t="str">
        <f>_xlfn.LET(_xlpm.NAME,IF(D16&lt;&gt;""," "&amp;D16,D16),IF(BA16&gt;0,IF(B16&lt;&gt;"",_xlfn.XLOOKUP(A16,'1C'!A:A,'1C'!I:I,""),0),_xlfn.XLOOKUP(C16&amp;_xlpm.NAME,'1C'!G:G,'1C'!I:I,"",0)))</f>
        <v>50% бумага - 33% полипропилен - 17% полиэстер</v>
      </c>
      <c r="O16" s="65"/>
      <c r="P16" s="56" t="str">
        <f>_xlfn.LET(_xlpm.NAME,IF(D16&lt;&gt;""," "&amp;D16,D16),IF(A16&lt;&gt;"",_xlfn.XLOOKUP(A16,'1C'!A:A,'1C'!N:N,_xlfn.XLOOKUP(C16&amp;_xlpm.NAME,'1C'!G:G,'1C'!N:N,"",0),0),""))</f>
        <v>бумажные</v>
      </c>
      <c r="Q16" s="59" t="str">
        <f>IF(P16&lt;&gt;"",IFERROR(VLOOKUP(P16,MaterialsTypes!F:G,2,0),IFERROR(VLOOKUP(N16,MaterialsTypes100,2,0),"")),IFERROR(VLOOKUP(N16,MaterialsTypes100,2,0),""))</f>
        <v>Плетёный</v>
      </c>
      <c r="R16" s="59" t="str">
        <f>_xlfn.LET(_xlpm.NAME,IF(D16&lt;&gt;""," "&amp;D16,D16),IF(B16&lt;&gt;"",IFERROR(VLOOKUP(A16,'1C'!A:T,11,0),_xlfn.XLOOKUP(C16&amp;_xlpm.NAME,'1C'!G:G,'1C'!K:K,"",0)),""))</f>
        <v>Женский</v>
      </c>
      <c r="S16" s="58"/>
      <c r="V16" s="58"/>
      <c r="X16" s="58"/>
      <c r="Z16" s="58"/>
      <c r="AB16" s="58"/>
      <c r="AD16" s="58"/>
      <c r="AQ16" s="57" t="str">
        <f t="shared" si="1"/>
        <v/>
      </c>
      <c r="AR16" s="43" t="str">
        <f>IF(BA16&gt;0,IF(B16&lt;&gt;"",IFERROR(VLOOKUP(VLOOKUP(A16,'1C'!A:T,15,0),Settings!N:O,2,0),""),""),"")</f>
        <v>CN</v>
      </c>
      <c r="AS16" s="56" t="str">
        <f ca="1">IF(BA16&gt;0,_xlfn.XLOOKUP(A16,'1C'!$A:$A,'1C'!P:P,"",0,),IF(AR16&lt;&gt;"",VLOOKUP(AR16,INDIRECT(SUBSTITUTE($J16," ","")&amp;"Manufactures"),3,0),"Требуется код страны"))</f>
        <v>Bollman Headwear Europe Ltd; 2 Merchants drive, Caelisle, Cumbria CA3 0JW, UK</v>
      </c>
      <c r="AT16" s="56" t="str">
        <f ca="1">IF(BA16&gt;0,_xlfn.XLOOKUP(A16,'1C'!$A:$A,'1C'!O:O,"",0),IF(AR16&lt;&gt;"",VLOOKUP(AR16,INDIRECT(SUBSTITUTE($J16," ","")&amp;"Manufactures"),2,0),"Требуется код страны"))</f>
        <v>Китай</v>
      </c>
      <c r="AU16" s="76">
        <f t="shared" si="2"/>
        <v>0.1</v>
      </c>
      <c r="AV16" s="43">
        <f t="shared" si="3"/>
        <v>0.15000000000000002</v>
      </c>
      <c r="AW16" s="43" t="str">
        <f t="shared" si="4"/>
        <v>Требуются кол-во и нетто</v>
      </c>
      <c r="AX16" s="43" t="str">
        <f t="shared" si="5"/>
        <v>Требуются кол-во и брутто</v>
      </c>
      <c r="AZ16" s="107" t="str">
        <f t="shared" si="6"/>
        <v>Требуются кол-во и цена</v>
      </c>
      <c r="BA16" s="45">
        <f>IF(A16&lt;&gt;"",IFERROR(IF(VLOOKUP(A16,'1C'!A:A,1,0)&lt;&gt;"",1,0),0),"")</f>
        <v>1</v>
      </c>
      <c r="BB16" s="146">
        <f>_xlfn.LET(_xlpm.NAME,IF(D16&lt;&gt;""," "&amp;D16,D16),IF(_xlfn.XLOOKUP(C16&amp;_xlpm.NAME,'1C'!G:G,'1C'!F:F,0,0)=0,0,1))</f>
        <v>0</v>
      </c>
      <c r="BC16" s="73">
        <f>IF(BB16,"-",IF(BA16&gt;0,0,1))</f>
        <v>0</v>
      </c>
    </row>
    <row r="17" spans="1:55" ht="92.85" customHeight="1">
      <c r="A17" s="43" t="str">
        <f t="shared" si="0"/>
        <v>B1705Hivory.black</v>
      </c>
      <c r="B17" s="45" t="str">
        <f>_xlfn.LET(_xlpm.NAME,IF(D17&lt;&gt;""," "&amp;D17,D17),IF(C17&lt;&gt;"",_xlfn.XLOOKUP(A17,'1C'!A:A,'1C'!B:B,MID(_xlfn.XLOOKUP(C17&amp;_xlpm.NAME,'1C'!G:G,'1C'!B:B,"new",0),1,7)&amp;IF(BC17=1,IF(L17&lt;&gt;"",_xlfn.XLOOKUP(L17,Colors!A:A,Colors!B:B,"new",0),"требуется цвет"),""),0)))</f>
        <v>31-153-48</v>
      </c>
      <c r="C17" s="44" t="s">
        <v>915</v>
      </c>
      <c r="D17" s="44" t="str">
        <f>IF(A17&lt;&gt;"",_xlfn.XLOOKUP(C17,'1C'!S:S,'1C'!T:T,"",0),"")</f>
        <v>MONACO</v>
      </c>
      <c r="E17" s="43" t="str">
        <f>IF(F17&lt;&gt;"",IFERROR(VLOOKUP(F17,Категории!A:B,2,0),""),"Требуется категория")</f>
        <v>Шляпы</v>
      </c>
      <c r="F17" s="43" t="str">
        <f>_xlfn.LET(_xlpm.NAME,IF(D17&lt;&gt;""," "&amp;D17,D17),IF(BA17&gt;0,IFERROR(VLOOKUP(A17,'1C'!A:T,10,0),""),IFERROR(VLOOKUP(C17&amp;_xlpm.NAME,'1C'!G:J,4,0),"")))</f>
        <v>Шляпа федора</v>
      </c>
      <c r="G17" s="56" t="str">
        <f>_xlfn.LET(_xlpm.NAME,IF(D17&lt;&gt;""," "&amp;D17,D17),IF(C17&lt;&gt;"",IF(BA17&gt;0,IFERROR(VLOOKUP(A17,'1C'!A:L,12,0),""),IF(BB17&lt;1,IFERROR(VLOOKUP(C17&amp;_xlpm.NAME,'1C'!G:L,6,0),""),"")),""))</f>
        <v>Betmar</v>
      </c>
      <c r="H17" s="43" t="str">
        <f>_xlfn.LET(_xlpm.NAME,IF(D17&lt;&gt;""," "&amp;D17,D17),IF(BA17&gt;0,IF(B17&lt;&gt;"",IFERROR(VLOOKUP(A17,'1C'!A:T,13,0),""),""),IFERROR(VLOOKUP(C17&amp;_xlpm.NAME,'1C'!G:M,7,0),"")))</f>
        <v>летний</v>
      </c>
      <c r="J17" s="57" t="str">
        <f>'1C'!$AF$1</f>
        <v>Betmar</v>
      </c>
      <c r="K17" s="103" t="s">
        <v>931</v>
      </c>
      <c r="L17" s="56" t="str">
        <f>IF(K17&lt;&gt;"",IFERROR(VLOOKUP(A17,'1C'!A:T,8,0),IFERROR(VLOOKUP(K17,Colors!D:E,2,0),"")),"")</f>
        <v>белый / черный</v>
      </c>
      <c r="M17" s="144" t="str">
        <f>IF(K17&lt;&gt;"",IFERROR(VLOOKUP(A17,'1C'!A:T,18,0),IFERROR(VLOOKUP(K17,Colors!D:E,2,0),"")),"")</f>
        <v>белый</v>
      </c>
      <c r="N17" s="145" t="str">
        <f>_xlfn.LET(_xlpm.NAME,IF(D17&lt;&gt;""," "&amp;D17,D17),IF(BA17&gt;0,IF(B17&lt;&gt;"",_xlfn.XLOOKUP(A17,'1C'!A:A,'1C'!I:I,""),0),_xlfn.XLOOKUP(C17&amp;_xlpm.NAME,'1C'!G:G,'1C'!I:I,"",0)))</f>
        <v>100% бумага</v>
      </c>
      <c r="O17" s="65"/>
      <c r="P17" s="56" t="str">
        <f>_xlfn.LET(_xlpm.NAME,IF(D17&lt;&gt;""," "&amp;D17,D17),IF(A17&lt;&gt;"",_xlfn.XLOOKUP(A17,'1C'!A:A,'1C'!N:N,_xlfn.XLOOKUP(C17&amp;_xlpm.NAME,'1C'!G:G,'1C'!N:N,"",0),0),""))</f>
        <v>бумажные</v>
      </c>
      <c r="Q17" s="59" t="str">
        <f>IF(P17&lt;&gt;"",IFERROR(VLOOKUP(P17,MaterialsTypes!F:G,2,0),IFERROR(VLOOKUP(N17,MaterialsTypes100,2,0),"")),IFERROR(VLOOKUP(N17,MaterialsTypes100,2,0),""))</f>
        <v>Плетёный</v>
      </c>
      <c r="R17" s="59" t="str">
        <f>_xlfn.LET(_xlpm.NAME,IF(D17&lt;&gt;""," "&amp;D17,D17),IF(B17&lt;&gt;"",IFERROR(VLOOKUP(A17,'1C'!A:T,11,0),_xlfn.XLOOKUP(C17&amp;_xlpm.NAME,'1C'!G:G,'1C'!K:K,"",0)),""))</f>
        <v>Женский</v>
      </c>
      <c r="S17" s="58"/>
      <c r="V17" s="58"/>
      <c r="X17" s="58"/>
      <c r="Z17" s="58"/>
      <c r="AB17" s="58"/>
      <c r="AD17" s="58"/>
      <c r="AQ17" s="57" t="str">
        <f t="shared" si="1"/>
        <v/>
      </c>
      <c r="AR17" s="43" t="str">
        <f>IF(BA17&gt;0,IF(B17&lt;&gt;"",IFERROR(VLOOKUP(VLOOKUP(A17,'1C'!A:T,15,0),Settings!N:O,2,0),""),""),"")</f>
        <v>CN</v>
      </c>
      <c r="AS17" s="56" t="str">
        <f ca="1">IF(BA17&gt;0,_xlfn.XLOOKUP(A17,'1C'!$A:$A,'1C'!P:P,"",0,),IF(AR17&lt;&gt;"",VLOOKUP(AR17,INDIRECT(SUBSTITUTE($J17," ","")&amp;"Manufactures"),3,0),"Требуется код страны"))</f>
        <v>Bollman Headwear Europe Ltd; 2 Merchants drive, Caelisle, Cumbria CA3 0JW, UK</v>
      </c>
      <c r="AT17" s="56" t="str">
        <f ca="1">IF(BA17&gt;0,_xlfn.XLOOKUP(A17,'1C'!$A:$A,'1C'!O:O,"",0),IF(AR17&lt;&gt;"",VLOOKUP(AR17,INDIRECT(SUBSTITUTE($J17," ","")&amp;"Manufactures"),2,0),"Требуется код страны"))</f>
        <v>Китай</v>
      </c>
      <c r="AU17" s="76">
        <f t="shared" si="2"/>
        <v>0.1</v>
      </c>
      <c r="AV17" s="43">
        <f t="shared" si="3"/>
        <v>0.15000000000000002</v>
      </c>
      <c r="AW17" s="43" t="str">
        <f t="shared" si="4"/>
        <v>Требуются кол-во и нетто</v>
      </c>
      <c r="AX17" s="43" t="str">
        <f t="shared" si="5"/>
        <v>Требуются кол-во и брутто</v>
      </c>
      <c r="AZ17" s="107" t="str">
        <f t="shared" si="6"/>
        <v>Требуются кол-во и цена</v>
      </c>
      <c r="BA17" s="45">
        <f>IF(A17&lt;&gt;"",IFERROR(IF(VLOOKUP(A17,'1C'!A:A,1,0)&lt;&gt;"",1,0),0),"")</f>
        <v>1</v>
      </c>
      <c r="BB17" s="146">
        <f>_xlfn.LET(_xlpm.NAME,IF(D17&lt;&gt;""," "&amp;D17,D17),IF(_xlfn.XLOOKUP(C17&amp;_xlpm.NAME,'1C'!G:G,'1C'!F:F,0,0)=0,0,1))</f>
        <v>0</v>
      </c>
      <c r="BC17" s="73">
        <f>IF(BB17,"-",IF(BA17&gt;0,0,1))</f>
        <v>0</v>
      </c>
    </row>
    <row r="18" spans="1:55" ht="94.15" customHeight="1">
      <c r="A18" s="43" t="str">
        <f t="shared" si="0"/>
        <v>B1735Hnatural.black</v>
      </c>
      <c r="B18" s="45" t="str">
        <f>_xlfn.LET(_xlpm.NAME,IF(D18&lt;&gt;""," "&amp;D18,D18),IF(C18&lt;&gt;"",_xlfn.XLOOKUP(A18,'1C'!A:A,'1C'!B:B,MID(_xlfn.XLOOKUP(C18&amp;_xlpm.NAME,'1C'!G:G,'1C'!B:B,"new",0),1,7)&amp;IF(BC18=1,IF(L18&lt;&gt;"",_xlfn.XLOOKUP(L18,Colors!A:A,Colors!B:B,"new",0),"требуется цвет"),""),0)))</f>
        <v>31-171-53</v>
      </c>
      <c r="C18" s="44" t="s">
        <v>916</v>
      </c>
      <c r="D18" s="44" t="str">
        <f>IF(A18&lt;&gt;"",_xlfn.XLOOKUP(C18,'1C'!S:S,'1C'!T:T,"",0),"")</f>
        <v>AUDREY</v>
      </c>
      <c r="E18" s="43" t="str">
        <f>IF(F18&lt;&gt;"",IFERROR(VLOOKUP(F18,Категории!A:B,2,0),""),"Требуется категория")</f>
        <v>Шляпы</v>
      </c>
      <c r="F18" s="43" t="str">
        <f>_xlfn.LET(_xlpm.NAME,IF(D18&lt;&gt;""," "&amp;D18,D18),IF(BA18&gt;0,IFERROR(VLOOKUP(A18,'1C'!A:T,10,0),""),IFERROR(VLOOKUP(C18&amp;_xlpm.NAME,'1C'!G:J,4,0),"")))</f>
        <v>Шляпа с широкими полями</v>
      </c>
      <c r="G18" s="56" t="str">
        <f>_xlfn.LET(_xlpm.NAME,IF(D18&lt;&gt;""," "&amp;D18,D18),IF(C18&lt;&gt;"",IF(BA18&gt;0,IFERROR(VLOOKUP(A18,'1C'!A:L,12,0),""),IF(BB18&lt;1,IFERROR(VLOOKUP(C18&amp;_xlpm.NAME,'1C'!G:L,6,0),""),"")),""))</f>
        <v>Betmar</v>
      </c>
      <c r="H18" s="43" t="str">
        <f>_xlfn.LET(_xlpm.NAME,IF(D18&lt;&gt;""," "&amp;D18,D18),IF(BA18&gt;0,IF(B18&lt;&gt;"",IFERROR(VLOOKUP(A18,'1C'!A:T,13,0),""),""),IFERROR(VLOOKUP(C18&amp;_xlpm.NAME,'1C'!G:M,7,0),"")))</f>
        <v>летний</v>
      </c>
      <c r="J18" s="57" t="str">
        <f>'1C'!$AF$1</f>
        <v>Betmar</v>
      </c>
      <c r="K18" s="103" t="s">
        <v>888</v>
      </c>
      <c r="L18" s="56" t="str">
        <f>IF(K18&lt;&gt;"",IFERROR(VLOOKUP(A18,'1C'!A:T,8,0),IFERROR(VLOOKUP(K18,Colors!D:E,2,0),"")),"")</f>
        <v>бежевый / черный</v>
      </c>
      <c r="M18" s="144" t="str">
        <f>IF(K18&lt;&gt;"",IFERROR(VLOOKUP(A18,'1C'!A:T,18,0),IFERROR(VLOOKUP(K18,Colors!D:E,2,0),"")),"")</f>
        <v>бежевый</v>
      </c>
      <c r="N18" s="145" t="str">
        <f>_xlfn.LET(_xlpm.NAME,IF(D18&lt;&gt;""," "&amp;D18,D18),IF(BA18&gt;0,IF(B18&lt;&gt;"",_xlfn.XLOOKUP(A18,'1C'!A:A,'1C'!I:I,""),0),_xlfn.XLOOKUP(C18&amp;_xlpm.NAME,'1C'!G:G,'1C'!I:I,"",0)))</f>
        <v>45% бумага - 35% полипропилен - 20% полиэстер</v>
      </c>
      <c r="O18" s="65"/>
      <c r="P18" s="56" t="str">
        <f>_xlfn.LET(_xlpm.NAME,IF(D18&lt;&gt;""," "&amp;D18,D18),IF(A18&lt;&gt;"",_xlfn.XLOOKUP(A18,'1C'!A:A,'1C'!N:N,_xlfn.XLOOKUP(C18&amp;_xlpm.NAME,'1C'!G:G,'1C'!N:N,"",0),0),""))</f>
        <v>бумажные</v>
      </c>
      <c r="Q18" s="59" t="str">
        <f>IF(P18&lt;&gt;"",IFERROR(VLOOKUP(P18,MaterialsTypes!F:G,2,0),IFERROR(VLOOKUP(N18,MaterialsTypes100,2,0),"")),IFERROR(VLOOKUP(N18,MaterialsTypes100,2,0),""))</f>
        <v>Плетёный</v>
      </c>
      <c r="R18" s="59" t="str">
        <f>_xlfn.LET(_xlpm.NAME,IF(D18&lt;&gt;""," "&amp;D18,D18),IF(B18&lt;&gt;"",IFERROR(VLOOKUP(A18,'1C'!A:T,11,0),_xlfn.XLOOKUP(C18&amp;_xlpm.NAME,'1C'!G:G,'1C'!K:K,"",0)),""))</f>
        <v>Женский</v>
      </c>
      <c r="S18" s="58"/>
      <c r="V18" s="58"/>
      <c r="X18" s="58"/>
      <c r="Z18" s="58"/>
      <c r="AB18" s="58"/>
      <c r="AD18" s="58"/>
      <c r="AQ18" s="57" t="str">
        <f t="shared" si="1"/>
        <v/>
      </c>
      <c r="AR18" s="43" t="str">
        <f>IF(BA18&gt;0,IF(B18&lt;&gt;"",IFERROR(VLOOKUP(VLOOKUP(A18,'1C'!A:T,15,0),Settings!N:O,2,0),""),""),"")</f>
        <v>CN</v>
      </c>
      <c r="AS18" s="56" t="str">
        <f ca="1">IF(BA18&gt;0,_xlfn.XLOOKUP(A18,'1C'!$A:$A,'1C'!P:P,"",0,),IF(AR18&lt;&gt;"",VLOOKUP(AR18,INDIRECT(SUBSTITUTE($J18," ","")&amp;"Manufactures"),3,0),"Требуется код страны"))</f>
        <v>Bollman Headwear Europe Ltd; 2 Merchants drive, Caelisle, Cumbria CA3 0JW, UK</v>
      </c>
      <c r="AT18" s="56" t="str">
        <f ca="1">IF(BA18&gt;0,_xlfn.XLOOKUP(A18,'1C'!$A:$A,'1C'!O:O,"",0),IF(AR18&lt;&gt;"",VLOOKUP(AR18,INDIRECT(SUBSTITUTE($J18," ","")&amp;"Manufactures"),2,0),"Требуется код страны"))</f>
        <v>Китай</v>
      </c>
      <c r="AU18" s="76">
        <f t="shared" si="2"/>
        <v>0.1</v>
      </c>
      <c r="AV18" s="43">
        <f t="shared" si="3"/>
        <v>0.15000000000000002</v>
      </c>
      <c r="AW18" s="43" t="str">
        <f t="shared" si="4"/>
        <v>Требуются кол-во и нетто</v>
      </c>
      <c r="AX18" s="43" t="str">
        <f t="shared" si="5"/>
        <v>Требуются кол-во и брутто</v>
      </c>
      <c r="AZ18" s="107" t="str">
        <f t="shared" si="6"/>
        <v>Требуются кол-во и цена</v>
      </c>
      <c r="BA18" s="45">
        <f>IF(A18&lt;&gt;"",IFERROR(IF(VLOOKUP(A18,'1C'!A:A,1,0)&lt;&gt;"",1,0),0),"")</f>
        <v>1</v>
      </c>
      <c r="BB18" s="146">
        <f>_xlfn.LET(_xlpm.NAME,IF(D18&lt;&gt;""," "&amp;D18,D18),IF(_xlfn.XLOOKUP(C18&amp;_xlpm.NAME,'1C'!G:G,'1C'!F:F,0,0)=0,0,1))</f>
        <v>0</v>
      </c>
      <c r="BC18" s="73">
        <f>IF(BB18,"-",IF(BA18&gt;0,0,1))</f>
        <v>0</v>
      </c>
    </row>
    <row r="19" spans="1:55" ht="99" customHeight="1">
      <c r="A19" s="43" t="str">
        <f t="shared" si="0"/>
        <v>B1735Hwhite.natural</v>
      </c>
      <c r="B19" s="45" t="str">
        <f>_xlfn.LET(_xlpm.NAME,IF(D19&lt;&gt;""," "&amp;D19,D19),IF(C19&lt;&gt;"",_xlfn.XLOOKUP(A19,'1C'!A:A,'1C'!B:B,MID(_xlfn.XLOOKUP(C19&amp;_xlpm.NAME,'1C'!G:G,'1C'!B:B,"new",0),1,7)&amp;IF(BC19=1,IF(L19&lt;&gt;"",_xlfn.XLOOKUP(L19,Colors!A:A,Colors!B:B,"new",0),"требуется цвет"),""),0)))</f>
        <v>31-171-00</v>
      </c>
      <c r="C19" s="44" t="s">
        <v>916</v>
      </c>
      <c r="D19" s="44" t="str">
        <f>IF(A19&lt;&gt;"",_xlfn.XLOOKUP(C19,'1C'!S:S,'1C'!T:T,"",0),"")</f>
        <v>AUDREY</v>
      </c>
      <c r="E19" s="43" t="str">
        <f>IF(F19&lt;&gt;"",IFERROR(VLOOKUP(F19,Категории!A:B,2,0),""),"Требуется категория")</f>
        <v>Шляпы</v>
      </c>
      <c r="F19" s="43" t="str">
        <f>_xlfn.LET(_xlpm.NAME,IF(D19&lt;&gt;""," "&amp;D19,D19),IF(BA19&gt;0,IFERROR(VLOOKUP(A19,'1C'!A:T,10,0),""),IFERROR(VLOOKUP(C19&amp;_xlpm.NAME,'1C'!G:J,4,0),"")))</f>
        <v>Шляпа с широкими полями</v>
      </c>
      <c r="G19" s="56" t="str">
        <f>_xlfn.LET(_xlpm.NAME,IF(D19&lt;&gt;""," "&amp;D19,D19),IF(C19&lt;&gt;"",IF(BA19&gt;0,IFERROR(VLOOKUP(A19,'1C'!A:L,12,0),""),IF(BB19&lt;1,IFERROR(VLOOKUP(C19&amp;_xlpm.NAME,'1C'!G:L,6,0),""),"")),""))</f>
        <v>Betmar</v>
      </c>
      <c r="H19" s="43" t="str">
        <f>_xlfn.LET(_xlpm.NAME,IF(D19&lt;&gt;""," "&amp;D19,D19),IF(BA19&gt;0,IF(B19&lt;&gt;"",IFERROR(VLOOKUP(A19,'1C'!A:T,13,0),""),""),IFERROR(VLOOKUP(C19&amp;_xlpm.NAME,'1C'!G:M,7,0),"")))</f>
        <v>летний</v>
      </c>
      <c r="J19" s="57" t="str">
        <f>'1C'!$AF$1</f>
        <v>Betmar</v>
      </c>
      <c r="K19" s="103" t="s">
        <v>934</v>
      </c>
      <c r="L19" s="56" t="str">
        <f>IF(K19&lt;&gt;"",IFERROR(VLOOKUP(A19,'1C'!A:T,8,0),IFERROR(VLOOKUP(K19,Colors!D:E,2,0),"")),"")</f>
        <v>бежевый / белый</v>
      </c>
      <c r="M19" s="144" t="str">
        <f>IF(K19&lt;&gt;"",IFERROR(VLOOKUP(A19,'1C'!A:T,18,0),IFERROR(VLOOKUP(K19,Colors!D:E,2,0),"")),"")</f>
        <v>бежевый</v>
      </c>
      <c r="N19" s="145" t="str">
        <f>_xlfn.LET(_xlpm.NAME,IF(D19&lt;&gt;""," "&amp;D19,D19),IF(BA19&gt;0,IF(B19&lt;&gt;"",_xlfn.XLOOKUP(A19,'1C'!A:A,'1C'!I:I,""),0),_xlfn.XLOOKUP(C19&amp;_xlpm.NAME,'1C'!G:G,'1C'!I:I,"",0)))</f>
        <v>45% бумага - 35% полипропилен - 20% полиэстер</v>
      </c>
      <c r="O19" s="65"/>
      <c r="P19" s="56" t="str">
        <f>_xlfn.LET(_xlpm.NAME,IF(D19&lt;&gt;""," "&amp;D19,D19),IF(A19&lt;&gt;"",_xlfn.XLOOKUP(A19,'1C'!A:A,'1C'!N:N,_xlfn.XLOOKUP(C19&amp;_xlpm.NAME,'1C'!G:G,'1C'!N:N,"",0),0),""))</f>
        <v>бумажные</v>
      </c>
      <c r="Q19" s="59" t="str">
        <f>IF(P19&lt;&gt;"",IFERROR(VLOOKUP(P19,MaterialsTypes!F:G,2,0),IFERROR(VLOOKUP(N19,MaterialsTypes100,2,0),"")),IFERROR(VLOOKUP(N19,MaterialsTypes100,2,0),""))</f>
        <v>Плетёный</v>
      </c>
      <c r="R19" s="59" t="str">
        <f>_xlfn.LET(_xlpm.NAME,IF(D19&lt;&gt;""," "&amp;D19,D19),IF(B19&lt;&gt;"",IFERROR(VLOOKUP(A19,'1C'!A:T,11,0),_xlfn.XLOOKUP(C19&amp;_xlpm.NAME,'1C'!G:G,'1C'!K:K,"",0)),""))</f>
        <v>Женский</v>
      </c>
      <c r="S19" s="58"/>
      <c r="V19" s="58"/>
      <c r="X19" s="58"/>
      <c r="Z19" s="58"/>
      <c r="AB19" s="58"/>
      <c r="AD19" s="58"/>
      <c r="AQ19" s="57" t="str">
        <f t="shared" si="1"/>
        <v/>
      </c>
      <c r="AR19" s="43" t="str">
        <f>IF(BA19&gt;0,IF(B19&lt;&gt;"",IFERROR(VLOOKUP(VLOOKUP(A19,'1C'!A:T,15,0),Settings!N:O,2,0),""),""),"")</f>
        <v>CN</v>
      </c>
      <c r="AS19" s="56" t="str">
        <f ca="1">IF(BA19&gt;0,_xlfn.XLOOKUP(A19,'1C'!$A:$A,'1C'!P:P,"",0,),IF(AR19&lt;&gt;"",VLOOKUP(AR19,INDIRECT(SUBSTITUTE($J19," ","")&amp;"Manufactures"),3,0),"Требуется код страны"))</f>
        <v>Bollman Headwear Europe Ltd; 2 Merchants drive, Caelisle, Cumbria CA3 0JW, UK</v>
      </c>
      <c r="AT19" s="56" t="str">
        <f ca="1">IF(BA19&gt;0,_xlfn.XLOOKUP(A19,'1C'!$A:$A,'1C'!O:O,"",0),IF(AR19&lt;&gt;"",VLOOKUP(AR19,INDIRECT(SUBSTITUTE($J19," ","")&amp;"Manufactures"),2,0),"Требуется код страны"))</f>
        <v>Китай</v>
      </c>
      <c r="AU19" s="76">
        <f t="shared" si="2"/>
        <v>0.1</v>
      </c>
      <c r="AV19" s="43">
        <f t="shared" si="3"/>
        <v>0.15000000000000002</v>
      </c>
      <c r="AW19" s="43" t="str">
        <f t="shared" si="4"/>
        <v>Требуются кол-во и нетто</v>
      </c>
      <c r="AX19" s="43" t="str">
        <f t="shared" si="5"/>
        <v>Требуются кол-во и брутто</v>
      </c>
      <c r="AZ19" s="107" t="str">
        <f t="shared" si="6"/>
        <v>Требуются кол-во и цена</v>
      </c>
      <c r="BA19" s="45">
        <f>IF(A19&lt;&gt;"",IFERROR(IF(VLOOKUP(A19,'1C'!A:A,1,0)&lt;&gt;"",1,0),0),"")</f>
        <v>1</v>
      </c>
      <c r="BB19" s="146">
        <f>_xlfn.LET(_xlpm.NAME,IF(D19&lt;&gt;""," "&amp;D19,D19),IF(_xlfn.XLOOKUP(C19&amp;_xlpm.NAME,'1C'!G:G,'1C'!F:F,0,0)=0,0,1))</f>
        <v>0</v>
      </c>
      <c r="BC19" s="73">
        <f>IF(BB19,"-",IF(BA19&gt;0,0,1))</f>
        <v>0</v>
      </c>
    </row>
    <row r="20" spans="1:55" ht="113.65" customHeight="1">
      <c r="A20" s="43" t="str">
        <f t="shared" si="0"/>
        <v>B176desert natural</v>
      </c>
      <c r="B20" s="45" t="str">
        <f>_xlfn.LET(_xlpm.NAME,IF(D20&lt;&gt;""," "&amp;D20,D20),IF(C20&lt;&gt;"",_xlfn.XLOOKUP(A20,'1C'!A:A,'1C'!B:B,MID(_xlfn.XLOOKUP(C20&amp;_xlpm.NAME,'1C'!G:G,'1C'!B:B,"new",0),1,7)&amp;IF(BC20=1,IF(L20&lt;&gt;"",_xlfn.XLOOKUP(L20,Colors!A:A,Colors!B:B,"new",0),"требуется цвет"),""),0)))</f>
        <v>31-084-59</v>
      </c>
      <c r="C20" s="44" t="s">
        <v>917</v>
      </c>
      <c r="D20" s="44" t="str">
        <f>IF(A20&lt;&gt;"",_xlfn.XLOOKUP(C20,'1C'!S:S,'1C'!T:T,"",0),"")</f>
        <v>GOSSAMER</v>
      </c>
      <c r="E20" s="43" t="str">
        <f>IF(F20&lt;&gt;"",IFERROR(VLOOKUP(F20,Категории!A:B,2,0),""),"Требуется категория")</f>
        <v>Шляпы</v>
      </c>
      <c r="F20" s="43" t="str">
        <f>_xlfn.LET(_xlpm.NAME,IF(D20&lt;&gt;""," "&amp;D20,D20),IF(BA20&gt;0,IFERROR(VLOOKUP(A20,'1C'!A:T,10,0),""),IFERROR(VLOOKUP(C20&amp;_xlpm.NAME,'1C'!G:J,4,0),"")))</f>
        <v>Шляпа клош</v>
      </c>
      <c r="G20" s="56" t="str">
        <f>_xlfn.LET(_xlpm.NAME,IF(D20&lt;&gt;""," "&amp;D20,D20),IF(C20&lt;&gt;"",IF(BA20&gt;0,IFERROR(VLOOKUP(A20,'1C'!A:L,12,0),""),IF(BB20&lt;1,IFERROR(VLOOKUP(C20&amp;_xlpm.NAME,'1C'!G:L,6,0),""),"")),""))</f>
        <v>Betmar</v>
      </c>
      <c r="H20" s="43" t="str">
        <f>_xlfn.LET(_xlpm.NAME,IF(D20&lt;&gt;""," "&amp;D20,D20),IF(BA20&gt;0,IF(B20&lt;&gt;"",IFERROR(VLOOKUP(A20,'1C'!A:T,13,0),""),""),IFERROR(VLOOKUP(C20&amp;_xlpm.NAME,'1C'!G:M,7,0),"")))</f>
        <v>летний</v>
      </c>
      <c r="J20" s="57" t="str">
        <f>'1C'!$AF$1</f>
        <v>Betmar</v>
      </c>
      <c r="K20" s="103" t="s">
        <v>935</v>
      </c>
      <c r="L20" s="56" t="str">
        <f>IF(K20&lt;&gt;"",IFERROR(VLOOKUP(A20,'1C'!A:T,8,0),IFERROR(VLOOKUP(K20,Colors!D:E,2,0),"")),"")</f>
        <v>темно-бежевый</v>
      </c>
      <c r="M20" s="144" t="str">
        <f>IF(K20&lt;&gt;"",IFERROR(VLOOKUP(A20,'1C'!A:T,18,0),IFERROR(VLOOKUP(K20,Colors!D:E,2,0),"")),"")</f>
        <v>бежевый</v>
      </c>
      <c r="N20" s="145" t="str">
        <f>_xlfn.LET(_xlpm.NAME,IF(D20&lt;&gt;""," "&amp;D20,D20),IF(BA20&gt;0,IF(B20&lt;&gt;"",_xlfn.XLOOKUP(A20,'1C'!A:A,'1C'!I:I,""),0),_xlfn.XLOOKUP(C20&amp;_xlpm.NAME,'1C'!G:G,'1C'!I:I,"",0)))</f>
        <v>50% бумага - 33% полипропилен - 17% полиэстер</v>
      </c>
      <c r="O20" s="65"/>
      <c r="P20" s="56" t="str">
        <f>_xlfn.LET(_xlpm.NAME,IF(D20&lt;&gt;""," "&amp;D20,D20),IF(A20&lt;&gt;"",_xlfn.XLOOKUP(A20,'1C'!A:A,'1C'!N:N,_xlfn.XLOOKUP(C20&amp;_xlpm.NAME,'1C'!G:G,'1C'!N:N,"",0),0),""))</f>
        <v>бумажные</v>
      </c>
      <c r="Q20" s="59" t="str">
        <f>IF(P20&lt;&gt;"",IFERROR(VLOOKUP(P20,MaterialsTypes!F:G,2,0),IFERROR(VLOOKUP(N20,MaterialsTypes100,2,0),"")),IFERROR(VLOOKUP(N20,MaterialsTypes100,2,0),""))</f>
        <v>Плетёный</v>
      </c>
      <c r="R20" s="59" t="str">
        <f>_xlfn.LET(_xlpm.NAME,IF(D20&lt;&gt;""," "&amp;D20,D20),IF(B20&lt;&gt;"",IFERROR(VLOOKUP(A20,'1C'!A:T,11,0),_xlfn.XLOOKUP(C20&amp;_xlpm.NAME,'1C'!G:G,'1C'!K:K,"",0)),""))</f>
        <v>Женский</v>
      </c>
      <c r="S20" s="58"/>
      <c r="V20" s="58"/>
      <c r="X20" s="58"/>
      <c r="Z20" s="58"/>
      <c r="AB20" s="58"/>
      <c r="AD20" s="58"/>
      <c r="AQ20" s="57" t="str">
        <f t="shared" si="1"/>
        <v/>
      </c>
      <c r="AR20" s="43" t="str">
        <f>IF(BA20&gt;0,IF(B20&lt;&gt;"",IFERROR(VLOOKUP(VLOOKUP(A20,'1C'!A:T,15,0),Settings!N:O,2,0),""),""),"")</f>
        <v>CN</v>
      </c>
      <c r="AS20" s="56" t="str">
        <f ca="1">IF(BA20&gt;0,_xlfn.XLOOKUP(A20,'1C'!$A:$A,'1C'!P:P,"",0,),IF(AR20&lt;&gt;"",VLOOKUP(AR20,INDIRECT(SUBSTITUTE($J20," ","")&amp;"Manufactures"),3,0),"Требуется код страны"))</f>
        <v>Bollman Headwear Europe Ltd; 2 Merchants drive, Caelisle, Cumbria CA3 0JW, United Kingdom</v>
      </c>
      <c r="AT20" s="56" t="str">
        <f ca="1">IF(BA20&gt;0,_xlfn.XLOOKUP(A20,'1C'!$A:$A,'1C'!O:O,"",0),IF(AR20&lt;&gt;"",VLOOKUP(AR20,INDIRECT(SUBSTITUTE($J20," ","")&amp;"Manufactures"),2,0),"Требуется код страны"))</f>
        <v>Китай</v>
      </c>
      <c r="AU20" s="76">
        <f t="shared" si="2"/>
        <v>0.1</v>
      </c>
      <c r="AV20" s="43">
        <f t="shared" si="3"/>
        <v>0.15000000000000002</v>
      </c>
      <c r="AW20" s="43" t="str">
        <f t="shared" si="4"/>
        <v>Требуются кол-во и нетто</v>
      </c>
      <c r="AX20" s="43" t="str">
        <f t="shared" si="5"/>
        <v>Требуются кол-во и брутто</v>
      </c>
      <c r="AZ20" s="107" t="str">
        <f t="shared" si="6"/>
        <v>Требуются кол-во и цена</v>
      </c>
      <c r="BA20" s="45">
        <f>IF(A20&lt;&gt;"",IFERROR(IF(VLOOKUP(A20,'1C'!A:A,1,0)&lt;&gt;"",1,0),0),"")</f>
        <v>1</v>
      </c>
      <c r="BB20" s="146">
        <f>_xlfn.LET(_xlpm.NAME,IF(D20&lt;&gt;""," "&amp;D20,D20),IF(_xlfn.XLOOKUP(C20&amp;_xlpm.NAME,'1C'!G:G,'1C'!F:F,0,0)=0,0,1))</f>
        <v>0</v>
      </c>
      <c r="BC20" s="73">
        <f>IF(BB20,"-",IF(BA20&gt;0,0,1))</f>
        <v>0</v>
      </c>
    </row>
    <row r="21" spans="1:55" ht="136.5" customHeight="1">
      <c r="A21" s="43" t="str">
        <f t="shared" si="0"/>
        <v>B176eden green</v>
      </c>
      <c r="B21" s="45" t="str">
        <f>_xlfn.LET(_xlpm.NAME,IF(D21&lt;&gt;""," "&amp;D21,D21),IF(C21&lt;&gt;"",_xlfn.XLOOKUP(A21,'1C'!A:A,'1C'!B:B,MID(_xlfn.XLOOKUP(C21&amp;_xlpm.NAME,'1C'!G:G,'1C'!B:B,"new",0),1,7)&amp;IF(BC21=1,IF(L21&lt;&gt;"",_xlfn.XLOOKUP(L21,Colors!A:A,Colors!B:B,"new",0),"требуется цвет"),""),0)))</f>
        <v>31-084-требуется цвет</v>
      </c>
      <c r="C21" s="44" t="s">
        <v>917</v>
      </c>
      <c r="D21" s="44" t="str">
        <f>IF(A21&lt;&gt;"",_xlfn.XLOOKUP(C21,'1C'!S:S,'1C'!T:T,"",0),"")</f>
        <v>GOSSAMER</v>
      </c>
      <c r="E21" s="43" t="str">
        <f>IF(F21&lt;&gt;"",IFERROR(VLOOKUP(F21,Категории!A:B,2,0),""),"Требуется категория")</f>
        <v>Требуется категория</v>
      </c>
      <c r="G21" s="63"/>
      <c r="J21" s="57" t="str">
        <f>'1C'!$AF$1</f>
        <v>Betmar</v>
      </c>
      <c r="K21" s="103" t="s">
        <v>936</v>
      </c>
      <c r="L21" s="63"/>
      <c r="M21" s="66"/>
      <c r="N21" s="166"/>
      <c r="O21" s="65"/>
      <c r="P21" s="63"/>
      <c r="Q21" s="58"/>
      <c r="R21" s="58"/>
      <c r="S21" s="58"/>
      <c r="V21" s="58"/>
      <c r="X21" s="58"/>
      <c r="Z21" s="58"/>
      <c r="AB21" s="58"/>
      <c r="AD21" s="58"/>
      <c r="AQ21" s="57" t="str">
        <f t="shared" si="1"/>
        <v/>
      </c>
      <c r="AS21" s="56" t="str">
        <f ca="1">IF(BA21&gt;0,_xlfn.XLOOKUP(A21,'1C'!$A:$A,'1C'!P:P,"",0,),IF(AR21&lt;&gt;"",VLOOKUP(AR21,INDIRECT(SUBSTITUTE($J21," ","")&amp;"Manufactures"),3,0),"Требуется код страны"))</f>
        <v>Требуется код страны</v>
      </c>
      <c r="AT21" s="56" t="str">
        <f ca="1">IF(BA21&gt;0,_xlfn.XLOOKUP(A21,'1C'!$A:$A,'1C'!O:O,"",0),IF(AR21&lt;&gt;"",VLOOKUP(AR21,INDIRECT(SUBSTITUTE($J21," ","")&amp;"Manufactures"),2,0),"Требуется код страны"))</f>
        <v>Требуется код страны</v>
      </c>
      <c r="AU21" s="76">
        <f t="shared" si="2"/>
        <v>0.1</v>
      </c>
      <c r="AV21" s="43">
        <f t="shared" si="3"/>
        <v>0.15000000000000002</v>
      </c>
      <c r="AW21" s="43" t="str">
        <f t="shared" si="4"/>
        <v>Требуются кол-во и нетто</v>
      </c>
      <c r="AX21" s="43" t="str">
        <f t="shared" si="5"/>
        <v>Требуются кол-во и брутто</v>
      </c>
      <c r="AZ21" s="107" t="str">
        <f t="shared" si="6"/>
        <v>Требуются кол-во и цена</v>
      </c>
      <c r="BA21" s="45">
        <f>IF(A21&lt;&gt;"",IFERROR(IF(VLOOKUP(A21,'1C'!A:A,1,0)&lt;&gt;"",1,0),0),"")</f>
        <v>0</v>
      </c>
      <c r="BB21" s="146">
        <f>_xlfn.LET(_xlpm.NAME,IF(D21&lt;&gt;""," "&amp;D21,D21),IF(_xlfn.XLOOKUP(C21&amp;_xlpm.NAME,'1C'!G:G,'1C'!F:F,0,0)=0,0,1))</f>
        <v>0</v>
      </c>
      <c r="BC21" s="73">
        <f>IF(BB21,"-",IF(BA21&gt;0,0,1))</f>
        <v>1</v>
      </c>
    </row>
    <row r="22" spans="1:55" ht="113.1" customHeight="1">
      <c r="A22" s="43" t="str">
        <f t="shared" si="0"/>
        <v>B176lavender charcoal</v>
      </c>
      <c r="B22" s="45" t="str">
        <f>_xlfn.LET(_xlpm.NAME,IF(D22&lt;&gt;""," "&amp;D22,D22),IF(C22&lt;&gt;"",_xlfn.XLOOKUP(A22,'1C'!A:A,'1C'!B:B,MID(_xlfn.XLOOKUP(C22&amp;_xlpm.NAME,'1C'!G:G,'1C'!B:B,"new",0),1,7)&amp;IF(BC22=1,IF(L22&lt;&gt;"",_xlfn.XLOOKUP(L22,Colors!A:A,Colors!B:B,"new",0),"требуется цвет"),""),0)))</f>
        <v>31-084-31</v>
      </c>
      <c r="C22" s="44" t="s">
        <v>917</v>
      </c>
      <c r="D22" s="44" t="str">
        <f>IF(A22&lt;&gt;"",_xlfn.XLOOKUP(C22,'1C'!S:S,'1C'!T:T,"",0),"")</f>
        <v>GOSSAMER</v>
      </c>
      <c r="E22" s="43" t="str">
        <f>IF(F22&lt;&gt;"",IFERROR(VLOOKUP(F22,Категории!A:B,2,0),""),"Требуется категория")</f>
        <v>Шляпы</v>
      </c>
      <c r="F22" s="43" t="str">
        <f>_xlfn.LET(_xlpm.NAME,IF(D22&lt;&gt;""," "&amp;D22,D22),IF(BA22&gt;0,IFERROR(VLOOKUP(A22,'1C'!A:T,10,0),""),IFERROR(VLOOKUP(C22&amp;_xlpm.NAME,'1C'!G:J,4,0),"")))</f>
        <v>Шляпа клош</v>
      </c>
      <c r="G22" s="56" t="str">
        <f>_xlfn.LET(_xlpm.NAME,IF(D22&lt;&gt;""," "&amp;D22,D22),IF(C22&lt;&gt;"",IF(BA22&gt;0,IFERROR(VLOOKUP(A22,'1C'!A:L,12,0),""),IF(BB22&lt;1,IFERROR(VLOOKUP(C22&amp;_xlpm.NAME,'1C'!G:L,6,0),""),"")),""))</f>
        <v>Betmar</v>
      </c>
      <c r="H22" s="43" t="str">
        <f>_xlfn.LET(_xlpm.NAME,IF(D22&lt;&gt;""," "&amp;D22,D22),IF(BA22&gt;0,IF(B22&lt;&gt;"",IFERROR(VLOOKUP(A22,'1C'!A:T,13,0),""),""),IFERROR(VLOOKUP(C22&amp;_xlpm.NAME,'1C'!G:M,7,0),"")))</f>
        <v>летний</v>
      </c>
      <c r="J22" s="57" t="str">
        <f>'1C'!$AF$1</f>
        <v>Betmar</v>
      </c>
      <c r="K22" s="103" t="s">
        <v>937</v>
      </c>
      <c r="L22" s="56" t="str">
        <f>IF(K22&lt;&gt;"",IFERROR(VLOOKUP(A22,'1C'!A:T,8,0),IFERROR(VLOOKUP(K22,Colors!D:E,2,0),"")),"")</f>
        <v>сиреневый</v>
      </c>
      <c r="M22" s="144" t="str">
        <f>IF(K22&lt;&gt;"",IFERROR(VLOOKUP(A22,'1C'!A:T,18,0),IFERROR(VLOOKUP(K22,Colors!D:E,2,0),"")),"")</f>
        <v>фиолетовый</v>
      </c>
      <c r="N22" s="145" t="str">
        <f>_xlfn.LET(_xlpm.NAME,IF(D22&lt;&gt;""," "&amp;D22,D22),IF(BA22&gt;0,IF(B22&lt;&gt;"",_xlfn.XLOOKUP(A22,'1C'!A:A,'1C'!I:I,""),0),_xlfn.XLOOKUP(C22&amp;_xlpm.NAME,'1C'!G:G,'1C'!I:I,"",0)))</f>
        <v>50% бумага - 33% полипропилен - 17% полиэстер</v>
      </c>
      <c r="O22" s="65"/>
      <c r="P22" s="56" t="str">
        <f>_xlfn.LET(_xlpm.NAME,IF(D22&lt;&gt;""," "&amp;D22,D22),IF(A22&lt;&gt;"",_xlfn.XLOOKUP(A22,'1C'!A:A,'1C'!N:N,_xlfn.XLOOKUP(C22&amp;_xlpm.NAME,'1C'!G:G,'1C'!N:N,"",0),0),""))</f>
        <v>бумажные</v>
      </c>
      <c r="Q22" s="59" t="str">
        <f>IF(P22&lt;&gt;"",IFERROR(VLOOKUP(P22,MaterialsTypes!F:G,2,0),IFERROR(VLOOKUP(N22,MaterialsTypes100,2,0),"")),IFERROR(VLOOKUP(N22,MaterialsTypes100,2,0),""))</f>
        <v>Плетёный</v>
      </c>
      <c r="R22" s="59" t="str">
        <f>_xlfn.LET(_xlpm.NAME,IF(D22&lt;&gt;""," "&amp;D22,D22),IF(B22&lt;&gt;"",IFERROR(VLOOKUP(A22,'1C'!A:T,11,0),_xlfn.XLOOKUP(C22&amp;_xlpm.NAME,'1C'!G:G,'1C'!K:K,"",0)),""))</f>
        <v>Женский</v>
      </c>
      <c r="S22" s="58"/>
      <c r="V22" s="58"/>
      <c r="X22" s="58"/>
      <c r="Z22" s="58"/>
      <c r="AB22" s="58"/>
      <c r="AD22" s="58"/>
      <c r="AQ22" s="57" t="str">
        <f t="shared" si="1"/>
        <v/>
      </c>
      <c r="AR22" s="43" t="str">
        <f>IF(BA22&gt;0,IF(B22&lt;&gt;"",IFERROR(VLOOKUP(VLOOKUP(A22,'1C'!A:T,15,0),Settings!N:O,2,0),""),""),"")</f>
        <v>CN</v>
      </c>
      <c r="AS22" s="56" t="str">
        <f ca="1">IF(BA22&gt;0,_xlfn.XLOOKUP(A22,'1C'!$A:$A,'1C'!P:P,"",0,),IF(AR22&lt;&gt;"",VLOOKUP(AR22,INDIRECT(SUBSTITUTE($J22," ","")&amp;"Manufactures"),3,0),"Требуется код страны"))</f>
        <v>Bollman Headwear Europe Ltd; 2 Merchants drive, Caelisle, Cumbria CA3 0JW, United Kingdom</v>
      </c>
      <c r="AT22" s="56" t="str">
        <f ca="1">IF(BA22&gt;0,_xlfn.XLOOKUP(A22,'1C'!$A:$A,'1C'!O:O,"",0),IF(AR22&lt;&gt;"",VLOOKUP(AR22,INDIRECT(SUBSTITUTE($J22," ","")&amp;"Manufactures"),2,0),"Требуется код страны"))</f>
        <v>Китай</v>
      </c>
      <c r="AU22" s="76">
        <f t="shared" si="2"/>
        <v>0.1</v>
      </c>
      <c r="AV22" s="43">
        <f t="shared" si="3"/>
        <v>0.15000000000000002</v>
      </c>
      <c r="AW22" s="43" t="str">
        <f t="shared" si="4"/>
        <v>Требуются кол-во и нетто</v>
      </c>
      <c r="AX22" s="43" t="str">
        <f t="shared" si="5"/>
        <v>Требуются кол-во и брутто</v>
      </c>
      <c r="AZ22" s="107" t="str">
        <f t="shared" si="6"/>
        <v>Требуются кол-во и цена</v>
      </c>
      <c r="BA22" s="45">
        <f>IF(A22&lt;&gt;"",IFERROR(IF(VLOOKUP(A22,'1C'!A:A,1,0)&lt;&gt;"",1,0),0),"")</f>
        <v>1</v>
      </c>
      <c r="BB22" s="146">
        <f>_xlfn.LET(_xlpm.NAME,IF(D22&lt;&gt;""," "&amp;D22,D22),IF(_xlfn.XLOOKUP(C22&amp;_xlpm.NAME,'1C'!G:G,'1C'!F:F,0,0)=0,0,1))</f>
        <v>0</v>
      </c>
      <c r="BC22" s="73">
        <f>IF(BB22,"-",IF(BA22&gt;0,0,1))</f>
        <v>0</v>
      </c>
    </row>
    <row r="23" spans="1:55" ht="93" customHeight="1">
      <c r="A23" s="43" t="str">
        <f t="shared" si="0"/>
        <v>B176rattlesnake</v>
      </c>
      <c r="B23" s="45" t="str">
        <f>_xlfn.LET(_xlpm.NAME,IF(D23&lt;&gt;""," "&amp;D23,D23),IF(C23&lt;&gt;"",_xlfn.XLOOKUP(A23,'1C'!A:A,'1C'!B:B,MID(_xlfn.XLOOKUP(C23&amp;_xlpm.NAME,'1C'!G:G,'1C'!B:B,"new",0),1,7)&amp;IF(BC23=1,IF(L23&lt;&gt;"",_xlfn.XLOOKUP(L23,Colors!A:A,Colors!B:B,"new",0),"требуется цвет"),""),0)))</f>
        <v>31-084-14</v>
      </c>
      <c r="C23" s="44" t="s">
        <v>917</v>
      </c>
      <c r="D23" s="44" t="str">
        <f>IF(A23&lt;&gt;"",_xlfn.XLOOKUP(C23,'1C'!S:S,'1C'!T:T,"",0),"")</f>
        <v>GOSSAMER</v>
      </c>
      <c r="E23" s="43" t="str">
        <f>IF(F23&lt;&gt;"",IFERROR(VLOOKUP(F23,Категории!A:B,2,0),""),"Требуется категория")</f>
        <v>Шляпы</v>
      </c>
      <c r="F23" s="43" t="str">
        <f>_xlfn.LET(_xlpm.NAME,IF(D23&lt;&gt;""," "&amp;D23,D23),IF(BA23&gt;0,IFERROR(VLOOKUP(A23,'1C'!A:T,10,0),""),IFERROR(VLOOKUP(C23&amp;_xlpm.NAME,'1C'!G:J,4,0),"")))</f>
        <v>Шляпа клош</v>
      </c>
      <c r="G23" s="56" t="str">
        <f>_xlfn.LET(_xlpm.NAME,IF(D23&lt;&gt;""," "&amp;D23,D23),IF(C23&lt;&gt;"",IF(BA23&gt;0,IFERROR(VLOOKUP(A23,'1C'!A:L,12,0),""),IF(BB23&lt;1,IFERROR(VLOOKUP(C23&amp;_xlpm.NAME,'1C'!G:L,6,0),""),"")),""))</f>
        <v>Betmar</v>
      </c>
      <c r="H23" s="43" t="str">
        <f>_xlfn.LET(_xlpm.NAME,IF(D23&lt;&gt;""," "&amp;D23,D23),IF(BA23&gt;0,IF(B23&lt;&gt;"",IFERROR(VLOOKUP(A23,'1C'!A:T,13,0),""),""),IFERROR(VLOOKUP(C23&amp;_xlpm.NAME,'1C'!G:M,7,0),"")))</f>
        <v>летний</v>
      </c>
      <c r="J23" s="57" t="str">
        <f>'1C'!$AF$1</f>
        <v>Betmar</v>
      </c>
      <c r="K23" s="103" t="s">
        <v>938</v>
      </c>
      <c r="L23" s="56" t="str">
        <f>IF(K23&lt;&gt;"",IFERROR(VLOOKUP(A23,'1C'!A:T,8,0),IFERROR(VLOOKUP(K23,Colors!D:E,2,0),"")),"")</f>
        <v>коричневый</v>
      </c>
      <c r="M23" s="144" t="str">
        <f>IF(K23&lt;&gt;"",IFERROR(VLOOKUP(A23,'1C'!A:T,18,0),IFERROR(VLOOKUP(K23,Colors!D:E,2,0),"")),"")</f>
        <v>коричневый</v>
      </c>
      <c r="N23" s="145" t="str">
        <f>_xlfn.LET(_xlpm.NAME,IF(D23&lt;&gt;""," "&amp;D23,D23),IF(BA23&gt;0,IF(B23&lt;&gt;"",_xlfn.XLOOKUP(A23,'1C'!A:A,'1C'!I:I,""),0),_xlfn.XLOOKUP(C23&amp;_xlpm.NAME,'1C'!G:G,'1C'!I:I,"",0)))</f>
        <v>50% бумага - 33% полипропилен - 17% полиэстер</v>
      </c>
      <c r="O23" s="65"/>
      <c r="P23" s="56" t="str">
        <f>_xlfn.LET(_xlpm.NAME,IF(D23&lt;&gt;""," "&amp;D23,D23),IF(A23&lt;&gt;"",_xlfn.XLOOKUP(A23,'1C'!A:A,'1C'!N:N,_xlfn.XLOOKUP(C23&amp;_xlpm.NAME,'1C'!G:G,'1C'!N:N,"",0),0),""))</f>
        <v>бумажные</v>
      </c>
      <c r="Q23" s="59" t="str">
        <f>IF(P23&lt;&gt;"",IFERROR(VLOOKUP(P23,MaterialsTypes!F:G,2,0),IFERROR(VLOOKUP(N23,MaterialsTypes100,2,0),"")),IFERROR(VLOOKUP(N23,MaterialsTypes100,2,0),""))</f>
        <v>Плетёный</v>
      </c>
      <c r="R23" s="59" t="str">
        <f>_xlfn.LET(_xlpm.NAME,IF(D23&lt;&gt;""," "&amp;D23,D23),IF(B23&lt;&gt;"",IFERROR(VLOOKUP(A23,'1C'!A:T,11,0),_xlfn.XLOOKUP(C23&amp;_xlpm.NAME,'1C'!G:G,'1C'!K:K,"",0)),""))</f>
        <v>Женский</v>
      </c>
      <c r="S23" s="58"/>
      <c r="V23" s="58"/>
      <c r="X23" s="58"/>
      <c r="Z23" s="58"/>
      <c r="AB23" s="58"/>
      <c r="AD23" s="58"/>
      <c r="AQ23" s="57" t="str">
        <f t="shared" si="1"/>
        <v/>
      </c>
      <c r="AR23" s="43" t="str">
        <f>IF(BA23&gt;0,IF(B23&lt;&gt;"",IFERROR(VLOOKUP(VLOOKUP(A23,'1C'!A:T,15,0),Settings!N:O,2,0),""),""),"")</f>
        <v>CN</v>
      </c>
      <c r="AS23" s="56" t="str">
        <f ca="1">IF(BA23&gt;0,_xlfn.XLOOKUP(A23,'1C'!$A:$A,'1C'!P:P,"",0,),IF(AR23&lt;&gt;"",VLOOKUP(AR23,INDIRECT(SUBSTITUTE($J23," ","")&amp;"Manufactures"),3,0),"Требуется код страны"))</f>
        <v>Bollman Headwear Europe Ltd; 2 Merchants drive, Caelisle, Cumbria CA3 0JW, United Kingdom</v>
      </c>
      <c r="AT23" s="56" t="str">
        <f ca="1">IF(BA23&gt;0,_xlfn.XLOOKUP(A23,'1C'!$A:$A,'1C'!O:O,"",0),IF(AR23&lt;&gt;"",VLOOKUP(AR23,INDIRECT(SUBSTITUTE($J23," ","")&amp;"Manufactures"),2,0),"Требуется код страны"))</f>
        <v>Китай</v>
      </c>
      <c r="AU23" s="76">
        <f t="shared" si="2"/>
        <v>0.1</v>
      </c>
      <c r="AV23" s="43">
        <f t="shared" si="3"/>
        <v>0.15000000000000002</v>
      </c>
      <c r="AW23" s="43" t="str">
        <f t="shared" si="4"/>
        <v>Требуются кол-во и нетто</v>
      </c>
      <c r="AX23" s="43" t="str">
        <f t="shared" si="5"/>
        <v>Требуются кол-во и брутто</v>
      </c>
      <c r="AZ23" s="107" t="str">
        <f t="shared" si="6"/>
        <v>Требуются кол-во и цена</v>
      </c>
      <c r="BA23" s="45">
        <f>IF(A23&lt;&gt;"",IFERROR(IF(VLOOKUP(A23,'1C'!A:A,1,0)&lt;&gt;"",1,0),0),"")</f>
        <v>1</v>
      </c>
      <c r="BB23" s="146">
        <f>_xlfn.LET(_xlpm.NAME,IF(D23&lt;&gt;""," "&amp;D23,D23),IF(_xlfn.XLOOKUP(C23&amp;_xlpm.NAME,'1C'!G:G,'1C'!F:F,0,0)=0,0,1))</f>
        <v>0</v>
      </c>
      <c r="BC23" s="73">
        <f>IF(BB23,"-",IF(BA23&gt;0,0,1))</f>
        <v>0</v>
      </c>
    </row>
    <row r="24" spans="1:55" ht="121.35" customHeight="1">
      <c r="A24" s="43" t="str">
        <f t="shared" si="0"/>
        <v>B176tropical multi</v>
      </c>
      <c r="B24" s="45" t="str">
        <f>_xlfn.LET(_xlpm.NAME,IF(D24&lt;&gt;""," "&amp;D24,D24),IF(C24&lt;&gt;"",_xlfn.XLOOKUP(A24,'1C'!A:A,'1C'!B:B,MID(_xlfn.XLOOKUP(C24&amp;_xlpm.NAME,'1C'!G:G,'1C'!B:B,"new",0),1,7)&amp;IF(BC24=1,IF(L24&lt;&gt;"",_xlfn.XLOOKUP(L24,Colors!A:A,Colors!B:B,"new",0),"требуется цвет"),""),0)))</f>
        <v>31-084-87</v>
      </c>
      <c r="C24" s="44" t="s">
        <v>917</v>
      </c>
      <c r="D24" s="44" t="str">
        <f>IF(A24&lt;&gt;"",_xlfn.XLOOKUP(C24,'1C'!S:S,'1C'!T:T,"",0),"")</f>
        <v>GOSSAMER</v>
      </c>
      <c r="E24" s="43" t="str">
        <f>IF(F24&lt;&gt;"",IFERROR(VLOOKUP(F24,Категории!A:B,2,0),""),"Требуется категория")</f>
        <v>Шляпы</v>
      </c>
      <c r="F24" s="43" t="str">
        <f>_xlfn.LET(_xlpm.NAME,IF(D24&lt;&gt;""," "&amp;D24,D24),IF(BA24&gt;0,IFERROR(VLOOKUP(A24,'1C'!A:T,10,0),""),IFERROR(VLOOKUP(C24&amp;_xlpm.NAME,'1C'!G:J,4,0),"")))</f>
        <v>Шляпа клош</v>
      </c>
      <c r="G24" s="56" t="str">
        <f>_xlfn.LET(_xlpm.NAME,IF(D24&lt;&gt;""," "&amp;D24,D24),IF(C24&lt;&gt;"",IF(BA24&gt;0,IFERROR(VLOOKUP(A24,'1C'!A:L,12,0),""),IF(BB24&lt;1,IFERROR(VLOOKUP(C24&amp;_xlpm.NAME,'1C'!G:L,6,0),""),"")),""))</f>
        <v>Betmar</v>
      </c>
      <c r="H24" s="43" t="str">
        <f>_xlfn.LET(_xlpm.NAME,IF(D24&lt;&gt;""," "&amp;D24,D24),IF(BA24&gt;0,IF(B24&lt;&gt;"",IFERROR(VLOOKUP(A24,'1C'!A:T,13,0),""),""),IFERROR(VLOOKUP(C24&amp;_xlpm.NAME,'1C'!G:M,7,0),"")))</f>
        <v>летний</v>
      </c>
      <c r="J24" s="57" t="str">
        <f>'1C'!$AF$1</f>
        <v>Betmar</v>
      </c>
      <c r="K24" s="103" t="s">
        <v>939</v>
      </c>
      <c r="L24" s="56" t="str">
        <f>IF(K24&lt;&gt;"",IFERROR(VLOOKUP(A24,'1C'!A:T,8,0),IFERROR(VLOOKUP(K24,Colors!D:E,2,0),"")),"")</f>
        <v>кирпичный</v>
      </c>
      <c r="M24" s="144" t="str">
        <f>IF(K24&lt;&gt;"",IFERROR(VLOOKUP(A24,'1C'!A:T,18,0),IFERROR(VLOOKUP(K24,Colors!D:E,2,0),"")),"")</f>
        <v>коричневый</v>
      </c>
      <c r="N24" s="145" t="str">
        <f>_xlfn.LET(_xlpm.NAME,IF(D24&lt;&gt;""," "&amp;D24,D24),IF(BA24&gt;0,IF(B24&lt;&gt;"",_xlfn.XLOOKUP(A24,'1C'!A:A,'1C'!I:I,""),0),_xlfn.XLOOKUP(C24&amp;_xlpm.NAME,'1C'!G:G,'1C'!I:I,"",0)))</f>
        <v>50% бумага - 33% полипропилен - 17% полиэстер</v>
      </c>
      <c r="O24" s="65"/>
      <c r="P24" s="56" t="str">
        <f>_xlfn.LET(_xlpm.NAME,IF(D24&lt;&gt;""," "&amp;D24,D24),IF(A24&lt;&gt;"",_xlfn.XLOOKUP(A24,'1C'!A:A,'1C'!N:N,_xlfn.XLOOKUP(C24&amp;_xlpm.NAME,'1C'!G:G,'1C'!N:N,"",0),0),""))</f>
        <v>бумажные</v>
      </c>
      <c r="Q24" s="59" t="str">
        <f>IF(P24&lt;&gt;"",IFERROR(VLOOKUP(P24,MaterialsTypes!F:G,2,0),IFERROR(VLOOKUP(N24,MaterialsTypes100,2,0),"")),IFERROR(VLOOKUP(N24,MaterialsTypes100,2,0),""))</f>
        <v>Плетёный</v>
      </c>
      <c r="R24" s="59" t="str">
        <f>_xlfn.LET(_xlpm.NAME,IF(D24&lt;&gt;""," "&amp;D24,D24),IF(B24&lt;&gt;"",IFERROR(VLOOKUP(A24,'1C'!A:T,11,0),_xlfn.XLOOKUP(C24&amp;_xlpm.NAME,'1C'!G:G,'1C'!K:K,"",0)),""))</f>
        <v>Женский</v>
      </c>
      <c r="S24" s="58"/>
      <c r="V24" s="58"/>
      <c r="X24" s="58"/>
      <c r="Z24" s="58"/>
      <c r="AB24" s="58"/>
      <c r="AD24" s="58"/>
      <c r="AQ24" s="57" t="str">
        <f t="shared" si="1"/>
        <v/>
      </c>
      <c r="AR24" s="43" t="str">
        <f>IF(BA24&gt;0,IF(B24&lt;&gt;"",IFERROR(VLOOKUP(VLOOKUP(A24,'1C'!A:T,15,0),Settings!N:O,2,0),""),""),"")</f>
        <v>CN</v>
      </c>
      <c r="AS24" s="56" t="str">
        <f ca="1">IF(BA24&gt;0,_xlfn.XLOOKUP(A24,'1C'!$A:$A,'1C'!P:P,"",0,),IF(AR24&lt;&gt;"",VLOOKUP(AR24,INDIRECT(SUBSTITUTE($J24," ","")&amp;"Manufactures"),3,0),"Требуется код страны"))</f>
        <v>Bollman Headwear Europe Ltd; 2 Merchants drive, Caelisle, Cumbria CA3 0JW, United Kingdom</v>
      </c>
      <c r="AT24" s="56" t="str">
        <f ca="1">IF(BA24&gt;0,_xlfn.XLOOKUP(A24,'1C'!$A:$A,'1C'!O:O,"",0),IF(AR24&lt;&gt;"",VLOOKUP(AR24,INDIRECT(SUBSTITUTE($J24," ","")&amp;"Manufactures"),2,0),"Требуется код страны"))</f>
        <v>Китай</v>
      </c>
      <c r="AU24" s="76">
        <f t="shared" si="2"/>
        <v>0.1</v>
      </c>
      <c r="AV24" s="43">
        <f t="shared" si="3"/>
        <v>0.15000000000000002</v>
      </c>
      <c r="AW24" s="43" t="str">
        <f t="shared" si="4"/>
        <v>Требуются кол-во и нетто</v>
      </c>
      <c r="AX24" s="43" t="str">
        <f t="shared" si="5"/>
        <v>Требуются кол-во и брутто</v>
      </c>
      <c r="AZ24" s="107" t="str">
        <f t="shared" si="6"/>
        <v>Требуются кол-во и цена</v>
      </c>
      <c r="BA24" s="45">
        <f>IF(A24&lt;&gt;"",IFERROR(IF(VLOOKUP(A24,'1C'!A:A,1,0)&lt;&gt;"",1,0),0),"")</f>
        <v>1</v>
      </c>
      <c r="BB24" s="146">
        <f>_xlfn.LET(_xlpm.NAME,IF(D24&lt;&gt;""," "&amp;D24,D24),IF(_xlfn.XLOOKUP(C24&amp;_xlpm.NAME,'1C'!G:G,'1C'!F:F,0,0)=0,0,1))</f>
        <v>0</v>
      </c>
      <c r="BC24" s="73">
        <f>IF(BB24,"-",IF(BA24&gt;0,0,1))</f>
        <v>0</v>
      </c>
    </row>
    <row r="25" spans="1:55" ht="111.95" customHeight="1">
      <c r="A25" s="43" t="str">
        <f t="shared" si="0"/>
        <v>B176white</v>
      </c>
      <c r="B25" s="45" t="str">
        <f>_xlfn.LET(_xlpm.NAME,IF(D25&lt;&gt;""," "&amp;D25,D25),IF(C25&lt;&gt;"",_xlfn.XLOOKUP(A25,'1C'!A:A,'1C'!B:B,MID(_xlfn.XLOOKUP(C25&amp;_xlpm.NAME,'1C'!G:G,'1C'!B:B,"new",0),1,7)&amp;IF(BC25=1,IF(L25&lt;&gt;"",_xlfn.XLOOKUP(L25,Colors!A:A,Colors!B:B,"new",0),"требуется цвет"),""),0)))</f>
        <v>31-084-17</v>
      </c>
      <c r="C25" s="44" t="s">
        <v>917</v>
      </c>
      <c r="D25" s="44" t="str">
        <f>IF(A25&lt;&gt;"",_xlfn.XLOOKUP(C25,'1C'!S:S,'1C'!T:T,"",0),"")</f>
        <v>GOSSAMER</v>
      </c>
      <c r="E25" s="43" t="str">
        <f>IF(F25&lt;&gt;"",IFERROR(VLOOKUP(F25,Категории!A:B,2,0),""),"Требуется категория")</f>
        <v>Шляпы</v>
      </c>
      <c r="F25" s="43" t="str">
        <f>_xlfn.LET(_xlpm.NAME,IF(D25&lt;&gt;""," "&amp;D25,D25),IF(BA25&gt;0,IFERROR(VLOOKUP(A25,'1C'!A:T,10,0),""),IFERROR(VLOOKUP(C25&amp;_xlpm.NAME,'1C'!G:J,4,0),"")))</f>
        <v>Шляпа клош</v>
      </c>
      <c r="G25" s="56" t="str">
        <f>_xlfn.LET(_xlpm.NAME,IF(D25&lt;&gt;""," "&amp;D25,D25),IF(C25&lt;&gt;"",IF(BA25&gt;0,IFERROR(VLOOKUP(A25,'1C'!A:L,12,0),""),IF(BB25&lt;1,IFERROR(VLOOKUP(C25&amp;_xlpm.NAME,'1C'!G:L,6,0),""),"")),""))</f>
        <v>Betmar</v>
      </c>
      <c r="H25" s="43" t="str">
        <f>_xlfn.LET(_xlpm.NAME,IF(D25&lt;&gt;""," "&amp;D25,D25),IF(BA25&gt;0,IF(B25&lt;&gt;"",IFERROR(VLOOKUP(A25,'1C'!A:T,13,0),""),""),IFERROR(VLOOKUP(C25&amp;_xlpm.NAME,'1C'!G:M,7,0),"")))</f>
        <v>летний</v>
      </c>
      <c r="J25" s="57" t="str">
        <f>'1C'!$AF$1</f>
        <v>Betmar</v>
      </c>
      <c r="K25" s="103" t="s">
        <v>840</v>
      </c>
      <c r="L25" s="56" t="str">
        <f>IF(K25&lt;&gt;"",IFERROR(VLOOKUP(A25,'1C'!A:T,8,0),IFERROR(VLOOKUP(K25,Colors!D:E,2,0),"")),"")</f>
        <v>белый</v>
      </c>
      <c r="M25" s="144" t="str">
        <f>IF(K25&lt;&gt;"",IFERROR(VLOOKUP(A25,'1C'!A:T,18,0),IFERROR(VLOOKUP(K25,Colors!D:E,2,0),"")),"")</f>
        <v>белый</v>
      </c>
      <c r="N25" s="145" t="str">
        <f>_xlfn.LET(_xlpm.NAME,IF(D25&lt;&gt;""," "&amp;D25,D25),IF(BA25&gt;0,IF(B25&lt;&gt;"",_xlfn.XLOOKUP(A25,'1C'!A:A,'1C'!I:I,""),0),_xlfn.XLOOKUP(C25&amp;_xlpm.NAME,'1C'!G:G,'1C'!I:I,"",0)))</f>
        <v>50% бумага - 33% полипропилен - 17% полиэстер</v>
      </c>
      <c r="O25" s="65"/>
      <c r="P25" s="56" t="str">
        <f>_xlfn.LET(_xlpm.NAME,IF(D25&lt;&gt;""," "&amp;D25,D25),IF(A25&lt;&gt;"",_xlfn.XLOOKUP(A25,'1C'!A:A,'1C'!N:N,_xlfn.XLOOKUP(C25&amp;_xlpm.NAME,'1C'!G:G,'1C'!N:N,"",0),0),""))</f>
        <v>бумажные</v>
      </c>
      <c r="Q25" s="59" t="str">
        <f>IF(P25&lt;&gt;"",IFERROR(VLOOKUP(P25,MaterialsTypes!F:G,2,0),IFERROR(VLOOKUP(N25,MaterialsTypes100,2,0),"")),IFERROR(VLOOKUP(N25,MaterialsTypes100,2,0),""))</f>
        <v>Плетёный</v>
      </c>
      <c r="R25" s="59" t="str">
        <f>_xlfn.LET(_xlpm.NAME,IF(D25&lt;&gt;""," "&amp;D25,D25),IF(B25&lt;&gt;"",IFERROR(VLOOKUP(A25,'1C'!A:T,11,0),_xlfn.XLOOKUP(C25&amp;_xlpm.NAME,'1C'!G:G,'1C'!K:K,"",0)),""))</f>
        <v>Женский</v>
      </c>
      <c r="S25" s="58"/>
      <c r="V25" s="58"/>
      <c r="X25" s="58"/>
      <c r="Z25" s="58"/>
      <c r="AB25" s="58"/>
      <c r="AD25" s="58"/>
      <c r="AQ25" s="57" t="str">
        <f t="shared" si="1"/>
        <v/>
      </c>
      <c r="AR25" s="43" t="str">
        <f>IF(BA25&gt;0,IF(B25&lt;&gt;"",IFERROR(VLOOKUP(VLOOKUP(A25,'1C'!A:T,15,0),Settings!N:O,2,0),""),""),"")</f>
        <v>CN</v>
      </c>
      <c r="AS25" s="56" t="str">
        <f ca="1">IF(BA25&gt;0,_xlfn.XLOOKUP(A25,'1C'!$A:$A,'1C'!P:P,"",0,),IF(AR25&lt;&gt;"",VLOOKUP(AR25,INDIRECT(SUBSTITUTE($J25," ","")&amp;"Manufactures"),3,0),"Требуется код страны"))</f>
        <v>Bollman Headwear Europe Ltd; 2 Merchants drive, Caelisle, Cumbria CA3 0JW, United Kingdom</v>
      </c>
      <c r="AT25" s="56" t="str">
        <f ca="1">IF(BA25&gt;0,_xlfn.XLOOKUP(A25,'1C'!$A:$A,'1C'!O:O,"",0),IF(AR25&lt;&gt;"",VLOOKUP(AR25,INDIRECT(SUBSTITUTE($J25," ","")&amp;"Manufactures"),2,0),"Требуется код страны"))</f>
        <v>Китай</v>
      </c>
      <c r="AU25" s="76">
        <f t="shared" si="2"/>
        <v>0.1</v>
      </c>
      <c r="AV25" s="43">
        <f t="shared" si="3"/>
        <v>0.15000000000000002</v>
      </c>
      <c r="AW25" s="43" t="str">
        <f t="shared" si="4"/>
        <v>Требуются кол-во и нетто</v>
      </c>
      <c r="AX25" s="43" t="str">
        <f t="shared" si="5"/>
        <v>Требуются кол-во и брутто</v>
      </c>
      <c r="AZ25" s="107" t="str">
        <f t="shared" si="6"/>
        <v>Требуются кол-во и цена</v>
      </c>
      <c r="BA25" s="45">
        <f>IF(A25&lt;&gt;"",IFERROR(IF(VLOOKUP(A25,'1C'!A:A,1,0)&lt;&gt;"",1,0),0),"")</f>
        <v>1</v>
      </c>
      <c r="BB25" s="146">
        <f>_xlfn.LET(_xlpm.NAME,IF(D25&lt;&gt;""," "&amp;D25,D25),IF(_xlfn.XLOOKUP(C25&amp;_xlpm.NAME,'1C'!G:G,'1C'!F:F,0,0)=0,0,1))</f>
        <v>0</v>
      </c>
      <c r="BC25" s="73">
        <f>IF(BB25,"-",IF(BA25&gt;0,0,1))</f>
        <v>0</v>
      </c>
    </row>
    <row r="26" spans="1:55" ht="100.9" customHeight="1">
      <c r="A26" s="43" t="str">
        <f t="shared" si="0"/>
        <v>B1815Hblack</v>
      </c>
      <c r="B26" s="45" t="str">
        <f>_xlfn.LET(_xlpm.NAME,IF(D26&lt;&gt;""," "&amp;D26,D26),IF(C26&lt;&gt;"",_xlfn.XLOOKUP(A26,'1C'!A:A,'1C'!B:B,MID(_xlfn.XLOOKUP(C26&amp;_xlpm.NAME,'1C'!G:G,'1C'!B:B,"new",0),1,7)&amp;IF(BC26=1,IF(L26&lt;&gt;"",_xlfn.XLOOKUP(L26,Colors!A:A,Colors!B:B,"new",0),"требуется цвет"),""),0)))</f>
        <v>31-206-09</v>
      </c>
      <c r="C26" s="44" t="s">
        <v>918</v>
      </c>
      <c r="D26" s="44" t="str">
        <f>IF(A26&lt;&gt;"",_xlfn.XLOOKUP(C26,'1C'!S:S,'1C'!T:T,"",0),"")</f>
        <v>ELLERY</v>
      </c>
      <c r="E26" s="43" t="str">
        <f>IF(F26&lt;&gt;"",IFERROR(VLOOKUP(F26,Категории!A:B,2,0),""),"Требуется категория")</f>
        <v>Шляпы</v>
      </c>
      <c r="F26" s="43" t="str">
        <f>_xlfn.LET(_xlpm.NAME,IF(D26&lt;&gt;""," "&amp;D26,D26),IF(BA26&gt;0,IFERROR(VLOOKUP(A26,'1C'!A:T,10,0),""),IFERROR(VLOOKUP(C26&amp;_xlpm.NAME,'1C'!G:J,4,0),"")))</f>
        <v>Шляпа федора</v>
      </c>
      <c r="G26" s="56" t="str">
        <f>_xlfn.LET(_xlpm.NAME,IF(D26&lt;&gt;""," "&amp;D26,D26),IF(C26&lt;&gt;"",IF(BA26&gt;0,IFERROR(VLOOKUP(A26,'1C'!A:L,12,0),""),IF(BB26&lt;1,IFERROR(VLOOKUP(C26&amp;_xlpm.NAME,'1C'!G:L,6,0),""),"")),""))</f>
        <v>Betmar</v>
      </c>
      <c r="H26" s="43" t="str">
        <f>_xlfn.LET(_xlpm.NAME,IF(D26&lt;&gt;""," "&amp;D26,D26),IF(BA26&gt;0,IF(B26&lt;&gt;"",IFERROR(VLOOKUP(A26,'1C'!A:T,13,0),""),""),IFERROR(VLOOKUP(C26&amp;_xlpm.NAME,'1C'!G:M,7,0),"")))</f>
        <v>летний</v>
      </c>
      <c r="J26" s="57" t="str">
        <f>'1C'!$AF$1</f>
        <v>Betmar</v>
      </c>
      <c r="K26" s="103" t="s">
        <v>831</v>
      </c>
      <c r="L26" s="56" t="str">
        <f>IF(K26&lt;&gt;"",IFERROR(VLOOKUP(A26,'1C'!A:T,8,0),IFERROR(VLOOKUP(K26,Colors!D:E,2,0),"")),"")</f>
        <v>черный</v>
      </c>
      <c r="M26" s="144" t="str">
        <f>IF(K26&lt;&gt;"",IFERROR(VLOOKUP(A26,'1C'!A:T,18,0),IFERROR(VLOOKUP(K26,Colors!D:E,2,0),"")),"")</f>
        <v>черный</v>
      </c>
      <c r="N26" s="145" t="str">
        <f>_xlfn.LET(_xlpm.NAME,IF(D26&lt;&gt;""," "&amp;D26,D26),IF(BA26&gt;0,IF(B26&lt;&gt;"",_xlfn.XLOOKUP(A26,'1C'!A:A,'1C'!I:I,""),0),_xlfn.XLOOKUP(C26&amp;_xlpm.NAME,'1C'!G:G,'1C'!I:I,"",0)))</f>
        <v>80% бумага - 20% полиэстер</v>
      </c>
      <c r="O26" s="65"/>
      <c r="P26" s="56" t="str">
        <f>_xlfn.LET(_xlpm.NAME,IF(D26&lt;&gt;""," "&amp;D26,D26),IF(A26&lt;&gt;"",_xlfn.XLOOKUP(A26,'1C'!A:A,'1C'!N:N,_xlfn.XLOOKUP(C26&amp;_xlpm.NAME,'1C'!G:G,'1C'!N:N,"",0),0),""))</f>
        <v>бумажные</v>
      </c>
      <c r="Q26" s="59" t="str">
        <f>IF(P26&lt;&gt;"",IFERROR(VLOOKUP(P26,MaterialsTypes!F:G,2,0),IFERROR(VLOOKUP(N26,MaterialsTypes100,2,0),"")),IFERROR(VLOOKUP(N26,MaterialsTypes100,2,0),""))</f>
        <v>Плетёный</v>
      </c>
      <c r="R26" s="59" t="str">
        <f>_xlfn.LET(_xlpm.NAME,IF(D26&lt;&gt;""," "&amp;D26,D26),IF(B26&lt;&gt;"",IFERROR(VLOOKUP(A26,'1C'!A:T,11,0),_xlfn.XLOOKUP(C26&amp;_xlpm.NAME,'1C'!G:G,'1C'!K:K,"",0)),""))</f>
        <v>Женский</v>
      </c>
      <c r="S26" s="58"/>
      <c r="V26" s="58"/>
      <c r="X26" s="58"/>
      <c r="Z26" s="58"/>
      <c r="AB26" s="58"/>
      <c r="AD26" s="58"/>
      <c r="AQ26" s="57" t="str">
        <f t="shared" si="1"/>
        <v/>
      </c>
      <c r="AR26" s="43" t="str">
        <f>IF(BA26&gt;0,IF(B26&lt;&gt;"",IFERROR(VLOOKUP(VLOOKUP(A26,'1C'!A:T,15,0),Settings!N:O,2,0),""),""),"")</f>
        <v>CN</v>
      </c>
      <c r="AS26" s="56" t="str">
        <f ca="1">IF(BA26&gt;0,_xlfn.XLOOKUP(A26,'1C'!$A:$A,'1C'!P:P,"",0,),IF(AR26&lt;&gt;"",VLOOKUP(AR26,INDIRECT(SUBSTITUTE($J26," ","")&amp;"Manufactures"),3,0),"Требуется код страны"))</f>
        <v>Bollman Headwear Europe Ltd; 2 Merchants drive, Caelisle, Cumbria CA3 0JW, United Kingdom</v>
      </c>
      <c r="AT26" s="56" t="str">
        <f ca="1">IF(BA26&gt;0,_xlfn.XLOOKUP(A26,'1C'!$A:$A,'1C'!O:O,"",0),IF(AR26&lt;&gt;"",VLOOKUP(AR26,INDIRECT(SUBSTITUTE($J26," ","")&amp;"Manufactures"),2,0),"Требуется код страны"))</f>
        <v>Китай</v>
      </c>
      <c r="AU26" s="76">
        <f t="shared" si="2"/>
        <v>0.1</v>
      </c>
      <c r="AV26" s="43">
        <f t="shared" si="3"/>
        <v>0.15000000000000002</v>
      </c>
      <c r="AW26" s="43" t="str">
        <f t="shared" si="4"/>
        <v>Требуются кол-во и нетто</v>
      </c>
      <c r="AX26" s="43" t="str">
        <f t="shared" si="5"/>
        <v>Требуются кол-во и брутто</v>
      </c>
      <c r="AZ26" s="107" t="str">
        <f t="shared" si="6"/>
        <v>Требуются кол-во и цена</v>
      </c>
      <c r="BA26" s="45">
        <f>IF(A26&lt;&gt;"",IFERROR(IF(VLOOKUP(A26,'1C'!A:A,1,0)&lt;&gt;"",1,0),0),"")</f>
        <v>1</v>
      </c>
      <c r="BB26" s="146">
        <f>_xlfn.LET(_xlpm.NAME,IF(D26&lt;&gt;""," "&amp;D26,D26),IF(_xlfn.XLOOKUP(C26&amp;_xlpm.NAME,'1C'!G:G,'1C'!F:F,0,0)=0,0,1))</f>
        <v>0</v>
      </c>
      <c r="BC26" s="73">
        <f>IF(BB26,"-",IF(BA26&gt;0,0,1))</f>
        <v>0</v>
      </c>
    </row>
    <row r="27" spans="1:55" ht="126.75" customHeight="1">
      <c r="A27" s="43" t="str">
        <f t="shared" si="0"/>
        <v>B1815Hbrown multi</v>
      </c>
      <c r="B27" s="45" t="str">
        <f>_xlfn.LET(_xlpm.NAME,IF(D27&lt;&gt;""," "&amp;D27,D27),IF(C27&lt;&gt;"",_xlfn.XLOOKUP(A27,'1C'!A:A,'1C'!B:B,MID(_xlfn.XLOOKUP(C27&amp;_xlpm.NAME,'1C'!G:G,'1C'!B:B,"new",0),1,7)&amp;IF(BC27=1,IF(L27&lt;&gt;"",_xlfn.XLOOKUP(L27,Colors!A:A,Colors!B:B,"new",0),"требуется цвет"),""),0)))</f>
        <v>31-206-14</v>
      </c>
      <c r="C27" s="44" t="s">
        <v>918</v>
      </c>
      <c r="D27" s="44" t="str">
        <f>IF(A27&lt;&gt;"",_xlfn.XLOOKUP(C27,'1C'!S:S,'1C'!T:T,"",0),"")</f>
        <v>ELLERY</v>
      </c>
      <c r="E27" s="43" t="str">
        <f>IF(F27&lt;&gt;"",IFERROR(VLOOKUP(F27,Категории!A:B,2,0),""),"Требуется категория")</f>
        <v>Шляпы</v>
      </c>
      <c r="F27" s="43" t="str">
        <f>_xlfn.LET(_xlpm.NAME,IF(D27&lt;&gt;""," "&amp;D27,D27),IF(BA27&gt;0,IFERROR(VLOOKUP(A27,'1C'!A:T,10,0),""),IFERROR(VLOOKUP(C27&amp;_xlpm.NAME,'1C'!G:J,4,0),"")))</f>
        <v>Шляпа федора</v>
      </c>
      <c r="G27" s="56" t="str">
        <f>_xlfn.LET(_xlpm.NAME,IF(D27&lt;&gt;""," "&amp;D27,D27),IF(C27&lt;&gt;"",IF(BA27&gt;0,IFERROR(VLOOKUP(A27,'1C'!A:L,12,0),""),IF(BB27&lt;1,IFERROR(VLOOKUP(C27&amp;_xlpm.NAME,'1C'!G:L,6,0),""),"")),""))</f>
        <v>Betmar</v>
      </c>
      <c r="H27" s="43" t="str">
        <f>_xlfn.LET(_xlpm.NAME,IF(D27&lt;&gt;""," "&amp;D27,D27),IF(BA27&gt;0,IF(B27&lt;&gt;"",IFERROR(VLOOKUP(A27,'1C'!A:T,13,0),""),""),IFERROR(VLOOKUP(C27&amp;_xlpm.NAME,'1C'!G:M,7,0),"")))</f>
        <v>летний</v>
      </c>
      <c r="J27" s="57" t="str">
        <f>'1C'!$AF$1</f>
        <v>Betmar</v>
      </c>
      <c r="K27" s="103" t="s">
        <v>873</v>
      </c>
      <c r="L27" s="56" t="str">
        <f>IF(K27&lt;&gt;"",IFERROR(VLOOKUP(A27,'1C'!A:T,8,0),IFERROR(VLOOKUP(K27,Colors!D:E,2,0),"")),"")</f>
        <v>коричневый</v>
      </c>
      <c r="M27" s="144" t="str">
        <f>IF(K27&lt;&gt;"",IFERROR(VLOOKUP(A27,'1C'!A:T,18,0),IFERROR(VLOOKUP(K27,Colors!D:E,2,0),"")),"")</f>
        <v>коричневый</v>
      </c>
      <c r="N27" s="145" t="str">
        <f>_xlfn.LET(_xlpm.NAME,IF(D27&lt;&gt;""," "&amp;D27,D27),IF(BA27&gt;0,IF(B27&lt;&gt;"",_xlfn.XLOOKUP(A27,'1C'!A:A,'1C'!I:I,""),0),_xlfn.XLOOKUP(C27&amp;_xlpm.NAME,'1C'!G:G,'1C'!I:I,"",0)))</f>
        <v>80% бумага - 20% полиэстер</v>
      </c>
      <c r="O27" s="65"/>
      <c r="P27" s="56" t="str">
        <f>_xlfn.LET(_xlpm.NAME,IF(D27&lt;&gt;""," "&amp;D27,D27),IF(A27&lt;&gt;"",_xlfn.XLOOKUP(A27,'1C'!A:A,'1C'!N:N,_xlfn.XLOOKUP(C27&amp;_xlpm.NAME,'1C'!G:G,'1C'!N:N,"",0),0),""))</f>
        <v>бумажные</v>
      </c>
      <c r="Q27" s="59" t="str">
        <f>IF(P27&lt;&gt;"",IFERROR(VLOOKUP(P27,MaterialsTypes!F:G,2,0),IFERROR(VLOOKUP(N27,MaterialsTypes100,2,0),"")),IFERROR(VLOOKUP(N27,MaterialsTypes100,2,0),""))</f>
        <v>Плетёный</v>
      </c>
      <c r="R27" s="59" t="str">
        <f>_xlfn.LET(_xlpm.NAME,IF(D27&lt;&gt;""," "&amp;D27,D27),IF(B27&lt;&gt;"",IFERROR(VLOOKUP(A27,'1C'!A:T,11,0),_xlfn.XLOOKUP(C27&amp;_xlpm.NAME,'1C'!G:G,'1C'!K:K,"",0)),""))</f>
        <v>Женский</v>
      </c>
      <c r="S27" s="58"/>
      <c r="V27" s="58"/>
      <c r="X27" s="58"/>
      <c r="Z27" s="58"/>
      <c r="AB27" s="58"/>
      <c r="AD27" s="58"/>
      <c r="AQ27" s="57" t="str">
        <f t="shared" si="1"/>
        <v/>
      </c>
      <c r="AR27" s="43" t="str">
        <f>IF(BA27&gt;0,IF(B27&lt;&gt;"",IFERROR(VLOOKUP(VLOOKUP(A27,'1C'!A:T,15,0),Settings!N:O,2,0),""),""),"")</f>
        <v>CN</v>
      </c>
      <c r="AS27" s="56" t="str">
        <f ca="1">IF(BA27&gt;0,_xlfn.XLOOKUP(A27,'1C'!$A:$A,'1C'!P:P,"",0,),IF(AR27&lt;&gt;"",VLOOKUP(AR27,INDIRECT(SUBSTITUTE($J27," ","")&amp;"Manufactures"),3,0),"Требуется код страны"))</f>
        <v>Bollman Headwear Europe Ltd; 2 Merchants drive, Caelisle, Cumbria CA3 0JW, United Kingdom</v>
      </c>
      <c r="AT27" s="56" t="str">
        <f ca="1">IF(BA27&gt;0,_xlfn.XLOOKUP(A27,'1C'!$A:$A,'1C'!O:O,"",0),IF(AR27&lt;&gt;"",VLOOKUP(AR27,INDIRECT(SUBSTITUTE($J27," ","")&amp;"Manufactures"),2,0),"Требуется код страны"))</f>
        <v>Китай</v>
      </c>
      <c r="AU27" s="76">
        <f t="shared" si="2"/>
        <v>0.1</v>
      </c>
      <c r="AV27" s="43">
        <f t="shared" si="3"/>
        <v>0.15000000000000002</v>
      </c>
      <c r="AW27" s="43" t="str">
        <f t="shared" si="4"/>
        <v>Требуются кол-во и нетто</v>
      </c>
      <c r="AX27" s="43" t="str">
        <f t="shared" si="5"/>
        <v>Требуются кол-во и брутто</v>
      </c>
      <c r="AZ27" s="107" t="str">
        <f t="shared" si="6"/>
        <v>Требуются кол-во и цена</v>
      </c>
      <c r="BA27" s="45">
        <f>IF(A27&lt;&gt;"",IFERROR(IF(VLOOKUP(A27,'1C'!A:A,1,0)&lt;&gt;"",1,0),0),"")</f>
        <v>1</v>
      </c>
      <c r="BB27" s="146">
        <f>_xlfn.LET(_xlpm.NAME,IF(D27&lt;&gt;""," "&amp;D27,D27),IF(_xlfn.XLOOKUP(C27&amp;_xlpm.NAME,'1C'!G:G,'1C'!F:F,0,0)=0,0,1))</f>
        <v>0</v>
      </c>
      <c r="BC27" s="73">
        <f>IF(BB27,"-",IF(BA27&gt;0,0,1))</f>
        <v>0</v>
      </c>
    </row>
    <row r="28" spans="1:55" ht="128.65" customHeight="1">
      <c r="A28" s="43" t="str">
        <f t="shared" si="0"/>
        <v>B1815Hnatural</v>
      </c>
      <c r="B28" s="45" t="str">
        <f>_xlfn.LET(_xlpm.NAME,IF(D28&lt;&gt;""," "&amp;D28,D28),IF(C28&lt;&gt;"",_xlfn.XLOOKUP(A28,'1C'!A:A,'1C'!B:B,MID(_xlfn.XLOOKUP(C28&amp;_xlpm.NAME,'1C'!G:G,'1C'!B:B,"new",0),1,7)&amp;IF(BC28=1,IF(L28&lt;&gt;"",_xlfn.XLOOKUP(L28,Colors!A:A,Colors!B:B,"new",0),"требуется цвет"),""),0)))</f>
        <v>31-206-02</v>
      </c>
      <c r="C28" s="44" t="s">
        <v>918</v>
      </c>
      <c r="D28" s="44" t="str">
        <f>IF(A28&lt;&gt;"",_xlfn.XLOOKUP(C28,'1C'!S:S,'1C'!T:T,"",0),"")</f>
        <v>ELLERY</v>
      </c>
      <c r="E28" s="43" t="str">
        <f>IF(F28&lt;&gt;"",IFERROR(VLOOKUP(F28,Категории!A:B,2,0),""),"Требуется категория")</f>
        <v>Шляпы</v>
      </c>
      <c r="F28" s="43" t="str">
        <f>_xlfn.LET(_xlpm.NAME,IF(D28&lt;&gt;""," "&amp;D28,D28),IF(BA28&gt;0,IFERROR(VLOOKUP(A28,'1C'!A:T,10,0),""),IFERROR(VLOOKUP(C28&amp;_xlpm.NAME,'1C'!G:J,4,0),"")))</f>
        <v>Шляпа федора</v>
      </c>
      <c r="G28" s="56" t="str">
        <f>_xlfn.LET(_xlpm.NAME,IF(D28&lt;&gt;""," "&amp;D28,D28),IF(C28&lt;&gt;"",IF(BA28&gt;0,IFERROR(VLOOKUP(A28,'1C'!A:L,12,0),""),IF(BB28&lt;1,IFERROR(VLOOKUP(C28&amp;_xlpm.NAME,'1C'!G:L,6,0),""),"")),""))</f>
        <v>Betmar</v>
      </c>
      <c r="H28" s="43" t="str">
        <f>_xlfn.LET(_xlpm.NAME,IF(D28&lt;&gt;""," "&amp;D28,D28),IF(BA28&gt;0,IF(B28&lt;&gt;"",IFERROR(VLOOKUP(A28,'1C'!A:T,13,0),""),""),IFERROR(VLOOKUP(C28&amp;_xlpm.NAME,'1C'!G:M,7,0),"")))</f>
        <v>летний</v>
      </c>
      <c r="J28" s="57" t="str">
        <f>'1C'!$AF$1</f>
        <v>Betmar</v>
      </c>
      <c r="K28" s="103" t="s">
        <v>844</v>
      </c>
      <c r="L28" s="56" t="str">
        <f>IF(K28&lt;&gt;"",IFERROR(VLOOKUP(A28,'1C'!A:T,8,0),IFERROR(VLOOKUP(K28,Colors!D:E,2,0),"")),"")</f>
        <v>бежевый</v>
      </c>
      <c r="M28" s="144" t="str">
        <f>IF(K28&lt;&gt;"",IFERROR(VLOOKUP(A28,'1C'!A:T,18,0),IFERROR(VLOOKUP(K28,Colors!D:E,2,0),"")),"")</f>
        <v>бежевый</v>
      </c>
      <c r="N28" s="145" t="str">
        <f>_xlfn.LET(_xlpm.NAME,IF(D28&lt;&gt;""," "&amp;D28,D28),IF(BA28&gt;0,IF(B28&lt;&gt;"",_xlfn.XLOOKUP(A28,'1C'!A:A,'1C'!I:I,""),0),_xlfn.XLOOKUP(C28&amp;_xlpm.NAME,'1C'!G:G,'1C'!I:I,"",0)))</f>
        <v>80% бумага - 20% полиэстер</v>
      </c>
      <c r="O28" s="65"/>
      <c r="P28" s="56" t="str">
        <f>_xlfn.LET(_xlpm.NAME,IF(D28&lt;&gt;""," "&amp;D28,D28),IF(A28&lt;&gt;"",_xlfn.XLOOKUP(A28,'1C'!A:A,'1C'!N:N,_xlfn.XLOOKUP(C28&amp;_xlpm.NAME,'1C'!G:G,'1C'!N:N,"",0),0),""))</f>
        <v>бумажные</v>
      </c>
      <c r="Q28" s="59" t="str">
        <f>IF(P28&lt;&gt;"",IFERROR(VLOOKUP(P28,MaterialsTypes!F:G,2,0),IFERROR(VLOOKUP(N28,MaterialsTypes100,2,0),"")),IFERROR(VLOOKUP(N28,MaterialsTypes100,2,0),""))</f>
        <v>Плетёный</v>
      </c>
      <c r="R28" s="59" t="str">
        <f>_xlfn.LET(_xlpm.NAME,IF(D28&lt;&gt;""," "&amp;D28,D28),IF(B28&lt;&gt;"",IFERROR(VLOOKUP(A28,'1C'!A:T,11,0),_xlfn.XLOOKUP(C28&amp;_xlpm.NAME,'1C'!G:G,'1C'!K:K,"",0)),""))</f>
        <v>Женский</v>
      </c>
      <c r="S28" s="58"/>
      <c r="V28" s="58"/>
      <c r="X28" s="58"/>
      <c r="Z28" s="58"/>
      <c r="AB28" s="58"/>
      <c r="AD28" s="58"/>
      <c r="AQ28" s="57" t="str">
        <f t="shared" si="1"/>
        <v/>
      </c>
      <c r="AR28" s="43" t="str">
        <f>IF(BA28&gt;0,IF(B28&lt;&gt;"",IFERROR(VLOOKUP(VLOOKUP(A28,'1C'!A:T,15,0),Settings!N:O,2,0),""),""),"")</f>
        <v>CN</v>
      </c>
      <c r="AS28" s="56" t="str">
        <f ca="1">IF(BA28&gt;0,_xlfn.XLOOKUP(A28,'1C'!$A:$A,'1C'!P:P,"",0,),IF(AR28&lt;&gt;"",VLOOKUP(AR28,INDIRECT(SUBSTITUTE($J28," ","")&amp;"Manufactures"),3,0),"Требуется код страны"))</f>
        <v>Bollman Headwear Europe Ltd; 2 Merchants drive, Caelisle, Cumbria CA3 0JW, United Kingdom</v>
      </c>
      <c r="AT28" s="56" t="str">
        <f ca="1">IF(BA28&gt;0,_xlfn.XLOOKUP(A28,'1C'!$A:$A,'1C'!O:O,"",0),IF(AR28&lt;&gt;"",VLOOKUP(AR28,INDIRECT(SUBSTITUTE($J28," ","")&amp;"Manufactures"),2,0),"Требуется код страны"))</f>
        <v>Китай</v>
      </c>
      <c r="AU28" s="76">
        <f t="shared" si="2"/>
        <v>0.1</v>
      </c>
      <c r="AV28" s="43">
        <f t="shared" si="3"/>
        <v>0.15000000000000002</v>
      </c>
      <c r="AW28" s="43" t="str">
        <f t="shared" si="4"/>
        <v>Требуются кол-во и нетто</v>
      </c>
      <c r="AX28" s="43" t="str">
        <f t="shared" si="5"/>
        <v>Требуются кол-во и брутто</v>
      </c>
      <c r="AZ28" s="107" t="str">
        <f t="shared" si="6"/>
        <v>Требуются кол-во и цена</v>
      </c>
      <c r="BA28" s="45">
        <f>IF(A28&lt;&gt;"",IFERROR(IF(VLOOKUP(A28,'1C'!A:A,1,0)&lt;&gt;"",1,0),0),"")</f>
        <v>1</v>
      </c>
      <c r="BB28" s="146">
        <f>_xlfn.LET(_xlpm.NAME,IF(D28&lt;&gt;""," "&amp;D28,D28),IF(_xlfn.XLOOKUP(C28&amp;_xlpm.NAME,'1C'!G:G,'1C'!F:F,0,0)=0,0,1))</f>
        <v>0</v>
      </c>
      <c r="BC28" s="73">
        <f>IF(BB28,"-",IF(BA28&gt;0,0,1))</f>
        <v>0</v>
      </c>
    </row>
    <row r="29" spans="1:55" ht="112.35" customHeight="1">
      <c r="A29" s="43" t="str">
        <f t="shared" si="0"/>
        <v>B1899Hlavender charcoal</v>
      </c>
      <c r="B29" s="45" t="str">
        <f>_xlfn.LET(_xlpm.NAME,IF(D29&lt;&gt;""," "&amp;D29,D29),IF(C29&lt;&gt;"",_xlfn.XLOOKUP(A29,'1C'!A:A,'1C'!B:B,MID(_xlfn.XLOOKUP(C29&amp;_xlpm.NAME,'1C'!G:G,'1C'!B:B,"new",0),1,7)&amp;IF(BC29=1,IF(L29&lt;&gt;"",_xlfn.XLOOKUP(L29,Colors!A:A,Colors!B:B,"new",0),"требуется цвет"),""),0)))</f>
        <v>31-237-требуется цвет</v>
      </c>
      <c r="C29" s="44" t="s">
        <v>919</v>
      </c>
      <c r="D29" s="44" t="str">
        <f>IF(A29&lt;&gt;"",_xlfn.XLOOKUP(C29,'1C'!S:S,'1C'!T:T,"",0),"")</f>
        <v>GOSSAMER MINI</v>
      </c>
      <c r="E29" s="43" t="str">
        <f>IF(F29&lt;&gt;"",IFERROR(VLOOKUP(F29,Категории!A:B,2,0),""),"Требуется категория")</f>
        <v>Требуется категория</v>
      </c>
      <c r="G29" s="63"/>
      <c r="J29" s="57" t="str">
        <f>'1C'!$AF$1</f>
        <v>Betmar</v>
      </c>
      <c r="K29" s="103" t="s">
        <v>937</v>
      </c>
      <c r="L29" s="63"/>
      <c r="M29" s="66"/>
      <c r="N29" s="166"/>
      <c r="O29" s="65"/>
      <c r="P29" s="63"/>
      <c r="Q29" s="58"/>
      <c r="R29" s="58"/>
      <c r="S29" s="58"/>
      <c r="V29" s="58"/>
      <c r="X29" s="58"/>
      <c r="Z29" s="58"/>
      <c r="AB29" s="58"/>
      <c r="AD29" s="58"/>
      <c r="AQ29" s="57" t="str">
        <f t="shared" si="1"/>
        <v/>
      </c>
      <c r="AS29" s="56" t="str">
        <f ca="1">IF(BA29&gt;0,_xlfn.XLOOKUP(A29,'1C'!$A:$A,'1C'!P:P,"",0,),IF(AR29&lt;&gt;"",VLOOKUP(AR29,INDIRECT(SUBSTITUTE($J29," ","")&amp;"Manufactures"),3,0),"Требуется код страны"))</f>
        <v>Требуется код страны</v>
      </c>
      <c r="AT29" s="56" t="str">
        <f ca="1">IF(BA29&gt;0,_xlfn.XLOOKUP(A29,'1C'!$A:$A,'1C'!O:O,"",0),IF(AR29&lt;&gt;"",VLOOKUP(AR29,INDIRECT(SUBSTITUTE($J29," ","")&amp;"Manufactures"),2,0),"Требуется код страны"))</f>
        <v>Требуется код страны</v>
      </c>
      <c r="AU29" s="76">
        <f t="shared" si="2"/>
        <v>0.1</v>
      </c>
      <c r="AV29" s="43">
        <f t="shared" si="3"/>
        <v>0.15000000000000002</v>
      </c>
      <c r="AW29" s="43" t="str">
        <f t="shared" si="4"/>
        <v>Требуются кол-во и нетто</v>
      </c>
      <c r="AX29" s="43" t="str">
        <f t="shared" si="5"/>
        <v>Требуются кол-во и брутто</v>
      </c>
      <c r="AZ29" s="107" t="str">
        <f t="shared" si="6"/>
        <v>Требуются кол-во и цена</v>
      </c>
      <c r="BA29" s="45">
        <f>IF(A29&lt;&gt;"",IFERROR(IF(VLOOKUP(A29,'1C'!A:A,1,0)&lt;&gt;"",1,0),0),"")</f>
        <v>0</v>
      </c>
      <c r="BB29" s="146">
        <f>_xlfn.LET(_xlpm.NAME,IF(D29&lt;&gt;""," "&amp;D29,D29),IF(_xlfn.XLOOKUP(C29&amp;_xlpm.NAME,'1C'!G:G,'1C'!F:F,0,0)=0,0,1))</f>
        <v>0</v>
      </c>
      <c r="BC29" s="73">
        <f>IF(BB29,"-",IF(BA29&gt;0,0,1))</f>
        <v>1</v>
      </c>
    </row>
    <row r="30" spans="1:55" ht="102" customHeight="1">
      <c r="A30" s="43" t="str">
        <f t="shared" si="0"/>
        <v>B1899Hlemon</v>
      </c>
      <c r="B30" s="45" t="str">
        <f>_xlfn.LET(_xlpm.NAME,IF(D30&lt;&gt;""," "&amp;D30,D30),IF(C30&lt;&gt;"",_xlfn.XLOOKUP(A30,'1C'!A:A,'1C'!B:B,MID(_xlfn.XLOOKUP(C30&amp;_xlpm.NAME,'1C'!G:G,'1C'!B:B,"new",0),1,7)&amp;IF(BC30=1,IF(L30&lt;&gt;"",_xlfn.XLOOKUP(L30,Colors!A:A,Colors!B:B,"new",0),"требуется цвет"),""),0)))</f>
        <v>31-237-20</v>
      </c>
      <c r="C30" s="44" t="s">
        <v>919</v>
      </c>
      <c r="D30" s="44" t="str">
        <f>IF(A30&lt;&gt;"",_xlfn.XLOOKUP(C30,'1C'!S:S,'1C'!T:T,"",0),"")</f>
        <v>GOSSAMER MINI</v>
      </c>
      <c r="E30" s="43" t="str">
        <f>IF(F30&lt;&gt;"",IFERROR(VLOOKUP(F30,Категории!A:B,2,0),""),"Требуется категория")</f>
        <v>Шляпы</v>
      </c>
      <c r="F30" s="43" t="str">
        <f>_xlfn.LET(_xlpm.NAME,IF(D30&lt;&gt;""," "&amp;D30,D30),IF(BA30&gt;0,IFERROR(VLOOKUP(A30,'1C'!A:T,10,0),""),IFERROR(VLOOKUP(C30&amp;_xlpm.NAME,'1C'!G:J,4,0),"")))</f>
        <v>Шляпа клош</v>
      </c>
      <c r="G30" s="56" t="str">
        <f>_xlfn.LET(_xlpm.NAME,IF(D30&lt;&gt;""," "&amp;D30,D30),IF(C30&lt;&gt;"",IF(BA30&gt;0,IFERROR(VLOOKUP(A30,'1C'!A:L,12,0),""),IF(BB30&lt;1,IFERROR(VLOOKUP(C30&amp;_xlpm.NAME,'1C'!G:L,6,0),""),"")),""))</f>
        <v>Betmar</v>
      </c>
      <c r="H30" s="43" t="str">
        <f>_xlfn.LET(_xlpm.NAME,IF(D30&lt;&gt;""," "&amp;D30,D30),IF(BA30&gt;0,IF(B30&lt;&gt;"",IFERROR(VLOOKUP(A30,'1C'!A:T,13,0),""),""),IFERROR(VLOOKUP(C30&amp;_xlpm.NAME,'1C'!G:M,7,0),"")))</f>
        <v>летний</v>
      </c>
      <c r="J30" s="59" t="str">
        <f>'1C'!$AF$1</f>
        <v>Betmar</v>
      </c>
      <c r="K30" s="103" t="s">
        <v>940</v>
      </c>
      <c r="L30" s="56" t="str">
        <f>IF(K30&lt;&gt;"",IFERROR(VLOOKUP(A30,'1C'!A:T,8,0),IFERROR(VLOOKUP(K30,Colors!D:E,2,0),"")),"")</f>
        <v>лимонный</v>
      </c>
      <c r="M30" s="144" t="str">
        <f>IF(K30&lt;&gt;"",IFERROR(VLOOKUP(A30,'1C'!A:T,18,0),IFERROR(VLOOKUP(K30,Colors!D:E,2,0),"")),"")</f>
        <v>желтый</v>
      </c>
      <c r="N30" s="145" t="str">
        <f>_xlfn.LET(_xlpm.NAME,IF(D30&lt;&gt;""," "&amp;D30,D30),IF(BA30&gt;0,IF(B30&lt;&gt;"",_xlfn.XLOOKUP(A30,'1C'!A:A,'1C'!I:I,""),0),_xlfn.XLOOKUP(C30&amp;_xlpm.NAME,'1C'!G:G,'1C'!I:I,"",0)))</f>
        <v>45% бумага - 35% полипропилен - 20% полиэстер</v>
      </c>
      <c r="O30" s="65"/>
      <c r="P30" s="56" t="str">
        <f>_xlfn.LET(_xlpm.NAME,IF(D30&lt;&gt;""," "&amp;D30,D30),IF(A30&lt;&gt;"",_xlfn.XLOOKUP(A30,'1C'!A:A,'1C'!N:N,_xlfn.XLOOKUP(C30&amp;_xlpm.NAME,'1C'!G:G,'1C'!N:N,"",0),0),""))</f>
        <v>бумажные</v>
      </c>
      <c r="Q30" s="59" t="str">
        <f>IF(P30&lt;&gt;"",IFERROR(VLOOKUP(P30,MaterialsTypes!F:G,2,0),IFERROR(VLOOKUP(N30,MaterialsTypes100,2,0),"")),IFERROR(VLOOKUP(N30,MaterialsTypes100,2,0),""))</f>
        <v>Плетёный</v>
      </c>
      <c r="R30" s="59" t="str">
        <f>_xlfn.LET(_xlpm.NAME,IF(D30&lt;&gt;""," "&amp;D30,D30),IF(B30&lt;&gt;"",IFERROR(VLOOKUP(A30,'1C'!A:T,11,0),_xlfn.XLOOKUP(C30&amp;_xlpm.NAME,'1C'!G:G,'1C'!K:K,"",0)),""))</f>
        <v>Женский</v>
      </c>
      <c r="S30" s="58"/>
      <c r="V30" s="58"/>
      <c r="X30" s="58"/>
      <c r="Z30" s="58"/>
      <c r="AB30" s="58"/>
      <c r="AD30" s="58"/>
      <c r="AQ30" s="57" t="str">
        <f t="shared" si="1"/>
        <v/>
      </c>
      <c r="AR30" s="43" t="str">
        <f>IF(BA30&gt;0,IF(B30&lt;&gt;"",IFERROR(VLOOKUP(VLOOKUP(A30,'1C'!A:T,15,0),Settings!N:O,2,0),""),""),"")</f>
        <v>CN</v>
      </c>
      <c r="AS30" s="56" t="str">
        <f ca="1">IF(BA30&gt;0,_xlfn.XLOOKUP(A30,'1C'!$A:$A,'1C'!P:P,"",0,),IF(AR30&lt;&gt;"",VLOOKUP(AR30,INDIRECT(SUBSTITUTE($J30," ","")&amp;"Manufactures"),3,0),"Требуется код страны"))</f>
        <v>Bollman Headwear Europe Ltd; 2 Merchants drive, Caelisle, Cumbria CA3 0JW, United Kingdom</v>
      </c>
      <c r="AT30" s="56" t="str">
        <f ca="1">IF(BA30&gt;0,_xlfn.XLOOKUP(A30,'1C'!$A:$A,'1C'!O:O,"",0),IF(AR30&lt;&gt;"",VLOOKUP(AR30,INDIRECT(SUBSTITUTE($J30," ","")&amp;"Manufactures"),2,0),"Требуется код страны"))</f>
        <v>Китай</v>
      </c>
      <c r="AU30" s="76">
        <f t="shared" si="2"/>
        <v>0.1</v>
      </c>
      <c r="AV30" s="43">
        <f t="shared" si="3"/>
        <v>0.15000000000000002</v>
      </c>
      <c r="AW30" s="43" t="str">
        <f t="shared" si="4"/>
        <v>Требуются кол-во и нетто</v>
      </c>
      <c r="AX30" s="43" t="str">
        <f t="shared" si="5"/>
        <v>Требуются кол-во и брутто</v>
      </c>
      <c r="AZ30" s="107" t="str">
        <f t="shared" si="6"/>
        <v>Требуются кол-во и цена</v>
      </c>
      <c r="BA30" s="45">
        <f>IF(A30&lt;&gt;"",IFERROR(IF(VLOOKUP(A30,'1C'!A:A,1,0)&lt;&gt;"",1,0),0),"")</f>
        <v>1</v>
      </c>
      <c r="BB30" s="146">
        <f>_xlfn.LET(_xlpm.NAME,IF(D30&lt;&gt;""," "&amp;D30,D30),IF(_xlfn.XLOOKUP(C30&amp;_xlpm.NAME,'1C'!G:G,'1C'!F:F,0,0)=0,0,1))</f>
        <v>0</v>
      </c>
      <c r="BC30" s="73">
        <f>IF(BB30,"-",IF(BA30&gt;0,0,1))</f>
        <v>0</v>
      </c>
    </row>
    <row r="31" spans="1:55" ht="108.2" customHeight="1">
      <c r="A31" s="43" t="str">
        <f t="shared" si="0"/>
        <v>B1899Hwhite</v>
      </c>
      <c r="B31" s="45" t="str">
        <f>_xlfn.LET(_xlpm.NAME,IF(D31&lt;&gt;""," "&amp;D31,D31),IF(C31&lt;&gt;"",_xlfn.XLOOKUP(A31,'1C'!A:A,'1C'!B:B,MID(_xlfn.XLOOKUP(C31&amp;_xlpm.NAME,'1C'!G:G,'1C'!B:B,"new",0),1,7)&amp;IF(BC31=1,IF(L31&lt;&gt;"",_xlfn.XLOOKUP(L31,Colors!A:A,Colors!B:B,"new",0),"требуется цвет"),""),0)))</f>
        <v>31-237-17</v>
      </c>
      <c r="C31" s="44" t="s">
        <v>919</v>
      </c>
      <c r="D31" s="44" t="str">
        <f>IF(A31&lt;&gt;"",_xlfn.XLOOKUP(C31,'1C'!S:S,'1C'!T:T,"",0),"")</f>
        <v>GOSSAMER MINI</v>
      </c>
      <c r="E31" s="43" t="str">
        <f>IF(F31&lt;&gt;"",IFERROR(VLOOKUP(F31,Категории!A:B,2,0),""),"Требуется категория")</f>
        <v>Шляпы</v>
      </c>
      <c r="F31" s="43" t="str">
        <f>_xlfn.LET(_xlpm.NAME,IF(D31&lt;&gt;""," "&amp;D31,D31),IF(BA31&gt;0,IFERROR(VLOOKUP(A31,'1C'!A:T,10,0),""),IFERROR(VLOOKUP(C31&amp;_xlpm.NAME,'1C'!G:J,4,0),"")))</f>
        <v>Шляпа клош</v>
      </c>
      <c r="G31" s="56" t="str">
        <f>_xlfn.LET(_xlpm.NAME,IF(D31&lt;&gt;""," "&amp;D31,D31),IF(C31&lt;&gt;"",IF(BA31&gt;0,IFERROR(VLOOKUP(A31,'1C'!A:L,12,0),""),IF(BB31&lt;1,IFERROR(VLOOKUP(C31&amp;_xlpm.NAME,'1C'!G:L,6,0),""),"")),""))</f>
        <v>Betmar</v>
      </c>
      <c r="H31" s="43" t="str">
        <f>_xlfn.LET(_xlpm.NAME,IF(D31&lt;&gt;""," "&amp;D31,D31),IF(BA31&gt;0,IF(B31&lt;&gt;"",IFERROR(VLOOKUP(A31,'1C'!A:T,13,0),""),""),IFERROR(VLOOKUP(C31&amp;_xlpm.NAME,'1C'!G:M,7,0),"")))</f>
        <v>летний</v>
      </c>
      <c r="J31" s="59" t="str">
        <f>'1C'!$AF$1</f>
        <v>Betmar</v>
      </c>
      <c r="K31" s="103" t="s">
        <v>840</v>
      </c>
      <c r="L31" s="56" t="str">
        <f>IF(K31&lt;&gt;"",IFERROR(VLOOKUP(A31,'1C'!A:T,8,0),IFERROR(VLOOKUP(K31,Colors!D:E,2,0),"")),"")</f>
        <v>белый</v>
      </c>
      <c r="M31" s="144" t="str">
        <f>IF(K31&lt;&gt;"",IFERROR(VLOOKUP(A31,'1C'!A:T,18,0),IFERROR(VLOOKUP(K31,Colors!D:E,2,0),"")),"")</f>
        <v>белый</v>
      </c>
      <c r="N31" s="145" t="str">
        <f>_xlfn.LET(_xlpm.NAME,IF(D31&lt;&gt;""," "&amp;D31,D31),IF(BA31&gt;0,IF(B31&lt;&gt;"",_xlfn.XLOOKUP(A31,'1C'!A:A,'1C'!I:I,""),0),_xlfn.XLOOKUP(C31&amp;_xlpm.NAME,'1C'!G:G,'1C'!I:I,"",0)))</f>
        <v>45% бумага - 35% полипропилен - 20% полиэстер</v>
      </c>
      <c r="O31" s="65"/>
      <c r="P31" s="56" t="str">
        <f>_xlfn.LET(_xlpm.NAME,IF(D31&lt;&gt;""," "&amp;D31,D31),IF(A31&lt;&gt;"",_xlfn.XLOOKUP(A31,'1C'!A:A,'1C'!N:N,_xlfn.XLOOKUP(C31&amp;_xlpm.NAME,'1C'!G:G,'1C'!N:N,"",0),0),""))</f>
        <v>бумажные</v>
      </c>
      <c r="Q31" s="59" t="str">
        <f>IF(P31&lt;&gt;"",IFERROR(VLOOKUP(P31,MaterialsTypes!F:G,2,0),IFERROR(VLOOKUP(N31,MaterialsTypes100,2,0),"")),IFERROR(VLOOKUP(N31,MaterialsTypes100,2,0),""))</f>
        <v>Плетёный</v>
      </c>
      <c r="R31" s="59" t="str">
        <f>_xlfn.LET(_xlpm.NAME,IF(D31&lt;&gt;""," "&amp;D31,D31),IF(B31&lt;&gt;"",IFERROR(VLOOKUP(A31,'1C'!A:T,11,0),_xlfn.XLOOKUP(C31&amp;_xlpm.NAME,'1C'!G:G,'1C'!K:K,"",0)),""))</f>
        <v>Женский</v>
      </c>
      <c r="S31" s="58"/>
      <c r="V31" s="58"/>
      <c r="X31" s="58"/>
      <c r="Z31" s="58"/>
      <c r="AB31" s="58"/>
      <c r="AD31" s="58"/>
      <c r="AQ31" s="57" t="str">
        <f t="shared" si="1"/>
        <v/>
      </c>
      <c r="AR31" s="43" t="str">
        <f>IF(BA31&gt;0,IF(B31&lt;&gt;"",IFERROR(VLOOKUP(VLOOKUP(A31,'1C'!A:T,15,0),Settings!N:O,2,0),""),""),"")</f>
        <v>CN</v>
      </c>
      <c r="AS31" s="56" t="str">
        <f ca="1">IF(BA31&gt;0,_xlfn.XLOOKUP(A31,'1C'!$A:$A,'1C'!P:P,"",0,),IF(AR31&lt;&gt;"",VLOOKUP(AR31,INDIRECT(SUBSTITUTE($J31," ","")&amp;"Manufactures"),3,0),"Требуется код страны"))</f>
        <v>Bollman Headwear Europe Ltd; 2 Merchants drive, Caelisle, Cumbria CA3 0JW, United Kingdom</v>
      </c>
      <c r="AT31" s="56" t="str">
        <f ca="1">IF(BA31&gt;0,_xlfn.XLOOKUP(A31,'1C'!$A:$A,'1C'!O:O,"",0),IF(AR31&lt;&gt;"",VLOOKUP(AR31,INDIRECT(SUBSTITUTE($J31," ","")&amp;"Manufactures"),2,0),"Требуется код страны"))</f>
        <v>Китай</v>
      </c>
      <c r="AU31" s="76">
        <f t="shared" si="2"/>
        <v>0.1</v>
      </c>
      <c r="AV31" s="43">
        <f t="shared" si="3"/>
        <v>0.15000000000000002</v>
      </c>
      <c r="AW31" s="43" t="str">
        <f t="shared" si="4"/>
        <v>Требуются кол-во и нетто</v>
      </c>
      <c r="AX31" s="43" t="str">
        <f t="shared" si="5"/>
        <v>Требуются кол-во и брутто</v>
      </c>
      <c r="AZ31" s="107" t="str">
        <f t="shared" si="6"/>
        <v>Требуются кол-во и цена</v>
      </c>
      <c r="BA31" s="45">
        <f>IF(A31&lt;&gt;"",IFERROR(IF(VLOOKUP(A31,'1C'!A:A,1,0)&lt;&gt;"",1,0),0),"")</f>
        <v>1</v>
      </c>
      <c r="BB31" s="146">
        <f>_xlfn.LET(_xlpm.NAME,IF(D31&lt;&gt;""," "&amp;D31,D31),IF(_xlfn.XLOOKUP(C31&amp;_xlpm.NAME,'1C'!G:G,'1C'!F:F,0,0)=0,0,1))</f>
        <v>0</v>
      </c>
      <c r="BC31" s="73">
        <f>IF(BB31,"-",IF(BA31&gt;0,0,1))</f>
        <v>0</v>
      </c>
    </row>
    <row r="32" spans="1:55" ht="103.7" customHeight="1">
      <c r="A32" s="43" t="str">
        <f t="shared" si="0"/>
        <v>B1900Hauburn sand</v>
      </c>
      <c r="B32" s="45" t="str">
        <f>_xlfn.LET(_xlpm.NAME,IF(D32&lt;&gt;""," "&amp;D32,D32),IF(C32&lt;&gt;"",_xlfn.XLOOKUP(A32,'1C'!A:A,'1C'!B:B,MID(_xlfn.XLOOKUP(C32&amp;_xlpm.NAME,'1C'!G:G,'1C'!B:B,"new",0),1,7)&amp;IF(BC32=1,IF(L32&lt;&gt;"",_xlfn.XLOOKUP(L32,Colors!A:A,Colors!B:B,"new",0),"требуется цвет"),""),0)))</f>
        <v>31-238-91</v>
      </c>
      <c r="C32" s="44" t="s">
        <v>920</v>
      </c>
      <c r="D32" s="44" t="str">
        <f>IF(A32&lt;&gt;"",_xlfn.XLOOKUP(C32,'1C'!S:S,'1C'!T:T,"",0),"")</f>
        <v>BLANCHET</v>
      </c>
      <c r="E32" s="43" t="str">
        <f>IF(F32&lt;&gt;"",IFERROR(VLOOKUP(F32,Категории!A:B,2,0),""),"Требуется категория")</f>
        <v>Шляпы</v>
      </c>
      <c r="F32" s="43" t="str">
        <f>_xlfn.LET(_xlpm.NAME,IF(D32&lt;&gt;""," "&amp;D32,D32),IF(BA32&gt;0,IFERROR(VLOOKUP(A32,'1C'!A:T,10,0),""),IFERROR(VLOOKUP(C32&amp;_xlpm.NAME,'1C'!G:J,4,0),"")))</f>
        <v>Шляпа с широкими полями</v>
      </c>
      <c r="G32" s="56" t="str">
        <f>_xlfn.LET(_xlpm.NAME,IF(D32&lt;&gt;""," "&amp;D32,D32),IF(C32&lt;&gt;"",IF(BA32&gt;0,IFERROR(VLOOKUP(A32,'1C'!A:L,12,0),""),IF(BB32&lt;1,IFERROR(VLOOKUP(C32&amp;_xlpm.NAME,'1C'!G:L,6,0),""),"")),""))</f>
        <v>Betmar</v>
      </c>
      <c r="H32" s="43" t="str">
        <f>_xlfn.LET(_xlpm.NAME,IF(D32&lt;&gt;""," "&amp;D32,D32),IF(BA32&gt;0,IF(B32&lt;&gt;"",IFERROR(VLOOKUP(A32,'1C'!A:T,13,0),""),""),IFERROR(VLOOKUP(C32&amp;_xlpm.NAME,'1C'!G:M,7,0),"")))</f>
        <v>летний</v>
      </c>
      <c r="J32" s="59" t="str">
        <f>'1C'!$AF$1</f>
        <v>Betmar</v>
      </c>
      <c r="K32" s="103" t="s">
        <v>941</v>
      </c>
      <c r="L32" s="56" t="str">
        <f>IF(K32&lt;&gt;"",IFERROR(VLOOKUP(A32,'1C'!A:T,8,0),IFERROR(VLOOKUP(K32,Colors!D:E,2,0),"")),"")</f>
        <v>кофейный</v>
      </c>
      <c r="M32" s="144" t="str">
        <f>IF(K32&lt;&gt;"",IFERROR(VLOOKUP(A32,'1C'!A:T,18,0),IFERROR(VLOOKUP(K32,Colors!D:E,2,0),"")),"")</f>
        <v>коричневый</v>
      </c>
      <c r="N32" s="145" t="str">
        <f>_xlfn.LET(_xlpm.NAME,IF(D32&lt;&gt;""," "&amp;D32,D32),IF(BA32&gt;0,IF(B32&lt;&gt;"",_xlfn.XLOOKUP(A32,'1C'!A:A,'1C'!I:I,""),0),_xlfn.XLOOKUP(C32&amp;_xlpm.NAME,'1C'!G:G,'1C'!I:I,"",0)))</f>
        <v>45% бумага - 35% полипропилен - 20% полиэстер</v>
      </c>
      <c r="O32" s="65"/>
      <c r="P32" s="56" t="str">
        <f>_xlfn.LET(_xlpm.NAME,IF(D32&lt;&gt;""," "&amp;D32,D32),IF(A32&lt;&gt;"",_xlfn.XLOOKUP(A32,'1C'!A:A,'1C'!N:N,_xlfn.XLOOKUP(C32&amp;_xlpm.NAME,'1C'!G:G,'1C'!N:N,"",0),0),""))</f>
        <v>бумажные</v>
      </c>
      <c r="Q32" s="59" t="str">
        <f>IF(P32&lt;&gt;"",IFERROR(VLOOKUP(P32,MaterialsTypes!F:G,2,0),IFERROR(VLOOKUP(N32,MaterialsTypes100,2,0),"")),IFERROR(VLOOKUP(N32,MaterialsTypes100,2,0),""))</f>
        <v>Плетёный</v>
      </c>
      <c r="R32" s="59" t="str">
        <f>_xlfn.LET(_xlpm.NAME,IF(D32&lt;&gt;""," "&amp;D32,D32),IF(B32&lt;&gt;"",IFERROR(VLOOKUP(A32,'1C'!A:T,11,0),_xlfn.XLOOKUP(C32&amp;_xlpm.NAME,'1C'!G:G,'1C'!K:K,"",0)),""))</f>
        <v>Женский</v>
      </c>
      <c r="S32" s="58"/>
      <c r="V32" s="58"/>
      <c r="X32" s="58"/>
      <c r="Z32" s="58"/>
      <c r="AB32" s="58"/>
      <c r="AD32" s="58"/>
      <c r="AQ32" s="57" t="str">
        <f t="shared" si="1"/>
        <v/>
      </c>
      <c r="AR32" s="43" t="str">
        <f>IF(BA32&gt;0,IF(B32&lt;&gt;"",IFERROR(VLOOKUP(VLOOKUP(A32,'1C'!A:T,15,0),Settings!N:O,2,0),""),""),"")</f>
        <v>CN</v>
      </c>
      <c r="AS32" s="56" t="str">
        <f ca="1">IF(BA32&gt;0,_xlfn.XLOOKUP(A32,'1C'!$A:$A,'1C'!P:P,"",0,),IF(AR32&lt;&gt;"",VLOOKUP(AR32,INDIRECT(SUBSTITUTE($J32," ","")&amp;"Manufactures"),3,0),"Требуется код страны"))</f>
        <v>Bollman Headwear Europe Ltd; 2 Merchants drive, Caelisle, Cumbria CA3 0JW, United Kingdom</v>
      </c>
      <c r="AT32" s="56" t="str">
        <f ca="1">IF(BA32&gt;0,_xlfn.XLOOKUP(A32,'1C'!$A:$A,'1C'!O:O,"",0),IF(AR32&lt;&gt;"",VLOOKUP(AR32,INDIRECT(SUBSTITUTE($J32," ","")&amp;"Manufactures"),2,0),"Требуется код страны"))</f>
        <v>Китай</v>
      </c>
      <c r="AU32" s="76">
        <f t="shared" si="2"/>
        <v>0.1</v>
      </c>
      <c r="AV32" s="43">
        <f t="shared" si="3"/>
        <v>0.15000000000000002</v>
      </c>
      <c r="AW32" s="43" t="str">
        <f t="shared" si="4"/>
        <v>Требуются кол-во и нетто</v>
      </c>
      <c r="AX32" s="43" t="str">
        <f t="shared" si="5"/>
        <v>Требуются кол-во и брутто</v>
      </c>
      <c r="AZ32" s="107" t="str">
        <f t="shared" si="6"/>
        <v>Требуются кол-во и цена</v>
      </c>
      <c r="BA32" s="45">
        <f>IF(A32&lt;&gt;"",IFERROR(IF(VLOOKUP(A32,'1C'!A:A,1,0)&lt;&gt;"",1,0),0),"")</f>
        <v>1</v>
      </c>
      <c r="BB32" s="146">
        <f>_xlfn.LET(_xlpm.NAME,IF(D32&lt;&gt;""," "&amp;D32,D32),IF(_xlfn.XLOOKUP(C32&amp;_xlpm.NAME,'1C'!G:G,'1C'!F:F,0,0)=0,0,1))</f>
        <v>0</v>
      </c>
      <c r="BC32" s="73">
        <f>IF(BB32,"-",IF(BA32&gt;0,0,1))</f>
        <v>0</v>
      </c>
    </row>
    <row r="33" spans="1:55" ht="108.2" customHeight="1">
      <c r="A33" s="43" t="str">
        <f t="shared" si="0"/>
        <v>B1900Hnatural</v>
      </c>
      <c r="B33" s="45" t="str">
        <f>_xlfn.LET(_xlpm.NAME,IF(D33&lt;&gt;""," "&amp;D33,D33),IF(C33&lt;&gt;"",_xlfn.XLOOKUP(A33,'1C'!A:A,'1C'!B:B,MID(_xlfn.XLOOKUP(C33&amp;_xlpm.NAME,'1C'!G:G,'1C'!B:B,"new",0),1,7)&amp;IF(BC33=1,IF(L33&lt;&gt;"",_xlfn.XLOOKUP(L33,Colors!A:A,Colors!B:B,"new",0),"требуется цвет"),""),0)))</f>
        <v>31-238-02</v>
      </c>
      <c r="C33" s="44" t="s">
        <v>920</v>
      </c>
      <c r="D33" s="44" t="str">
        <f>IF(A33&lt;&gt;"",_xlfn.XLOOKUP(C33,'1C'!S:S,'1C'!T:T,"",0),"")</f>
        <v>BLANCHET</v>
      </c>
      <c r="E33" s="43" t="str">
        <f>IF(F33&lt;&gt;"",IFERROR(VLOOKUP(F33,Категории!A:B,2,0),""),"Требуется категория")</f>
        <v>Шляпы</v>
      </c>
      <c r="F33" s="43" t="str">
        <f>_xlfn.LET(_xlpm.NAME,IF(D33&lt;&gt;""," "&amp;D33,D33),IF(BA33&gt;0,IFERROR(VLOOKUP(A33,'1C'!A:T,10,0),""),IFERROR(VLOOKUP(C33&amp;_xlpm.NAME,'1C'!G:J,4,0),"")))</f>
        <v>Шляпа с широкими полями</v>
      </c>
      <c r="G33" s="56" t="str">
        <f>_xlfn.LET(_xlpm.NAME,IF(D33&lt;&gt;""," "&amp;D33,D33),IF(C33&lt;&gt;"",IF(BA33&gt;0,IFERROR(VLOOKUP(A33,'1C'!A:L,12,0),""),IF(BB33&lt;1,IFERROR(VLOOKUP(C33&amp;_xlpm.NAME,'1C'!G:L,6,0),""),"")),""))</f>
        <v>Betmar</v>
      </c>
      <c r="H33" s="43" t="str">
        <f>_xlfn.LET(_xlpm.NAME,IF(D33&lt;&gt;""," "&amp;D33,D33),IF(BA33&gt;0,IF(B33&lt;&gt;"",IFERROR(VLOOKUP(A33,'1C'!A:T,13,0),""),""),IFERROR(VLOOKUP(C33&amp;_xlpm.NAME,'1C'!G:M,7,0),"")))</f>
        <v>летний</v>
      </c>
      <c r="J33" s="59" t="str">
        <f>'1C'!$AF$1</f>
        <v>Betmar</v>
      </c>
      <c r="K33" s="103" t="s">
        <v>844</v>
      </c>
      <c r="L33" s="56" t="str">
        <f>IF(K33&lt;&gt;"",IFERROR(VLOOKUP(A33,'1C'!A:T,8,0),IFERROR(VLOOKUP(K33,Colors!D:E,2,0),"")),"")</f>
        <v>бежевый</v>
      </c>
      <c r="M33" s="144" t="str">
        <f>IF(K33&lt;&gt;"",IFERROR(VLOOKUP(A33,'1C'!A:T,18,0),IFERROR(VLOOKUP(K33,Colors!D:E,2,0),"")),"")</f>
        <v>бежевый</v>
      </c>
      <c r="N33" s="145" t="str">
        <f>_xlfn.LET(_xlpm.NAME,IF(D33&lt;&gt;""," "&amp;D33,D33),IF(BA33&gt;0,IF(B33&lt;&gt;"",_xlfn.XLOOKUP(A33,'1C'!A:A,'1C'!I:I,""),0),_xlfn.XLOOKUP(C33&amp;_xlpm.NAME,'1C'!G:G,'1C'!I:I,"",0)))</f>
        <v>45% бумага - 35% полипропилен - 20% полиэстер</v>
      </c>
      <c r="O33" s="65"/>
      <c r="P33" s="56" t="str">
        <f>_xlfn.LET(_xlpm.NAME,IF(D33&lt;&gt;""," "&amp;D33,D33),IF(A33&lt;&gt;"",_xlfn.XLOOKUP(A33,'1C'!A:A,'1C'!N:N,_xlfn.XLOOKUP(C33&amp;_xlpm.NAME,'1C'!G:G,'1C'!N:N,"",0),0),""))</f>
        <v>бумажные</v>
      </c>
      <c r="Q33" s="59" t="str">
        <f>IF(P33&lt;&gt;"",IFERROR(VLOOKUP(P33,MaterialsTypes!F:G,2,0),IFERROR(VLOOKUP(N33,MaterialsTypes100,2,0),"")),IFERROR(VLOOKUP(N33,MaterialsTypes100,2,0),""))</f>
        <v>Плетёный</v>
      </c>
      <c r="R33" s="59" t="str">
        <f>_xlfn.LET(_xlpm.NAME,IF(D33&lt;&gt;""," "&amp;D33,D33),IF(B33&lt;&gt;"",IFERROR(VLOOKUP(A33,'1C'!A:T,11,0),_xlfn.XLOOKUP(C33&amp;_xlpm.NAME,'1C'!G:G,'1C'!K:K,"",0)),""))</f>
        <v>Женский</v>
      </c>
      <c r="S33" s="58"/>
      <c r="V33" s="58"/>
      <c r="X33" s="58"/>
      <c r="Z33" s="58"/>
      <c r="AB33" s="58"/>
      <c r="AD33" s="58"/>
      <c r="AQ33" s="57" t="str">
        <f t="shared" si="1"/>
        <v/>
      </c>
      <c r="AR33" s="43" t="str">
        <f>IF(BA33&gt;0,IF(B33&lt;&gt;"",IFERROR(VLOOKUP(VLOOKUP(A33,'1C'!A:T,15,0),Settings!N:O,2,0),""),""),"")</f>
        <v>CN</v>
      </c>
      <c r="AS33" s="56" t="str">
        <f ca="1">IF(BA33&gt;0,_xlfn.XLOOKUP(A33,'1C'!$A:$A,'1C'!P:P,"",0,),IF(AR33&lt;&gt;"",VLOOKUP(AR33,INDIRECT(SUBSTITUTE($J33," ","")&amp;"Manufactures"),3,0),"Требуется код страны"))</f>
        <v>Bollman Headwear Europe Ltd; 2 Merchants drive, Caelisle, Cumbria CA3 0JW, United Kingdom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 t="str">
        <f t="shared" si="4"/>
        <v>Требуются кол-во и нетто</v>
      </c>
      <c r="AX33" s="43" t="str">
        <f t="shared" si="5"/>
        <v>Требуются кол-во и брутто</v>
      </c>
      <c r="AZ33" s="107" t="str">
        <f t="shared" si="6"/>
        <v>Требуются кол-во и цена</v>
      </c>
      <c r="BA33" s="45">
        <f>IF(A33&lt;&gt;"",IFERROR(IF(VLOOKUP(A33,'1C'!A:A,1,0)&lt;&gt;"",1,0),0),"")</f>
        <v>1</v>
      </c>
      <c r="BB33" s="146">
        <f>_xlfn.LET(_xlpm.NAME,IF(D33&lt;&gt;""," "&amp;D33,D33),IF(_xlfn.XLOOKUP(C33&amp;_xlpm.NAME,'1C'!G:G,'1C'!F:F,0,0)=0,0,1))</f>
        <v>0</v>
      </c>
      <c r="BC33" s="73">
        <f>IF(BB33,"-",IF(BA33&gt;0,0,1))</f>
        <v>0</v>
      </c>
    </row>
    <row r="34" spans="1:55" ht="106.35" customHeight="1">
      <c r="A34" s="43" t="str">
        <f t="shared" si="0"/>
        <v>B1910Hblack</v>
      </c>
      <c r="B34" s="45" t="str">
        <f>_xlfn.LET(_xlpm.NAME,IF(D34&lt;&gt;""," "&amp;D34,D34),IF(C34&lt;&gt;"",_xlfn.XLOOKUP(A34,'1C'!A:A,'1C'!B:B,MID(_xlfn.XLOOKUP(C34&amp;_xlpm.NAME,'1C'!G:G,'1C'!B:B,"new",0),1,7)&amp;IF(BC34=1,IF(L34&lt;&gt;"",_xlfn.XLOOKUP(L34,Colors!A:A,Colors!B:B,"new",0),"требуется цвет"),""),0)))</f>
        <v>31-243-09</v>
      </c>
      <c r="C34" s="44" t="s">
        <v>921</v>
      </c>
      <c r="D34" s="44" t="str">
        <f>IF(A34&lt;&gt;"",_xlfn.XLOOKUP(C34,'1C'!S:S,'1C'!T:T,"",0),"")</f>
        <v>RIVERIA</v>
      </c>
      <c r="E34" s="43" t="str">
        <f>IF(F34&lt;&gt;"",IFERROR(VLOOKUP(F34,Категории!A:B,2,0),""),"Требуется категория")</f>
        <v>Шляпы</v>
      </c>
      <c r="F34" s="43" t="str">
        <f>_xlfn.LET(_xlpm.NAME,IF(D34&lt;&gt;""," "&amp;D34,D34),IF(BA34&gt;0,IFERROR(VLOOKUP(A34,'1C'!A:T,10,0),""),IFERROR(VLOOKUP(C34&amp;_xlpm.NAME,'1C'!G:J,4,0),"")))</f>
        <v>Шляпа канотье</v>
      </c>
      <c r="G34" s="56" t="str">
        <f>_xlfn.LET(_xlpm.NAME,IF(D34&lt;&gt;""," "&amp;D34,D34),IF(C34&lt;&gt;"",IF(BA34&gt;0,IFERROR(VLOOKUP(A34,'1C'!A:L,12,0),""),IF(BB34&lt;1,IFERROR(VLOOKUP(C34&amp;_xlpm.NAME,'1C'!G:L,6,0),""),"")),""))</f>
        <v>Betmar</v>
      </c>
      <c r="H34" s="43" t="str">
        <f>_xlfn.LET(_xlpm.NAME,IF(D34&lt;&gt;""," "&amp;D34,D34),IF(BA34&gt;0,IF(B34&lt;&gt;"",IFERROR(VLOOKUP(A34,'1C'!A:T,13,0),""),""),IFERROR(VLOOKUP(C34&amp;_xlpm.NAME,'1C'!G:M,7,0),"")))</f>
        <v>летний</v>
      </c>
      <c r="J34" s="59" t="str">
        <f>'1C'!$AF$1</f>
        <v>Betmar</v>
      </c>
      <c r="K34" s="103" t="s">
        <v>831</v>
      </c>
      <c r="L34" s="56" t="str">
        <f>IF(K34&lt;&gt;"",IFERROR(VLOOKUP(A34,'1C'!A:T,8,0),IFERROR(VLOOKUP(K34,Colors!D:E,2,0),"")),"")</f>
        <v>черный</v>
      </c>
      <c r="M34" s="144" t="str">
        <f>IF(K34&lt;&gt;"",IFERROR(VLOOKUP(A34,'1C'!A:T,18,0),IFERROR(VLOOKUP(K34,Colors!D:E,2,0),"")),"")</f>
        <v>черный</v>
      </c>
      <c r="N34" s="145" t="str">
        <f>_xlfn.LET(_xlpm.NAME,IF(D34&lt;&gt;""," "&amp;D34,D34),IF(BA34&gt;0,IF(B34&lt;&gt;"",_xlfn.XLOOKUP(A34,'1C'!A:A,'1C'!I:I,""),0),_xlfn.XLOOKUP(C34&amp;_xlpm.NAME,'1C'!G:G,'1C'!I:I,"",0)))</f>
        <v>100% солома</v>
      </c>
      <c r="O34" s="65"/>
      <c r="P34" s="56" t="str">
        <f>_xlfn.LET(_xlpm.NAME,IF(D34&lt;&gt;""," "&amp;D34,D34),IF(A34&lt;&gt;"",_xlfn.XLOOKUP(A34,'1C'!A:A,'1C'!N:N,_xlfn.XLOOKUP(C34&amp;_xlpm.NAME,'1C'!G:G,'1C'!N:N,"",0),0),""))</f>
        <v>соломенные</v>
      </c>
      <c r="Q34" s="59" t="str">
        <f>IF(P34&lt;&gt;"",IFERROR(VLOOKUP(P34,MaterialsTypes!F:G,2,0),IFERROR(VLOOKUP(N34,MaterialsTypes100,2,0),"")),IFERROR(VLOOKUP(N34,MaterialsTypes100,2,0),""))</f>
        <v>Плетёный</v>
      </c>
      <c r="R34" s="59" t="str">
        <f>_xlfn.LET(_xlpm.NAME,IF(D34&lt;&gt;""," "&amp;D34,D34),IF(B34&lt;&gt;"",IFERROR(VLOOKUP(A34,'1C'!A:T,11,0),_xlfn.XLOOKUP(C34&amp;_xlpm.NAME,'1C'!G:G,'1C'!K:K,"",0)),""))</f>
        <v>Женский</v>
      </c>
      <c r="S34" s="58"/>
      <c r="V34" s="58"/>
      <c r="X34" s="58"/>
      <c r="Z34" s="58"/>
      <c r="AB34" s="58"/>
      <c r="AD34" s="58"/>
      <c r="AQ34" s="57" t="str">
        <f t="shared" si="1"/>
        <v/>
      </c>
      <c r="AR34" s="43" t="str">
        <f>IF(BA34&gt;0,IF(B34&lt;&gt;"",IFERROR(VLOOKUP(VLOOKUP(A34,'1C'!A:T,15,0),Settings!N:O,2,0),""),""),"")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Bollman Headwear Europe Ltd; 2 Merchants drive, Caelisle, Cumbria CA3 0JW, United Kingdom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 t="str">
        <f t="shared" si="4"/>
        <v>Требуются кол-во и нетто</v>
      </c>
      <c r="AX34" s="43" t="str">
        <f t="shared" si="5"/>
        <v>Требуются кол-во и брутто</v>
      </c>
      <c r="AZ34" s="107" t="str">
        <f t="shared" si="6"/>
        <v>Требуются кол-во и цена</v>
      </c>
      <c r="BA34" s="45">
        <f>IF(A34&lt;&gt;"",IFERROR(IF(VLOOKUP(A34,'1C'!A:A,1,0)&lt;&gt;"",1,0),0),"")</f>
        <v>1</v>
      </c>
      <c r="BB34" s="146">
        <f>_xlfn.LET(_xlpm.NAME,IF(D34&lt;&gt;""," "&amp;D34,D34),IF(_xlfn.XLOOKUP(C34&amp;_xlpm.NAME,'1C'!G:G,'1C'!F:F,0,0)=0,0,1))</f>
        <v>0</v>
      </c>
      <c r="BC34" s="73">
        <f>IF(BB34,"-",IF(BA34&gt;0,0,1))</f>
        <v>0</v>
      </c>
    </row>
    <row r="35" spans="1:55" ht="114.2" customHeight="1">
      <c r="A35" s="43" t="str">
        <f t="shared" si="0"/>
        <v>B1945Htan</v>
      </c>
      <c r="B35" s="45" t="str">
        <f>_xlfn.LET(_xlpm.NAME,IF(D35&lt;&gt;""," "&amp;D35,D35),IF(C35&lt;&gt;"",_xlfn.XLOOKUP(A35,'1C'!A:A,'1C'!B:B,MID(_xlfn.XLOOKUP(C35&amp;_xlpm.NAME,'1C'!G:G,'1C'!B:B,"new",0),1,7)&amp;IF(BC35=1,IF(L35&lt;&gt;"",_xlfn.XLOOKUP(L35,Colors!A:A,Colors!B:B,"new",0),"требуется цвет"),""),0)))</f>
        <v>31-270-14</v>
      </c>
      <c r="C35" s="44" t="s">
        <v>922</v>
      </c>
      <c r="D35" s="44" t="str">
        <f>IF(A35&lt;&gt;"",_xlfn.XLOOKUP(C35,'1C'!S:S,'1C'!T:T,"",0),"")</f>
        <v>MARIE</v>
      </c>
      <c r="E35" s="43" t="str">
        <f>IF(F35&lt;&gt;"",IFERROR(VLOOKUP(F35,Категории!A:B,2,0),""),"Требуется категория")</f>
        <v>Шляпы</v>
      </c>
      <c r="F35" s="43" t="str">
        <f>_xlfn.LET(_xlpm.NAME,IF(D35&lt;&gt;""," "&amp;D35,D35),IF(BA35&gt;0,IFERROR(VLOOKUP(A35,'1C'!A:T,10,0),""),IFERROR(VLOOKUP(C35&amp;_xlpm.NAME,'1C'!G:J,4,0),"")))</f>
        <v>Шляпа с широкими полями</v>
      </c>
      <c r="G35" s="56" t="str">
        <f>_xlfn.LET(_xlpm.NAME,IF(D35&lt;&gt;""," "&amp;D35,D35),IF(C35&lt;&gt;"",IF(BA35&gt;0,IFERROR(VLOOKUP(A35,'1C'!A:L,12,0),""),IF(BB35&lt;1,IFERROR(VLOOKUP(C35&amp;_xlpm.NAME,'1C'!G:L,6,0),""),"")),""))</f>
        <v>Betmar</v>
      </c>
      <c r="H35" s="43" t="str">
        <f>_xlfn.LET(_xlpm.NAME,IF(D35&lt;&gt;""," "&amp;D35,D35),IF(BA35&gt;0,IF(B35&lt;&gt;"",IFERROR(VLOOKUP(A35,'1C'!A:T,13,0),""),""),IFERROR(VLOOKUP(C35&amp;_xlpm.NAME,'1C'!G:M,7,0),"")))</f>
        <v>летний</v>
      </c>
      <c r="J35" s="59" t="str">
        <f>'1C'!$AF$1</f>
        <v>Betmar</v>
      </c>
      <c r="K35" s="103" t="s">
        <v>845</v>
      </c>
      <c r="L35" s="56" t="str">
        <f>IF(K35&lt;&gt;"",IFERROR(VLOOKUP(A35,'1C'!A:T,8,0),IFERROR(VLOOKUP(K35,Colors!D:E,2,0),"")),"")</f>
        <v>коричневый</v>
      </c>
      <c r="M35" s="144" t="str">
        <f>IF(K35&lt;&gt;"",IFERROR(VLOOKUP(A35,'1C'!A:T,18,0),IFERROR(VLOOKUP(K35,Colors!D:E,2,0),"")),"")</f>
        <v>коричневый</v>
      </c>
      <c r="N35" s="145" t="str">
        <f>_xlfn.LET(_xlpm.NAME,IF(D35&lt;&gt;""," "&amp;D35,D35),IF(BA35&gt;0,IF(B35&lt;&gt;"",_xlfn.XLOOKUP(A35,'1C'!A:A,'1C'!I:I,""),0),_xlfn.XLOOKUP(C35&amp;_xlpm.NAME,'1C'!G:G,'1C'!I:I,"",0)))</f>
        <v>79% бумага - 12% полипропилен - 9% полиэстер</v>
      </c>
      <c r="O35" s="65"/>
      <c r="P35" s="56" t="str">
        <f>_xlfn.LET(_xlpm.NAME,IF(D35&lt;&gt;""," "&amp;D35,D35),IF(A35&lt;&gt;"",_xlfn.XLOOKUP(A35,'1C'!A:A,'1C'!N:N,_xlfn.XLOOKUP(C35&amp;_xlpm.NAME,'1C'!G:G,'1C'!N:N,"",0),0),""))</f>
        <v>бумажные</v>
      </c>
      <c r="Q35" s="59" t="str">
        <f>IF(P35&lt;&gt;"",IFERROR(VLOOKUP(P35,MaterialsTypes!F:G,2,0),IFERROR(VLOOKUP(N35,MaterialsTypes100,2,0),"")),IFERROR(VLOOKUP(N35,MaterialsTypes100,2,0),""))</f>
        <v>Плетёный</v>
      </c>
      <c r="R35" s="59" t="str">
        <f>_xlfn.LET(_xlpm.NAME,IF(D35&lt;&gt;""," "&amp;D35,D35),IF(B35&lt;&gt;"",IFERROR(VLOOKUP(A35,'1C'!A:T,11,0),_xlfn.XLOOKUP(C35&amp;_xlpm.NAME,'1C'!G:G,'1C'!K:K,"",0)),""))</f>
        <v>Женский</v>
      </c>
      <c r="S35" s="58"/>
      <c r="V35" s="58"/>
      <c r="X35" s="58"/>
      <c r="Z35" s="58"/>
      <c r="AB35" s="58"/>
      <c r="AD35" s="58"/>
      <c r="AQ35" s="57" t="str">
        <f t="shared" si="1"/>
        <v/>
      </c>
      <c r="AR35" s="43" t="str">
        <f>IF(BA35&gt;0,IF(B35&lt;&gt;"",IFERROR(VLOOKUP(VLOOKUP(A35,'1C'!A:T,15,0),Settings!N:O,2,0),""),""),"")</f>
        <v>CN</v>
      </c>
      <c r="AS35" s="56" t="str">
        <f ca="1">IF(BA35&gt;0,_xlfn.XLOOKUP(A35,'1C'!$A:$A,'1C'!P:P,"",0,),IF(AR35&lt;&gt;"",VLOOKUP(AR35,INDIRECT(SUBSTITUTE($J35," ","")&amp;"Manufactures"),3,0),"Требуется код страны"))</f>
        <v>Bollman Headwear Europe Ltd; 2 Merchants drive, Caelisle, Cumbria CA3 0JW, United Kingdom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 t="str">
        <f t="shared" si="4"/>
        <v>Требуются кол-во и нетто</v>
      </c>
      <c r="AX35" s="43" t="str">
        <f t="shared" si="5"/>
        <v>Требуются кол-во и брутто</v>
      </c>
      <c r="AZ35" s="107" t="str">
        <f t="shared" si="6"/>
        <v>Требуются кол-во и цена</v>
      </c>
      <c r="BA35" s="45">
        <f>IF(A35&lt;&gt;"",IFERROR(IF(VLOOKUP(A35,'1C'!A:A,1,0)&lt;&gt;"",1,0),0),"")</f>
        <v>1</v>
      </c>
      <c r="BB35" s="146">
        <f>_xlfn.LET(_xlpm.NAME,IF(D35&lt;&gt;""," "&amp;D35,D35),IF(_xlfn.XLOOKUP(C35&amp;_xlpm.NAME,'1C'!G:G,'1C'!F:F,0,0)=0,0,1))</f>
        <v>0</v>
      </c>
      <c r="BC35" s="73">
        <f>IF(BB35,"-",IF(BA35&gt;0,0,1))</f>
        <v>0</v>
      </c>
    </row>
    <row r="36" spans="1:55" ht="115.5" customHeight="1">
      <c r="A36" s="43" t="str">
        <f t="shared" si="0"/>
        <v>B1971Hblack</v>
      </c>
      <c r="B36" s="45" t="str">
        <f>_xlfn.LET(_xlpm.NAME,IF(D36&lt;&gt;""," "&amp;D36,D36),IF(C36&lt;&gt;"",_xlfn.XLOOKUP(A36,'1C'!A:A,'1C'!B:B,MID(_xlfn.XLOOKUP(C36&amp;_xlpm.NAME,'1C'!G:G,'1C'!B:B,"new",0),1,7)&amp;IF(BC36=1,IF(L36&lt;&gt;"",_xlfn.XLOOKUP(L36,Colors!A:A,Colors!B:B,"new",0),"требуется цвет"),""),0)))</f>
        <v>31-289-09</v>
      </c>
      <c r="C36" s="44" t="s">
        <v>923</v>
      </c>
      <c r="D36" s="44" t="str">
        <f>IF(A36&lt;&gt;"",_xlfn.XLOOKUP(C36,'1C'!S:S,'1C'!T:T,"",0),"")</f>
        <v>EMMELINE</v>
      </c>
      <c r="E36" s="43" t="str">
        <f>IF(F36&lt;&gt;"",IFERROR(VLOOKUP(F36,Категории!A:B,2,0),""),"Требуется категория")</f>
        <v>Шляпы</v>
      </c>
      <c r="F36" s="43" t="str">
        <f>_xlfn.LET(_xlpm.NAME,IF(D36&lt;&gt;""," "&amp;D36,D36),IF(BA36&gt;0,IFERROR(VLOOKUP(A36,'1C'!A:T,10,0),""),IFERROR(VLOOKUP(C36&amp;_xlpm.NAME,'1C'!G:J,4,0),"")))</f>
        <v>Шляпа с широкими полями</v>
      </c>
      <c r="G36" s="56" t="str">
        <f>_xlfn.LET(_xlpm.NAME,IF(D36&lt;&gt;""," "&amp;D36,D36),IF(C36&lt;&gt;"",IF(BA36&gt;0,IFERROR(VLOOKUP(A36,'1C'!A:L,12,0),""),IF(BB36&lt;1,IFERROR(VLOOKUP(C36&amp;_xlpm.NAME,'1C'!G:L,6,0),""),"")),""))</f>
        <v>Betmar</v>
      </c>
      <c r="H36" s="43" t="str">
        <f>_xlfn.LET(_xlpm.NAME,IF(D36&lt;&gt;""," "&amp;D36,D36),IF(BA36&gt;0,IF(B36&lt;&gt;"",IFERROR(VLOOKUP(A36,'1C'!A:T,13,0),""),""),IFERROR(VLOOKUP(C36&amp;_xlpm.NAME,'1C'!G:M,7,0),"")))</f>
        <v>летний</v>
      </c>
      <c r="J36" s="59" t="str">
        <f>'1C'!$AF$1</f>
        <v>Betmar</v>
      </c>
      <c r="K36" s="103" t="s">
        <v>831</v>
      </c>
      <c r="L36" s="59" t="str">
        <f>IF(K36&lt;&gt;"",IFERROR(VLOOKUP(A36,'1C'!A:T,8,0),IFERROR(VLOOKUP(K36,Colors!D:E,2,0),"")),"")</f>
        <v>черный</v>
      </c>
      <c r="M36" s="144" t="str">
        <f>IF(K36&lt;&gt;"",IFERROR(VLOOKUP(A36,'1C'!A:T,18,0),IFERROR(VLOOKUP(K36,Colors!D:E,2,0),"")),"")</f>
        <v>черный</v>
      </c>
      <c r="N36" s="145" t="str">
        <f>_xlfn.LET(_xlpm.NAME,IF(D36&lt;&gt;""," "&amp;D36,D36),IF(BA36&gt;0,IF(B36&lt;&gt;"",_xlfn.XLOOKUP(A36,'1C'!A:A,'1C'!I:I,""),0),_xlfn.XLOOKUP(C36&amp;_xlpm.NAME,'1C'!G:G,'1C'!I:I,"",0)))</f>
        <v>100% полиэстер</v>
      </c>
      <c r="O36" s="65"/>
      <c r="P36" s="56">
        <f>_xlfn.LET(_xlpm.NAME,IF(D36&lt;&gt;""," "&amp;D36,D36),IF(A36&lt;&gt;"",_xlfn.XLOOKUP(A36,'1C'!A:A,'1C'!N:N,_xlfn.XLOOKUP(C36&amp;_xlpm.NAME,'1C'!G:G,'1C'!N:N,"",0),0),""))</f>
        <v>0</v>
      </c>
      <c r="Q36" s="58"/>
      <c r="R36" s="59" t="str">
        <f>_xlfn.LET(_xlpm.NAME,IF(D36&lt;&gt;""," "&amp;D36,D36),IF(B36&lt;&gt;"",IFERROR(VLOOKUP(A36,'1C'!A:T,11,0),_xlfn.XLOOKUP(C36&amp;_xlpm.NAME,'1C'!G:G,'1C'!K:K,"",0)),""))</f>
        <v>Женский</v>
      </c>
      <c r="S36" s="58"/>
      <c r="V36" s="58"/>
      <c r="X36" s="58"/>
      <c r="Z36" s="58"/>
      <c r="AB36" s="58"/>
      <c r="AD36" s="58"/>
      <c r="AQ36" s="59" t="str">
        <f t="shared" si="1"/>
        <v/>
      </c>
      <c r="AR36" s="43" t="str">
        <f>IF(BA36&gt;0,IF(B36&lt;&gt;"",IFERROR(VLOOKUP(VLOOKUP(A36,'1C'!A:T,15,0),Settings!N:O,2,0),""),""),"")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Bollman Headwear Europe Ltd; 2 Merchants drive, Caelisle, Cumbria CA3 0JW, United Kingdom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 t="str">
        <f t="shared" si="4"/>
        <v>Требуются кол-во и нетто</v>
      </c>
      <c r="AX36" s="43" t="str">
        <f t="shared" si="5"/>
        <v>Требуются кол-во и брутто</v>
      </c>
      <c r="AZ36" s="107" t="str">
        <f t="shared" si="6"/>
        <v>Требуются кол-во и цена</v>
      </c>
      <c r="BA36" s="45">
        <f>IF(A36&lt;&gt;"",IFERROR(IF(VLOOKUP(A36,'1C'!A:A,1,0)&lt;&gt;"",1,0),0),"")</f>
        <v>1</v>
      </c>
      <c r="BB36" s="146">
        <f>_xlfn.LET(_xlpm.NAME,IF(D36&lt;&gt;""," "&amp;D36,D36),IF(_xlfn.XLOOKUP(C36&amp;_xlpm.NAME,'1C'!G:G,'1C'!F:F,0,0)=0,0,1))</f>
        <v>0</v>
      </c>
      <c r="BC36" s="73">
        <f>IF(BB36,"-",IF(BA36&gt;0,0,1))</f>
        <v>0</v>
      </c>
    </row>
    <row r="37" spans="1:55" ht="117.6" customHeight="1">
      <c r="A37" s="43" t="str">
        <f t="shared" si="0"/>
        <v>B1981Hblack multi</v>
      </c>
      <c r="B37" s="45" t="str">
        <f>_xlfn.LET(_xlpm.NAME,IF(D37&lt;&gt;""," "&amp;D37,D37),IF(C37&lt;&gt;"",_xlfn.XLOOKUP(A37,'1C'!A:A,'1C'!B:B,MID(_xlfn.XLOOKUP(C37&amp;_xlpm.NAME,'1C'!G:G,'1C'!B:B,"new",0),1,7)&amp;IF(BC37=1,IF(L37&lt;&gt;"",_xlfn.XLOOKUP(L37,Colors!A:A,Colors!B:B,"new",0),"требуется цвет"),""),0)))</f>
        <v>31-295-требуется цвет</v>
      </c>
      <c r="C37" s="44" t="s">
        <v>924</v>
      </c>
      <c r="D37" s="44" t="str">
        <f>IF(A37&lt;&gt;"",_xlfn.XLOOKUP(C37,'1C'!S:S,'1C'!T:T,"",0),"")</f>
        <v>ALICE</v>
      </c>
      <c r="E37" s="43" t="str">
        <f>IF(F37&lt;&gt;"",IFERROR(VLOOKUP(F37,Категории!A:B,2,0),""),"Требуется категория")</f>
        <v>Требуется категория</v>
      </c>
      <c r="G37" s="63"/>
      <c r="J37" s="43" t="str">
        <f>'1C'!$AF$1</f>
        <v>Betmar</v>
      </c>
      <c r="K37" s="104" t="s">
        <v>881</v>
      </c>
      <c r="M37" s="66"/>
      <c r="N37" s="166"/>
      <c r="O37" s="65"/>
      <c r="P37" s="63"/>
      <c r="Q37" s="58"/>
      <c r="R37" s="58"/>
      <c r="S37" s="58"/>
      <c r="V37" s="58"/>
      <c r="X37" s="58"/>
      <c r="Z37" s="58"/>
      <c r="AB37" s="58"/>
      <c r="AD37" s="58"/>
      <c r="AQ37" s="59" t="str">
        <f t="shared" si="1"/>
        <v/>
      </c>
      <c r="AS37" s="56" t="str">
        <f ca="1">IF(BA37&gt;0,_xlfn.XLOOKUP(A37,'1C'!$A:$A,'1C'!P:P,"",0,),IF(AR37&lt;&gt;"",VLOOKUP(AR37,INDIRECT(SUBSTITUTE($J37," ","")&amp;"Manufactures"),3,0),"Требуется код страны"))</f>
        <v>Требуется код страны</v>
      </c>
      <c r="AT37" s="56" t="str">
        <f ca="1">IF(BA37&gt;0,_xlfn.XLOOKUP(A37,'1C'!$A:$A,'1C'!O:O,"",0),IF(AR37&lt;&gt;"",VLOOKUP(AR37,INDIRECT(SUBSTITUTE($J37," ","")&amp;"Manufactures"),2,0),"Требуется код страны"))</f>
        <v>Требуется код страны</v>
      </c>
      <c r="AU37" s="76">
        <f t="shared" si="2"/>
        <v>0.1</v>
      </c>
      <c r="AV37" s="43">
        <f t="shared" si="3"/>
        <v>0.15000000000000002</v>
      </c>
      <c r="AW37" s="43" t="str">
        <f t="shared" si="4"/>
        <v>Требуются кол-во и нетто</v>
      </c>
      <c r="AX37" s="43" t="str">
        <f t="shared" si="5"/>
        <v>Требуются кол-во и брутто</v>
      </c>
      <c r="AZ37" s="107" t="str">
        <f t="shared" si="6"/>
        <v>Требуются кол-во и цена</v>
      </c>
      <c r="BA37" s="45">
        <f>IF(A37&lt;&gt;"",IFERROR(IF(VLOOKUP(A37,'1C'!A:A,1,0)&lt;&gt;"",1,0),0),"")</f>
        <v>0</v>
      </c>
      <c r="BB37" s="146">
        <f>_xlfn.LET(_xlpm.NAME,IF(D37&lt;&gt;""," "&amp;D37,D37),IF(_xlfn.XLOOKUP(C37&amp;_xlpm.NAME,'1C'!G:G,'1C'!F:F,0,0)=0,0,1))</f>
        <v>0</v>
      </c>
      <c r="BC37" s="73">
        <f>IF(BB37,"-",IF(BA37&gt;0,0,1))</f>
        <v>1</v>
      </c>
    </row>
    <row r="38" spans="1:55" ht="115.15" customHeight="1">
      <c r="A38" s="43" t="str">
        <f t="shared" si="0"/>
        <v>B964black</v>
      </c>
      <c r="B38" s="45" t="str">
        <f>_xlfn.LET(_xlpm.NAME,IF(D38&lt;&gt;""," "&amp;D38,D38),IF(C38&lt;&gt;"",_xlfn.XLOOKUP(A38,'1C'!A:A,'1C'!B:B,MID(_xlfn.XLOOKUP(C38&amp;_xlpm.NAME,'1C'!G:G,'1C'!B:B,"new",0),1,7)&amp;IF(BC38=1,IF(L38&lt;&gt;"",_xlfn.XLOOKUP(L38,Colors!A:A,Colors!B:B,"new",0),"требуется цвет"),""),0)))</f>
        <v>31-053-09</v>
      </c>
      <c r="C38" s="44" t="s">
        <v>925</v>
      </c>
      <c r="D38" s="44" t="str">
        <f>IF(A38&lt;&gt;"",_xlfn.XLOOKUP(C38,'1C'!S:S,'1C'!T:T,"",0),"")</f>
        <v>FACE FRAMER</v>
      </c>
      <c r="E38" s="43" t="str">
        <f>IF(F38&lt;&gt;"",IFERROR(VLOOKUP(F38,Категории!A:B,2,0),""),"Требуется категория")</f>
        <v>Кепки</v>
      </c>
      <c r="F38" s="43" t="str">
        <f>_xlfn.LET(_xlpm.NAME,IF(D38&lt;&gt;""," "&amp;D38,D38),IF(BA38&gt;0,IFERROR(VLOOKUP(A38,'1C'!A:T,10,0),""),IFERROR(VLOOKUP(C38&amp;_xlpm.NAME,'1C'!G:J,4,0),"")))</f>
        <v>Кепка клош</v>
      </c>
      <c r="G38" s="56" t="str">
        <f>_xlfn.LET(_xlpm.NAME,IF(D38&lt;&gt;""," "&amp;D38,D38),IF(C38&lt;&gt;"",IF(BA38&gt;0,IFERROR(VLOOKUP(A38,'1C'!A:L,12,0),""),IF(BB38&lt;1,IFERROR(VLOOKUP(C38&amp;_xlpm.NAME,'1C'!G:L,6,0),""),"")),""))</f>
        <v>Betmar</v>
      </c>
      <c r="H38" s="43" t="str">
        <f>_xlfn.LET(_xlpm.NAME,IF(D38&lt;&gt;""," "&amp;D38,D38),IF(BA38&gt;0,IF(B38&lt;&gt;"",IFERROR(VLOOKUP(A38,'1C'!A:T,13,0),""),""),IFERROR(VLOOKUP(C38&amp;_xlpm.NAME,'1C'!G:M,7,0),"")))</f>
        <v>всесезон</v>
      </c>
      <c r="J38" s="43" t="str">
        <f>'1C'!$AF$1</f>
        <v>Betmar</v>
      </c>
      <c r="K38" s="104" t="s">
        <v>831</v>
      </c>
      <c r="L38" s="59" t="str">
        <f>IF(K38&lt;&gt;"",IFERROR(VLOOKUP(A38,'1C'!A:T,8,0),IFERROR(VLOOKUP(K38,Colors!D:E,2,0),"")),"")</f>
        <v>черный</v>
      </c>
      <c r="M38" s="144" t="str">
        <f>IF(K38&lt;&gt;"",IFERROR(VLOOKUP(A38,'1C'!A:T,18,0),IFERROR(VLOOKUP(K38,Colors!D:E,2,0),"")),"")</f>
        <v>черный</v>
      </c>
      <c r="N38" s="145" t="str">
        <f>_xlfn.LET(_xlpm.NAME,IF(D38&lt;&gt;""," "&amp;D38,D38),IF(BA38&gt;0,IF(B38&lt;&gt;"",_xlfn.XLOOKUP(A38,'1C'!A:A,'1C'!I:I,""),0),_xlfn.XLOOKUP(C38&amp;_xlpm.NAME,'1C'!G:G,'1C'!I:I,"",0)))</f>
        <v>100% хлопок</v>
      </c>
      <c r="O38" s="65"/>
      <c r="P38" s="56" t="str">
        <f>_xlfn.LET(_xlpm.NAME,IF(D38&lt;&gt;""," "&amp;D38,D38),IF(A38&lt;&gt;"",_xlfn.XLOOKUP(A38,'1C'!A:A,'1C'!N:N,_xlfn.XLOOKUP(C38&amp;_xlpm.NAME,'1C'!G:G,'1C'!N:N,"",0),0),""))</f>
        <v>хлопковые</v>
      </c>
      <c r="Q38" s="59" t="str">
        <f>IF(P38&lt;&gt;"",IFERROR(VLOOKUP(P38,MaterialsTypes!F:G,2,0),IFERROR(VLOOKUP(N38,MaterialsTypes100,2,0),"")),IFERROR(VLOOKUP(N38,MaterialsTypes100,2,0),""))</f>
        <v>Текстиль, ткань</v>
      </c>
      <c r="R38" s="59" t="str">
        <f>_xlfn.LET(_xlpm.NAME,IF(D38&lt;&gt;""," "&amp;D38,D38),IF(B38&lt;&gt;"",IFERROR(VLOOKUP(A38,'1C'!A:T,11,0),_xlfn.XLOOKUP(C38&amp;_xlpm.NAME,'1C'!G:G,'1C'!K:K,"",0)),""))</f>
        <v>Женский</v>
      </c>
      <c r="S38" s="58"/>
      <c r="V38" s="58"/>
      <c r="X38" s="58"/>
      <c r="Z38" s="58"/>
      <c r="AB38" s="58"/>
      <c r="AD38" s="58"/>
      <c r="AQ38" s="59" t="str">
        <f t="shared" si="1"/>
        <v/>
      </c>
      <c r="AR38" s="43" t="str">
        <f>IF(BA38&gt;0,IF(B38&lt;&gt;"",IFERROR(VLOOKUP(VLOOKUP(A38,'1C'!A:T,15,0),Settings!N:O,2,0),""),""),"")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Bollman Headwear Europe Ltd; 2 Merchants drive, Caelisle, Cumbria CA3 0JW, United Kingdom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 t="str">
        <f t="shared" si="4"/>
        <v>Требуются кол-во и нетто</v>
      </c>
      <c r="AX38" s="43" t="str">
        <f t="shared" si="5"/>
        <v>Требуются кол-во и брутто</v>
      </c>
      <c r="AZ38" s="107" t="str">
        <f t="shared" si="6"/>
        <v>Требуются кол-во и цена</v>
      </c>
      <c r="BA38" s="45">
        <f>IF(A38&lt;&gt;"",IFERROR(IF(VLOOKUP(A38,'1C'!A:A,1,0)&lt;&gt;"",1,0),0),"")</f>
        <v>1</v>
      </c>
      <c r="BB38" s="146">
        <f>_xlfn.LET(_xlpm.NAME,IF(D38&lt;&gt;""," "&amp;D38,D38),IF(_xlfn.XLOOKUP(C38&amp;_xlpm.NAME,'1C'!G:G,'1C'!F:F,0,0)=0,0,1))</f>
        <v>0</v>
      </c>
      <c r="BC38" s="73">
        <f>IF(BB38,"-",IF(BA38&gt;0,0,1))</f>
        <v>0</v>
      </c>
    </row>
    <row r="39" spans="1:55" ht="115.35" customHeight="1">
      <c r="A39" s="43" t="str">
        <f t="shared" si="0"/>
        <v>B964black.white</v>
      </c>
      <c r="B39" s="45" t="str">
        <f>_xlfn.LET(_xlpm.NAME,IF(D39&lt;&gt;""," "&amp;D39,D39),IF(C39&lt;&gt;"",_xlfn.XLOOKUP(A39,'1C'!A:A,'1C'!B:B,MID(_xlfn.XLOOKUP(C39&amp;_xlpm.NAME,'1C'!G:G,'1C'!B:B,"new",0),1,7)&amp;IF(BC39=1,IF(L39&lt;&gt;"",_xlfn.XLOOKUP(L39,Colors!A:A,Colors!B:B,"new",0),"требуется цвет"),""),0)))</f>
        <v>31-053-48</v>
      </c>
      <c r="C39" s="44" t="s">
        <v>925</v>
      </c>
      <c r="D39" s="44" t="str">
        <f>IF(A39&lt;&gt;"",_xlfn.XLOOKUP(C39,'1C'!S:S,'1C'!T:T,"",0),"")</f>
        <v>FACE FRAMER</v>
      </c>
      <c r="E39" s="43" t="str">
        <f>IF(F39&lt;&gt;"",IFERROR(VLOOKUP(F39,Категории!A:B,2,0),""),"Требуется категория")</f>
        <v>Кепки</v>
      </c>
      <c r="F39" s="43" t="str">
        <f>_xlfn.LET(_xlpm.NAME,IF(D39&lt;&gt;""," "&amp;D39,D39),IF(BA39&gt;0,IFERROR(VLOOKUP(A39,'1C'!A:T,10,0),""),IFERROR(VLOOKUP(C39&amp;_xlpm.NAME,'1C'!G:J,4,0),"")))</f>
        <v>Кепка клош</v>
      </c>
      <c r="G39" s="56" t="str">
        <f>_xlfn.LET(_xlpm.NAME,IF(D39&lt;&gt;""," "&amp;D39,D39),IF(C39&lt;&gt;"",IF(BA39&gt;0,IFERROR(VLOOKUP(A39,'1C'!A:L,12,0),""),IF(BB39&lt;1,IFERROR(VLOOKUP(C39&amp;_xlpm.NAME,'1C'!G:L,6,0),""),"")),""))</f>
        <v>Betmar</v>
      </c>
      <c r="H39" s="43" t="str">
        <f>_xlfn.LET(_xlpm.NAME,IF(D39&lt;&gt;""," "&amp;D39,D39),IF(BA39&gt;0,IF(B39&lt;&gt;"",IFERROR(VLOOKUP(A39,'1C'!A:T,13,0),""),""),IFERROR(VLOOKUP(C39&amp;_xlpm.NAME,'1C'!G:M,7,0),"")))</f>
        <v>летний</v>
      </c>
      <c r="J39" s="43" t="str">
        <f>'1C'!$AF$1</f>
        <v>Betmar</v>
      </c>
      <c r="K39" s="104" t="s">
        <v>866</v>
      </c>
      <c r="L39" s="59" t="str">
        <f>IF(K39&lt;&gt;"",IFERROR(VLOOKUP(A39,'1C'!A:T,8,0),IFERROR(VLOOKUP(K39,Colors!D:E,2,0),"")),"")</f>
        <v>черный / белый</v>
      </c>
      <c r="M39" s="144" t="str">
        <f>IF(K39&lt;&gt;"",IFERROR(VLOOKUP(A39,'1C'!A:T,18,0),IFERROR(VLOOKUP(K39,Colors!D:E,2,0),"")),"")</f>
        <v>черный</v>
      </c>
      <c r="N39" s="145" t="str">
        <f>_xlfn.LET(_xlpm.NAME,IF(D39&lt;&gt;""," "&amp;D39,D39),IF(BA39&gt;0,IF(B39&lt;&gt;"",_xlfn.XLOOKUP(A39,'1C'!A:A,'1C'!I:I,""),0),_xlfn.XLOOKUP(C39&amp;_xlpm.NAME,'1C'!G:G,'1C'!I:I,"",0)))</f>
        <v>100% хлопок</v>
      </c>
      <c r="O39" s="65"/>
      <c r="P39" s="56" t="str">
        <f>_xlfn.LET(_xlpm.NAME,IF(D39&lt;&gt;""," "&amp;D39,D39),IF(A39&lt;&gt;"",_xlfn.XLOOKUP(A39,'1C'!A:A,'1C'!N:N,_xlfn.XLOOKUP(C39&amp;_xlpm.NAME,'1C'!G:G,'1C'!N:N,"",0),0),""))</f>
        <v>хлопковые</v>
      </c>
      <c r="Q39" s="59" t="str">
        <f>IF(P39&lt;&gt;"",IFERROR(VLOOKUP(P39,MaterialsTypes!F:G,2,0),IFERROR(VLOOKUP(N39,MaterialsTypes100,2,0),"")),IFERROR(VLOOKUP(N39,MaterialsTypes100,2,0),""))</f>
        <v>Текстиль, ткань</v>
      </c>
      <c r="R39" s="59" t="str">
        <f>_xlfn.LET(_xlpm.NAME,IF(D39&lt;&gt;""," "&amp;D39,D39),IF(B39&lt;&gt;"",IFERROR(VLOOKUP(A39,'1C'!A:T,11,0),_xlfn.XLOOKUP(C39&amp;_xlpm.NAME,'1C'!G:G,'1C'!K:K,"",0)),""))</f>
        <v>Женский</v>
      </c>
      <c r="S39" s="58"/>
      <c r="V39" s="58"/>
      <c r="X39" s="58"/>
      <c r="Z39" s="58"/>
      <c r="AB39" s="58"/>
      <c r="AD39" s="58"/>
      <c r="AQ39" s="59" t="str">
        <f t="shared" si="1"/>
        <v/>
      </c>
      <c r="AR39" s="43" t="str">
        <f>IF(BA39&gt;0,IF(B39&lt;&gt;"",IFERROR(VLOOKUP(VLOOKUP(A39,'1C'!A:T,15,0),Settings!N:O,2,0),""),""),"")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Bollman Headwear Europe Ltd; 2 Merchants drive, Caelisle, Cumbria CA3 0JW, United Kingdom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 t="str">
        <f t="shared" si="4"/>
        <v>Требуются кол-во и нетто</v>
      </c>
      <c r="AX39" s="43" t="str">
        <f t="shared" si="5"/>
        <v>Требуются кол-во и брутто</v>
      </c>
      <c r="AZ39" s="107" t="str">
        <f t="shared" si="6"/>
        <v>Требуются кол-во и цена</v>
      </c>
      <c r="BA39" s="45">
        <f>IF(A39&lt;&gt;"",IFERROR(IF(VLOOKUP(A39,'1C'!A:A,1,0)&lt;&gt;"",1,0),0),"")</f>
        <v>1</v>
      </c>
      <c r="BB39" s="146">
        <f>_xlfn.LET(_xlpm.NAME,IF(D39&lt;&gt;""," "&amp;D39,D39),IF(_xlfn.XLOOKUP(C39&amp;_xlpm.NAME,'1C'!G:G,'1C'!F:F,0,0)=0,0,1))</f>
        <v>0</v>
      </c>
      <c r="BC39" s="73">
        <f>IF(BB39,"-",IF(BA39&gt;0,0,1))</f>
        <v>0</v>
      </c>
    </row>
    <row r="40" spans="1:55" ht="115.35" customHeight="1">
      <c r="G40" s="56"/>
      <c r="M40" s="66"/>
      <c r="N40" s="166"/>
      <c r="O40" s="65"/>
      <c r="P40" s="63"/>
      <c r="Q40" s="58"/>
      <c r="R40" s="58"/>
      <c r="S40" s="58"/>
      <c r="V40" s="58"/>
      <c r="X40" s="58"/>
      <c r="Z40" s="58"/>
      <c r="AB40" s="58"/>
      <c r="AD40" s="58"/>
      <c r="AS40" s="56"/>
      <c r="AT40" s="56"/>
      <c r="BB40" s="108"/>
      <c r="BC40" s="73"/>
    </row>
    <row r="41" spans="1:55" ht="118.5" customHeight="1">
      <c r="G41" s="56"/>
      <c r="L41" s="63"/>
      <c r="M41" s="66"/>
      <c r="N41" s="166"/>
      <c r="O41" s="65"/>
      <c r="P41" s="63"/>
      <c r="Q41" s="58"/>
      <c r="R41" s="58"/>
      <c r="S41" s="58"/>
      <c r="V41" s="58"/>
      <c r="X41" s="58"/>
      <c r="Z41" s="58"/>
      <c r="AB41" s="58"/>
      <c r="AD41" s="58"/>
      <c r="AS41" s="56"/>
      <c r="AT41" s="56"/>
      <c r="BB41" s="108"/>
      <c r="BC41" s="73"/>
    </row>
    <row r="42" spans="1:55" ht="100.5" customHeight="1">
      <c r="G42" s="56"/>
      <c r="M42" s="66"/>
      <c r="N42" s="166"/>
      <c r="O42" s="65"/>
      <c r="P42" s="63"/>
      <c r="Q42" s="58"/>
      <c r="R42" s="58"/>
      <c r="S42" s="58"/>
      <c r="V42" s="58"/>
      <c r="X42" s="58"/>
      <c r="Z42" s="58"/>
      <c r="AB42" s="58"/>
      <c r="AD42" s="58"/>
      <c r="AS42" s="56"/>
      <c r="AT42" s="56"/>
      <c r="BB42" s="108"/>
      <c r="BC42" s="73"/>
    </row>
    <row r="43" spans="1:55" ht="107.25" customHeight="1">
      <c r="G43" s="56"/>
      <c r="M43" s="66"/>
      <c r="N43" s="166"/>
      <c r="O43" s="65"/>
      <c r="P43" s="63"/>
      <c r="Q43" s="58"/>
      <c r="R43" s="58"/>
      <c r="S43" s="58"/>
      <c r="V43" s="58"/>
      <c r="X43" s="58"/>
      <c r="Z43" s="58"/>
      <c r="AB43" s="58"/>
      <c r="AD43" s="58"/>
      <c r="AS43" s="56"/>
      <c r="AT43" s="56"/>
      <c r="BB43" s="108"/>
      <c r="BC43" s="73"/>
    </row>
    <row r="44" spans="1:55" ht="117.95" customHeight="1">
      <c r="G44" s="56"/>
      <c r="L44" s="63"/>
      <c r="M44" s="66"/>
      <c r="N44" s="166"/>
      <c r="O44" s="65"/>
      <c r="P44" s="63"/>
      <c r="Q44" s="58"/>
      <c r="R44" s="58"/>
      <c r="S44" s="58"/>
      <c r="V44" s="58"/>
      <c r="X44" s="58"/>
      <c r="Z44" s="58"/>
      <c r="AB44" s="58"/>
      <c r="AD44" s="58"/>
      <c r="AS44" s="56"/>
      <c r="AT44" s="56"/>
      <c r="BB44" s="108"/>
      <c r="BC44" s="73"/>
    </row>
    <row r="45" spans="1:55" ht="117.6" customHeight="1">
      <c r="G45" s="56"/>
      <c r="M45" s="66"/>
      <c r="N45" s="166"/>
      <c r="O45" s="65"/>
      <c r="P45" s="63"/>
      <c r="Q45" s="58"/>
      <c r="R45" s="58"/>
      <c r="S45" s="58"/>
      <c r="V45" s="58"/>
      <c r="X45" s="58"/>
      <c r="Z45" s="58"/>
      <c r="AB45" s="58"/>
      <c r="AD45" s="58"/>
      <c r="AS45" s="56"/>
      <c r="AT45" s="56"/>
      <c r="BB45" s="108"/>
      <c r="BC45" s="73"/>
    </row>
    <row r="46" spans="1:55" ht="109.7" customHeight="1">
      <c r="G46" s="56"/>
      <c r="L46" s="63"/>
      <c r="M46" s="66"/>
      <c r="N46" s="166"/>
      <c r="O46" s="65"/>
      <c r="P46" s="63"/>
      <c r="Q46" s="58"/>
      <c r="R46" s="58"/>
      <c r="S46" s="58"/>
      <c r="V46" s="58"/>
      <c r="X46" s="58"/>
      <c r="Z46" s="58"/>
      <c r="AB46" s="58"/>
      <c r="AD46" s="58"/>
      <c r="AS46" s="56"/>
      <c r="AT46" s="56"/>
      <c r="BB46" s="108"/>
      <c r="BC46" s="73"/>
    </row>
    <row r="47" spans="1:55" ht="117.6" customHeight="1">
      <c r="G47" s="56"/>
      <c r="L47" s="63"/>
      <c r="M47" s="66"/>
      <c r="N47" s="166"/>
      <c r="O47" s="65"/>
      <c r="P47" s="63"/>
      <c r="Q47" s="58"/>
      <c r="R47" s="58"/>
      <c r="S47" s="58"/>
      <c r="V47" s="58"/>
      <c r="X47" s="58"/>
      <c r="Z47" s="58"/>
      <c r="AB47" s="58"/>
      <c r="AD47" s="58"/>
      <c r="AS47" s="56"/>
      <c r="AT47" s="56"/>
      <c r="BB47" s="108"/>
      <c r="BC47" s="73"/>
    </row>
    <row r="48" spans="1:55" ht="110.65" customHeight="1">
      <c r="G48" s="56"/>
      <c r="L48" s="63"/>
      <c r="M48" s="66"/>
      <c r="N48" s="166"/>
      <c r="O48" s="65"/>
      <c r="P48" s="63"/>
      <c r="Q48" s="58"/>
      <c r="R48" s="58"/>
      <c r="S48" s="58"/>
      <c r="V48" s="58"/>
      <c r="X48" s="58"/>
      <c r="Z48" s="58"/>
      <c r="AB48" s="58"/>
      <c r="AD48" s="58"/>
      <c r="AS48" s="56"/>
      <c r="AT48" s="56"/>
      <c r="BB48" s="108"/>
      <c r="BC48" s="73"/>
    </row>
    <row r="49" spans="7:55" ht="111.4" customHeight="1">
      <c r="G49" s="56"/>
      <c r="L49" s="63"/>
      <c r="M49" s="66"/>
      <c r="N49" s="166"/>
      <c r="O49" s="65"/>
      <c r="P49" s="63"/>
      <c r="Q49" s="58"/>
      <c r="R49" s="58"/>
      <c r="S49" s="58"/>
      <c r="V49" s="58"/>
      <c r="X49" s="58"/>
      <c r="Z49" s="58"/>
      <c r="AB49" s="58"/>
      <c r="AD49" s="58"/>
      <c r="AS49" s="56"/>
      <c r="AT49" s="56"/>
      <c r="BB49" s="108"/>
      <c r="BC49" s="73"/>
    </row>
    <row r="50" spans="7:55" ht="111.75" customHeight="1">
      <c r="G50" s="56"/>
      <c r="M50" s="66"/>
      <c r="N50" s="166"/>
      <c r="O50" s="65"/>
      <c r="P50" s="63"/>
      <c r="Q50" s="58"/>
      <c r="R50" s="58"/>
      <c r="S50" s="58"/>
      <c r="V50" s="58"/>
      <c r="X50" s="58"/>
      <c r="Z50" s="58"/>
      <c r="AB50" s="58"/>
      <c r="AD50" s="58"/>
      <c r="AS50" s="56"/>
      <c r="AT50" s="56"/>
      <c r="BB50" s="108"/>
      <c r="BC50" s="73"/>
    </row>
    <row r="51" spans="7:55" ht="106.5" customHeight="1">
      <c r="G51" s="56"/>
      <c r="M51" s="66"/>
      <c r="N51" s="166"/>
      <c r="O51" s="65"/>
      <c r="P51" s="63"/>
      <c r="Q51" s="58"/>
      <c r="R51" s="58"/>
      <c r="S51" s="58"/>
      <c r="V51" s="58"/>
      <c r="X51" s="58"/>
      <c r="Z51" s="58"/>
      <c r="AB51" s="58"/>
      <c r="AD51" s="58"/>
      <c r="AS51" s="56"/>
      <c r="AT51" s="56"/>
      <c r="BB51" s="108"/>
      <c r="BC51" s="73"/>
    </row>
    <row r="52" spans="7:55" ht="119.85" customHeight="1">
      <c r="G52" s="56"/>
      <c r="M52" s="66"/>
      <c r="N52" s="166"/>
      <c r="O52" s="65"/>
      <c r="P52" s="63"/>
      <c r="Q52" s="58"/>
      <c r="R52" s="58"/>
      <c r="S52" s="58"/>
      <c r="V52" s="58"/>
      <c r="X52" s="58"/>
      <c r="Z52" s="58"/>
      <c r="AB52" s="58"/>
      <c r="AD52" s="58"/>
      <c r="AR52" s="167"/>
      <c r="AS52" s="56"/>
      <c r="AT52" s="56"/>
      <c r="BB52" s="108"/>
      <c r="BC52" s="73"/>
    </row>
    <row r="53" spans="7:55" ht="110.85" customHeight="1">
      <c r="G53" s="56"/>
      <c r="M53" s="66"/>
      <c r="N53" s="166"/>
      <c r="O53" s="65"/>
      <c r="P53" s="63"/>
      <c r="Q53" s="58"/>
      <c r="R53" s="58"/>
      <c r="S53" s="58"/>
      <c r="V53" s="58"/>
      <c r="X53" s="58"/>
      <c r="Z53" s="58"/>
      <c r="AB53" s="58"/>
      <c r="AD53" s="58"/>
      <c r="AS53" s="56"/>
      <c r="AT53" s="56"/>
      <c r="BB53" s="108"/>
      <c r="BC53" s="73"/>
    </row>
    <row r="54" spans="7:55" ht="105.95" customHeight="1">
      <c r="G54" s="56"/>
      <c r="M54" s="66"/>
      <c r="N54" s="166"/>
      <c r="O54" s="65"/>
      <c r="P54" s="63"/>
      <c r="Q54" s="58"/>
      <c r="R54" s="58"/>
      <c r="S54" s="58"/>
      <c r="V54" s="58"/>
      <c r="X54" s="58"/>
      <c r="Z54" s="58"/>
      <c r="AB54" s="58"/>
      <c r="AD54" s="58"/>
      <c r="AS54" s="56"/>
      <c r="AT54" s="56"/>
      <c r="BB54" s="108"/>
      <c r="BC54" s="73"/>
    </row>
    <row r="55" spans="7:55" ht="106.5" customHeight="1">
      <c r="G55" s="56"/>
      <c r="L55" s="63"/>
      <c r="M55" s="66"/>
      <c r="N55" s="166"/>
      <c r="O55" s="65"/>
      <c r="P55" s="63"/>
      <c r="Q55" s="58"/>
      <c r="R55" s="58"/>
      <c r="S55" s="58"/>
      <c r="V55" s="58"/>
      <c r="X55" s="58"/>
      <c r="Z55" s="58"/>
      <c r="AB55" s="58"/>
      <c r="AD55" s="58"/>
      <c r="AS55" s="56"/>
      <c r="AT55" s="56"/>
      <c r="BB55" s="108"/>
      <c r="BC55" s="73"/>
    </row>
    <row r="56" spans="7:55" ht="109.35" customHeight="1">
      <c r="G56" s="56"/>
      <c r="L56" s="63"/>
      <c r="M56" s="66"/>
      <c r="N56" s="166"/>
      <c r="O56" s="65"/>
      <c r="P56" s="63"/>
      <c r="Q56" s="58"/>
      <c r="R56" s="58"/>
      <c r="S56" s="58"/>
      <c r="V56" s="58"/>
      <c r="X56" s="58"/>
      <c r="Z56" s="58"/>
      <c r="AB56" s="58"/>
      <c r="AD56" s="58"/>
      <c r="AS56" s="56"/>
      <c r="AT56" s="56"/>
      <c r="BB56" s="108"/>
      <c r="BC56" s="73"/>
    </row>
    <row r="57" spans="7:55" ht="111.6" customHeight="1">
      <c r="G57" s="56"/>
      <c r="L57" s="63"/>
      <c r="M57" s="66"/>
      <c r="N57" s="166"/>
      <c r="O57" s="65"/>
      <c r="P57" s="63"/>
      <c r="Q57" s="58"/>
      <c r="R57" s="58"/>
      <c r="S57" s="58"/>
      <c r="V57" s="58"/>
      <c r="X57" s="58"/>
      <c r="Z57" s="58"/>
      <c r="AB57" s="58"/>
      <c r="AD57" s="58"/>
      <c r="AS57" s="56"/>
      <c r="AT57" s="56"/>
      <c r="BB57" s="108"/>
      <c r="BC57" s="73"/>
    </row>
    <row r="58" spans="7:55" ht="111.6" customHeight="1">
      <c r="G58" s="56"/>
      <c r="L58" s="63"/>
      <c r="M58" s="66"/>
      <c r="N58" s="166"/>
      <c r="O58" s="65"/>
      <c r="P58" s="63"/>
      <c r="Q58" s="58"/>
      <c r="R58" s="58"/>
      <c r="S58" s="58"/>
      <c r="V58" s="58"/>
      <c r="X58" s="58"/>
      <c r="Z58" s="58"/>
      <c r="AB58" s="58"/>
      <c r="AD58" s="58"/>
      <c r="AS58" s="56"/>
      <c r="AT58" s="56"/>
      <c r="BB58" s="108"/>
      <c r="BC58" s="73"/>
    </row>
    <row r="59" spans="7:55" ht="119.45" customHeight="1">
      <c r="G59" s="56"/>
      <c r="L59" s="63"/>
      <c r="M59" s="66"/>
      <c r="N59" s="166"/>
      <c r="O59" s="65"/>
      <c r="P59" s="63"/>
      <c r="Q59" s="58"/>
      <c r="R59" s="58"/>
      <c r="S59" s="58"/>
      <c r="V59" s="58"/>
      <c r="X59" s="58"/>
      <c r="Z59" s="58"/>
      <c r="AB59" s="58"/>
      <c r="AD59" s="58"/>
      <c r="AS59" s="56"/>
      <c r="AT59" s="56"/>
      <c r="BB59" s="108"/>
      <c r="BC59" s="73"/>
    </row>
    <row r="60" spans="7:55" ht="97.35" customHeight="1">
      <c r="G60" s="56"/>
      <c r="M60" s="66"/>
      <c r="N60" s="166"/>
      <c r="O60" s="65"/>
      <c r="P60" s="63"/>
      <c r="Q60" s="58"/>
      <c r="R60" s="58"/>
      <c r="S60" s="58"/>
      <c r="V60" s="58"/>
      <c r="X60" s="58"/>
      <c r="Z60" s="58"/>
      <c r="AB60" s="58"/>
      <c r="AD60" s="58"/>
      <c r="AS60" s="56"/>
      <c r="AT60" s="56"/>
      <c r="BB60" s="108"/>
      <c r="BC60" s="73"/>
    </row>
    <row r="61" spans="7:55" ht="111.6" customHeight="1">
      <c r="G61" s="56"/>
      <c r="M61" s="66"/>
      <c r="N61" s="166"/>
      <c r="O61" s="65"/>
      <c r="P61" s="63"/>
      <c r="Q61" s="58"/>
      <c r="R61" s="58"/>
      <c r="S61" s="58"/>
      <c r="V61" s="58"/>
      <c r="X61" s="58"/>
      <c r="Z61" s="58"/>
      <c r="AB61" s="58"/>
      <c r="AD61" s="58"/>
      <c r="AS61" s="56"/>
      <c r="AT61" s="56"/>
      <c r="BB61" s="108"/>
      <c r="BC61" s="73"/>
    </row>
    <row r="62" spans="7:55" ht="89.85" customHeight="1">
      <c r="G62" s="56"/>
      <c r="M62" s="66"/>
      <c r="N62" s="166"/>
      <c r="O62" s="65"/>
      <c r="P62" s="63"/>
      <c r="Q62" s="58"/>
      <c r="R62" s="58"/>
      <c r="S62" s="58"/>
      <c r="V62" s="58"/>
      <c r="X62" s="58"/>
      <c r="Z62" s="58"/>
      <c r="AB62" s="58"/>
      <c r="AD62" s="58"/>
      <c r="AS62" s="56"/>
      <c r="AT62" s="56"/>
      <c r="BB62" s="108"/>
      <c r="BC62" s="73"/>
    </row>
    <row r="63" spans="7:55" ht="93.6" customHeight="1">
      <c r="G63" s="56"/>
      <c r="M63" s="66"/>
      <c r="N63" s="166"/>
      <c r="O63" s="65"/>
      <c r="P63" s="63"/>
      <c r="Q63" s="58"/>
      <c r="R63" s="58"/>
      <c r="S63" s="58"/>
      <c r="V63" s="58"/>
      <c r="X63" s="58"/>
      <c r="Z63" s="58"/>
      <c r="AB63" s="58"/>
      <c r="AD63" s="58"/>
      <c r="AS63" s="56"/>
      <c r="AT63" s="56"/>
      <c r="BB63" s="108"/>
      <c r="BC63" s="73"/>
    </row>
    <row r="64" spans="7:55" ht="104.45" customHeight="1">
      <c r="G64" s="56"/>
      <c r="M64" s="66"/>
      <c r="N64" s="166"/>
      <c r="O64" s="65"/>
      <c r="P64" s="63"/>
      <c r="Q64" s="58"/>
      <c r="R64" s="58"/>
      <c r="S64" s="58"/>
      <c r="V64" s="58"/>
      <c r="X64" s="58"/>
      <c r="Z64" s="58"/>
      <c r="AB64" s="58"/>
      <c r="AD64" s="58"/>
      <c r="AS64" s="56"/>
      <c r="AT64" s="56"/>
      <c r="BB64" s="108"/>
      <c r="BC64" s="73"/>
    </row>
    <row r="65" spans="7:55" ht="102.75" customHeight="1">
      <c r="G65" s="56"/>
      <c r="L65" s="63"/>
      <c r="M65" s="66"/>
      <c r="N65" s="166"/>
      <c r="O65" s="65"/>
      <c r="P65" s="63"/>
      <c r="Q65" s="58"/>
      <c r="R65" s="58"/>
      <c r="S65" s="58"/>
      <c r="V65" s="58"/>
      <c r="X65" s="58"/>
      <c r="Z65" s="58"/>
      <c r="AB65" s="58"/>
      <c r="AD65" s="58"/>
      <c r="AS65" s="56"/>
      <c r="AT65" s="56"/>
      <c r="BB65" s="108"/>
      <c r="BC65" s="73"/>
    </row>
    <row r="66" spans="7:55" ht="101.1" customHeight="1">
      <c r="G66" s="56"/>
      <c r="L66" s="63"/>
      <c r="M66" s="66"/>
      <c r="N66" s="166"/>
      <c r="O66" s="65"/>
      <c r="P66" s="63"/>
      <c r="Q66" s="58"/>
      <c r="R66" s="58"/>
      <c r="S66" s="58"/>
      <c r="V66" s="58"/>
      <c r="X66" s="58"/>
      <c r="Z66" s="58"/>
      <c r="AB66" s="58"/>
      <c r="AD66" s="58"/>
      <c r="AS66" s="56"/>
      <c r="AT66" s="56"/>
      <c r="BB66" s="108"/>
      <c r="BC66" s="73"/>
    </row>
    <row r="67" spans="7:55" ht="98.85" customHeight="1">
      <c r="G67" s="56"/>
      <c r="L67" s="63"/>
      <c r="M67" s="66"/>
      <c r="N67" s="166"/>
      <c r="O67" s="65"/>
      <c r="P67" s="63"/>
      <c r="Q67" s="58"/>
      <c r="R67" s="58"/>
      <c r="S67" s="58"/>
      <c r="V67" s="58"/>
      <c r="X67" s="58"/>
      <c r="Z67" s="58"/>
      <c r="AB67" s="58"/>
      <c r="AD67" s="58"/>
      <c r="AS67" s="56"/>
      <c r="AT67" s="56"/>
      <c r="BB67" s="108"/>
      <c r="BC67" s="73"/>
    </row>
    <row r="68" spans="7:55" ht="99.75" customHeight="1">
      <c r="G68" s="56"/>
      <c r="L68" s="63"/>
      <c r="M68" s="66"/>
      <c r="N68" s="166"/>
      <c r="O68" s="65"/>
      <c r="P68" s="63"/>
      <c r="Q68" s="58"/>
      <c r="R68" s="58"/>
      <c r="S68" s="58"/>
      <c r="V68" s="58"/>
      <c r="X68" s="58"/>
      <c r="Z68" s="58"/>
      <c r="AB68" s="58"/>
      <c r="AD68" s="58"/>
      <c r="AS68" s="56"/>
      <c r="AT68" s="56"/>
      <c r="BB68" s="108"/>
      <c r="BC68" s="73"/>
    </row>
    <row r="69" spans="7:55" ht="96.95" customHeight="1">
      <c r="G69" s="56"/>
      <c r="L69" s="63"/>
      <c r="M69" s="66"/>
      <c r="N69" s="166"/>
      <c r="O69" s="65"/>
      <c r="P69" s="63"/>
      <c r="Q69" s="58"/>
      <c r="R69" s="58"/>
      <c r="S69" s="58"/>
      <c r="V69" s="58"/>
      <c r="X69" s="58"/>
      <c r="Z69" s="58"/>
      <c r="AB69" s="58"/>
      <c r="AD69" s="58"/>
      <c r="AS69" s="56"/>
      <c r="AT69" s="56"/>
      <c r="BB69" s="108"/>
      <c r="BC69" s="73"/>
    </row>
    <row r="70" spans="7:55" ht="95.25" customHeight="1">
      <c r="G70" s="56"/>
      <c r="L70" s="63"/>
      <c r="M70" s="66"/>
      <c r="N70" s="166"/>
      <c r="O70" s="65"/>
      <c r="P70" s="63"/>
      <c r="Q70" s="58"/>
      <c r="R70" s="58"/>
      <c r="S70" s="58"/>
      <c r="V70" s="58"/>
      <c r="X70" s="58"/>
      <c r="Z70" s="58"/>
      <c r="AB70" s="58"/>
      <c r="AD70" s="58"/>
      <c r="AS70" s="56"/>
      <c r="AT70" s="56"/>
      <c r="BB70" s="108"/>
      <c r="BC70" s="73"/>
    </row>
    <row r="71" spans="7:55" ht="91.15" customHeight="1">
      <c r="G71" s="56"/>
      <c r="L71" s="63"/>
      <c r="M71" s="66"/>
      <c r="N71" s="166"/>
      <c r="O71" s="65"/>
      <c r="P71" s="63"/>
      <c r="Q71" s="58"/>
      <c r="R71" s="58"/>
      <c r="S71" s="58"/>
      <c r="V71" s="58"/>
      <c r="X71" s="58"/>
      <c r="Z71" s="58"/>
      <c r="AB71" s="58"/>
      <c r="AD71" s="58"/>
      <c r="AS71" s="56"/>
      <c r="AT71" s="56"/>
      <c r="BB71" s="108"/>
      <c r="BC71" s="73"/>
    </row>
    <row r="72" spans="7:55" ht="128.85" customHeight="1">
      <c r="G72" s="56"/>
      <c r="M72" s="66"/>
      <c r="N72" s="166"/>
      <c r="O72" s="65"/>
      <c r="P72" s="63"/>
      <c r="Q72" s="58"/>
      <c r="R72" s="58"/>
      <c r="S72" s="58"/>
      <c r="V72" s="58"/>
      <c r="X72" s="58"/>
      <c r="Z72" s="58"/>
      <c r="AB72" s="58"/>
      <c r="AD72" s="58"/>
      <c r="AS72" s="56"/>
      <c r="AT72" s="56"/>
      <c r="BB72" s="108"/>
      <c r="BC72" s="73"/>
    </row>
    <row r="73" spans="7:55" ht="133.35" customHeight="1">
      <c r="G73" s="56"/>
      <c r="M73" s="66"/>
      <c r="N73" s="166"/>
      <c r="O73" s="65"/>
      <c r="P73" s="63"/>
      <c r="Q73" s="58"/>
      <c r="R73" s="58"/>
      <c r="S73" s="58"/>
      <c r="V73" s="58"/>
      <c r="X73" s="58"/>
      <c r="Z73" s="58"/>
      <c r="AB73" s="58"/>
      <c r="AD73" s="58"/>
      <c r="AS73" s="56"/>
      <c r="AT73" s="56"/>
      <c r="BB73" s="108"/>
      <c r="BC73" s="73"/>
    </row>
    <row r="74" spans="7:55" ht="89.1" customHeight="1">
      <c r="G74" s="56"/>
      <c r="M74" s="66"/>
      <c r="N74" s="166"/>
      <c r="O74" s="65"/>
      <c r="P74" s="63"/>
      <c r="Q74" s="58"/>
      <c r="R74" s="58"/>
      <c r="S74" s="58"/>
      <c r="V74" s="58"/>
      <c r="X74" s="58"/>
      <c r="Z74" s="58"/>
      <c r="AB74" s="58"/>
      <c r="AD74" s="58"/>
      <c r="AS74" s="56"/>
      <c r="AT74" s="56"/>
      <c r="BB74" s="108"/>
      <c r="BC74" s="73"/>
    </row>
    <row r="75" spans="7:55" ht="97.5" customHeight="1">
      <c r="G75" s="56"/>
      <c r="M75" s="66"/>
      <c r="N75" s="166"/>
      <c r="O75" s="65"/>
      <c r="P75" s="63"/>
      <c r="Q75" s="58"/>
      <c r="R75" s="58"/>
      <c r="S75" s="58"/>
      <c r="V75" s="58"/>
      <c r="X75" s="58"/>
      <c r="Z75" s="58"/>
      <c r="AB75" s="58"/>
      <c r="AD75" s="58"/>
      <c r="AS75" s="56"/>
      <c r="AT75" s="56"/>
      <c r="BB75" s="108"/>
      <c r="BC75" s="73"/>
    </row>
    <row r="76" spans="7:55" ht="99.2" customHeight="1">
      <c r="G76" s="56"/>
      <c r="M76" s="66"/>
      <c r="N76" s="166"/>
      <c r="O76" s="65"/>
      <c r="P76" s="63"/>
      <c r="Q76" s="58"/>
      <c r="R76" s="58"/>
      <c r="S76" s="58"/>
      <c r="V76" s="58"/>
      <c r="X76" s="58"/>
      <c r="Z76" s="58"/>
      <c r="AB76" s="58"/>
      <c r="AD76" s="58"/>
      <c r="AS76" s="56"/>
      <c r="AT76" s="56"/>
      <c r="BB76" s="108"/>
      <c r="BC76" s="73"/>
    </row>
    <row r="77" spans="7:55" ht="87.6" customHeight="1">
      <c r="G77" s="56"/>
      <c r="L77" s="63"/>
      <c r="M77" s="66"/>
      <c r="N77" s="166"/>
      <c r="O77" s="65"/>
      <c r="P77" s="63"/>
      <c r="Q77" s="58"/>
      <c r="R77" s="58"/>
      <c r="S77" s="58"/>
      <c r="V77" s="58"/>
      <c r="X77" s="58"/>
      <c r="Z77" s="58"/>
      <c r="AB77" s="58"/>
      <c r="AD77" s="58"/>
      <c r="AS77" s="56"/>
      <c r="AT77" s="56"/>
      <c r="BB77" s="108"/>
      <c r="BC77" s="73"/>
    </row>
    <row r="78" spans="7:55" ht="90.2" customHeight="1">
      <c r="G78" s="56"/>
      <c r="M78" s="66"/>
      <c r="N78" s="166"/>
      <c r="O78" s="65"/>
      <c r="P78" s="63"/>
      <c r="Q78" s="58"/>
      <c r="R78" s="58"/>
      <c r="S78" s="58"/>
      <c r="V78" s="58"/>
      <c r="X78" s="58"/>
      <c r="Z78" s="58"/>
      <c r="AB78" s="58"/>
      <c r="AD78" s="58"/>
      <c r="AS78" s="56"/>
      <c r="AT78" s="56"/>
      <c r="BB78" s="108"/>
      <c r="BC78" s="73"/>
    </row>
    <row r="79" spans="7:55" ht="102.4" customHeight="1">
      <c r="G79" s="56"/>
      <c r="M79" s="66"/>
      <c r="N79" s="166"/>
      <c r="O79" s="65"/>
      <c r="P79" s="63"/>
      <c r="Q79" s="58"/>
      <c r="R79" s="58"/>
      <c r="S79" s="58"/>
      <c r="V79" s="58"/>
      <c r="X79" s="58"/>
      <c r="Z79" s="58"/>
      <c r="AB79" s="58"/>
      <c r="AD79" s="58"/>
      <c r="AS79" s="56"/>
      <c r="AT79" s="56"/>
      <c r="BB79" s="108"/>
      <c r="BC79" s="73"/>
    </row>
    <row r="80" spans="7:55" ht="114.4" customHeight="1">
      <c r="G80" s="56"/>
      <c r="M80" s="66"/>
      <c r="N80" s="166"/>
      <c r="O80" s="65"/>
      <c r="P80" s="63"/>
      <c r="Q80" s="58"/>
      <c r="R80" s="58"/>
      <c r="S80" s="58"/>
      <c r="V80" s="58"/>
      <c r="X80" s="58"/>
      <c r="Z80" s="58"/>
      <c r="AB80" s="58"/>
      <c r="AD80" s="58"/>
      <c r="AS80" s="56"/>
      <c r="AT80" s="56"/>
      <c r="BB80" s="108"/>
      <c r="BC80" s="73"/>
    </row>
    <row r="81" spans="7:55" ht="95.45" customHeight="1">
      <c r="G81" s="56"/>
      <c r="M81" s="66"/>
      <c r="N81" s="166"/>
      <c r="O81" s="65"/>
      <c r="P81" s="63"/>
      <c r="Q81" s="58"/>
      <c r="R81" s="58"/>
      <c r="S81" s="58"/>
      <c r="V81" s="58"/>
      <c r="X81" s="58"/>
      <c r="Z81" s="58"/>
      <c r="AB81" s="58"/>
      <c r="AD81" s="58"/>
      <c r="AS81" s="56"/>
      <c r="AT81" s="56"/>
      <c r="BB81" s="108"/>
      <c r="BC81" s="73"/>
    </row>
    <row r="82" spans="7:55" ht="89.85" customHeight="1">
      <c r="G82" s="56"/>
      <c r="M82" s="66"/>
      <c r="N82" s="166"/>
      <c r="O82" s="65"/>
      <c r="P82" s="63"/>
      <c r="Q82" s="58"/>
      <c r="R82" s="58"/>
      <c r="S82" s="58"/>
      <c r="V82" s="58"/>
      <c r="X82" s="58"/>
      <c r="Z82" s="58"/>
      <c r="AB82" s="58"/>
      <c r="AD82" s="58"/>
      <c r="AS82" s="56"/>
      <c r="AT82" s="56"/>
      <c r="BB82" s="108"/>
      <c r="BC82" s="73"/>
    </row>
    <row r="83" spans="7:55" ht="93.75" customHeight="1">
      <c r="G83" s="56"/>
      <c r="M83" s="66"/>
      <c r="N83" s="166"/>
      <c r="O83" s="65"/>
      <c r="P83" s="63"/>
      <c r="Q83" s="58"/>
      <c r="R83" s="58"/>
      <c r="S83" s="58"/>
      <c r="V83" s="58"/>
      <c r="X83" s="58"/>
      <c r="Z83" s="58"/>
      <c r="AB83" s="58"/>
      <c r="AD83" s="58"/>
      <c r="AS83" s="56"/>
      <c r="AT83" s="56"/>
      <c r="BB83" s="108"/>
      <c r="BC83" s="73"/>
    </row>
    <row r="84" spans="7:55" ht="91.9" customHeight="1">
      <c r="G84" s="56"/>
      <c r="M84" s="66"/>
      <c r="O84" s="65"/>
      <c r="Q84" s="58"/>
    </row>
    <row r="85" spans="7:55" ht="87.6" customHeight="1">
      <c r="G85" s="56"/>
      <c r="M85" s="66"/>
      <c r="O85" s="65"/>
      <c r="Q85" s="58"/>
    </row>
    <row r="86" spans="7:55" ht="78" customHeight="1">
      <c r="G86" s="56"/>
      <c r="L86" s="63"/>
      <c r="M86" s="66"/>
      <c r="N86" s="63"/>
      <c r="O86" s="65"/>
      <c r="P86" s="63"/>
      <c r="Q86" s="58"/>
      <c r="R86" s="58"/>
    </row>
    <row r="87" spans="7:55" ht="89.1" customHeight="1">
      <c r="G87" s="56"/>
      <c r="M87" s="66"/>
      <c r="O87" s="65"/>
      <c r="Q87" s="58"/>
    </row>
    <row r="88" spans="7:55" ht="82.9" customHeight="1">
      <c r="G88" s="56"/>
      <c r="M88" s="66"/>
      <c r="O88" s="65"/>
      <c r="Q88" s="58"/>
    </row>
    <row r="89" spans="7:55" ht="95.45" customHeight="1">
      <c r="G89" s="56"/>
      <c r="M89" s="66"/>
      <c r="O89" s="65"/>
      <c r="Q89" s="58"/>
    </row>
    <row r="90" spans="7:55" ht="86.65" customHeight="1">
      <c r="G90" s="56"/>
      <c r="M90" s="66"/>
      <c r="O90" s="65"/>
      <c r="Q90" s="58"/>
    </row>
    <row r="91" spans="7:55" ht="85.9" customHeight="1">
      <c r="G91" s="56"/>
      <c r="M91" s="66"/>
      <c r="O91" s="65"/>
      <c r="Q91" s="58"/>
    </row>
    <row r="92" spans="7:55" ht="87.95" customHeight="1">
      <c r="G92" s="56"/>
      <c r="M92" s="66"/>
      <c r="O92" s="65"/>
      <c r="Q92" s="58"/>
    </row>
    <row r="93" spans="7:55" ht="89.45" customHeight="1">
      <c r="G93" s="56"/>
      <c r="L93" s="63"/>
      <c r="M93" s="66"/>
      <c r="N93" s="63"/>
      <c r="O93" s="65"/>
      <c r="P93" s="63"/>
      <c r="Q93" s="58"/>
      <c r="R93" s="58"/>
    </row>
    <row r="94" spans="7:55" ht="87.6" customHeight="1">
      <c r="G94" s="56"/>
      <c r="M94" s="66"/>
      <c r="O94" s="65"/>
      <c r="Q94" s="58"/>
    </row>
    <row r="95" spans="7:55" ht="80.650000000000006" customHeight="1">
      <c r="G95" s="56"/>
      <c r="L95" s="63"/>
      <c r="M95" s="66"/>
      <c r="N95" s="63"/>
      <c r="O95" s="65"/>
      <c r="P95" s="63"/>
      <c r="Q95" s="58"/>
      <c r="R95" s="58"/>
    </row>
    <row r="96" spans="7:55" ht="81.2" customHeight="1">
      <c r="G96" s="56"/>
      <c r="M96" s="66"/>
      <c r="O96" s="65"/>
      <c r="Q96" s="58"/>
    </row>
    <row r="97" spans="7:18" ht="78" customHeight="1">
      <c r="G97" s="56"/>
      <c r="M97" s="66"/>
      <c r="O97" s="65"/>
      <c r="Q97" s="58"/>
    </row>
    <row r="98" spans="7:18" ht="78" customHeight="1">
      <c r="G98" s="56"/>
      <c r="L98" s="63"/>
      <c r="M98" s="66"/>
      <c r="N98" s="63"/>
      <c r="O98" s="65"/>
      <c r="P98" s="63"/>
      <c r="Q98" s="58"/>
      <c r="R98" s="58"/>
    </row>
    <row r="99" spans="7:18" ht="105.4" customHeight="1">
      <c r="G99" s="56"/>
      <c r="L99" s="63"/>
      <c r="M99" s="66"/>
      <c r="N99" s="63"/>
      <c r="O99" s="65"/>
      <c r="P99" s="63"/>
      <c r="Q99" s="58"/>
      <c r="R99" s="58"/>
    </row>
    <row r="100" spans="7:18" ht="78" customHeight="1">
      <c r="G100" s="56"/>
      <c r="M100" s="66"/>
      <c r="O100" s="65"/>
      <c r="Q100" s="58"/>
    </row>
    <row r="101" spans="7:18" ht="96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78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86.65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101.45" customHeight="1">
      <c r="G104" s="56"/>
      <c r="M104" s="66"/>
      <c r="O104" s="65"/>
      <c r="Q104" s="58"/>
    </row>
    <row r="105" spans="7:18" ht="79.150000000000006" customHeight="1">
      <c r="G105" s="56"/>
      <c r="M105" s="66"/>
      <c r="O105" s="65"/>
      <c r="Q105" s="58"/>
    </row>
    <row r="106" spans="7:18" ht="78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100.35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78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78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78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78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78" customHeight="1">
      <c r="G112" s="56"/>
      <c r="M112" s="66"/>
      <c r="O112" s="65"/>
      <c r="Q112" s="58"/>
    </row>
    <row r="113" spans="7:18" ht="78" customHeight="1">
      <c r="G113" s="56"/>
      <c r="M113" s="66"/>
      <c r="O113" s="65"/>
      <c r="Q113" s="58"/>
    </row>
    <row r="114" spans="7:18" ht="78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78.2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78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78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0" customHeight="1">
      <c r="G118" s="56"/>
      <c r="M118" s="66"/>
      <c r="O118" s="65"/>
      <c r="Q118" s="58"/>
    </row>
    <row r="119" spans="7:18" ht="79.349999999999994" customHeight="1">
      <c r="G119" s="56"/>
      <c r="M119" s="66"/>
      <c r="O119" s="65"/>
      <c r="Q119" s="58"/>
    </row>
    <row r="120" spans="7:18" ht="79.349999999999994" customHeight="1">
      <c r="G120" s="56"/>
      <c r="M120" s="66"/>
      <c r="O120" s="65"/>
      <c r="Q120" s="58"/>
    </row>
    <row r="121" spans="7:18" ht="78" customHeight="1">
      <c r="G121" s="56"/>
      <c r="M121" s="66"/>
      <c r="O121" s="65"/>
      <c r="Q121" s="58"/>
    </row>
    <row r="122" spans="7:18" ht="82.15" customHeight="1">
      <c r="G122" s="56"/>
      <c r="M122" s="66"/>
      <c r="O122" s="65"/>
      <c r="Q122" s="58"/>
    </row>
    <row r="123" spans="7:18" ht="96.95" customHeight="1">
      <c r="G123" s="56"/>
      <c r="M123" s="66"/>
      <c r="O123" s="65"/>
      <c r="Q123" s="58"/>
    </row>
    <row r="124" spans="7:18" ht="85.35" customHeight="1">
      <c r="G124" s="56"/>
      <c r="M124" s="66"/>
      <c r="O124" s="65"/>
      <c r="Q124" s="58"/>
    </row>
    <row r="125" spans="7:18" ht="91.5" customHeight="1">
      <c r="G125" s="56"/>
      <c r="M125" s="66"/>
      <c r="O125" s="65"/>
      <c r="Q125" s="58"/>
    </row>
    <row r="126" spans="7:18" ht="86.65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85.35" customHeight="1">
      <c r="G127" s="56"/>
      <c r="M127" s="66"/>
      <c r="O127" s="65"/>
      <c r="Q127" s="58"/>
    </row>
    <row r="128" spans="7:18" ht="90.2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1.15" customHeight="1">
      <c r="G129" s="56"/>
      <c r="M129" s="66"/>
      <c r="O129" s="65"/>
      <c r="Q129" s="58"/>
    </row>
    <row r="130" spans="7:18" ht="91.5" customHeight="1">
      <c r="G130" s="56"/>
      <c r="M130" s="66"/>
      <c r="O130" s="65"/>
      <c r="Q130" s="58"/>
    </row>
    <row r="131" spans="7:18" ht="85.35" customHeight="1">
      <c r="G131" s="56"/>
      <c r="M131" s="66"/>
      <c r="O131" s="65"/>
      <c r="Q131" s="58"/>
    </row>
    <row r="132" spans="7:18" ht="92.25" customHeight="1">
      <c r="G132" s="56"/>
      <c r="M132" s="66"/>
      <c r="O132" s="65"/>
      <c r="Q132" s="58"/>
    </row>
    <row r="133" spans="7:18" ht="91.15" customHeight="1">
      <c r="G133" s="56"/>
      <c r="M133" s="66"/>
      <c r="O133" s="65"/>
      <c r="Q133" s="58"/>
    </row>
    <row r="134" spans="7:18" ht="89.85" customHeight="1">
      <c r="G134" s="56"/>
      <c r="M134" s="66"/>
      <c r="O134" s="65"/>
      <c r="Q134" s="58"/>
    </row>
    <row r="135" spans="7:18" ht="93.4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86.25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103.35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108.95" customHeight="1">
      <c r="G138" s="56"/>
      <c r="M138" s="66"/>
      <c r="O138" s="65"/>
      <c r="Q138" s="58"/>
    </row>
    <row r="139" spans="7:18" ht="93.2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5.65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105.95" customHeight="1">
      <c r="G141" s="56"/>
      <c r="M141" s="66"/>
      <c r="O141" s="65"/>
      <c r="Q141" s="58"/>
    </row>
    <row r="142" spans="7:18" ht="78" customHeight="1">
      <c r="G142" s="56"/>
      <c r="M142" s="66"/>
      <c r="O142" s="65"/>
      <c r="Q142" s="58"/>
    </row>
    <row r="143" spans="7:18" ht="99.75" customHeight="1">
      <c r="G143" s="56"/>
      <c r="M143" s="66"/>
      <c r="O143" s="65"/>
      <c r="Q143" s="58"/>
    </row>
    <row r="144" spans="7:18" ht="78" customHeight="1">
      <c r="M144" s="66"/>
      <c r="O144" s="65"/>
    </row>
    <row r="145" spans="13:15" ht="78" customHeight="1">
      <c r="M145" s="66"/>
      <c r="O145" s="65"/>
    </row>
    <row r="146" spans="13:15" ht="78" customHeight="1">
      <c r="M146" s="66"/>
      <c r="O146" s="65"/>
    </row>
    <row r="147" spans="13:15" ht="78" customHeight="1">
      <c r="M147" s="66"/>
      <c r="O147" s="65"/>
    </row>
    <row r="148" spans="13:15" ht="78" customHeight="1">
      <c r="M148" s="66"/>
      <c r="O148" s="65"/>
    </row>
    <row r="149" spans="13:15" ht="78" customHeight="1">
      <c r="M149" s="66"/>
      <c r="O149" s="65"/>
    </row>
    <row r="150" spans="13:15" ht="78" customHeight="1">
      <c r="M150" s="66"/>
      <c r="O150" s="65"/>
    </row>
    <row r="151" spans="13:15" ht="78" customHeight="1">
      <c r="M151" s="66"/>
      <c r="O151" s="65"/>
    </row>
    <row r="152" spans="13:15" ht="78" customHeight="1">
      <c r="M152" s="66"/>
      <c r="O152" s="65"/>
    </row>
    <row r="153" spans="13:15" ht="78" customHeight="1">
      <c r="M153" s="66"/>
      <c r="O153" s="65"/>
    </row>
    <row r="154" spans="13:15" ht="78" customHeight="1">
      <c r="N154" s="104"/>
    </row>
  </sheetData>
  <sheetProtection formatColumns="0" formatRows="0" sort="0" autoFilter="0"/>
  <autoFilter ref="A1:BD1" xr:uid="{00000000-0001-0000-0000-000000000000}"/>
  <conditionalFormatting sqref="S2:AQ356">
    <cfRule type="expression" dxfId="21" priority="5">
      <formula>IF(УФ_Переключатель=1,IF(ISNUMBER(S2),IF(S2&gt;0,TRUE,FALSE),FALSE))</formula>
    </cfRule>
  </conditionalFormatting>
  <conditionalFormatting sqref="J2:R356 BC2:BC356 AQ2:BA356 A2:H356">
    <cfRule type="expression" dxfId="20" priority="12">
      <formula>IF(УФ_Переключатель=1,IF(A2&lt;&gt;"",TRUE,FALSE))</formula>
    </cfRule>
    <cfRule type="expression" dxfId="19" priority="13">
      <formula>IF(УФ_Переключатель=1,IF($A2&lt;&gt;"",NOT(_xludf.isFormula(A2)),FALSE))</formula>
    </cfRule>
  </conditionalFormatting>
  <conditionalFormatting sqref="BC1:BC356 A1:BA356">
    <cfRule type="expression" dxfId="18" priority="14">
      <formula>IF(УФ_Переключатель=1,IFERROR(TEXT(RIGHT(A1,255),"###"),TRUE))</formula>
    </cfRule>
  </conditionalFormatting>
  <conditionalFormatting sqref="A1:BC356">
    <cfRule type="expression" dxfId="17" priority="11">
      <formula>IF(УФ_Переключатель=1,_xludf.isFormula(A1))</formula>
    </cfRule>
    <cfRule type="expression" dxfId="16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 H84:H1048576" xr:uid="{00000000-0002-0000-0000-000002000000}">
      <formula1>Сезоны</formula1>
    </dataValidation>
    <dataValidation type="list" allowBlank="1" showInputMessage="1" showErrorMessage="1" sqref="P1 P100 P104:P105 P112:P113 P118:P125 P127 P129:P134 P141:P1048576 P84:P85 P138 P87:P92 P94 P96:P97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 F84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F371EACA-AEC8-4ED9-A63B-0AF5B0662806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ignoredErrors>
    <ignoredError sqref="AO1:AP1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3" t="s">
        <v>453</v>
      </c>
      <c r="C1" s="154"/>
      <c r="D1" s="154"/>
      <c r="E1" s="155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6" t="s">
        <v>466</v>
      </c>
      <c r="C5" s="156"/>
      <c r="D5" s="156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7"/>
      <c r="C6" s="158"/>
      <c r="D6" s="158"/>
      <c r="E6" s="159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3" t="s">
        <v>543</v>
      </c>
      <c r="C8" s="154"/>
      <c r="D8" s="154"/>
      <c r="E8" s="155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0" t="s">
        <v>573</v>
      </c>
      <c r="C9" s="161"/>
      <c r="D9" s="162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0"/>
      <c r="C17" s="151"/>
      <c r="D17" s="151"/>
      <c r="E17" s="152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15" priority="20"/>
  </conditionalFormatting>
  <conditionalFormatting sqref="Q16">
    <cfRule type="duplicateValues" dxfId="14" priority="7"/>
  </conditionalFormatting>
  <conditionalFormatting sqref="Q17">
    <cfRule type="duplicateValues" dxfId="13" priority="6"/>
  </conditionalFormatting>
  <conditionalFormatting sqref="Q18">
    <cfRule type="duplicateValues" dxfId="12" priority="5"/>
  </conditionalFormatting>
  <conditionalFormatting sqref="Q19">
    <cfRule type="duplicateValues" dxfId="11" priority="4"/>
  </conditionalFormatting>
  <conditionalFormatting sqref="Q20">
    <cfRule type="duplicateValues" dxfId="10" priority="3"/>
  </conditionalFormatting>
  <conditionalFormatting sqref="Q21">
    <cfRule type="duplicateValues" dxfId="9" priority="2"/>
  </conditionalFormatting>
  <conditionalFormatting sqref="Q22">
    <cfRule type="duplicateValues" dxfId="8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26"/>
  <sheetViews>
    <sheetView workbookViewId="0">
      <selection activeCell="C26" sqref="C26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3.7109375" style="138" bestFit="1" customWidth="1"/>
    <col min="7" max="7" width="19.140625" style="139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40" t="s">
        <v>804</v>
      </c>
      <c r="F1" s="136" t="str" cm="1">
        <f t="array" ref="F1:G25">_xlfn.SORTBY(B2:C26,D2:D26,-1)</f>
        <v>Natural straw</v>
      </c>
      <c r="G1" s="137" t="str">
        <v>солома</v>
      </c>
    </row>
    <row r="2" spans="2:7" ht="18.75">
      <c r="B2" s="18" t="s">
        <v>405</v>
      </c>
      <c r="C2" s="19" t="s">
        <v>805</v>
      </c>
      <c r="D2" s="19">
        <f t="shared" ref="D2:D26" si="0">LEN(B2)</f>
        <v>2</v>
      </c>
      <c r="E2" s="141"/>
      <c r="F2" s="138" t="str">
        <v>Raffia straw</v>
      </c>
      <c r="G2" s="139" t="str">
        <v>солома рафия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8" t="str">
        <v>Paper straw</v>
      </c>
      <c r="G3" s="139" t="str">
        <v>бумага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8" t="str">
        <v>Polyester</v>
      </c>
      <c r="G4" s="139" t="str">
        <v>полиэстер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8" t="str">
        <v>Seagrass</v>
      </c>
      <c r="G5" s="139" t="str">
        <v>солома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8" t="str">
        <v>Spandex</v>
      </c>
      <c r="G6" s="139" t="str">
        <v>спандекс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8" t="str">
        <v>Cotton</v>
      </c>
      <c r="G7" s="139" t="str">
        <v>хлопок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8" t="str">
        <v>Linen</v>
      </c>
      <c r="G8" s="139" t="str">
        <v>лен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8" t="str">
        <v>Wool</v>
      </c>
      <c r="G9" s="139" t="str">
        <v>шерсть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8" t="str">
        <v>NSSW</v>
      </c>
      <c r="G10" s="139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8" t="str">
        <v>NSBU</v>
      </c>
      <c r="G11" s="139" t="str">
        <v>натуральная кожа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8" t="str">
        <v>STR</v>
      </c>
      <c r="G12" s="139" t="str">
        <v>солома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8" t="str">
        <v>PES</v>
      </c>
      <c r="G13" s="139" t="str">
        <v>полиэстер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8" t="str">
        <v>WV</v>
      </c>
      <c r="G14" s="139" t="str">
        <v>шерсть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8" t="str">
        <v>WO</v>
      </c>
      <c r="G15" s="139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8" t="str">
        <v>SE</v>
      </c>
      <c r="G16" s="139" t="str">
        <v>шелк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8" t="str">
        <v>Pu</v>
      </c>
      <c r="G17" s="139" t="str">
        <v>полиуретан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8" t="str">
        <v>PA</v>
      </c>
      <c r="G18" s="139" t="str">
        <v>полиамид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8" t="str">
        <v>LI</v>
      </c>
      <c r="G19" s="139" t="str">
        <v>лен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8" t="str">
        <v>HA</v>
      </c>
      <c r="G20" s="139" t="str">
        <v>конопля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8" t="str">
        <v>EL</v>
      </c>
      <c r="G21" s="139" t="str">
        <v>эластан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8" t="str">
        <v>CV</v>
      </c>
      <c r="G22" s="139" t="str">
        <v>вискоза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8" t="str">
        <v>CO</v>
      </c>
      <c r="G23" s="139" t="str">
        <v>хлопок</v>
      </c>
    </row>
    <row r="24" spans="2:7" ht="18.75">
      <c r="B24" s="20" t="s">
        <v>904</v>
      </c>
      <c r="C24" s="21" t="s">
        <v>905</v>
      </c>
      <c r="D24" s="21"/>
      <c r="F24" s="138" t="str">
        <v>TOQUILLA PALM</v>
      </c>
      <c r="G24" s="139" t="str">
        <v>солома Токилла</v>
      </c>
    </row>
    <row r="25" spans="2:7" ht="18.75">
      <c r="B25" s="20" t="s">
        <v>906</v>
      </c>
      <c r="C25" s="21" t="s">
        <v>812</v>
      </c>
      <c r="D25" s="21"/>
      <c r="F25" s="138" t="str">
        <v>PAPER</v>
      </c>
      <c r="G25" s="139" t="str">
        <v>бумага</v>
      </c>
    </row>
    <row r="26" spans="2:7" ht="18.75">
      <c r="B26" s="134" t="s">
        <v>397</v>
      </c>
      <c r="C26" s="135" t="s">
        <v>820</v>
      </c>
      <c r="D26" s="135">
        <f t="shared" si="0"/>
        <v>2</v>
      </c>
    </row>
  </sheetData>
  <conditionalFormatting sqref="F1:F1048576">
    <cfRule type="duplicateValues" dxfId="7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F19" sqref="F19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905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6" priority="3">
      <formula>NOT(COUNTBLANK($A1:$AN1)&gt;=40)</formula>
    </cfRule>
  </conditionalFormatting>
  <conditionalFormatting sqref="B2:B101">
    <cfRule type="expression" dxfId="5" priority="2">
      <formula>NOT(COUNTBLANK($A2:$AN2)&gt;=40)</formula>
    </cfRule>
  </conditionalFormatting>
  <conditionalFormatting sqref="D2:D101">
    <cfRule type="expression" dxfId="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topLeftCell="A786" workbookViewId="0">
      <selection activeCell="C815" sqref="C815"/>
    </sheetView>
  </sheetViews>
  <sheetFormatPr defaultColWidth="9.140625" defaultRowHeight="15"/>
  <cols>
    <col min="1" max="1" width="36.140625" style="123" bestFit="1" customWidth="1"/>
    <col min="2" max="2" width="7.28515625" style="124" customWidth="1"/>
    <col min="3" max="3" width="35" style="14" customWidth="1"/>
    <col min="4" max="4" width="14.140625" style="123" customWidth="1"/>
    <col min="5" max="5" width="13.42578125" style="123" customWidth="1"/>
    <col min="6" max="16384" width="9.140625" style="14"/>
  </cols>
  <sheetData>
    <row r="1" spans="1:5" ht="19.5" customHeight="1">
      <c r="A1" s="118" t="s">
        <v>371</v>
      </c>
      <c r="B1" s="119" t="s">
        <v>49</v>
      </c>
      <c r="D1" s="118" t="s">
        <v>48</v>
      </c>
      <c r="E1" s="118" t="s">
        <v>50</v>
      </c>
    </row>
    <row r="2" spans="1:5">
      <c r="A2" s="120" t="s">
        <v>78</v>
      </c>
      <c r="B2" s="121" t="s">
        <v>619</v>
      </c>
      <c r="D2" s="122" t="s">
        <v>52</v>
      </c>
      <c r="E2" s="120" t="s">
        <v>53</v>
      </c>
    </row>
    <row r="3" spans="1:5">
      <c r="A3" s="120" t="s">
        <v>71</v>
      </c>
      <c r="B3" s="121" t="s">
        <v>629</v>
      </c>
      <c r="D3" s="122" t="s">
        <v>54</v>
      </c>
      <c r="E3" s="120" t="s">
        <v>55</v>
      </c>
    </row>
    <row r="4" spans="1:5">
      <c r="A4" s="120" t="s">
        <v>195</v>
      </c>
      <c r="B4" s="121" t="s">
        <v>631</v>
      </c>
      <c r="D4" s="122" t="s">
        <v>56</v>
      </c>
      <c r="E4" s="120" t="s">
        <v>57</v>
      </c>
    </row>
    <row r="5" spans="1:5">
      <c r="A5" s="120" t="s">
        <v>53</v>
      </c>
      <c r="B5" s="121" t="s">
        <v>626</v>
      </c>
      <c r="D5" s="122" t="s">
        <v>59</v>
      </c>
      <c r="E5" s="120" t="s">
        <v>60</v>
      </c>
    </row>
    <row r="6" spans="1:5">
      <c r="A6" s="120" t="s">
        <v>187</v>
      </c>
      <c r="B6" s="121" t="s">
        <v>613</v>
      </c>
      <c r="D6" s="122" t="s">
        <v>62</v>
      </c>
      <c r="E6" s="120" t="s">
        <v>63</v>
      </c>
    </row>
    <row r="7" spans="1:5">
      <c r="A7" s="120" t="s">
        <v>678</v>
      </c>
      <c r="B7" s="121" t="s">
        <v>629</v>
      </c>
      <c r="D7" s="122" t="s">
        <v>64</v>
      </c>
      <c r="E7" s="120" t="s">
        <v>65</v>
      </c>
    </row>
    <row r="8" spans="1:5">
      <c r="A8" s="120" t="s">
        <v>68</v>
      </c>
      <c r="B8" s="121" t="s">
        <v>661</v>
      </c>
      <c r="D8" s="122" t="s">
        <v>67</v>
      </c>
      <c r="E8" s="120" t="s">
        <v>68</v>
      </c>
    </row>
    <row r="9" spans="1:5">
      <c r="A9" s="120" t="s">
        <v>57</v>
      </c>
      <c r="B9" s="121" t="s">
        <v>620</v>
      </c>
      <c r="D9" s="122" t="s">
        <v>70</v>
      </c>
      <c r="E9" s="120" t="s">
        <v>71</v>
      </c>
    </row>
    <row r="10" spans="1:5">
      <c r="A10" s="120" t="s">
        <v>91</v>
      </c>
      <c r="B10" s="121" t="s">
        <v>618</v>
      </c>
      <c r="D10" s="122" t="s">
        <v>73</v>
      </c>
      <c r="E10" s="120" t="s">
        <v>63</v>
      </c>
    </row>
    <row r="11" spans="1:5">
      <c r="A11" s="120" t="s">
        <v>277</v>
      </c>
      <c r="B11" s="121" t="s">
        <v>630</v>
      </c>
      <c r="D11" s="122" t="s">
        <v>75</v>
      </c>
      <c r="E11" s="120" t="s">
        <v>63</v>
      </c>
    </row>
    <row r="12" spans="1:5">
      <c r="A12" s="120" t="s">
        <v>55</v>
      </c>
      <c r="B12" s="121" t="s">
        <v>621</v>
      </c>
      <c r="D12" s="122" t="s">
        <v>77</v>
      </c>
      <c r="E12" s="120" t="s">
        <v>78</v>
      </c>
    </row>
    <row r="13" spans="1:5">
      <c r="A13" s="120" t="s">
        <v>679</v>
      </c>
      <c r="B13" s="121" t="s">
        <v>643</v>
      </c>
      <c r="D13" s="122" t="s">
        <v>80</v>
      </c>
      <c r="E13" s="120" t="s">
        <v>60</v>
      </c>
    </row>
    <row r="14" spans="1:5">
      <c r="A14" s="120" t="s">
        <v>269</v>
      </c>
      <c r="B14" s="121" t="s">
        <v>628</v>
      </c>
      <c r="D14" s="122" t="s">
        <v>82</v>
      </c>
      <c r="E14" s="120" t="s">
        <v>83</v>
      </c>
    </row>
    <row r="15" spans="1:5">
      <c r="A15" s="120" t="s">
        <v>282</v>
      </c>
      <c r="B15" s="121" t="s">
        <v>680</v>
      </c>
      <c r="D15" s="122" t="s">
        <v>85</v>
      </c>
      <c r="E15" s="120" t="s">
        <v>86</v>
      </c>
    </row>
    <row r="16" spans="1:5">
      <c r="A16" s="120" t="s">
        <v>116</v>
      </c>
      <c r="B16" s="121" t="s">
        <v>642</v>
      </c>
      <c r="D16" s="122" t="s">
        <v>88</v>
      </c>
      <c r="E16" s="120" t="s">
        <v>60</v>
      </c>
    </row>
    <row r="17" spans="1:5">
      <c r="A17" s="120" t="s">
        <v>248</v>
      </c>
      <c r="B17" s="121" t="s">
        <v>669</v>
      </c>
      <c r="D17" s="122" t="s">
        <v>90</v>
      </c>
      <c r="E17" s="120" t="s">
        <v>91</v>
      </c>
    </row>
    <row r="18" spans="1:5">
      <c r="A18" s="120" t="s">
        <v>117</v>
      </c>
      <c r="B18" s="121" t="s">
        <v>599</v>
      </c>
      <c r="D18" s="122" t="s">
        <v>93</v>
      </c>
      <c r="E18" s="120" t="s">
        <v>68</v>
      </c>
    </row>
    <row r="19" spans="1:5">
      <c r="A19" s="120" t="s">
        <v>111</v>
      </c>
      <c r="B19" s="121" t="s">
        <v>680</v>
      </c>
      <c r="D19" s="120" t="s">
        <v>634</v>
      </c>
      <c r="E19" s="120" t="s">
        <v>195</v>
      </c>
    </row>
    <row r="20" spans="1:5">
      <c r="A20" s="120" t="s">
        <v>119</v>
      </c>
      <c r="B20" s="121" t="s">
        <v>610</v>
      </c>
      <c r="D20" s="14"/>
      <c r="E20" s="14"/>
    </row>
    <row r="21" spans="1:5">
      <c r="A21" s="120" t="s">
        <v>231</v>
      </c>
      <c r="B21" s="121" t="s">
        <v>664</v>
      </c>
      <c r="D21" s="14"/>
      <c r="E21" s="14"/>
    </row>
    <row r="22" spans="1:5">
      <c r="A22" s="120" t="s">
        <v>121</v>
      </c>
      <c r="B22" s="121" t="s">
        <v>624</v>
      </c>
      <c r="D22" s="14"/>
      <c r="E22" s="14"/>
    </row>
    <row r="23" spans="1:5">
      <c r="A23" s="120" t="s">
        <v>296</v>
      </c>
      <c r="B23" s="121" t="s">
        <v>639</v>
      </c>
      <c r="D23" s="14"/>
      <c r="E23" s="14"/>
    </row>
    <row r="24" spans="1:5">
      <c r="A24" s="120" t="s">
        <v>252</v>
      </c>
      <c r="B24" s="121" t="s">
        <v>670</v>
      </c>
      <c r="D24" s="14"/>
      <c r="E24" s="14"/>
    </row>
    <row r="25" spans="1:5">
      <c r="A25" s="120" t="s">
        <v>681</v>
      </c>
      <c r="B25" s="121" t="s">
        <v>639</v>
      </c>
      <c r="D25" s="14"/>
      <c r="E25" s="14"/>
    </row>
    <row r="26" spans="1:5">
      <c r="A26" s="120" t="s">
        <v>304</v>
      </c>
      <c r="B26" s="121" t="s">
        <v>608</v>
      </c>
      <c r="D26" s="14"/>
      <c r="E26" s="14"/>
    </row>
    <row r="27" spans="1:5">
      <c r="A27" s="120" t="s">
        <v>249</v>
      </c>
      <c r="B27" s="121" t="s">
        <v>629</v>
      </c>
      <c r="D27" s="14"/>
      <c r="E27" s="14"/>
    </row>
    <row r="28" spans="1:5">
      <c r="A28" s="120" t="s">
        <v>179</v>
      </c>
      <c r="B28" s="121" t="s">
        <v>619</v>
      </c>
      <c r="D28" s="14"/>
      <c r="E28" s="14"/>
    </row>
    <row r="29" spans="1:5">
      <c r="A29" s="120" t="s">
        <v>274</v>
      </c>
      <c r="B29" s="121" t="s">
        <v>619</v>
      </c>
      <c r="D29" s="14"/>
      <c r="E29" s="14"/>
    </row>
    <row r="30" spans="1:5">
      <c r="A30" s="120" t="s">
        <v>302</v>
      </c>
      <c r="B30" s="121" t="s">
        <v>598</v>
      </c>
      <c r="D30" s="14"/>
      <c r="E30" s="14"/>
    </row>
    <row r="31" spans="1:5">
      <c r="A31" s="120" t="s">
        <v>180</v>
      </c>
      <c r="B31" s="121" t="s">
        <v>650</v>
      </c>
      <c r="D31" s="14"/>
      <c r="E31" s="14"/>
    </row>
    <row r="32" spans="1:5">
      <c r="A32" s="120" t="s">
        <v>596</v>
      </c>
      <c r="B32" s="121" t="s">
        <v>626</v>
      </c>
      <c r="D32" s="14"/>
      <c r="E32" s="14"/>
    </row>
    <row r="33" spans="1:5">
      <c r="A33" s="120" t="s">
        <v>60</v>
      </c>
      <c r="B33" s="121" t="s">
        <v>625</v>
      </c>
      <c r="D33" s="14"/>
      <c r="E33" s="14"/>
    </row>
    <row r="34" spans="1:5">
      <c r="A34" s="120" t="s">
        <v>241</v>
      </c>
      <c r="B34" s="121" t="s">
        <v>627</v>
      </c>
      <c r="D34" s="14"/>
      <c r="E34" s="14"/>
    </row>
    <row r="35" spans="1:5">
      <c r="A35" s="120" t="s">
        <v>308</v>
      </c>
      <c r="B35" s="121" t="s">
        <v>550</v>
      </c>
      <c r="D35" s="14"/>
      <c r="E35" s="14"/>
    </row>
    <row r="36" spans="1:5">
      <c r="A36" s="120" t="s">
        <v>294</v>
      </c>
      <c r="B36" s="121" t="s">
        <v>626</v>
      </c>
      <c r="D36" s="14"/>
      <c r="E36" s="14"/>
    </row>
    <row r="37" spans="1:5">
      <c r="A37" s="120" t="s">
        <v>306</v>
      </c>
      <c r="B37" s="121" t="s">
        <v>626</v>
      </c>
      <c r="D37" s="14"/>
      <c r="E37" s="14"/>
    </row>
    <row r="38" spans="1:5">
      <c r="A38" s="120" t="s">
        <v>185</v>
      </c>
      <c r="B38" s="121" t="s">
        <v>619</v>
      </c>
      <c r="D38" s="14"/>
      <c r="E38" s="14"/>
    </row>
    <row r="39" spans="1:5">
      <c r="A39" s="120" t="s">
        <v>186</v>
      </c>
      <c r="B39" s="121" t="s">
        <v>598</v>
      </c>
      <c r="D39" s="14"/>
      <c r="E39" s="14"/>
    </row>
    <row r="40" spans="1:5">
      <c r="A40" s="120" t="s">
        <v>135</v>
      </c>
      <c r="B40" s="121" t="s">
        <v>618</v>
      </c>
      <c r="D40" s="14"/>
      <c r="E40" s="14"/>
    </row>
    <row r="41" spans="1:5">
      <c r="A41" s="120" t="s">
        <v>217</v>
      </c>
      <c r="B41" s="121" t="s">
        <v>623</v>
      </c>
      <c r="D41" s="14"/>
      <c r="E41" s="14"/>
    </row>
    <row r="42" spans="1:5">
      <c r="A42" s="120" t="s">
        <v>682</v>
      </c>
      <c r="B42" s="121" t="s">
        <v>638</v>
      </c>
      <c r="D42" s="14"/>
      <c r="E42" s="14"/>
    </row>
    <row r="43" spans="1:5">
      <c r="A43" s="120" t="s">
        <v>300</v>
      </c>
      <c r="B43" s="121" t="s">
        <v>599</v>
      </c>
      <c r="D43" s="14"/>
      <c r="E43" s="14"/>
    </row>
    <row r="44" spans="1:5">
      <c r="A44" s="120" t="s">
        <v>683</v>
      </c>
      <c r="B44" s="121" t="s">
        <v>680</v>
      </c>
      <c r="D44" s="14"/>
      <c r="E44" s="14"/>
    </row>
    <row r="45" spans="1:5">
      <c r="A45" s="120" t="s">
        <v>593</v>
      </c>
      <c r="B45" s="121" t="s">
        <v>676</v>
      </c>
      <c r="D45" s="14"/>
      <c r="E45" s="14"/>
    </row>
    <row r="46" spans="1:5">
      <c r="A46" s="120" t="s">
        <v>230</v>
      </c>
      <c r="B46" s="121" t="s">
        <v>644</v>
      </c>
      <c r="D46" s="14"/>
      <c r="E46" s="14"/>
    </row>
    <row r="47" spans="1:5">
      <c r="A47" s="120" t="s">
        <v>120</v>
      </c>
      <c r="B47" s="121" t="s">
        <v>664</v>
      </c>
      <c r="D47" s="14"/>
      <c r="E47" s="14"/>
    </row>
    <row r="48" spans="1:5">
      <c r="A48" s="120" t="s">
        <v>83</v>
      </c>
      <c r="B48" s="121" t="s">
        <v>627</v>
      </c>
      <c r="D48" s="14"/>
      <c r="E48" s="14"/>
    </row>
    <row r="49" spans="1:5">
      <c r="A49" s="120" t="s">
        <v>246</v>
      </c>
      <c r="B49" s="121" t="s">
        <v>550</v>
      </c>
      <c r="D49" s="14"/>
      <c r="E49" s="14"/>
    </row>
    <row r="50" spans="1:5">
      <c r="A50" s="120" t="s">
        <v>241</v>
      </c>
      <c r="B50" s="121" t="s">
        <v>684</v>
      </c>
      <c r="D50" s="14"/>
      <c r="E50" s="14"/>
    </row>
    <row r="51" spans="1:5">
      <c r="A51" s="120" t="s">
        <v>245</v>
      </c>
      <c r="B51" s="121" t="s">
        <v>615</v>
      </c>
      <c r="D51" s="14"/>
      <c r="E51" s="14"/>
    </row>
    <row r="52" spans="1:5">
      <c r="A52" s="120" t="s">
        <v>160</v>
      </c>
      <c r="B52" s="121" t="s">
        <v>623</v>
      </c>
      <c r="D52" s="14"/>
      <c r="E52" s="14"/>
    </row>
    <row r="53" spans="1:5">
      <c r="A53" s="120" t="s">
        <v>65</v>
      </c>
      <c r="B53" s="121" t="s">
        <v>648</v>
      </c>
      <c r="D53" s="14"/>
      <c r="E53" s="14"/>
    </row>
    <row r="54" spans="1:5">
      <c r="A54" s="120" t="s">
        <v>823</v>
      </c>
      <c r="B54" s="121" t="s">
        <v>648</v>
      </c>
      <c r="D54" s="14"/>
      <c r="E54" s="14"/>
    </row>
    <row r="55" spans="1:5">
      <c r="A55" s="120" t="s">
        <v>685</v>
      </c>
      <c r="B55" s="121" t="s">
        <v>613</v>
      </c>
      <c r="D55" s="14"/>
      <c r="E55" s="14"/>
    </row>
    <row r="56" spans="1:5">
      <c r="A56" s="120" t="s">
        <v>254</v>
      </c>
      <c r="B56" s="121" t="s">
        <v>680</v>
      </c>
      <c r="D56" s="14"/>
      <c r="E56" s="14"/>
    </row>
    <row r="57" spans="1:5">
      <c r="A57" s="120" t="s">
        <v>686</v>
      </c>
      <c r="B57" s="121" t="s">
        <v>687</v>
      </c>
      <c r="D57" s="14"/>
      <c r="E57" s="14"/>
    </row>
    <row r="58" spans="1:5">
      <c r="A58" s="120" t="s">
        <v>688</v>
      </c>
      <c r="B58" s="121" t="s">
        <v>646</v>
      </c>
      <c r="D58" s="14"/>
      <c r="E58" s="14"/>
    </row>
    <row r="59" spans="1:5">
      <c r="A59" s="120" t="s">
        <v>280</v>
      </c>
      <c r="B59" s="121" t="s">
        <v>635</v>
      </c>
      <c r="D59" s="14"/>
      <c r="E59" s="14"/>
    </row>
    <row r="60" spans="1:5">
      <c r="A60" s="120" t="s">
        <v>51</v>
      </c>
      <c r="B60" s="121" t="s">
        <v>689</v>
      </c>
      <c r="D60" s="14"/>
      <c r="E60" s="14"/>
    </row>
    <row r="61" spans="1:5">
      <c r="A61" s="120" t="s">
        <v>97</v>
      </c>
      <c r="B61" s="121" t="s">
        <v>642</v>
      </c>
      <c r="D61" s="14"/>
      <c r="E61" s="14"/>
    </row>
    <row r="62" spans="1:5">
      <c r="A62" s="120" t="s">
        <v>51</v>
      </c>
      <c r="B62" s="121" t="s">
        <v>613</v>
      </c>
      <c r="D62" s="14"/>
      <c r="E62" s="14"/>
    </row>
    <row r="63" spans="1:5">
      <c r="A63" s="120" t="s">
        <v>185</v>
      </c>
      <c r="B63" s="121" t="s">
        <v>598</v>
      </c>
      <c r="D63" s="14"/>
      <c r="E63" s="14"/>
    </row>
    <row r="64" spans="1:5">
      <c r="A64" s="120" t="s">
        <v>111</v>
      </c>
      <c r="B64" s="121" t="s">
        <v>690</v>
      </c>
      <c r="D64" s="14"/>
      <c r="E64" s="14"/>
    </row>
    <row r="65" spans="1:5">
      <c r="A65" s="120" t="s">
        <v>184</v>
      </c>
      <c r="B65" s="121" t="s">
        <v>669</v>
      </c>
      <c r="D65" s="14"/>
      <c r="E65" s="14"/>
    </row>
    <row r="66" spans="1:5">
      <c r="A66" s="120" t="s">
        <v>256</v>
      </c>
      <c r="B66" s="121" t="s">
        <v>680</v>
      </c>
      <c r="D66" s="14"/>
      <c r="E66" s="14"/>
    </row>
    <row r="67" spans="1:5">
      <c r="A67" s="120" t="s">
        <v>202</v>
      </c>
      <c r="B67" s="121" t="s">
        <v>659</v>
      </c>
      <c r="D67" s="14"/>
      <c r="E67" s="14"/>
    </row>
    <row r="68" spans="1:5">
      <c r="A68" s="120" t="s">
        <v>691</v>
      </c>
      <c r="B68" s="121" t="s">
        <v>684</v>
      </c>
      <c r="D68" s="14"/>
      <c r="E68" s="14"/>
    </row>
    <row r="69" spans="1:5">
      <c r="A69" s="120" t="s">
        <v>692</v>
      </c>
      <c r="B69" s="121" t="s">
        <v>613</v>
      </c>
      <c r="D69" s="14"/>
      <c r="E69" s="14"/>
    </row>
    <row r="70" spans="1:5">
      <c r="A70" s="120" t="s">
        <v>299</v>
      </c>
      <c r="B70" s="121" t="s">
        <v>674</v>
      </c>
      <c r="D70" s="14"/>
      <c r="E70" s="14"/>
    </row>
    <row r="71" spans="1:5">
      <c r="A71" s="120" t="s">
        <v>693</v>
      </c>
      <c r="B71" s="121" t="s">
        <v>648</v>
      </c>
      <c r="D71" s="14"/>
      <c r="E71" s="14"/>
    </row>
    <row r="72" spans="1:5">
      <c r="A72" s="120" t="s">
        <v>290</v>
      </c>
      <c r="B72" s="121" t="s">
        <v>605</v>
      </c>
      <c r="D72" s="14"/>
      <c r="E72" s="14"/>
    </row>
    <row r="73" spans="1:5">
      <c r="A73" s="120" t="s">
        <v>308</v>
      </c>
      <c r="B73" s="121" t="s">
        <v>694</v>
      </c>
      <c r="D73" s="14"/>
      <c r="E73" s="14"/>
    </row>
    <row r="74" spans="1:5">
      <c r="A74" s="120" t="s">
        <v>695</v>
      </c>
      <c r="B74" s="121" t="s">
        <v>601</v>
      </c>
      <c r="D74" s="14"/>
      <c r="E74" s="14"/>
    </row>
    <row r="75" spans="1:5">
      <c r="A75" s="120" t="s">
        <v>259</v>
      </c>
      <c r="B75" s="121" t="s">
        <v>597</v>
      </c>
      <c r="D75" s="14"/>
      <c r="E75" s="14"/>
    </row>
    <row r="76" spans="1:5">
      <c r="A76" s="120" t="s">
        <v>695</v>
      </c>
      <c r="B76" s="121" t="s">
        <v>666</v>
      </c>
      <c r="D76" s="14"/>
      <c r="E76" s="14"/>
    </row>
    <row r="77" spans="1:5">
      <c r="A77" s="120" t="s">
        <v>696</v>
      </c>
      <c r="B77" s="121" t="s">
        <v>606</v>
      </c>
      <c r="D77" s="14"/>
      <c r="E77" s="14"/>
    </row>
    <row r="78" spans="1:5">
      <c r="A78" s="120" t="s">
        <v>282</v>
      </c>
      <c r="B78" s="121" t="s">
        <v>672</v>
      </c>
      <c r="D78" s="14"/>
      <c r="E78" s="14"/>
    </row>
    <row r="79" spans="1:5">
      <c r="A79" s="120" t="s">
        <v>296</v>
      </c>
      <c r="B79" s="121" t="s">
        <v>599</v>
      </c>
      <c r="D79" s="14"/>
      <c r="E79" s="14"/>
    </row>
    <row r="80" spans="1:5">
      <c r="A80" s="120" t="s">
        <v>307</v>
      </c>
      <c r="B80" s="121" t="s">
        <v>675</v>
      </c>
      <c r="D80" s="14"/>
      <c r="E80" s="14"/>
    </row>
    <row r="81" spans="1:5">
      <c r="A81" s="120" t="s">
        <v>697</v>
      </c>
      <c r="B81" s="121" t="s">
        <v>698</v>
      </c>
      <c r="D81" s="14"/>
      <c r="E81" s="14"/>
    </row>
    <row r="82" spans="1:5">
      <c r="A82" s="120" t="s">
        <v>63</v>
      </c>
      <c r="B82" s="121" t="s">
        <v>632</v>
      </c>
      <c r="D82" s="14"/>
      <c r="E82" s="14"/>
    </row>
    <row r="83" spans="1:5">
      <c r="A83" s="120" t="s">
        <v>107</v>
      </c>
      <c r="B83" s="121" t="s">
        <v>637</v>
      </c>
      <c r="D83" s="14"/>
      <c r="E83" s="14"/>
    </row>
    <row r="84" spans="1:5">
      <c r="A84" s="120" t="s">
        <v>244</v>
      </c>
      <c r="B84" s="121" t="s">
        <v>662</v>
      </c>
      <c r="D84" s="14"/>
      <c r="E84" s="14"/>
    </row>
    <row r="85" spans="1:5">
      <c r="A85" s="120" t="s">
        <v>60</v>
      </c>
      <c r="B85" s="121" t="s">
        <v>629</v>
      </c>
      <c r="D85" s="14"/>
      <c r="E85" s="14"/>
    </row>
    <row r="86" spans="1:5">
      <c r="A86" s="120" t="s">
        <v>83</v>
      </c>
      <c r="B86" s="121" t="s">
        <v>660</v>
      </c>
      <c r="D86" s="14"/>
      <c r="E86" s="14"/>
    </row>
    <row r="87" spans="1:5">
      <c r="A87" s="120" t="s">
        <v>209</v>
      </c>
      <c r="B87" s="121" t="s">
        <v>660</v>
      </c>
      <c r="D87" s="14"/>
      <c r="E87" s="14"/>
    </row>
    <row r="88" spans="1:5">
      <c r="A88" s="120" t="s">
        <v>86</v>
      </c>
      <c r="B88" s="121" t="s">
        <v>622</v>
      </c>
      <c r="D88" s="14"/>
      <c r="E88" s="14"/>
    </row>
    <row r="89" spans="1:5">
      <c r="A89" s="120" t="s">
        <v>199</v>
      </c>
      <c r="B89" s="121" t="s">
        <v>623</v>
      </c>
      <c r="D89" s="14"/>
      <c r="E89" s="14"/>
    </row>
    <row r="90" spans="1:5">
      <c r="A90" s="120" t="s">
        <v>306</v>
      </c>
      <c r="B90" s="121" t="s">
        <v>633</v>
      </c>
      <c r="D90" s="14"/>
      <c r="E90" s="14"/>
    </row>
    <row r="91" spans="1:5">
      <c r="A91" s="120" t="s">
        <v>293</v>
      </c>
      <c r="B91" s="121" t="s">
        <v>598</v>
      </c>
      <c r="D91" s="14"/>
      <c r="E91" s="14"/>
    </row>
    <row r="92" spans="1:5">
      <c r="A92" s="120" t="s">
        <v>194</v>
      </c>
      <c r="B92" s="121" t="s">
        <v>627</v>
      </c>
      <c r="D92" s="14"/>
      <c r="E92" s="14"/>
    </row>
    <row r="93" spans="1:5">
      <c r="A93" s="120" t="s">
        <v>309</v>
      </c>
      <c r="B93" s="121" t="s">
        <v>597</v>
      </c>
      <c r="D93" s="14"/>
      <c r="E93" s="14"/>
    </row>
    <row r="94" spans="1:5">
      <c r="A94" s="120" t="s">
        <v>299</v>
      </c>
      <c r="B94" s="121" t="s">
        <v>628</v>
      </c>
      <c r="D94" s="14"/>
      <c r="E94" s="14"/>
    </row>
    <row r="95" spans="1:5">
      <c r="A95" s="120" t="s">
        <v>298</v>
      </c>
      <c r="B95" s="121" t="s">
        <v>626</v>
      </c>
      <c r="D95" s="14"/>
      <c r="E95" s="14"/>
    </row>
    <row r="96" spans="1:5">
      <c r="A96" s="120" t="s">
        <v>592</v>
      </c>
      <c r="B96" s="121" t="s">
        <v>626</v>
      </c>
      <c r="D96" s="14"/>
      <c r="E96" s="14"/>
    </row>
    <row r="97" spans="1:5">
      <c r="A97" s="120" t="s">
        <v>699</v>
      </c>
      <c r="B97" s="121" t="s">
        <v>629</v>
      </c>
      <c r="D97" s="14"/>
      <c r="E97" s="14"/>
    </row>
    <row r="98" spans="1:5">
      <c r="A98" s="120" t="s">
        <v>700</v>
      </c>
      <c r="B98" s="121" t="s">
        <v>621</v>
      </c>
      <c r="D98" s="14"/>
      <c r="E98" s="14"/>
    </row>
    <row r="99" spans="1:5">
      <c r="A99" s="120" t="s">
        <v>106</v>
      </c>
      <c r="B99" s="121" t="s">
        <v>620</v>
      </c>
      <c r="D99" s="14"/>
      <c r="E99" s="14"/>
    </row>
    <row r="100" spans="1:5">
      <c r="A100" s="120" t="s">
        <v>595</v>
      </c>
      <c r="B100" s="121" t="s">
        <v>621</v>
      </c>
      <c r="D100" s="14"/>
      <c r="E100" s="14"/>
    </row>
    <row r="101" spans="1:5">
      <c r="A101" s="120" t="s">
        <v>235</v>
      </c>
      <c r="B101" s="121" t="s">
        <v>615</v>
      </c>
      <c r="D101" s="14"/>
      <c r="E101" s="14"/>
    </row>
    <row r="102" spans="1:5">
      <c r="A102" s="120" t="s">
        <v>307</v>
      </c>
      <c r="B102" s="121" t="s">
        <v>662</v>
      </c>
      <c r="D102" s="14"/>
      <c r="E102" s="14"/>
    </row>
    <row r="103" spans="1:5">
      <c r="A103" s="120" t="s">
        <v>306</v>
      </c>
      <c r="B103" s="121" t="s">
        <v>627</v>
      </c>
      <c r="D103" s="14"/>
      <c r="E103" s="14"/>
    </row>
    <row r="104" spans="1:5">
      <c r="A104" s="120" t="s">
        <v>305</v>
      </c>
      <c r="B104" s="121" t="s">
        <v>627</v>
      </c>
      <c r="D104" s="14"/>
      <c r="E104" s="14"/>
    </row>
    <row r="105" spans="1:5">
      <c r="A105" s="120" t="s">
        <v>242</v>
      </c>
      <c r="B105" s="121" t="s">
        <v>652</v>
      </c>
      <c r="D105" s="14"/>
      <c r="E105" s="14"/>
    </row>
    <row r="106" spans="1:5">
      <c r="A106" s="120" t="s">
        <v>53</v>
      </c>
      <c r="B106" s="121" t="s">
        <v>621</v>
      </c>
      <c r="D106" s="14"/>
      <c r="E106" s="14"/>
    </row>
    <row r="107" spans="1:5">
      <c r="A107" s="120" t="s">
        <v>251</v>
      </c>
      <c r="B107" s="121" t="s">
        <v>629</v>
      </c>
      <c r="D107" s="14"/>
      <c r="E107" s="14"/>
    </row>
    <row r="108" spans="1:5">
      <c r="A108" s="120" t="s">
        <v>111</v>
      </c>
      <c r="B108" s="121" t="s">
        <v>620</v>
      </c>
      <c r="D108" s="14"/>
      <c r="E108" s="14"/>
    </row>
    <row r="109" spans="1:5">
      <c r="A109" s="120" t="s">
        <v>203</v>
      </c>
      <c r="B109" s="121" t="s">
        <v>623</v>
      </c>
      <c r="D109" s="14"/>
      <c r="E109" s="14"/>
    </row>
    <row r="110" spans="1:5">
      <c r="A110" s="120" t="s">
        <v>170</v>
      </c>
      <c r="B110" s="121" t="s">
        <v>598</v>
      </c>
      <c r="D110" s="14"/>
      <c r="E110" s="14"/>
    </row>
    <row r="111" spans="1:5">
      <c r="A111" s="120" t="s">
        <v>701</v>
      </c>
      <c r="B111" s="121" t="s">
        <v>631</v>
      </c>
      <c r="D111" s="14"/>
      <c r="E111" s="14"/>
    </row>
    <row r="112" spans="1:5">
      <c r="A112" s="120" t="s">
        <v>195</v>
      </c>
      <c r="B112" s="121" t="s">
        <v>622</v>
      </c>
      <c r="D112" s="14"/>
      <c r="E112" s="14"/>
    </row>
    <row r="113" spans="1:5">
      <c r="A113" s="120" t="s">
        <v>753</v>
      </c>
      <c r="B113" s="121" t="s">
        <v>622</v>
      </c>
      <c r="D113" s="14"/>
      <c r="E113" s="14"/>
    </row>
    <row r="114" spans="1:5">
      <c r="A114" s="120" t="s">
        <v>195</v>
      </c>
      <c r="B114" s="121" t="s">
        <v>627</v>
      </c>
      <c r="D114" s="14"/>
      <c r="E114" s="14"/>
    </row>
    <row r="115" spans="1:5">
      <c r="A115" s="120" t="s">
        <v>594</v>
      </c>
      <c r="B115" s="121" t="s">
        <v>672</v>
      </c>
      <c r="D115" s="14"/>
      <c r="E115" s="14"/>
    </row>
    <row r="116" spans="1:5">
      <c r="A116" s="120" t="s">
        <v>309</v>
      </c>
      <c r="B116" s="121" t="s">
        <v>629</v>
      </c>
      <c r="D116" s="14"/>
      <c r="E116" s="14"/>
    </row>
    <row r="117" spans="1:5">
      <c r="A117" s="120" t="s">
        <v>86</v>
      </c>
      <c r="B117" s="121" t="s">
        <v>630</v>
      </c>
      <c r="D117" s="14"/>
      <c r="E117" s="14"/>
    </row>
    <row r="118" spans="1:5">
      <c r="A118" s="120" t="s">
        <v>269</v>
      </c>
      <c r="B118" s="121" t="s">
        <v>622</v>
      </c>
      <c r="D118" s="14"/>
      <c r="E118" s="14"/>
    </row>
    <row r="119" spans="1:5">
      <c r="A119" s="120" t="s">
        <v>293</v>
      </c>
      <c r="B119" s="121" t="s">
        <v>610</v>
      </c>
      <c r="D119" s="14"/>
      <c r="E119" s="14"/>
    </row>
    <row r="120" spans="1:5">
      <c r="A120" s="120" t="s">
        <v>51</v>
      </c>
      <c r="B120" s="121" t="s">
        <v>627</v>
      </c>
      <c r="D120" s="14"/>
      <c r="E120" s="14"/>
    </row>
    <row r="121" spans="1:5">
      <c r="A121" s="120" t="s">
        <v>253</v>
      </c>
      <c r="B121" s="121" t="s">
        <v>599</v>
      </c>
      <c r="D121" s="14"/>
      <c r="E121" s="14"/>
    </row>
    <row r="122" spans="1:5">
      <c r="A122" s="120" t="s">
        <v>259</v>
      </c>
      <c r="B122" s="121" t="s">
        <v>626</v>
      </c>
      <c r="D122" s="14"/>
      <c r="E122" s="14"/>
    </row>
    <row r="123" spans="1:5">
      <c r="A123" s="120" t="s">
        <v>301</v>
      </c>
      <c r="B123" s="121" t="s">
        <v>657</v>
      </c>
      <c r="D123" s="14"/>
      <c r="E123" s="14"/>
    </row>
    <row r="124" spans="1:5">
      <c r="A124" s="120" t="s">
        <v>702</v>
      </c>
      <c r="B124" s="121" t="s">
        <v>615</v>
      </c>
      <c r="D124" s="14"/>
      <c r="E124" s="14"/>
    </row>
    <row r="125" spans="1:5">
      <c r="A125" s="120" t="s">
        <v>118</v>
      </c>
      <c r="B125" s="121" t="s">
        <v>656</v>
      </c>
      <c r="D125" s="14"/>
      <c r="E125" s="14"/>
    </row>
    <row r="126" spans="1:5">
      <c r="A126" s="120" t="s">
        <v>286</v>
      </c>
      <c r="B126" s="121" t="s">
        <v>612</v>
      </c>
      <c r="D126" s="14"/>
      <c r="E126" s="14"/>
    </row>
    <row r="127" spans="1:5">
      <c r="A127" s="120" t="s">
        <v>306</v>
      </c>
      <c r="B127" s="121" t="s">
        <v>622</v>
      </c>
      <c r="D127" s="14"/>
      <c r="E127" s="14"/>
    </row>
    <row r="128" spans="1:5">
      <c r="A128" s="120" t="s">
        <v>226</v>
      </c>
      <c r="B128" s="121" t="s">
        <v>667</v>
      </c>
      <c r="D128" s="14"/>
      <c r="E128" s="14"/>
    </row>
    <row r="129" spans="1:5">
      <c r="A129" s="120" t="s">
        <v>53</v>
      </c>
      <c r="B129" s="121" t="s">
        <v>630</v>
      </c>
      <c r="D129" s="14"/>
      <c r="E129" s="14"/>
    </row>
    <row r="130" spans="1:5">
      <c r="A130" s="120" t="s">
        <v>250</v>
      </c>
      <c r="B130" s="121" t="s">
        <v>684</v>
      </c>
      <c r="D130" s="14"/>
      <c r="E130" s="14"/>
    </row>
    <row r="131" spans="1:5">
      <c r="A131" s="120" t="s">
        <v>703</v>
      </c>
      <c r="B131" s="121" t="s">
        <v>665</v>
      </c>
      <c r="D131" s="14"/>
      <c r="E131" s="14"/>
    </row>
    <row r="132" spans="1:5">
      <c r="A132" s="120" t="s">
        <v>205</v>
      </c>
      <c r="B132" s="121" t="s">
        <v>632</v>
      </c>
      <c r="D132" s="14"/>
      <c r="E132" s="14"/>
    </row>
    <row r="133" spans="1:5">
      <c r="A133" s="120" t="s">
        <v>101</v>
      </c>
      <c r="B133" s="121" t="s">
        <v>608</v>
      </c>
      <c r="D133" s="14"/>
      <c r="E133" s="14"/>
    </row>
    <row r="134" spans="1:5">
      <c r="A134" s="120" t="s">
        <v>704</v>
      </c>
      <c r="B134" s="121" t="s">
        <v>626</v>
      </c>
      <c r="D134" s="14"/>
      <c r="E134" s="14"/>
    </row>
    <row r="135" spans="1:5">
      <c r="A135" s="120" t="s">
        <v>246</v>
      </c>
      <c r="B135" s="121" t="s">
        <v>626</v>
      </c>
      <c r="D135" s="14"/>
      <c r="E135" s="14"/>
    </row>
    <row r="136" spans="1:5">
      <c r="A136" s="120" t="s">
        <v>133</v>
      </c>
      <c r="B136" s="121" t="s">
        <v>618</v>
      </c>
      <c r="D136" s="14"/>
      <c r="E136" s="14"/>
    </row>
    <row r="137" spans="1:5">
      <c r="A137" s="120" t="s">
        <v>705</v>
      </c>
      <c r="B137" s="121" t="s">
        <v>661</v>
      </c>
      <c r="D137" s="14"/>
      <c r="E137" s="14"/>
    </row>
    <row r="138" spans="1:5">
      <c r="A138" s="120" t="s">
        <v>109</v>
      </c>
      <c r="B138" s="121" t="s">
        <v>625</v>
      </c>
      <c r="D138" s="14"/>
      <c r="E138" s="14"/>
    </row>
    <row r="139" spans="1:5">
      <c r="A139" s="120" t="s">
        <v>83</v>
      </c>
      <c r="B139" s="121" t="s">
        <v>622</v>
      </c>
      <c r="D139" s="14"/>
      <c r="E139" s="14"/>
    </row>
    <row r="140" spans="1:5">
      <c r="A140" s="120" t="s">
        <v>141</v>
      </c>
      <c r="B140" s="121" t="s">
        <v>626</v>
      </c>
      <c r="D140" s="14"/>
      <c r="E140" s="14"/>
    </row>
    <row r="141" spans="1:5">
      <c r="A141" s="120" t="s">
        <v>183</v>
      </c>
      <c r="B141" s="121" t="s">
        <v>633</v>
      </c>
      <c r="D141" s="14"/>
      <c r="E141" s="14"/>
    </row>
    <row r="142" spans="1:5">
      <c r="A142" s="120" t="s">
        <v>185</v>
      </c>
      <c r="B142" s="121" t="s">
        <v>633</v>
      </c>
      <c r="D142" s="14"/>
      <c r="E142" s="14"/>
    </row>
    <row r="143" spans="1:5">
      <c r="A143" s="120" t="s">
        <v>57</v>
      </c>
      <c r="B143" s="121" t="s">
        <v>621</v>
      </c>
      <c r="D143" s="14"/>
      <c r="E143" s="14"/>
    </row>
    <row r="144" spans="1:5">
      <c r="A144" s="120" t="s">
        <v>86</v>
      </c>
      <c r="B144" s="121" t="s">
        <v>623</v>
      </c>
      <c r="D144" s="14"/>
      <c r="E144" s="14"/>
    </row>
    <row r="145" spans="1:5">
      <c r="A145" s="120" t="s">
        <v>296</v>
      </c>
      <c r="B145" s="121" t="s">
        <v>626</v>
      </c>
      <c r="D145" s="14"/>
      <c r="E145" s="14"/>
    </row>
    <row r="146" spans="1:5">
      <c r="A146" s="120" t="s">
        <v>706</v>
      </c>
      <c r="B146" s="121" t="s">
        <v>623</v>
      </c>
      <c r="D146" s="14"/>
      <c r="E146" s="14"/>
    </row>
    <row r="147" spans="1:5">
      <c r="A147" s="120" t="s">
        <v>133</v>
      </c>
      <c r="B147" s="121" t="s">
        <v>597</v>
      </c>
      <c r="D147" s="14"/>
      <c r="E147" s="14"/>
    </row>
    <row r="148" spans="1:5">
      <c r="A148" s="120" t="s">
        <v>175</v>
      </c>
      <c r="B148" s="121" t="s">
        <v>622</v>
      </c>
      <c r="D148" s="14"/>
      <c r="E148" s="14"/>
    </row>
    <row r="149" spans="1:5">
      <c r="A149" s="120" t="s">
        <v>158</v>
      </c>
      <c r="B149" s="121" t="s">
        <v>633</v>
      </c>
      <c r="D149" s="14"/>
      <c r="E149" s="14"/>
    </row>
    <row r="150" spans="1:5">
      <c r="A150" s="120" t="s">
        <v>86</v>
      </c>
      <c r="B150" s="121" t="s">
        <v>667</v>
      </c>
      <c r="D150" s="14"/>
      <c r="E150" s="14"/>
    </row>
    <row r="151" spans="1:5">
      <c r="A151" s="120" t="s">
        <v>68</v>
      </c>
      <c r="B151" s="121" t="s">
        <v>623</v>
      </c>
      <c r="D151" s="14"/>
      <c r="E151" s="14"/>
    </row>
    <row r="152" spans="1:5">
      <c r="A152" s="120" t="s">
        <v>187</v>
      </c>
      <c r="B152" s="121" t="s">
        <v>620</v>
      </c>
      <c r="D152" s="14"/>
      <c r="E152" s="14"/>
    </row>
    <row r="153" spans="1:5">
      <c r="A153" s="120" t="s">
        <v>191</v>
      </c>
      <c r="B153" s="121" t="s">
        <v>612</v>
      </c>
      <c r="D153" s="14"/>
      <c r="E153" s="14"/>
    </row>
    <row r="154" spans="1:5">
      <c r="A154" s="120" t="s">
        <v>144</v>
      </c>
      <c r="B154" s="121" t="s">
        <v>649</v>
      </c>
      <c r="D154" s="14"/>
      <c r="E154" s="14"/>
    </row>
    <row r="155" spans="1:5">
      <c r="A155" s="120" t="s">
        <v>71</v>
      </c>
      <c r="B155" s="121" t="s">
        <v>621</v>
      </c>
      <c r="D155" s="14"/>
      <c r="E155" s="14"/>
    </row>
    <row r="156" spans="1:5">
      <c r="A156" s="120" t="s">
        <v>180</v>
      </c>
      <c r="B156" s="121" t="s">
        <v>622</v>
      </c>
      <c r="D156" s="14"/>
      <c r="E156" s="14"/>
    </row>
    <row r="157" spans="1:5">
      <c r="A157" s="120" t="s">
        <v>241</v>
      </c>
      <c r="B157" s="121" t="s">
        <v>619</v>
      </c>
      <c r="D157" s="14"/>
      <c r="E157" s="14"/>
    </row>
    <row r="158" spans="1:5">
      <c r="A158" s="120" t="s">
        <v>194</v>
      </c>
      <c r="B158" s="121" t="s">
        <v>620</v>
      </c>
      <c r="D158" s="14"/>
      <c r="E158" s="14"/>
    </row>
    <row r="159" spans="1:5">
      <c r="A159" s="120" t="s">
        <v>707</v>
      </c>
      <c r="B159" s="121" t="s">
        <v>627</v>
      </c>
      <c r="D159" s="14"/>
      <c r="E159" s="14"/>
    </row>
    <row r="160" spans="1:5">
      <c r="A160" s="120" t="s">
        <v>236</v>
      </c>
      <c r="B160" s="121" t="s">
        <v>633</v>
      </c>
      <c r="D160" s="14"/>
      <c r="E160" s="14"/>
    </row>
    <row r="161" spans="1:5">
      <c r="A161" s="120" t="s">
        <v>277</v>
      </c>
      <c r="B161" s="121" t="s">
        <v>610</v>
      </c>
      <c r="D161" s="14"/>
      <c r="E161" s="14"/>
    </row>
    <row r="162" spans="1:5">
      <c r="A162" s="120" t="s">
        <v>119</v>
      </c>
      <c r="B162" s="121" t="s">
        <v>626</v>
      </c>
      <c r="D162" s="14"/>
      <c r="E162" s="14"/>
    </row>
    <row r="163" spans="1:5">
      <c r="A163" s="120" t="s">
        <v>271</v>
      </c>
      <c r="B163" s="121" t="s">
        <v>672</v>
      </c>
      <c r="D163" s="14"/>
      <c r="E163" s="14"/>
    </row>
    <row r="164" spans="1:5">
      <c r="A164" s="120" t="s">
        <v>699</v>
      </c>
      <c r="B164" s="121" t="s">
        <v>621</v>
      </c>
      <c r="D164" s="14"/>
      <c r="E164" s="14"/>
    </row>
    <row r="165" spans="1:5">
      <c r="A165" s="120" t="s">
        <v>219</v>
      </c>
      <c r="B165" s="121" t="s">
        <v>631</v>
      </c>
      <c r="D165" s="14"/>
      <c r="E165" s="14"/>
    </row>
    <row r="166" spans="1:5">
      <c r="A166" s="120" t="s">
        <v>186</v>
      </c>
      <c r="B166" s="121" t="s">
        <v>619</v>
      </c>
      <c r="D166" s="14"/>
      <c r="E166" s="14"/>
    </row>
    <row r="167" spans="1:5">
      <c r="A167" s="120" t="s">
        <v>120</v>
      </c>
      <c r="B167" s="121" t="s">
        <v>616</v>
      </c>
      <c r="D167" s="14"/>
      <c r="E167" s="14"/>
    </row>
    <row r="168" spans="1:5">
      <c r="A168" s="120" t="s">
        <v>143</v>
      </c>
      <c r="B168" s="121" t="s">
        <v>633</v>
      </c>
      <c r="D168" s="14"/>
      <c r="E168" s="14"/>
    </row>
    <row r="169" spans="1:5">
      <c r="A169" s="120" t="s">
        <v>157</v>
      </c>
      <c r="B169" s="121" t="s">
        <v>633</v>
      </c>
      <c r="D169" s="14"/>
      <c r="E169" s="14"/>
    </row>
    <row r="170" spans="1:5">
      <c r="A170" s="120" t="s">
        <v>168</v>
      </c>
      <c r="B170" s="121" t="s">
        <v>653</v>
      </c>
      <c r="D170" s="14"/>
      <c r="E170" s="14"/>
    </row>
    <row r="171" spans="1:5">
      <c r="A171" s="120" t="s">
        <v>152</v>
      </c>
      <c r="B171" s="121" t="s">
        <v>653</v>
      </c>
      <c r="D171" s="14"/>
      <c r="E171" s="14"/>
    </row>
    <row r="172" spans="1:5">
      <c r="A172" s="120" t="s">
        <v>139</v>
      </c>
      <c r="B172" s="121" t="s">
        <v>646</v>
      </c>
      <c r="D172" s="14"/>
      <c r="E172" s="14"/>
    </row>
    <row r="173" spans="1:5">
      <c r="A173" s="120" t="s">
        <v>708</v>
      </c>
      <c r="B173" s="121" t="s">
        <v>620</v>
      </c>
      <c r="D173" s="14"/>
      <c r="E173" s="14"/>
    </row>
    <row r="174" spans="1:5">
      <c r="A174" s="120" t="s">
        <v>278</v>
      </c>
      <c r="B174" s="121" t="s">
        <v>615</v>
      </c>
      <c r="D174" s="14"/>
      <c r="E174" s="14"/>
    </row>
    <row r="175" spans="1:5">
      <c r="A175" s="120" t="s">
        <v>279</v>
      </c>
      <c r="B175" s="121" t="s">
        <v>635</v>
      </c>
      <c r="D175" s="14"/>
      <c r="E175" s="14"/>
    </row>
    <row r="176" spans="1:5">
      <c r="A176" s="120" t="s">
        <v>169</v>
      </c>
      <c r="B176" s="121" t="s">
        <v>633</v>
      </c>
      <c r="D176" s="14"/>
      <c r="E176" s="14"/>
    </row>
    <row r="177" spans="1:5">
      <c r="A177" s="120" t="s">
        <v>167</v>
      </c>
      <c r="B177" s="121" t="s">
        <v>622</v>
      </c>
      <c r="D177" s="14"/>
      <c r="E177" s="14"/>
    </row>
    <row r="178" spans="1:5">
      <c r="A178" s="120" t="s">
        <v>122</v>
      </c>
      <c r="B178" s="121" t="s">
        <v>607</v>
      </c>
      <c r="D178" s="14"/>
      <c r="E178" s="14"/>
    </row>
    <row r="179" spans="1:5">
      <c r="A179" s="120" t="s">
        <v>164</v>
      </c>
      <c r="B179" s="121" t="s">
        <v>622</v>
      </c>
      <c r="D179" s="14"/>
      <c r="E179" s="14"/>
    </row>
    <row r="180" spans="1:5">
      <c r="A180" s="120" t="s">
        <v>293</v>
      </c>
      <c r="B180" s="121" t="s">
        <v>626</v>
      </c>
      <c r="D180" s="14"/>
      <c r="E180" s="14"/>
    </row>
    <row r="181" spans="1:5">
      <c r="A181" s="120" t="s">
        <v>228</v>
      </c>
      <c r="B181" s="121" t="s">
        <v>709</v>
      </c>
      <c r="D181" s="14"/>
      <c r="E181" s="14"/>
    </row>
    <row r="182" spans="1:5">
      <c r="A182" s="120" t="s">
        <v>220</v>
      </c>
      <c r="B182" s="121" t="s">
        <v>664</v>
      </c>
      <c r="D182" s="14"/>
      <c r="E182" s="14"/>
    </row>
    <row r="183" spans="1:5">
      <c r="A183" s="120" t="s">
        <v>83</v>
      </c>
      <c r="B183" s="121" t="s">
        <v>620</v>
      </c>
      <c r="D183" s="14"/>
      <c r="E183" s="14"/>
    </row>
    <row r="184" spans="1:5">
      <c r="A184" s="120" t="s">
        <v>109</v>
      </c>
      <c r="B184" s="121" t="s">
        <v>638</v>
      </c>
      <c r="D184" s="14"/>
      <c r="E184" s="14"/>
    </row>
    <row r="185" spans="1:5">
      <c r="A185" s="120" t="s">
        <v>296</v>
      </c>
      <c r="B185" s="121" t="s">
        <v>631</v>
      </c>
      <c r="D185" s="14"/>
      <c r="E185" s="14"/>
    </row>
    <row r="186" spans="1:5">
      <c r="A186" s="120" t="s">
        <v>158</v>
      </c>
      <c r="B186" s="121" t="s">
        <v>631</v>
      </c>
      <c r="D186" s="14"/>
      <c r="E186" s="14"/>
    </row>
    <row r="187" spans="1:5">
      <c r="A187" s="120" t="s">
        <v>192</v>
      </c>
      <c r="B187" s="121" t="s">
        <v>644</v>
      </c>
      <c r="D187" s="14"/>
      <c r="E187" s="14"/>
    </row>
    <row r="188" spans="1:5">
      <c r="A188" s="120" t="s">
        <v>824</v>
      </c>
      <c r="B188" s="121" t="s">
        <v>644</v>
      </c>
      <c r="D188" s="14"/>
      <c r="E188" s="14"/>
    </row>
    <row r="189" spans="1:5">
      <c r="A189" s="120" t="s">
        <v>156</v>
      </c>
      <c r="B189" s="121" t="s">
        <v>648</v>
      </c>
      <c r="D189" s="14"/>
      <c r="E189" s="14"/>
    </row>
    <row r="190" spans="1:5">
      <c r="A190" s="120" t="s">
        <v>79</v>
      </c>
      <c r="B190" s="121" t="s">
        <v>636</v>
      </c>
      <c r="D190" s="14"/>
      <c r="E190" s="14"/>
    </row>
    <row r="191" spans="1:5">
      <c r="A191" s="120" t="s">
        <v>71</v>
      </c>
      <c r="B191" s="121" t="s">
        <v>618</v>
      </c>
      <c r="D191" s="14"/>
      <c r="E191" s="14"/>
    </row>
    <row r="192" spans="1:5">
      <c r="A192" s="120" t="s">
        <v>245</v>
      </c>
      <c r="B192" s="121" t="s">
        <v>709</v>
      </c>
      <c r="D192" s="14"/>
      <c r="E192" s="14"/>
    </row>
    <row r="193" spans="1:5">
      <c r="A193" s="120" t="s">
        <v>71</v>
      </c>
      <c r="B193" s="121" t="s">
        <v>620</v>
      </c>
      <c r="D193" s="14"/>
      <c r="E193" s="14"/>
    </row>
    <row r="194" spans="1:5">
      <c r="A194" s="120" t="s">
        <v>55</v>
      </c>
      <c r="B194" s="121" t="s">
        <v>629</v>
      </c>
      <c r="D194" s="14"/>
      <c r="E194" s="14"/>
    </row>
    <row r="195" spans="1:5">
      <c r="A195" s="120" t="s">
        <v>313</v>
      </c>
      <c r="B195" s="121" t="s">
        <v>618</v>
      </c>
      <c r="D195" s="14"/>
      <c r="E195" s="14"/>
    </row>
    <row r="196" spans="1:5">
      <c r="A196" s="120" t="s">
        <v>300</v>
      </c>
      <c r="B196" s="121" t="s">
        <v>648</v>
      </c>
      <c r="D196" s="14"/>
      <c r="E196" s="14"/>
    </row>
    <row r="197" spans="1:5">
      <c r="A197" s="120" t="s">
        <v>60</v>
      </c>
      <c r="B197" s="121" t="s">
        <v>618</v>
      </c>
      <c r="D197" s="14"/>
      <c r="E197" s="14"/>
    </row>
    <row r="198" spans="1:5">
      <c r="A198" s="120" t="s">
        <v>216</v>
      </c>
      <c r="B198" s="121" t="s">
        <v>663</v>
      </c>
      <c r="D198" s="14"/>
      <c r="E198" s="14"/>
    </row>
    <row r="199" spans="1:5">
      <c r="A199" s="120" t="s">
        <v>63</v>
      </c>
      <c r="B199" s="121" t="s">
        <v>622</v>
      </c>
      <c r="D199" s="14"/>
      <c r="E199" s="14"/>
    </row>
    <row r="200" spans="1:5">
      <c r="A200" s="120" t="s">
        <v>261</v>
      </c>
      <c r="B200" s="121" t="s">
        <v>614</v>
      </c>
      <c r="D200" s="14"/>
      <c r="E200" s="14"/>
    </row>
    <row r="201" spans="1:5">
      <c r="A201" s="120" t="s">
        <v>87</v>
      </c>
      <c r="B201" s="121" t="s">
        <v>607</v>
      </c>
      <c r="D201" s="14"/>
      <c r="E201" s="14"/>
    </row>
    <row r="202" spans="1:5">
      <c r="A202" s="120" t="s">
        <v>110</v>
      </c>
      <c r="B202" s="121" t="s">
        <v>648</v>
      </c>
      <c r="D202" s="14"/>
      <c r="E202" s="14"/>
    </row>
    <row r="203" spans="1:5">
      <c r="A203" s="120" t="s">
        <v>250</v>
      </c>
      <c r="B203" s="121" t="s">
        <v>629</v>
      </c>
      <c r="D203" s="14"/>
      <c r="E203" s="14"/>
    </row>
    <row r="204" spans="1:5">
      <c r="A204" s="120" t="s">
        <v>149</v>
      </c>
      <c r="B204" s="121" t="s">
        <v>625</v>
      </c>
      <c r="D204" s="14"/>
      <c r="E204" s="14"/>
    </row>
    <row r="205" spans="1:5">
      <c r="A205" s="120" t="s">
        <v>252</v>
      </c>
      <c r="B205" s="121" t="s">
        <v>629</v>
      </c>
      <c r="D205" s="14"/>
      <c r="E205" s="14"/>
    </row>
    <row r="206" spans="1:5">
      <c r="A206" s="120" t="s">
        <v>142</v>
      </c>
      <c r="B206" s="121" t="s">
        <v>648</v>
      </c>
      <c r="D206" s="14"/>
      <c r="E206" s="14"/>
    </row>
    <row r="207" spans="1:5">
      <c r="A207" s="120" t="s">
        <v>81</v>
      </c>
      <c r="B207" s="121" t="s">
        <v>636</v>
      </c>
      <c r="D207" s="14"/>
      <c r="E207" s="14"/>
    </row>
    <row r="208" spans="1:5">
      <c r="A208" s="120" t="s">
        <v>141</v>
      </c>
      <c r="B208" s="121" t="s">
        <v>599</v>
      </c>
      <c r="D208" s="14"/>
      <c r="E208" s="14"/>
    </row>
    <row r="209" spans="1:5">
      <c r="A209" s="120" t="s">
        <v>238</v>
      </c>
      <c r="B209" s="121" t="s">
        <v>646</v>
      </c>
      <c r="D209" s="14"/>
      <c r="E209" s="14"/>
    </row>
    <row r="210" spans="1:5">
      <c r="A210" s="120" t="s">
        <v>84</v>
      </c>
      <c r="B210" s="121" t="s">
        <v>607</v>
      </c>
      <c r="D210" s="14"/>
      <c r="E210" s="14"/>
    </row>
    <row r="211" spans="1:5">
      <c r="A211" s="120" t="s">
        <v>171</v>
      </c>
      <c r="B211" s="121" t="s">
        <v>636</v>
      </c>
      <c r="D211" s="14"/>
      <c r="E211" s="14"/>
    </row>
    <row r="212" spans="1:5">
      <c r="A212" s="120" t="s">
        <v>311</v>
      </c>
      <c r="B212" s="121" t="s">
        <v>618</v>
      </c>
      <c r="D212" s="14"/>
      <c r="E212" s="14"/>
    </row>
    <row r="213" spans="1:5">
      <c r="A213" s="120" t="s">
        <v>182</v>
      </c>
      <c r="B213" s="121" t="s">
        <v>655</v>
      </c>
      <c r="D213" s="14"/>
      <c r="E213" s="14"/>
    </row>
    <row r="214" spans="1:5">
      <c r="A214" s="120" t="s">
        <v>271</v>
      </c>
      <c r="B214" s="121" t="s">
        <v>667</v>
      </c>
      <c r="D214" s="14"/>
      <c r="E214" s="14"/>
    </row>
    <row r="215" spans="1:5">
      <c r="A215" s="120" t="s">
        <v>60</v>
      </c>
      <c r="B215" s="121" t="s">
        <v>628</v>
      </c>
      <c r="D215" s="14"/>
      <c r="E215" s="14"/>
    </row>
    <row r="216" spans="1:5">
      <c r="A216" s="120" t="s">
        <v>290</v>
      </c>
      <c r="B216" s="121" t="s">
        <v>633</v>
      </c>
      <c r="D216" s="14"/>
      <c r="E216" s="14"/>
    </row>
    <row r="217" spans="1:5">
      <c r="A217" s="120" t="s">
        <v>221</v>
      </c>
      <c r="B217" s="121" t="s">
        <v>665</v>
      </c>
      <c r="D217" s="14"/>
      <c r="E217" s="14"/>
    </row>
    <row r="218" spans="1:5">
      <c r="A218" s="120" t="s">
        <v>299</v>
      </c>
      <c r="B218" s="121" t="s">
        <v>626</v>
      </c>
      <c r="D218" s="14"/>
      <c r="E218" s="14"/>
    </row>
    <row r="219" spans="1:5">
      <c r="A219" s="120" t="s">
        <v>205</v>
      </c>
      <c r="B219" s="121" t="s">
        <v>671</v>
      </c>
      <c r="D219" s="14"/>
      <c r="E219" s="14"/>
    </row>
    <row r="220" spans="1:5">
      <c r="A220" s="120" t="s">
        <v>86</v>
      </c>
      <c r="B220" s="121" t="s">
        <v>631</v>
      </c>
      <c r="D220" s="14"/>
      <c r="E220" s="14"/>
    </row>
    <row r="221" spans="1:5">
      <c r="A221" s="120" t="s">
        <v>247</v>
      </c>
      <c r="B221" s="121" t="s">
        <v>669</v>
      </c>
      <c r="D221" s="14"/>
      <c r="E221" s="14"/>
    </row>
    <row r="222" spans="1:5">
      <c r="A222" s="120" t="s">
        <v>174</v>
      </c>
      <c r="B222" s="121" t="s">
        <v>601</v>
      </c>
      <c r="D222" s="14"/>
      <c r="E222" s="14"/>
    </row>
    <row r="223" spans="1:5">
      <c r="A223" s="120" t="s">
        <v>71</v>
      </c>
      <c r="B223" s="121" t="s">
        <v>597</v>
      </c>
      <c r="D223" s="14"/>
      <c r="E223" s="14"/>
    </row>
    <row r="224" spans="1:5">
      <c r="A224" s="120" t="s">
        <v>256</v>
      </c>
      <c r="B224" s="121" t="s">
        <v>607</v>
      </c>
      <c r="D224" s="14"/>
      <c r="E224" s="14"/>
    </row>
    <row r="225" spans="1:5">
      <c r="A225" s="120" t="s">
        <v>313</v>
      </c>
      <c r="B225" s="121" t="s">
        <v>633</v>
      </c>
      <c r="D225" s="14"/>
      <c r="E225" s="14"/>
    </row>
    <row r="226" spans="1:5">
      <c r="A226" s="120" t="s">
        <v>183</v>
      </c>
      <c r="B226" s="121" t="s">
        <v>619</v>
      </c>
      <c r="D226" s="14"/>
      <c r="E226" s="14"/>
    </row>
    <row r="227" spans="1:5">
      <c r="A227" s="120" t="s">
        <v>253</v>
      </c>
      <c r="B227" s="121" t="s">
        <v>629</v>
      </c>
      <c r="D227" s="14"/>
      <c r="E227" s="14"/>
    </row>
    <row r="228" spans="1:5">
      <c r="A228" s="120" t="s">
        <v>710</v>
      </c>
      <c r="B228" s="121" t="s">
        <v>624</v>
      </c>
      <c r="D228" s="14"/>
      <c r="E228" s="14"/>
    </row>
    <row r="229" spans="1:5">
      <c r="A229" s="120" t="s">
        <v>711</v>
      </c>
      <c r="B229" s="121" t="s">
        <v>620</v>
      </c>
      <c r="D229" s="14"/>
      <c r="E229" s="14"/>
    </row>
    <row r="230" spans="1:5">
      <c r="A230" s="120" t="s">
        <v>111</v>
      </c>
      <c r="B230" s="121" t="s">
        <v>633</v>
      </c>
      <c r="D230" s="14"/>
      <c r="E230" s="14"/>
    </row>
    <row r="231" spans="1:5">
      <c r="A231" s="120" t="s">
        <v>108</v>
      </c>
      <c r="B231" s="121" t="s">
        <v>633</v>
      </c>
      <c r="D231" s="14"/>
      <c r="E231" s="14"/>
    </row>
    <row r="232" spans="1:5">
      <c r="A232" s="120" t="s">
        <v>166</v>
      </c>
      <c r="B232" s="121" t="s">
        <v>645</v>
      </c>
      <c r="D232" s="14"/>
      <c r="E232" s="14"/>
    </row>
    <row r="233" spans="1:5">
      <c r="A233" s="120" t="s">
        <v>712</v>
      </c>
      <c r="B233" s="121" t="s">
        <v>621</v>
      </c>
      <c r="D233" s="14"/>
      <c r="E233" s="14"/>
    </row>
    <row r="234" spans="1:5">
      <c r="A234" s="120" t="s">
        <v>713</v>
      </c>
      <c r="B234" s="121" t="s">
        <v>619</v>
      </c>
      <c r="D234" s="14"/>
      <c r="E234" s="14"/>
    </row>
    <row r="235" spans="1:5">
      <c r="A235" s="120" t="s">
        <v>256</v>
      </c>
      <c r="B235" s="121" t="s">
        <v>633</v>
      </c>
      <c r="D235" s="14"/>
      <c r="E235" s="14"/>
    </row>
    <row r="236" spans="1:5">
      <c r="A236" s="120" t="s">
        <v>286</v>
      </c>
      <c r="B236" s="121" t="s">
        <v>623</v>
      </c>
      <c r="D236" s="14"/>
      <c r="E236" s="14"/>
    </row>
    <row r="237" spans="1:5">
      <c r="A237" s="120" t="s">
        <v>714</v>
      </c>
      <c r="B237" s="121" t="s">
        <v>622</v>
      </c>
      <c r="D237" s="14"/>
      <c r="E237" s="14"/>
    </row>
    <row r="238" spans="1:5">
      <c r="A238" s="120" t="s">
        <v>715</v>
      </c>
      <c r="B238" s="121" t="s">
        <v>631</v>
      </c>
      <c r="D238" s="14"/>
      <c r="E238" s="14"/>
    </row>
    <row r="239" spans="1:5">
      <c r="A239" s="120" t="s">
        <v>241</v>
      </c>
      <c r="B239" s="121" t="s">
        <v>620</v>
      </c>
      <c r="D239" s="14"/>
      <c r="E239" s="14"/>
    </row>
    <row r="240" spans="1:5">
      <c r="A240" s="120" t="s">
        <v>704</v>
      </c>
      <c r="B240" s="121" t="s">
        <v>648</v>
      </c>
      <c r="D240" s="14"/>
      <c r="E240" s="14"/>
    </row>
    <row r="241" spans="1:5">
      <c r="A241" s="120" t="s">
        <v>165</v>
      </c>
      <c r="B241" s="121" t="s">
        <v>622</v>
      </c>
      <c r="D241" s="14"/>
      <c r="E241" s="14"/>
    </row>
    <row r="242" spans="1:5">
      <c r="A242" s="120" t="s">
        <v>96</v>
      </c>
      <c r="B242" s="121" t="s">
        <v>607</v>
      </c>
      <c r="D242" s="14"/>
      <c r="E242" s="14"/>
    </row>
    <row r="243" spans="1:5">
      <c r="A243" s="120" t="s">
        <v>302</v>
      </c>
      <c r="B243" s="121" t="s">
        <v>619</v>
      </c>
      <c r="D243" s="14"/>
      <c r="E243" s="14"/>
    </row>
    <row r="244" spans="1:5">
      <c r="A244" s="120" t="s">
        <v>308</v>
      </c>
      <c r="B244" s="121" t="s">
        <v>620</v>
      </c>
      <c r="D244" s="14"/>
      <c r="E244" s="14"/>
    </row>
    <row r="245" spans="1:5">
      <c r="A245" s="120" t="s">
        <v>716</v>
      </c>
      <c r="B245" s="121" t="s">
        <v>623</v>
      </c>
      <c r="D245" s="14"/>
      <c r="E245" s="14"/>
    </row>
    <row r="246" spans="1:5">
      <c r="A246" s="120" t="s">
        <v>175</v>
      </c>
      <c r="B246" s="121" t="s">
        <v>656</v>
      </c>
      <c r="D246" s="14"/>
      <c r="E246" s="14"/>
    </row>
    <row r="247" spans="1:5">
      <c r="A247" s="120" t="s">
        <v>160</v>
      </c>
      <c r="B247" s="121" t="s">
        <v>622</v>
      </c>
      <c r="D247" s="14"/>
      <c r="E247" s="14"/>
    </row>
    <row r="248" spans="1:5">
      <c r="A248" s="120" t="s">
        <v>717</v>
      </c>
      <c r="B248" s="121" t="s">
        <v>676</v>
      </c>
      <c r="D248" s="14"/>
      <c r="E248" s="14"/>
    </row>
    <row r="249" spans="1:5">
      <c r="A249" s="120" t="s">
        <v>101</v>
      </c>
      <c r="B249" s="121" t="s">
        <v>632</v>
      </c>
      <c r="D249" s="14"/>
      <c r="E249" s="14"/>
    </row>
    <row r="250" spans="1:5">
      <c r="A250" s="120" t="s">
        <v>53</v>
      </c>
      <c r="B250" s="121" t="s">
        <v>609</v>
      </c>
      <c r="D250" s="14"/>
      <c r="E250" s="14"/>
    </row>
    <row r="251" spans="1:5">
      <c r="A251" s="120" t="s">
        <v>261</v>
      </c>
      <c r="B251" s="121" t="s">
        <v>612</v>
      </c>
      <c r="D251" s="14"/>
      <c r="E251" s="14"/>
    </row>
    <row r="252" spans="1:5">
      <c r="A252" s="120" t="s">
        <v>718</v>
      </c>
      <c r="B252" s="121" t="s">
        <v>709</v>
      </c>
      <c r="D252" s="14"/>
      <c r="E252" s="14"/>
    </row>
    <row r="253" spans="1:5">
      <c r="A253" s="120" t="s">
        <v>142</v>
      </c>
      <c r="B253" s="121" t="s">
        <v>647</v>
      </c>
      <c r="D253" s="14"/>
      <c r="E253" s="14"/>
    </row>
    <row r="254" spans="1:5">
      <c r="A254" s="120" t="s">
        <v>194</v>
      </c>
      <c r="B254" s="121" t="s">
        <v>611</v>
      </c>
      <c r="D254" s="14"/>
      <c r="E254" s="14"/>
    </row>
    <row r="255" spans="1:5">
      <c r="A255" s="120" t="s">
        <v>233</v>
      </c>
      <c r="B255" s="121" t="s">
        <v>618</v>
      </c>
      <c r="D255" s="14"/>
      <c r="E255" s="14"/>
    </row>
    <row r="256" spans="1:5">
      <c r="A256" s="120" t="s">
        <v>276</v>
      </c>
      <c r="B256" s="121" t="s">
        <v>661</v>
      </c>
      <c r="D256" s="14"/>
      <c r="E256" s="14"/>
    </row>
    <row r="257" spans="1:5">
      <c r="A257" s="120" t="s">
        <v>719</v>
      </c>
      <c r="B257" s="121" t="s">
        <v>694</v>
      </c>
      <c r="D257" s="14"/>
      <c r="E257" s="14"/>
    </row>
    <row r="258" spans="1:5">
      <c r="A258" s="120" t="s">
        <v>720</v>
      </c>
      <c r="B258" s="121" t="s">
        <v>607</v>
      </c>
      <c r="D258" s="14"/>
      <c r="E258" s="14"/>
    </row>
    <row r="259" spans="1:5">
      <c r="A259" s="120" t="s">
        <v>721</v>
      </c>
      <c r="B259" s="121" t="s">
        <v>672</v>
      </c>
      <c r="D259" s="14"/>
      <c r="E259" s="14"/>
    </row>
    <row r="260" spans="1:5">
      <c r="A260" s="120" t="s">
        <v>722</v>
      </c>
      <c r="B260" s="121" t="s">
        <v>667</v>
      </c>
      <c r="D260" s="14"/>
      <c r="E260" s="14"/>
    </row>
    <row r="261" spans="1:5">
      <c r="A261" s="120" t="s">
        <v>204</v>
      </c>
      <c r="B261" s="121" t="s">
        <v>690</v>
      </c>
      <c r="D261" s="14"/>
      <c r="E261" s="14"/>
    </row>
    <row r="262" spans="1:5">
      <c r="A262" s="120" t="s">
        <v>204</v>
      </c>
      <c r="B262" s="121" t="s">
        <v>633</v>
      </c>
      <c r="D262" s="14"/>
      <c r="E262" s="14"/>
    </row>
    <row r="263" spans="1:5">
      <c r="A263" s="120" t="s">
        <v>226</v>
      </c>
      <c r="B263" s="121" t="s">
        <v>665</v>
      </c>
      <c r="D263" s="14"/>
      <c r="E263" s="14"/>
    </row>
    <row r="264" spans="1:5">
      <c r="A264" s="120" t="s">
        <v>723</v>
      </c>
      <c r="B264" s="121" t="s">
        <v>641</v>
      </c>
      <c r="D264" s="14"/>
      <c r="E264" s="14"/>
    </row>
    <row r="265" spans="1:5">
      <c r="A265" s="120" t="s">
        <v>724</v>
      </c>
      <c r="B265" s="121" t="s">
        <v>636</v>
      </c>
      <c r="D265" s="14"/>
      <c r="E265" s="14"/>
    </row>
    <row r="266" spans="1:5">
      <c r="A266" s="120" t="s">
        <v>266</v>
      </c>
      <c r="B266" s="121" t="s">
        <v>644</v>
      </c>
      <c r="D266" s="14"/>
      <c r="E266" s="14"/>
    </row>
    <row r="267" spans="1:5">
      <c r="A267" s="120" t="s">
        <v>725</v>
      </c>
      <c r="B267" s="121" t="s">
        <v>671</v>
      </c>
      <c r="D267" s="14"/>
      <c r="E267" s="14"/>
    </row>
    <row r="268" spans="1:5">
      <c r="A268" s="120" t="s">
        <v>313</v>
      </c>
      <c r="B268" s="121" t="s">
        <v>645</v>
      </c>
      <c r="D268" s="14"/>
      <c r="E268" s="14"/>
    </row>
    <row r="269" spans="1:5">
      <c r="A269" s="120" t="s">
        <v>204</v>
      </c>
      <c r="B269" s="121" t="s">
        <v>661</v>
      </c>
      <c r="D269" s="14"/>
      <c r="E269" s="14"/>
    </row>
    <row r="270" spans="1:5">
      <c r="A270" s="120" t="s">
        <v>81</v>
      </c>
      <c r="B270" s="121" t="s">
        <v>632</v>
      </c>
      <c r="D270" s="14"/>
      <c r="E270" s="14"/>
    </row>
    <row r="271" spans="1:5">
      <c r="A271" s="120" t="s">
        <v>726</v>
      </c>
      <c r="B271" s="121" t="s">
        <v>625</v>
      </c>
      <c r="D271" s="14"/>
      <c r="E271" s="14"/>
    </row>
    <row r="272" spans="1:5">
      <c r="A272" s="120" t="s">
        <v>308</v>
      </c>
      <c r="B272" s="121" t="s">
        <v>626</v>
      </c>
      <c r="D272" s="14"/>
      <c r="E272" s="14"/>
    </row>
    <row r="273" spans="1:5">
      <c r="A273" s="120" t="s">
        <v>194</v>
      </c>
      <c r="B273" s="121" t="s">
        <v>606</v>
      </c>
      <c r="D273" s="14"/>
      <c r="E273" s="14"/>
    </row>
    <row r="274" spans="1:5">
      <c r="A274" s="120" t="s">
        <v>233</v>
      </c>
      <c r="B274" s="121" t="s">
        <v>617</v>
      </c>
      <c r="D274" s="14"/>
      <c r="E274" s="14"/>
    </row>
    <row r="275" spans="1:5">
      <c r="A275" s="120" t="s">
        <v>276</v>
      </c>
      <c r="B275" s="121" t="s">
        <v>690</v>
      </c>
      <c r="D275" s="14"/>
      <c r="E275" s="14"/>
    </row>
    <row r="276" spans="1:5">
      <c r="A276" s="120" t="s">
        <v>727</v>
      </c>
      <c r="B276" s="121" t="s">
        <v>619</v>
      </c>
      <c r="D276" s="14"/>
      <c r="E276" s="14"/>
    </row>
    <row r="277" spans="1:5">
      <c r="A277" s="120" t="s">
        <v>728</v>
      </c>
      <c r="B277" s="121" t="s">
        <v>661</v>
      </c>
      <c r="D277" s="14"/>
      <c r="E277" s="14"/>
    </row>
    <row r="278" spans="1:5">
      <c r="A278" s="120" t="s">
        <v>593</v>
      </c>
      <c r="B278" s="121" t="s">
        <v>621</v>
      </c>
      <c r="D278" s="14"/>
      <c r="E278" s="14"/>
    </row>
    <row r="279" spans="1:5">
      <c r="A279" s="120" t="s">
        <v>302</v>
      </c>
      <c r="B279" s="121" t="s">
        <v>626</v>
      </c>
      <c r="D279" s="14"/>
      <c r="E279" s="14"/>
    </row>
    <row r="280" spans="1:5">
      <c r="A280" s="120" t="s">
        <v>161</v>
      </c>
      <c r="B280" s="121" t="s">
        <v>729</v>
      </c>
      <c r="D280" s="14"/>
      <c r="E280" s="14"/>
    </row>
    <row r="281" spans="1:5">
      <c r="A281" s="120" t="s">
        <v>205</v>
      </c>
      <c r="B281" s="121" t="s">
        <v>709</v>
      </c>
      <c r="D281" s="14"/>
      <c r="E281" s="14"/>
    </row>
    <row r="282" spans="1:5">
      <c r="A282" s="120" t="s">
        <v>68</v>
      </c>
      <c r="B282" s="121" t="s">
        <v>632</v>
      </c>
      <c r="D282" s="14"/>
      <c r="E282" s="14"/>
    </row>
    <row r="283" spans="1:5">
      <c r="A283" s="120" t="s">
        <v>256</v>
      </c>
      <c r="B283" s="121" t="s">
        <v>598</v>
      </c>
      <c r="D283" s="14"/>
      <c r="E283" s="14"/>
    </row>
    <row r="284" spans="1:5">
      <c r="A284" s="120" t="s">
        <v>261</v>
      </c>
      <c r="B284" s="121" t="s">
        <v>644</v>
      </c>
      <c r="D284" s="14"/>
      <c r="E284" s="14"/>
    </row>
    <row r="285" spans="1:5">
      <c r="A285" s="120" t="s">
        <v>275</v>
      </c>
      <c r="B285" s="121" t="s">
        <v>658</v>
      </c>
      <c r="D285" s="14"/>
      <c r="E285" s="14"/>
    </row>
    <row r="286" spans="1:5">
      <c r="A286" s="120" t="s">
        <v>136</v>
      </c>
      <c r="B286" s="121" t="s">
        <v>635</v>
      </c>
      <c r="D286" s="14"/>
      <c r="E286" s="14"/>
    </row>
    <row r="287" spans="1:5">
      <c r="A287" s="120" t="s">
        <v>176</v>
      </c>
      <c r="B287" s="121" t="s">
        <v>656</v>
      </c>
      <c r="D287" s="14"/>
      <c r="E287" s="14"/>
    </row>
    <row r="288" spans="1:5">
      <c r="A288" s="120" t="s">
        <v>284</v>
      </c>
      <c r="B288" s="121" t="s">
        <v>644</v>
      </c>
      <c r="D288" s="14"/>
      <c r="E288" s="14"/>
    </row>
    <row r="289" spans="1:5">
      <c r="A289" s="120" t="s">
        <v>730</v>
      </c>
      <c r="B289" s="121" t="s">
        <v>607</v>
      </c>
      <c r="D289" s="14"/>
      <c r="E289" s="14"/>
    </row>
    <row r="290" spans="1:5">
      <c r="A290" s="120" t="s">
        <v>731</v>
      </c>
      <c r="B290" s="121" t="s">
        <v>698</v>
      </c>
      <c r="D290" s="14"/>
      <c r="E290" s="14"/>
    </row>
    <row r="291" spans="1:5">
      <c r="A291" s="120" t="s">
        <v>732</v>
      </c>
      <c r="B291" s="121" t="s">
        <v>664</v>
      </c>
      <c r="D291" s="14"/>
      <c r="E291" s="14"/>
    </row>
    <row r="292" spans="1:5">
      <c r="A292" s="120" t="s">
        <v>236</v>
      </c>
      <c r="B292" s="121" t="s">
        <v>606</v>
      </c>
      <c r="D292" s="14"/>
      <c r="E292" s="14"/>
    </row>
    <row r="293" spans="1:5">
      <c r="A293" s="120" t="s">
        <v>74</v>
      </c>
      <c r="B293" s="121" t="s">
        <v>635</v>
      </c>
      <c r="D293" s="14"/>
      <c r="E293" s="14"/>
    </row>
    <row r="294" spans="1:5">
      <c r="A294" s="120" t="s">
        <v>96</v>
      </c>
      <c r="B294" s="121" t="s">
        <v>606</v>
      </c>
      <c r="D294" s="14"/>
      <c r="E294" s="14"/>
    </row>
    <row r="295" spans="1:5">
      <c r="A295" s="120" t="s">
        <v>98</v>
      </c>
      <c r="B295" s="121" t="s">
        <v>673</v>
      </c>
      <c r="D295" s="14"/>
      <c r="E295" s="14"/>
    </row>
    <row r="296" spans="1:5">
      <c r="A296" s="120" t="s">
        <v>681</v>
      </c>
      <c r="B296" s="121" t="s">
        <v>618</v>
      </c>
      <c r="D296" s="14"/>
      <c r="E296" s="14"/>
    </row>
    <row r="297" spans="1:5">
      <c r="A297" s="120" t="s">
        <v>186</v>
      </c>
      <c r="B297" s="121" t="s">
        <v>733</v>
      </c>
      <c r="D297" s="14"/>
      <c r="E297" s="14"/>
    </row>
    <row r="298" spans="1:5">
      <c r="A298" s="120" t="s">
        <v>190</v>
      </c>
      <c r="B298" s="121" t="s">
        <v>661</v>
      </c>
      <c r="D298" s="14"/>
      <c r="E298" s="14"/>
    </row>
    <row r="299" spans="1:5">
      <c r="A299" s="120" t="s">
        <v>734</v>
      </c>
      <c r="B299" s="121" t="s">
        <v>709</v>
      </c>
      <c r="D299" s="14"/>
      <c r="E299" s="14"/>
    </row>
    <row r="300" spans="1:5">
      <c r="A300" s="120" t="s">
        <v>279</v>
      </c>
      <c r="B300" s="121" t="s">
        <v>659</v>
      </c>
      <c r="D300" s="14"/>
      <c r="E300" s="14"/>
    </row>
    <row r="301" spans="1:5">
      <c r="A301" s="120" t="s">
        <v>229</v>
      </c>
      <c r="B301" s="121" t="s">
        <v>729</v>
      </c>
      <c r="D301" s="14"/>
      <c r="E301" s="14"/>
    </row>
    <row r="302" spans="1:5">
      <c r="A302" s="120" t="s">
        <v>83</v>
      </c>
      <c r="B302" s="121" t="s">
        <v>630</v>
      </c>
      <c r="D302" s="14"/>
      <c r="E302" s="14"/>
    </row>
    <row r="303" spans="1:5">
      <c r="A303" s="120" t="s">
        <v>277</v>
      </c>
      <c r="B303" s="121" t="s">
        <v>627</v>
      </c>
      <c r="D303" s="14"/>
      <c r="E303" s="14"/>
    </row>
    <row r="304" spans="1:5">
      <c r="A304" s="120" t="s">
        <v>735</v>
      </c>
      <c r="B304" s="121" t="s">
        <v>729</v>
      </c>
      <c r="D304" s="14"/>
      <c r="E304" s="14"/>
    </row>
    <row r="305" spans="1:5">
      <c r="A305" s="120" t="s">
        <v>95</v>
      </c>
      <c r="B305" s="121" t="s">
        <v>661</v>
      </c>
      <c r="D305" s="14"/>
      <c r="E305" s="14"/>
    </row>
    <row r="306" spans="1:5">
      <c r="A306" s="120" t="s">
        <v>697</v>
      </c>
      <c r="B306" s="121" t="s">
        <v>709</v>
      </c>
      <c r="D306" s="14"/>
      <c r="E306" s="14"/>
    </row>
    <row r="307" spans="1:5">
      <c r="A307" s="120" t="s">
        <v>206</v>
      </c>
      <c r="B307" s="121" t="s">
        <v>636</v>
      </c>
      <c r="D307" s="14"/>
      <c r="E307" s="14"/>
    </row>
    <row r="308" spans="1:5">
      <c r="A308" s="120" t="s">
        <v>207</v>
      </c>
      <c r="B308" s="121" t="s">
        <v>736</v>
      </c>
      <c r="D308" s="14"/>
      <c r="E308" s="14"/>
    </row>
    <row r="309" spans="1:5">
      <c r="A309" s="120" t="s">
        <v>211</v>
      </c>
      <c r="B309" s="121" t="s">
        <v>607</v>
      </c>
      <c r="D309" s="14"/>
      <c r="E309" s="14"/>
    </row>
    <row r="310" spans="1:5">
      <c r="A310" s="120" t="s">
        <v>257</v>
      </c>
      <c r="B310" s="121" t="s">
        <v>737</v>
      </c>
      <c r="D310" s="14"/>
      <c r="E310" s="14"/>
    </row>
    <row r="311" spans="1:5">
      <c r="A311" s="120" t="s">
        <v>262</v>
      </c>
      <c r="B311" s="121" t="s">
        <v>738</v>
      </c>
      <c r="D311" s="14"/>
      <c r="E311" s="14"/>
    </row>
    <row r="312" spans="1:5">
      <c r="A312" s="120" t="s">
        <v>263</v>
      </c>
      <c r="B312" s="121" t="s">
        <v>687</v>
      </c>
      <c r="D312" s="14"/>
      <c r="E312" s="14"/>
    </row>
    <row r="313" spans="1:5">
      <c r="A313" s="120" t="s">
        <v>264</v>
      </c>
      <c r="B313" s="121" t="s">
        <v>662</v>
      </c>
      <c r="D313" s="14"/>
      <c r="E313" s="14"/>
    </row>
    <row r="314" spans="1:5">
      <c r="A314" s="120" t="s">
        <v>303</v>
      </c>
      <c r="B314" s="121" t="s">
        <v>663</v>
      </c>
    </row>
    <row r="315" spans="1:5">
      <c r="A315" s="120" t="s">
        <v>310</v>
      </c>
      <c r="B315" s="121" t="s">
        <v>660</v>
      </c>
    </row>
    <row r="316" spans="1:5">
      <c r="A316" s="120" t="s">
        <v>114</v>
      </c>
      <c r="B316" s="121" t="s">
        <v>602</v>
      </c>
    </row>
    <row r="317" spans="1:5">
      <c r="A317" s="120" t="s">
        <v>224</v>
      </c>
      <c r="B317" s="121" t="s">
        <v>631</v>
      </c>
    </row>
    <row r="318" spans="1:5">
      <c r="A318" s="120" t="s">
        <v>53</v>
      </c>
      <c r="B318" s="121" t="s">
        <v>608</v>
      </c>
    </row>
    <row r="319" spans="1:5">
      <c r="A319" s="120" t="s">
        <v>221</v>
      </c>
      <c r="B319" s="121" t="s">
        <v>647</v>
      </c>
    </row>
    <row r="320" spans="1:5">
      <c r="A320" s="120" t="s">
        <v>269</v>
      </c>
      <c r="B320" s="121" t="s">
        <v>629</v>
      </c>
    </row>
    <row r="321" spans="1:2">
      <c r="A321" s="120" t="s">
        <v>170</v>
      </c>
      <c r="B321" s="121" t="s">
        <v>645</v>
      </c>
    </row>
    <row r="322" spans="1:2">
      <c r="A322" s="120">
        <v>0</v>
      </c>
      <c r="B322" s="121" t="s">
        <v>647</v>
      </c>
    </row>
    <row r="323" spans="1:2">
      <c r="A323" s="120">
        <v>0</v>
      </c>
      <c r="B323" s="121" t="s">
        <v>629</v>
      </c>
    </row>
    <row r="324" spans="1:2">
      <c r="A324" s="120">
        <v>0</v>
      </c>
      <c r="B324" s="121" t="s">
        <v>709</v>
      </c>
    </row>
    <row r="325" spans="1:2">
      <c r="A325" s="120">
        <v>0</v>
      </c>
      <c r="B325" s="121" t="s">
        <v>631</v>
      </c>
    </row>
    <row r="326" spans="1:2">
      <c r="A326" s="120">
        <v>0</v>
      </c>
      <c r="B326" s="121" t="s">
        <v>628</v>
      </c>
    </row>
    <row r="327" spans="1:2">
      <c r="A327" s="120">
        <v>0</v>
      </c>
      <c r="B327" s="121" t="s">
        <v>632</v>
      </c>
    </row>
    <row r="328" spans="1:2">
      <c r="A328" s="120">
        <v>0</v>
      </c>
      <c r="B328" s="121" t="s">
        <v>664</v>
      </c>
    </row>
    <row r="329" spans="1:2">
      <c r="A329" s="120">
        <v>0</v>
      </c>
      <c r="B329" s="121" t="s">
        <v>630</v>
      </c>
    </row>
    <row r="330" spans="1:2">
      <c r="A330" s="120">
        <v>0</v>
      </c>
      <c r="B330" s="121" t="s">
        <v>633</v>
      </c>
    </row>
    <row r="331" spans="1:2">
      <c r="A331" s="120" t="s">
        <v>126</v>
      </c>
      <c r="B331" s="121" t="s">
        <v>622</v>
      </c>
    </row>
    <row r="332" spans="1:2">
      <c r="A332" s="120" t="s">
        <v>234</v>
      </c>
      <c r="B332" s="121" t="s">
        <v>622</v>
      </c>
    </row>
    <row r="333" spans="1:2">
      <c r="A333" s="120" t="s">
        <v>127</v>
      </c>
      <c r="B333" s="121" t="s">
        <v>622</v>
      </c>
    </row>
    <row r="334" spans="1:2">
      <c r="A334" s="120" t="s">
        <v>86</v>
      </c>
      <c r="B334" s="121" t="s">
        <v>626</v>
      </c>
    </row>
    <row r="335" spans="1:2">
      <c r="A335" s="120" t="s">
        <v>217</v>
      </c>
      <c r="B335" s="121" t="s">
        <v>622</v>
      </c>
    </row>
    <row r="336" spans="1:2">
      <c r="A336" s="120" t="s">
        <v>739</v>
      </c>
      <c r="B336" s="121" t="s">
        <v>671</v>
      </c>
    </row>
    <row r="337" spans="1:2">
      <c r="A337" s="120" t="s">
        <v>277</v>
      </c>
      <c r="B337" s="121" t="s">
        <v>625</v>
      </c>
    </row>
    <row r="338" spans="1:2">
      <c r="A338" s="120" t="s">
        <v>174</v>
      </c>
      <c r="B338" s="121" t="s">
        <v>622</v>
      </c>
    </row>
    <row r="339" spans="1:2">
      <c r="A339" s="120" t="s">
        <v>240</v>
      </c>
      <c r="B339" s="121" t="s">
        <v>627</v>
      </c>
    </row>
    <row r="340" spans="1:2">
      <c r="A340" s="120" t="s">
        <v>301</v>
      </c>
      <c r="B340" s="121" t="s">
        <v>626</v>
      </c>
    </row>
    <row r="341" spans="1:2">
      <c r="A341" s="120" t="s">
        <v>226</v>
      </c>
      <c r="B341" s="121" t="s">
        <v>613</v>
      </c>
    </row>
    <row r="342" spans="1:2">
      <c r="A342" s="120" t="s">
        <v>231</v>
      </c>
      <c r="B342" s="121" t="s">
        <v>613</v>
      </c>
    </row>
    <row r="343" spans="1:2">
      <c r="A343" s="120" t="s">
        <v>248</v>
      </c>
      <c r="B343" s="121" t="s">
        <v>637</v>
      </c>
    </row>
    <row r="344" spans="1:2">
      <c r="A344" s="120" t="s">
        <v>277</v>
      </c>
      <c r="B344" s="121" t="s">
        <v>664</v>
      </c>
    </row>
    <row r="345" spans="1:2">
      <c r="A345" s="120" t="s">
        <v>250</v>
      </c>
      <c r="B345" s="121" t="s">
        <v>633</v>
      </c>
    </row>
    <row r="346" spans="1:2">
      <c r="A346" s="120" t="s">
        <v>155</v>
      </c>
      <c r="B346" s="121" t="s">
        <v>633</v>
      </c>
    </row>
    <row r="347" spans="1:2">
      <c r="A347" s="120" t="s">
        <v>187</v>
      </c>
      <c r="B347" s="121" t="s">
        <v>632</v>
      </c>
    </row>
    <row r="348" spans="1:2">
      <c r="A348" s="120" t="s">
        <v>269</v>
      </c>
      <c r="B348" s="121" t="s">
        <v>626</v>
      </c>
    </row>
    <row r="349" spans="1:2">
      <c r="A349" s="120" t="s">
        <v>192</v>
      </c>
      <c r="B349" s="121" t="s">
        <v>658</v>
      </c>
    </row>
    <row r="350" spans="1:2">
      <c r="A350" s="120" t="s">
        <v>119</v>
      </c>
      <c r="B350" s="121" t="s">
        <v>608</v>
      </c>
    </row>
    <row r="351" spans="1:2">
      <c r="A351" s="120" t="s">
        <v>591</v>
      </c>
      <c r="B351" s="121" t="s">
        <v>610</v>
      </c>
    </row>
    <row r="352" spans="1:2">
      <c r="A352" s="120" t="s">
        <v>53</v>
      </c>
      <c r="B352" s="121" t="s">
        <v>709</v>
      </c>
    </row>
    <row r="353" spans="1:2">
      <c r="A353" s="120" t="s">
        <v>104</v>
      </c>
      <c r="B353" s="121" t="s">
        <v>633</v>
      </c>
    </row>
    <row r="354" spans="1:2">
      <c r="A354" s="120" t="s">
        <v>86</v>
      </c>
      <c r="B354" s="121" t="s">
        <v>632</v>
      </c>
    </row>
    <row r="355" spans="1:2">
      <c r="A355" s="120" t="s">
        <v>112</v>
      </c>
      <c r="B355" s="121" t="s">
        <v>631</v>
      </c>
    </row>
    <row r="356" spans="1:2">
      <c r="A356" s="120" t="s">
        <v>130</v>
      </c>
      <c r="B356" s="121" t="s">
        <v>618</v>
      </c>
    </row>
    <row r="357" spans="1:2">
      <c r="A357" s="120" t="s">
        <v>116</v>
      </c>
      <c r="B357" s="121" t="s">
        <v>615</v>
      </c>
    </row>
    <row r="358" spans="1:2">
      <c r="A358" s="120" t="s">
        <v>71</v>
      </c>
      <c r="B358" s="121" t="s">
        <v>627</v>
      </c>
    </row>
    <row r="359" spans="1:2">
      <c r="A359" s="120" t="s">
        <v>199</v>
      </c>
      <c r="B359" s="121" t="s">
        <v>672</v>
      </c>
    </row>
    <row r="360" spans="1:2">
      <c r="A360" s="120" t="s">
        <v>177</v>
      </c>
      <c r="B360" s="121" t="s">
        <v>657</v>
      </c>
    </row>
    <row r="361" spans="1:2">
      <c r="A361" s="120" t="s">
        <v>191</v>
      </c>
      <c r="B361" s="121" t="s">
        <v>680</v>
      </c>
    </row>
    <row r="362" spans="1:2">
      <c r="A362" s="120" t="s">
        <v>63</v>
      </c>
      <c r="B362" s="121" t="s">
        <v>648</v>
      </c>
    </row>
    <row r="363" spans="1:2">
      <c r="A363" s="120" t="s">
        <v>286</v>
      </c>
      <c r="B363" s="121" t="s">
        <v>624</v>
      </c>
    </row>
    <row r="364" spans="1:2">
      <c r="A364" s="120" t="s">
        <v>116</v>
      </c>
      <c r="B364" s="121" t="s">
        <v>637</v>
      </c>
    </row>
    <row r="365" spans="1:2">
      <c r="A365" s="120" t="s">
        <v>164</v>
      </c>
      <c r="B365" s="121" t="s">
        <v>636</v>
      </c>
    </row>
    <row r="366" spans="1:2">
      <c r="A366" s="120" t="s">
        <v>175</v>
      </c>
      <c r="B366" s="121" t="s">
        <v>736</v>
      </c>
    </row>
    <row r="367" spans="1:2">
      <c r="A367" s="120" t="s">
        <v>226</v>
      </c>
      <c r="B367" s="121" t="s">
        <v>643</v>
      </c>
    </row>
    <row r="368" spans="1:2">
      <c r="A368" s="120" t="s">
        <v>241</v>
      </c>
      <c r="B368" s="121" t="s">
        <v>607</v>
      </c>
    </row>
    <row r="369" spans="1:2">
      <c r="A369" s="120" t="s">
        <v>246</v>
      </c>
      <c r="B369" s="121" t="s">
        <v>611</v>
      </c>
    </row>
    <row r="370" spans="1:2">
      <c r="A370" s="120" t="s">
        <v>195</v>
      </c>
      <c r="B370" s="121" t="s">
        <v>625</v>
      </c>
    </row>
    <row r="371" spans="1:2">
      <c r="A371" s="120" t="s">
        <v>241</v>
      </c>
      <c r="B371" s="121" t="s">
        <v>633</v>
      </c>
    </row>
    <row r="372" spans="1:2">
      <c r="A372" s="120" t="s">
        <v>164</v>
      </c>
      <c r="B372" s="121" t="s">
        <v>677</v>
      </c>
    </row>
    <row r="373" spans="1:2">
      <c r="A373" s="120" t="s">
        <v>172</v>
      </c>
      <c r="B373" s="121" t="s">
        <v>636</v>
      </c>
    </row>
    <row r="374" spans="1:2">
      <c r="A374" s="120" t="s">
        <v>241</v>
      </c>
      <c r="B374" s="121" t="s">
        <v>658</v>
      </c>
    </row>
    <row r="375" spans="1:2">
      <c r="A375" s="120" t="s">
        <v>259</v>
      </c>
      <c r="B375" s="121" t="s">
        <v>638</v>
      </c>
    </row>
    <row r="376" spans="1:2">
      <c r="A376" s="120" t="s">
        <v>155</v>
      </c>
      <c r="B376" s="121" t="s">
        <v>689</v>
      </c>
    </row>
    <row r="377" spans="1:2">
      <c r="A377" s="120" t="s">
        <v>161</v>
      </c>
      <c r="B377" s="121" t="s">
        <v>623</v>
      </c>
    </row>
    <row r="378" spans="1:2">
      <c r="A378" s="120" t="s">
        <v>251</v>
      </c>
      <c r="B378" s="121" t="s">
        <v>633</v>
      </c>
    </row>
    <row r="379" spans="1:2">
      <c r="A379" s="120" t="s">
        <v>159</v>
      </c>
      <c r="B379" s="121" t="s">
        <v>622</v>
      </c>
    </row>
    <row r="380" spans="1:2">
      <c r="A380" s="120" t="s">
        <v>162</v>
      </c>
      <c r="B380" s="121" t="s">
        <v>661</v>
      </c>
    </row>
    <row r="381" spans="1:2">
      <c r="A381" s="120" t="s">
        <v>83</v>
      </c>
      <c r="B381" s="121" t="s">
        <v>629</v>
      </c>
    </row>
    <row r="382" spans="1:2">
      <c r="A382" s="120" t="s">
        <v>134</v>
      </c>
      <c r="B382" s="121" t="s">
        <v>645</v>
      </c>
    </row>
    <row r="383" spans="1:2">
      <c r="A383" s="120" t="s">
        <v>270</v>
      </c>
      <c r="B383" s="121" t="s">
        <v>671</v>
      </c>
    </row>
    <row r="384" spans="1:2">
      <c r="A384" s="120" t="s">
        <v>148</v>
      </c>
      <c r="B384" s="121" t="s">
        <v>652</v>
      </c>
    </row>
    <row r="385" spans="1:2">
      <c r="A385" s="120" t="s">
        <v>61</v>
      </c>
      <c r="B385" s="121" t="s">
        <v>635</v>
      </c>
    </row>
    <row r="386" spans="1:2">
      <c r="A386" s="120" t="s">
        <v>121</v>
      </c>
      <c r="B386" s="121" t="s">
        <v>619</v>
      </c>
    </row>
    <row r="387" spans="1:2">
      <c r="A387" s="120" t="s">
        <v>128</v>
      </c>
      <c r="B387" s="121" t="s">
        <v>644</v>
      </c>
    </row>
    <row r="388" spans="1:2">
      <c r="A388" s="120" t="s">
        <v>191</v>
      </c>
      <c r="B388" s="121" t="s">
        <v>658</v>
      </c>
    </row>
    <row r="389" spans="1:2">
      <c r="A389" s="120" t="s">
        <v>86</v>
      </c>
      <c r="B389" s="121" t="s">
        <v>618</v>
      </c>
    </row>
    <row r="390" spans="1:2">
      <c r="A390" s="120" t="s">
        <v>273</v>
      </c>
      <c r="B390" s="121" t="s">
        <v>645</v>
      </c>
    </row>
    <row r="391" spans="1:2">
      <c r="A391" s="120" t="s">
        <v>208</v>
      </c>
      <c r="B391" s="121" t="s">
        <v>624</v>
      </c>
    </row>
    <row r="392" spans="1:2">
      <c r="A392" s="120" t="s">
        <v>223</v>
      </c>
      <c r="B392" s="121" t="s">
        <v>665</v>
      </c>
    </row>
    <row r="393" spans="1:2">
      <c r="A393" s="120" t="s">
        <v>222</v>
      </c>
      <c r="B393" s="121" t="s">
        <v>618</v>
      </c>
    </row>
    <row r="394" spans="1:2">
      <c r="A394" s="120" t="s">
        <v>63</v>
      </c>
      <c r="B394" s="121" t="s">
        <v>605</v>
      </c>
    </row>
    <row r="395" spans="1:2">
      <c r="A395" s="120" t="s">
        <v>129</v>
      </c>
      <c r="B395" s="121" t="s">
        <v>604</v>
      </c>
    </row>
    <row r="396" spans="1:2">
      <c r="A396" s="120" t="s">
        <v>91</v>
      </c>
      <c r="B396" s="121" t="s">
        <v>616</v>
      </c>
    </row>
    <row r="397" spans="1:2">
      <c r="A397" s="120" t="s">
        <v>115</v>
      </c>
      <c r="B397" s="121" t="s">
        <v>641</v>
      </c>
    </row>
    <row r="398" spans="1:2">
      <c r="A398" s="120" t="s">
        <v>63</v>
      </c>
      <c r="B398" s="121" t="s">
        <v>647</v>
      </c>
    </row>
    <row r="399" spans="1:2">
      <c r="A399" s="120" t="s">
        <v>199</v>
      </c>
      <c r="B399" s="121" t="s">
        <v>650</v>
      </c>
    </row>
    <row r="400" spans="1:2">
      <c r="A400" s="120" t="s">
        <v>240</v>
      </c>
      <c r="B400" s="121" t="s">
        <v>665</v>
      </c>
    </row>
    <row r="401" spans="1:2">
      <c r="A401" s="120" t="s">
        <v>317</v>
      </c>
      <c r="B401" s="121" t="s">
        <v>645</v>
      </c>
    </row>
    <row r="402" spans="1:2">
      <c r="A402" s="120" t="s">
        <v>314</v>
      </c>
      <c r="B402" s="121" t="s">
        <v>676</v>
      </c>
    </row>
    <row r="403" spans="1:2">
      <c r="A403" s="120" t="s">
        <v>315</v>
      </c>
      <c r="B403" s="121" t="s">
        <v>600</v>
      </c>
    </row>
    <row r="404" spans="1:2">
      <c r="A404" s="120" t="s">
        <v>317</v>
      </c>
      <c r="B404" s="121" t="s">
        <v>655</v>
      </c>
    </row>
    <row r="405" spans="1:2">
      <c r="A405" s="120" t="s">
        <v>316</v>
      </c>
      <c r="B405" s="121" t="s">
        <v>677</v>
      </c>
    </row>
    <row r="406" spans="1:2">
      <c r="A406" s="120" t="s">
        <v>314</v>
      </c>
      <c r="B406" s="121" t="s">
        <v>598</v>
      </c>
    </row>
    <row r="407" spans="1:2">
      <c r="A407" s="120" t="s">
        <v>154</v>
      </c>
      <c r="B407" s="121" t="s">
        <v>633</v>
      </c>
    </row>
    <row r="408" spans="1:2">
      <c r="A408" s="120" t="s">
        <v>55</v>
      </c>
      <c r="B408" s="121" t="s">
        <v>667</v>
      </c>
    </row>
    <row r="409" spans="1:2">
      <c r="A409" s="120" t="s">
        <v>309</v>
      </c>
      <c r="B409" s="121" t="s">
        <v>690</v>
      </c>
    </row>
    <row r="410" spans="1:2">
      <c r="A410" s="120" t="s">
        <v>154</v>
      </c>
      <c r="B410" s="121" t="s">
        <v>665</v>
      </c>
    </row>
    <row r="411" spans="1:2">
      <c r="A411" s="120" t="s">
        <v>101</v>
      </c>
      <c r="B411" s="121" t="s">
        <v>597</v>
      </c>
    </row>
    <row r="412" spans="1:2">
      <c r="A412" s="120" t="s">
        <v>86</v>
      </c>
      <c r="B412" s="121" t="s">
        <v>657</v>
      </c>
    </row>
    <row r="413" spans="1:2">
      <c r="A413" s="120" t="s">
        <v>227</v>
      </c>
      <c r="B413" s="121" t="s">
        <v>645</v>
      </c>
    </row>
    <row r="414" spans="1:2">
      <c r="A414" s="120" t="s">
        <v>168</v>
      </c>
      <c r="B414" s="121" t="s">
        <v>622</v>
      </c>
    </row>
    <row r="415" spans="1:2">
      <c r="A415" s="120" t="s">
        <v>124</v>
      </c>
      <c r="B415" s="121" t="s">
        <v>624</v>
      </c>
    </row>
    <row r="416" spans="1:2">
      <c r="A416" s="120" t="s">
        <v>256</v>
      </c>
      <c r="B416" s="121" t="s">
        <v>629</v>
      </c>
    </row>
    <row r="417" spans="1:2">
      <c r="A417" s="120" t="s">
        <v>168</v>
      </c>
      <c r="B417" s="121" t="s">
        <v>625</v>
      </c>
    </row>
    <row r="418" spans="1:2">
      <c r="A418" s="120" t="s">
        <v>175</v>
      </c>
      <c r="B418" s="121" t="s">
        <v>629</v>
      </c>
    </row>
    <row r="419" spans="1:2">
      <c r="A419" s="120" t="s">
        <v>252</v>
      </c>
      <c r="B419" s="121" t="s">
        <v>619</v>
      </c>
    </row>
    <row r="420" spans="1:2">
      <c r="A420" s="120" t="s">
        <v>72</v>
      </c>
      <c r="B420" s="121" t="s">
        <v>664</v>
      </c>
    </row>
    <row r="421" spans="1:2">
      <c r="A421" s="120" t="s">
        <v>76</v>
      </c>
      <c r="B421" s="121" t="s">
        <v>632</v>
      </c>
    </row>
    <row r="422" spans="1:2">
      <c r="A422" s="120" t="s">
        <v>100</v>
      </c>
      <c r="B422" s="121" t="s">
        <v>631</v>
      </c>
    </row>
    <row r="423" spans="1:2">
      <c r="A423" s="120" t="s">
        <v>97</v>
      </c>
      <c r="B423" s="121" t="s">
        <v>632</v>
      </c>
    </row>
    <row r="424" spans="1:2">
      <c r="A424" s="120" t="s">
        <v>172</v>
      </c>
      <c r="B424" s="121" t="s">
        <v>622</v>
      </c>
    </row>
    <row r="425" spans="1:2">
      <c r="A425" s="120" t="s">
        <v>271</v>
      </c>
      <c r="B425" s="121" t="s">
        <v>622</v>
      </c>
    </row>
    <row r="426" spans="1:2">
      <c r="A426" s="120" t="s">
        <v>83</v>
      </c>
      <c r="B426" s="121" t="s">
        <v>626</v>
      </c>
    </row>
    <row r="427" spans="1:2">
      <c r="A427" s="120" t="s">
        <v>84</v>
      </c>
      <c r="B427" s="121" t="s">
        <v>632</v>
      </c>
    </row>
    <row r="428" spans="1:2">
      <c r="A428" s="120" t="s">
        <v>251</v>
      </c>
      <c r="B428" s="121" t="s">
        <v>656</v>
      </c>
    </row>
    <row r="429" spans="1:2">
      <c r="A429" s="120" t="s">
        <v>55</v>
      </c>
      <c r="B429" s="121" t="s">
        <v>626</v>
      </c>
    </row>
    <row r="430" spans="1:2">
      <c r="A430" s="120" t="s">
        <v>254</v>
      </c>
      <c r="B430" s="121" t="s">
        <v>623</v>
      </c>
    </row>
    <row r="431" spans="1:2">
      <c r="A431" s="120" t="s">
        <v>315</v>
      </c>
      <c r="B431" s="121" t="s">
        <v>621</v>
      </c>
    </row>
    <row r="432" spans="1:2">
      <c r="A432" s="120" t="s">
        <v>226</v>
      </c>
      <c r="B432" s="121" t="s">
        <v>625</v>
      </c>
    </row>
    <row r="433" spans="1:2">
      <c r="A433" s="120" t="s">
        <v>740</v>
      </c>
      <c r="B433" s="121" t="s">
        <v>621</v>
      </c>
    </row>
    <row r="434" spans="1:2">
      <c r="A434" s="120" t="s">
        <v>71</v>
      </c>
      <c r="B434" s="121" t="s">
        <v>694</v>
      </c>
    </row>
    <row r="435" spans="1:2">
      <c r="A435" s="120" t="s">
        <v>300</v>
      </c>
      <c r="B435" s="121" t="s">
        <v>626</v>
      </c>
    </row>
    <row r="436" spans="1:2">
      <c r="A436" s="120" t="s">
        <v>53</v>
      </c>
      <c r="B436" s="121" t="s">
        <v>668</v>
      </c>
    </row>
    <row r="437" spans="1:2">
      <c r="A437" s="120" t="s">
        <v>109</v>
      </c>
      <c r="B437" s="121" t="s">
        <v>620</v>
      </c>
    </row>
    <row r="438" spans="1:2">
      <c r="A438" s="120" t="s">
        <v>51</v>
      </c>
      <c r="B438" s="121" t="s">
        <v>633</v>
      </c>
    </row>
    <row r="439" spans="1:2">
      <c r="A439" s="120" t="s">
        <v>741</v>
      </c>
      <c r="B439" s="121" t="s">
        <v>656</v>
      </c>
    </row>
    <row r="440" spans="1:2">
      <c r="A440" s="120" t="s">
        <v>742</v>
      </c>
      <c r="B440" s="121" t="s">
        <v>604</v>
      </c>
    </row>
    <row r="441" spans="1:2">
      <c r="A441" s="120" t="s">
        <v>251</v>
      </c>
      <c r="B441" s="121" t="s">
        <v>743</v>
      </c>
    </row>
    <row r="442" spans="1:2">
      <c r="A442" s="120" t="s">
        <v>74</v>
      </c>
      <c r="B442" s="121" t="s">
        <v>632</v>
      </c>
    </row>
    <row r="443" spans="1:2">
      <c r="A443" s="120" t="s">
        <v>265</v>
      </c>
      <c r="B443" s="121" t="s">
        <v>633</v>
      </c>
    </row>
    <row r="444" spans="1:2">
      <c r="A444" s="120" t="s">
        <v>744</v>
      </c>
      <c r="B444" s="121" t="s">
        <v>623</v>
      </c>
    </row>
    <row r="445" spans="1:2">
      <c r="A445" s="120" t="s">
        <v>168</v>
      </c>
      <c r="B445" s="121" t="s">
        <v>644</v>
      </c>
    </row>
    <row r="446" spans="1:2">
      <c r="A446" s="120" t="s">
        <v>252</v>
      </c>
      <c r="B446" s="121" t="s">
        <v>621</v>
      </c>
    </row>
    <row r="447" spans="1:2">
      <c r="A447" s="120" t="s">
        <v>240</v>
      </c>
      <c r="B447" s="121" t="s">
        <v>633</v>
      </c>
    </row>
    <row r="448" spans="1:2">
      <c r="A448" s="120" t="s">
        <v>189</v>
      </c>
      <c r="B448" s="121" t="s">
        <v>636</v>
      </c>
    </row>
    <row r="449" spans="1:2">
      <c r="A449" s="120" t="s">
        <v>745</v>
      </c>
      <c r="B449" s="121" t="s">
        <v>622</v>
      </c>
    </row>
    <row r="450" spans="1:2">
      <c r="A450" s="120" t="s">
        <v>86</v>
      </c>
      <c r="B450" s="121" t="s">
        <v>636</v>
      </c>
    </row>
    <row r="451" spans="1:2">
      <c r="A451" s="120" t="s">
        <v>746</v>
      </c>
      <c r="B451" s="121" t="s">
        <v>629</v>
      </c>
    </row>
    <row r="452" spans="1:2">
      <c r="A452" s="120" t="s">
        <v>226</v>
      </c>
      <c r="B452" s="121" t="s">
        <v>672</v>
      </c>
    </row>
    <row r="453" spans="1:2">
      <c r="A453" s="120" t="s">
        <v>271</v>
      </c>
      <c r="B453" s="121" t="s">
        <v>645</v>
      </c>
    </row>
    <row r="454" spans="1:2">
      <c r="A454" s="120" t="s">
        <v>86</v>
      </c>
      <c r="B454" s="121" t="s">
        <v>672</v>
      </c>
    </row>
    <row r="455" spans="1:2">
      <c r="A455" s="120" t="s">
        <v>254</v>
      </c>
      <c r="B455" s="121" t="s">
        <v>633</v>
      </c>
    </row>
    <row r="456" spans="1:2">
      <c r="A456" s="120" t="s">
        <v>744</v>
      </c>
      <c r="B456" s="121" t="s">
        <v>627</v>
      </c>
    </row>
    <row r="457" spans="1:2">
      <c r="A457" s="120" t="s">
        <v>97</v>
      </c>
      <c r="B457" s="121" t="s">
        <v>635</v>
      </c>
    </row>
    <row r="458" spans="1:2">
      <c r="A458" s="120" t="s">
        <v>594</v>
      </c>
      <c r="B458" s="121" t="s">
        <v>631</v>
      </c>
    </row>
    <row r="459" spans="1:2">
      <c r="A459" s="120" t="s">
        <v>63</v>
      </c>
      <c r="B459" s="121" t="s">
        <v>627</v>
      </c>
    </row>
    <row r="460" spans="1:2">
      <c r="A460" s="120" t="s">
        <v>199</v>
      </c>
      <c r="B460" s="121" t="s">
        <v>629</v>
      </c>
    </row>
    <row r="461" spans="1:2">
      <c r="A461" s="120" t="s">
        <v>292</v>
      </c>
      <c r="B461" s="121" t="s">
        <v>633</v>
      </c>
    </row>
    <row r="462" spans="1:2">
      <c r="A462" s="120" t="s">
        <v>83</v>
      </c>
      <c r="B462" s="121" t="s">
        <v>615</v>
      </c>
    </row>
    <row r="463" spans="1:2">
      <c r="A463" s="120" t="s">
        <v>166</v>
      </c>
      <c r="B463" s="121" t="s">
        <v>622</v>
      </c>
    </row>
    <row r="464" spans="1:2">
      <c r="A464" s="120" t="s">
        <v>86</v>
      </c>
      <c r="B464" s="121" t="s">
        <v>633</v>
      </c>
    </row>
    <row r="465" spans="1:2">
      <c r="A465" s="120" t="s">
        <v>747</v>
      </c>
      <c r="B465" s="121" t="s">
        <v>627</v>
      </c>
    </row>
    <row r="466" spans="1:2">
      <c r="A466" s="120" t="s">
        <v>748</v>
      </c>
      <c r="B466" s="121" t="s">
        <v>629</v>
      </c>
    </row>
    <row r="467" spans="1:2">
      <c r="A467" s="120" t="s">
        <v>101</v>
      </c>
      <c r="B467" s="121" t="s">
        <v>643</v>
      </c>
    </row>
    <row r="468" spans="1:2">
      <c r="A468" s="120" t="s">
        <v>256</v>
      </c>
      <c r="B468" s="121" t="s">
        <v>615</v>
      </c>
    </row>
    <row r="469" spans="1:2">
      <c r="A469" s="120" t="s">
        <v>749</v>
      </c>
      <c r="B469" s="121" t="s">
        <v>629</v>
      </c>
    </row>
    <row r="470" spans="1:2">
      <c r="A470" s="120" t="s">
        <v>231</v>
      </c>
      <c r="B470" s="121" t="s">
        <v>621</v>
      </c>
    </row>
    <row r="471" spans="1:2">
      <c r="A471" s="120" t="s">
        <v>240</v>
      </c>
      <c r="B471" s="121" t="s">
        <v>626</v>
      </c>
    </row>
    <row r="472" spans="1:2">
      <c r="A472" s="120" t="s">
        <v>57</v>
      </c>
      <c r="B472" s="121" t="s">
        <v>613</v>
      </c>
    </row>
    <row r="473" spans="1:2">
      <c r="A473" s="120" t="s">
        <v>209</v>
      </c>
      <c r="B473" s="121" t="s">
        <v>633</v>
      </c>
    </row>
    <row r="474" spans="1:2">
      <c r="A474" s="120" t="s">
        <v>55</v>
      </c>
      <c r="B474" s="121" t="s">
        <v>618</v>
      </c>
    </row>
    <row r="475" spans="1:2">
      <c r="A475" s="120" t="s">
        <v>66</v>
      </c>
      <c r="B475" s="121" t="s">
        <v>620</v>
      </c>
    </row>
    <row r="476" spans="1:2">
      <c r="A476" s="120" t="s">
        <v>95</v>
      </c>
      <c r="B476" s="121" t="s">
        <v>632</v>
      </c>
    </row>
    <row r="477" spans="1:2">
      <c r="A477" s="120" t="s">
        <v>63</v>
      </c>
      <c r="B477" s="121" t="s">
        <v>709</v>
      </c>
    </row>
    <row r="478" spans="1:2">
      <c r="A478" s="120" t="s">
        <v>66</v>
      </c>
      <c r="B478" s="121" t="s">
        <v>633</v>
      </c>
    </row>
    <row r="479" spans="1:2">
      <c r="A479" s="120" t="s">
        <v>157</v>
      </c>
      <c r="B479" s="121" t="s">
        <v>648</v>
      </c>
    </row>
    <row r="480" spans="1:2">
      <c r="A480" s="120" t="s">
        <v>132</v>
      </c>
      <c r="B480" s="121" t="s">
        <v>618</v>
      </c>
    </row>
    <row r="481" spans="1:2">
      <c r="A481" s="120" t="s">
        <v>215</v>
      </c>
      <c r="B481" s="121" t="s">
        <v>662</v>
      </c>
    </row>
    <row r="482" spans="1:2">
      <c r="A482" s="120" t="s">
        <v>111</v>
      </c>
      <c r="B482" s="121" t="s">
        <v>598</v>
      </c>
    </row>
    <row r="483" spans="1:2">
      <c r="A483" s="120" t="s">
        <v>111</v>
      </c>
      <c r="B483" s="121" t="s">
        <v>619</v>
      </c>
    </row>
    <row r="484" spans="1:2">
      <c r="A484" s="120" t="s">
        <v>693</v>
      </c>
      <c r="B484" s="121" t="s">
        <v>743</v>
      </c>
    </row>
    <row r="485" spans="1:2">
      <c r="A485" s="120" t="s">
        <v>750</v>
      </c>
      <c r="B485" s="121" t="s">
        <v>648</v>
      </c>
    </row>
    <row r="486" spans="1:2">
      <c r="A486" s="120" t="s">
        <v>209</v>
      </c>
      <c r="B486" s="121" t="s">
        <v>629</v>
      </c>
    </row>
    <row r="487" spans="1:2">
      <c r="A487" s="120" t="s">
        <v>307</v>
      </c>
      <c r="B487" s="121" t="s">
        <v>626</v>
      </c>
    </row>
    <row r="488" spans="1:2">
      <c r="A488" s="120" t="s">
        <v>751</v>
      </c>
      <c r="B488" s="121" t="s">
        <v>623</v>
      </c>
    </row>
    <row r="489" spans="1:2">
      <c r="A489" s="120" t="s">
        <v>116</v>
      </c>
      <c r="B489" s="121" t="s">
        <v>620</v>
      </c>
    </row>
    <row r="490" spans="1:2">
      <c r="A490" s="120" t="s">
        <v>145</v>
      </c>
      <c r="B490" s="121" t="s">
        <v>598</v>
      </c>
    </row>
    <row r="491" spans="1:2">
      <c r="A491" s="120" t="s">
        <v>315</v>
      </c>
      <c r="B491" s="121" t="s">
        <v>598</v>
      </c>
    </row>
    <row r="492" spans="1:2">
      <c r="A492" s="120" t="s">
        <v>55</v>
      </c>
      <c r="B492" s="121" t="s">
        <v>600</v>
      </c>
    </row>
    <row r="493" spans="1:2">
      <c r="A493" s="120" t="s">
        <v>213</v>
      </c>
      <c r="B493" s="121" t="s">
        <v>661</v>
      </c>
    </row>
    <row r="494" spans="1:2">
      <c r="A494" s="120" t="s">
        <v>226</v>
      </c>
      <c r="B494" s="121" t="s">
        <v>632</v>
      </c>
    </row>
    <row r="495" spans="1:2">
      <c r="A495" s="120" t="s">
        <v>92</v>
      </c>
      <c r="B495" s="121" t="s">
        <v>632</v>
      </c>
    </row>
    <row r="496" spans="1:2">
      <c r="A496" s="120" t="s">
        <v>248</v>
      </c>
      <c r="B496" s="121" t="s">
        <v>629</v>
      </c>
    </row>
    <row r="497" spans="1:2">
      <c r="A497" s="120" t="s">
        <v>252</v>
      </c>
      <c r="B497" s="121" t="s">
        <v>598</v>
      </c>
    </row>
    <row r="498" spans="1:2">
      <c r="A498" s="120" t="s">
        <v>151</v>
      </c>
      <c r="B498" s="121" t="s">
        <v>633</v>
      </c>
    </row>
    <row r="499" spans="1:2">
      <c r="A499" s="120" t="s">
        <v>248</v>
      </c>
      <c r="B499" s="121" t="s">
        <v>642</v>
      </c>
    </row>
    <row r="500" spans="1:2">
      <c r="A500" s="120" t="s">
        <v>143</v>
      </c>
      <c r="B500" s="121" t="s">
        <v>648</v>
      </c>
    </row>
    <row r="501" spans="1:2">
      <c r="A501" s="120" t="s">
        <v>140</v>
      </c>
      <c r="B501" s="121" t="s">
        <v>618</v>
      </c>
    </row>
    <row r="502" spans="1:2">
      <c r="A502" s="120" t="s">
        <v>214</v>
      </c>
      <c r="B502" s="121" t="s">
        <v>661</v>
      </c>
    </row>
    <row r="503" spans="1:2">
      <c r="A503" s="120" t="s">
        <v>240</v>
      </c>
      <c r="B503" s="121" t="s">
        <v>630</v>
      </c>
    </row>
    <row r="504" spans="1:2">
      <c r="A504" s="120" t="s">
        <v>155</v>
      </c>
      <c r="B504" s="121" t="s">
        <v>625</v>
      </c>
    </row>
    <row r="505" spans="1:2">
      <c r="A505" s="120" t="s">
        <v>312</v>
      </c>
      <c r="B505" s="121" t="s">
        <v>631</v>
      </c>
    </row>
    <row r="506" spans="1:2">
      <c r="A506" s="120" t="s">
        <v>199</v>
      </c>
      <c r="B506" s="121" t="s">
        <v>648</v>
      </c>
    </row>
    <row r="507" spans="1:2">
      <c r="A507" s="120" t="s">
        <v>195</v>
      </c>
      <c r="B507" s="121" t="s">
        <v>630</v>
      </c>
    </row>
    <row r="508" spans="1:2">
      <c r="A508" s="120" t="s">
        <v>205</v>
      </c>
      <c r="B508" s="121" t="s">
        <v>648</v>
      </c>
    </row>
    <row r="509" spans="1:2">
      <c r="A509" s="120" t="s">
        <v>141</v>
      </c>
      <c r="B509" s="121" t="s">
        <v>618</v>
      </c>
    </row>
    <row r="510" spans="1:2">
      <c r="A510" s="120" t="s">
        <v>53</v>
      </c>
      <c r="B510" s="121" t="s">
        <v>612</v>
      </c>
    </row>
    <row r="511" spans="1:2">
      <c r="A511" s="120" t="s">
        <v>131</v>
      </c>
      <c r="B511" s="121" t="s">
        <v>618</v>
      </c>
    </row>
    <row r="512" spans="1:2">
      <c r="A512" s="120" t="s">
        <v>295</v>
      </c>
      <c r="B512" s="121" t="s">
        <v>622</v>
      </c>
    </row>
    <row r="513" spans="1:2">
      <c r="A513" s="120" t="s">
        <v>128</v>
      </c>
      <c r="B513" s="121" t="s">
        <v>672</v>
      </c>
    </row>
    <row r="514" spans="1:2">
      <c r="A514" s="120" t="s">
        <v>53</v>
      </c>
      <c r="B514" s="121" t="s">
        <v>622</v>
      </c>
    </row>
    <row r="515" spans="1:2">
      <c r="A515" s="120" t="s">
        <v>217</v>
      </c>
      <c r="B515" s="121" t="s">
        <v>631</v>
      </c>
    </row>
    <row r="516" spans="1:2">
      <c r="A516" s="120" t="s">
        <v>241</v>
      </c>
      <c r="B516" s="121" t="s">
        <v>604</v>
      </c>
    </row>
    <row r="517" spans="1:2">
      <c r="A517" s="120" t="s">
        <v>249</v>
      </c>
      <c r="B517" s="121" t="s">
        <v>618</v>
      </c>
    </row>
    <row r="518" spans="1:2">
      <c r="A518" s="120" t="s">
        <v>259</v>
      </c>
      <c r="B518" s="121" t="s">
        <v>665</v>
      </c>
    </row>
    <row r="519" spans="1:2">
      <c r="A519" s="120" t="s">
        <v>752</v>
      </c>
      <c r="B519" s="121" t="s">
        <v>612</v>
      </c>
    </row>
    <row r="520" spans="1:2">
      <c r="A520" s="120" t="s">
        <v>298</v>
      </c>
      <c r="B520" s="121" t="s">
        <v>648</v>
      </c>
    </row>
    <row r="521" spans="1:2">
      <c r="A521" s="120" t="s">
        <v>306</v>
      </c>
      <c r="B521" s="121" t="s">
        <v>623</v>
      </c>
    </row>
    <row r="522" spans="1:2">
      <c r="A522" s="120" t="s">
        <v>86</v>
      </c>
      <c r="B522" s="121" t="s">
        <v>620</v>
      </c>
    </row>
    <row r="523" spans="1:2">
      <c r="A523" s="120" t="s">
        <v>269</v>
      </c>
      <c r="B523" s="121" t="s">
        <v>631</v>
      </c>
    </row>
    <row r="524" spans="1:2">
      <c r="A524" s="120" t="s">
        <v>272</v>
      </c>
      <c r="B524" s="121" t="s">
        <v>636</v>
      </c>
    </row>
    <row r="525" spans="1:2">
      <c r="A525" s="120" t="s">
        <v>163</v>
      </c>
      <c r="B525" s="121" t="s">
        <v>619</v>
      </c>
    </row>
    <row r="526" spans="1:2">
      <c r="A526" s="120" t="s">
        <v>753</v>
      </c>
      <c r="B526" s="121" t="s">
        <v>754</v>
      </c>
    </row>
    <row r="527" spans="1:2">
      <c r="A527" s="120" t="s">
        <v>700</v>
      </c>
      <c r="B527" s="121" t="s">
        <v>599</v>
      </c>
    </row>
    <row r="528" spans="1:2">
      <c r="A528" s="120" t="s">
        <v>305</v>
      </c>
      <c r="B528" s="121" t="s">
        <v>626</v>
      </c>
    </row>
    <row r="529" spans="1:2">
      <c r="A529" s="120" t="s">
        <v>151</v>
      </c>
      <c r="B529" s="121" t="s">
        <v>625</v>
      </c>
    </row>
    <row r="530" spans="1:2">
      <c r="A530" s="120" t="s">
        <v>281</v>
      </c>
      <c r="B530" s="121" t="s">
        <v>656</v>
      </c>
    </row>
    <row r="531" spans="1:2">
      <c r="A531" s="120" t="s">
        <v>237</v>
      </c>
      <c r="B531" s="121" t="s">
        <v>641</v>
      </c>
    </row>
    <row r="532" spans="1:2">
      <c r="A532" s="120" t="s">
        <v>282</v>
      </c>
      <c r="B532" s="121" t="s">
        <v>621</v>
      </c>
    </row>
    <row r="533" spans="1:2">
      <c r="A533" s="120" t="s">
        <v>65</v>
      </c>
      <c r="B533" s="121" t="s">
        <v>621</v>
      </c>
    </row>
    <row r="534" spans="1:2">
      <c r="A534" s="120" t="s">
        <v>219</v>
      </c>
      <c r="B534" s="121" t="s">
        <v>628</v>
      </c>
    </row>
    <row r="535" spans="1:2">
      <c r="A535" s="120" t="s">
        <v>205</v>
      </c>
      <c r="B535" s="121" t="s">
        <v>623</v>
      </c>
    </row>
    <row r="536" spans="1:2">
      <c r="A536" s="120" t="s">
        <v>243</v>
      </c>
      <c r="B536" s="121" t="s">
        <v>659</v>
      </c>
    </row>
    <row r="537" spans="1:2">
      <c r="A537" s="120" t="s">
        <v>266</v>
      </c>
      <c r="B537" s="121" t="s">
        <v>619</v>
      </c>
    </row>
    <row r="538" spans="1:2">
      <c r="A538" s="120" t="s">
        <v>71</v>
      </c>
      <c r="B538" s="121" t="s">
        <v>630</v>
      </c>
    </row>
    <row r="539" spans="1:2">
      <c r="A539" s="120" t="s">
        <v>63</v>
      </c>
      <c r="B539" s="121" t="s">
        <v>613</v>
      </c>
    </row>
    <row r="540" spans="1:2">
      <c r="A540" s="120" t="s">
        <v>277</v>
      </c>
      <c r="B540" s="121" t="s">
        <v>626</v>
      </c>
    </row>
    <row r="541" spans="1:2">
      <c r="A541" s="120" t="s">
        <v>146</v>
      </c>
      <c r="B541" s="121" t="s">
        <v>651</v>
      </c>
    </row>
    <row r="542" spans="1:2">
      <c r="A542" s="120" t="s">
        <v>63</v>
      </c>
      <c r="B542" s="121" t="s">
        <v>649</v>
      </c>
    </row>
    <row r="543" spans="1:2">
      <c r="A543" s="120" t="s">
        <v>268</v>
      </c>
      <c r="B543" s="121" t="s">
        <v>665</v>
      </c>
    </row>
    <row r="544" spans="1:2">
      <c r="A544" s="120" t="s">
        <v>58</v>
      </c>
      <c r="B544" s="121" t="s">
        <v>598</v>
      </c>
    </row>
    <row r="545" spans="1:2">
      <c r="A545" s="120" t="s">
        <v>169</v>
      </c>
      <c r="B545" s="121" t="s">
        <v>649</v>
      </c>
    </row>
    <row r="546" spans="1:2">
      <c r="A546" s="120" t="s">
        <v>291</v>
      </c>
      <c r="B546" s="121" t="s">
        <v>609</v>
      </c>
    </row>
    <row r="547" spans="1:2">
      <c r="A547" s="120" t="s">
        <v>196</v>
      </c>
      <c r="B547" s="121" t="s">
        <v>636</v>
      </c>
    </row>
    <row r="548" spans="1:2">
      <c r="A548" s="120" t="s">
        <v>227</v>
      </c>
      <c r="B548" s="121" t="s">
        <v>668</v>
      </c>
    </row>
    <row r="549" spans="1:2">
      <c r="A549" s="120" t="s">
        <v>297</v>
      </c>
      <c r="B549" s="121" t="s">
        <v>674</v>
      </c>
    </row>
    <row r="550" spans="1:2">
      <c r="A550" s="120" t="s">
        <v>142</v>
      </c>
      <c r="B550" s="121" t="s">
        <v>625</v>
      </c>
    </row>
    <row r="551" spans="1:2">
      <c r="A551" s="120" t="s">
        <v>199</v>
      </c>
      <c r="B551" s="121" t="s">
        <v>660</v>
      </c>
    </row>
    <row r="552" spans="1:2">
      <c r="A552" s="120" t="s">
        <v>110</v>
      </c>
      <c r="B552" s="121" t="s">
        <v>639</v>
      </c>
    </row>
    <row r="553" spans="1:2">
      <c r="A553" s="120" t="s">
        <v>173</v>
      </c>
      <c r="B553" s="121" t="s">
        <v>655</v>
      </c>
    </row>
    <row r="554" spans="1:2">
      <c r="A554" s="120" t="s">
        <v>123</v>
      </c>
      <c r="B554" s="121" t="s">
        <v>643</v>
      </c>
    </row>
    <row r="555" spans="1:2">
      <c r="A555" s="120" t="s">
        <v>234</v>
      </c>
      <c r="B555" s="121" t="s">
        <v>627</v>
      </c>
    </row>
    <row r="556" spans="1:2">
      <c r="A556" s="120" t="s">
        <v>110</v>
      </c>
      <c r="B556" s="121" t="s">
        <v>620</v>
      </c>
    </row>
    <row r="557" spans="1:2">
      <c r="A557" s="120" t="s">
        <v>124</v>
      </c>
      <c r="B557" s="121" t="s">
        <v>612</v>
      </c>
    </row>
    <row r="558" spans="1:2">
      <c r="A558" s="120" t="s">
        <v>218</v>
      </c>
      <c r="B558" s="121" t="s">
        <v>648</v>
      </c>
    </row>
    <row r="559" spans="1:2">
      <c r="A559" s="120" t="s">
        <v>232</v>
      </c>
      <c r="B559" s="121" t="s">
        <v>664</v>
      </c>
    </row>
    <row r="560" spans="1:2">
      <c r="A560" s="120" t="s">
        <v>290</v>
      </c>
      <c r="B560" s="121" t="s">
        <v>631</v>
      </c>
    </row>
    <row r="561" spans="1:2">
      <c r="A561" s="120" t="s">
        <v>230</v>
      </c>
      <c r="B561" s="121" t="s">
        <v>755</v>
      </c>
    </row>
    <row r="562" spans="1:2">
      <c r="A562" s="120" t="s">
        <v>240</v>
      </c>
      <c r="B562" s="121" t="s">
        <v>622</v>
      </c>
    </row>
    <row r="563" spans="1:2">
      <c r="A563" s="120" t="s">
        <v>254</v>
      </c>
      <c r="B563" s="121" t="s">
        <v>629</v>
      </c>
    </row>
    <row r="564" spans="1:2">
      <c r="A564" s="120" t="s">
        <v>236</v>
      </c>
      <c r="B564" s="121" t="s">
        <v>627</v>
      </c>
    </row>
    <row r="565" spans="1:2">
      <c r="A565" s="120" t="s">
        <v>214</v>
      </c>
      <c r="B565" s="121" t="s">
        <v>633</v>
      </c>
    </row>
    <row r="566" spans="1:2">
      <c r="A566" s="120" t="s">
        <v>192</v>
      </c>
      <c r="B566" s="121" t="s">
        <v>619</v>
      </c>
    </row>
    <row r="567" spans="1:2">
      <c r="A567" s="120" t="s">
        <v>210</v>
      </c>
      <c r="B567" s="121" t="s">
        <v>661</v>
      </c>
    </row>
    <row r="568" spans="1:2">
      <c r="A568" s="120" t="s">
        <v>154</v>
      </c>
      <c r="B568" s="121" t="s">
        <v>625</v>
      </c>
    </row>
    <row r="569" spans="1:2">
      <c r="A569" s="120" t="s">
        <v>112</v>
      </c>
      <c r="B569" s="121" t="s">
        <v>640</v>
      </c>
    </row>
    <row r="570" spans="1:2">
      <c r="A570" s="120" t="s">
        <v>225</v>
      </c>
      <c r="B570" s="121" t="s">
        <v>666</v>
      </c>
    </row>
    <row r="571" spans="1:2">
      <c r="A571" s="120" t="s">
        <v>255</v>
      </c>
      <c r="B571" s="121" t="s">
        <v>670</v>
      </c>
    </row>
    <row r="572" spans="1:2">
      <c r="A572" s="120" t="s">
        <v>287</v>
      </c>
      <c r="B572" s="121" t="s">
        <v>673</v>
      </c>
    </row>
    <row r="573" spans="1:2">
      <c r="A573" s="120" t="s">
        <v>230</v>
      </c>
      <c r="B573" s="121" t="s">
        <v>623</v>
      </c>
    </row>
    <row r="574" spans="1:2">
      <c r="A574" s="120" t="s">
        <v>139</v>
      </c>
      <c r="B574" s="121" t="s">
        <v>687</v>
      </c>
    </row>
    <row r="575" spans="1:2">
      <c r="A575" s="120" t="s">
        <v>200</v>
      </c>
      <c r="B575" s="121" t="s">
        <v>659</v>
      </c>
    </row>
    <row r="576" spans="1:2">
      <c r="A576" s="120" t="s">
        <v>102</v>
      </c>
      <c r="B576" s="121" t="s">
        <v>632</v>
      </c>
    </row>
    <row r="577" spans="1:2">
      <c r="A577" s="120" t="s">
        <v>216</v>
      </c>
      <c r="B577" s="121" t="s">
        <v>612</v>
      </c>
    </row>
    <row r="578" spans="1:2">
      <c r="A578" s="120" t="s">
        <v>83</v>
      </c>
      <c r="B578" s="121" t="s">
        <v>619</v>
      </c>
    </row>
    <row r="579" spans="1:2">
      <c r="A579" s="120" t="s">
        <v>120</v>
      </c>
      <c r="B579" s="121" t="s">
        <v>618</v>
      </c>
    </row>
    <row r="580" spans="1:2">
      <c r="A580" s="120" t="s">
        <v>591</v>
      </c>
      <c r="B580" s="121" t="s">
        <v>709</v>
      </c>
    </row>
    <row r="581" spans="1:2">
      <c r="A581" s="120" t="s">
        <v>283</v>
      </c>
      <c r="B581" s="121" t="s">
        <v>621</v>
      </c>
    </row>
    <row r="582" spans="1:2">
      <c r="A582" s="120" t="s">
        <v>245</v>
      </c>
      <c r="B582" s="121" t="s">
        <v>627</v>
      </c>
    </row>
    <row r="583" spans="1:2">
      <c r="A583" s="120" t="s">
        <v>280</v>
      </c>
      <c r="B583" s="121" t="s">
        <v>621</v>
      </c>
    </row>
    <row r="584" spans="1:2">
      <c r="A584" s="120" t="s">
        <v>259</v>
      </c>
      <c r="B584" s="121" t="s">
        <v>629</v>
      </c>
    </row>
    <row r="585" spans="1:2">
      <c r="A585" s="120" t="s">
        <v>696</v>
      </c>
      <c r="B585" s="121" t="s">
        <v>630</v>
      </c>
    </row>
    <row r="586" spans="1:2">
      <c r="A586" s="120" t="s">
        <v>233</v>
      </c>
      <c r="B586" s="121" t="s">
        <v>621</v>
      </c>
    </row>
    <row r="587" spans="1:2">
      <c r="A587" s="120" t="s">
        <v>55</v>
      </c>
      <c r="B587" s="121" t="s">
        <v>617</v>
      </c>
    </row>
    <row r="588" spans="1:2">
      <c r="A588" s="120" t="s">
        <v>60</v>
      </c>
      <c r="B588" s="121" t="s">
        <v>743</v>
      </c>
    </row>
    <row r="589" spans="1:2">
      <c r="A589" s="120" t="s">
        <v>712</v>
      </c>
      <c r="B589" s="121" t="s">
        <v>629</v>
      </c>
    </row>
    <row r="590" spans="1:2">
      <c r="A590" s="120" t="s">
        <v>683</v>
      </c>
      <c r="B590" s="121" t="s">
        <v>613</v>
      </c>
    </row>
    <row r="591" spans="1:2">
      <c r="A591" s="120" t="s">
        <v>756</v>
      </c>
      <c r="B591" s="121" t="s">
        <v>743</v>
      </c>
    </row>
    <row r="592" spans="1:2">
      <c r="A592" s="120" t="s">
        <v>60</v>
      </c>
      <c r="B592" s="121" t="s">
        <v>631</v>
      </c>
    </row>
    <row r="593" spans="1:2">
      <c r="A593" s="120" t="s">
        <v>91</v>
      </c>
      <c r="B593" s="121" t="s">
        <v>629</v>
      </c>
    </row>
    <row r="594" spans="1:2">
      <c r="A594" s="120" t="s">
        <v>307</v>
      </c>
      <c r="B594" s="121" t="s">
        <v>661</v>
      </c>
    </row>
    <row r="595" spans="1:2">
      <c r="A595" s="120" t="s">
        <v>123</v>
      </c>
      <c r="B595" s="121" t="s">
        <v>662</v>
      </c>
    </row>
    <row r="596" spans="1:2">
      <c r="A596" s="120" t="s">
        <v>288</v>
      </c>
      <c r="B596" s="121" t="s">
        <v>612</v>
      </c>
    </row>
    <row r="597" spans="1:2">
      <c r="A597" s="120" t="s">
        <v>149</v>
      </c>
      <c r="B597" s="121" t="s">
        <v>638</v>
      </c>
    </row>
    <row r="598" spans="1:2">
      <c r="A598" s="120" t="s">
        <v>203</v>
      </c>
      <c r="B598" s="121" t="s">
        <v>670</v>
      </c>
    </row>
    <row r="599" spans="1:2">
      <c r="A599" s="120" t="s">
        <v>241</v>
      </c>
      <c r="B599" s="121" t="s">
        <v>630</v>
      </c>
    </row>
    <row r="600" spans="1:2">
      <c r="A600" s="120" t="s">
        <v>258</v>
      </c>
      <c r="B600" s="121" t="s">
        <v>629</v>
      </c>
    </row>
    <row r="601" spans="1:2">
      <c r="A601" s="120" t="s">
        <v>247</v>
      </c>
      <c r="B601" s="121" t="s">
        <v>629</v>
      </c>
    </row>
    <row r="602" spans="1:2">
      <c r="A602" s="120" t="s">
        <v>108</v>
      </c>
      <c r="B602" s="121" t="s">
        <v>620</v>
      </c>
    </row>
    <row r="603" spans="1:2">
      <c r="A603" s="120" t="s">
        <v>239</v>
      </c>
      <c r="B603" s="121" t="s">
        <v>627</v>
      </c>
    </row>
    <row r="604" spans="1:2">
      <c r="A604" s="120" t="s">
        <v>118</v>
      </c>
      <c r="B604" s="121" t="s">
        <v>620</v>
      </c>
    </row>
    <row r="605" spans="1:2">
      <c r="A605" s="120" t="s">
        <v>254</v>
      </c>
      <c r="B605" s="121" t="s">
        <v>670</v>
      </c>
    </row>
    <row r="606" spans="1:2">
      <c r="A606" s="120" t="s">
        <v>150</v>
      </c>
      <c r="B606" s="121" t="s">
        <v>625</v>
      </c>
    </row>
    <row r="607" spans="1:2">
      <c r="A607" s="120" t="s">
        <v>106</v>
      </c>
      <c r="B607" s="121" t="s">
        <v>598</v>
      </c>
    </row>
    <row r="608" spans="1:2">
      <c r="A608" s="120" t="s">
        <v>137</v>
      </c>
      <c r="B608" s="121" t="s">
        <v>618</v>
      </c>
    </row>
    <row r="609" spans="1:2">
      <c r="A609" s="120" t="s">
        <v>212</v>
      </c>
      <c r="B609" s="121" t="s">
        <v>661</v>
      </c>
    </row>
    <row r="610" spans="1:2">
      <c r="A610" s="120" t="s">
        <v>101</v>
      </c>
      <c r="B610" s="121" t="s">
        <v>626</v>
      </c>
    </row>
    <row r="611" spans="1:2">
      <c r="A611" s="120" t="s">
        <v>719</v>
      </c>
      <c r="B611" s="121" t="s">
        <v>661</v>
      </c>
    </row>
    <row r="612" spans="1:2">
      <c r="A612" s="120" t="s">
        <v>757</v>
      </c>
      <c r="B612" s="121" t="s">
        <v>633</v>
      </c>
    </row>
    <row r="613" spans="1:2">
      <c r="A613" s="120" t="s">
        <v>757</v>
      </c>
      <c r="B613" s="121" t="s">
        <v>614</v>
      </c>
    </row>
    <row r="614" spans="1:2">
      <c r="A614" s="120" t="s">
        <v>95</v>
      </c>
      <c r="B614" s="121" t="s">
        <v>620</v>
      </c>
    </row>
    <row r="615" spans="1:2">
      <c r="A615" s="120" t="s">
        <v>758</v>
      </c>
      <c r="B615" s="121" t="s">
        <v>620</v>
      </c>
    </row>
    <row r="616" spans="1:2">
      <c r="A616" s="120" t="s">
        <v>759</v>
      </c>
      <c r="B616" s="121" t="s">
        <v>624</v>
      </c>
    </row>
    <row r="617" spans="1:2">
      <c r="A617" s="120" t="s">
        <v>760</v>
      </c>
      <c r="B617" s="121" t="s">
        <v>629</v>
      </c>
    </row>
    <row r="618" spans="1:2">
      <c r="A618" s="120" t="s">
        <v>717</v>
      </c>
      <c r="B618" s="121" t="s">
        <v>625</v>
      </c>
    </row>
    <row r="619" spans="1:2">
      <c r="A619" s="120" t="s">
        <v>761</v>
      </c>
      <c r="B619" s="121" t="s">
        <v>625</v>
      </c>
    </row>
    <row r="620" spans="1:2">
      <c r="A620" s="120" t="s">
        <v>762</v>
      </c>
      <c r="B620" s="121" t="s">
        <v>632</v>
      </c>
    </row>
    <row r="621" spans="1:2">
      <c r="A621" s="120" t="s">
        <v>763</v>
      </c>
      <c r="B621" s="121" t="s">
        <v>624</v>
      </c>
    </row>
    <row r="622" spans="1:2">
      <c r="A622" s="120" t="s">
        <v>764</v>
      </c>
      <c r="B622" s="121" t="s">
        <v>624</v>
      </c>
    </row>
    <row r="623" spans="1:2">
      <c r="A623" s="120" t="s">
        <v>83</v>
      </c>
      <c r="B623" s="121" t="s">
        <v>664</v>
      </c>
    </row>
    <row r="624" spans="1:2">
      <c r="A624" s="120" t="s">
        <v>174</v>
      </c>
      <c r="B624" s="121" t="s">
        <v>765</v>
      </c>
    </row>
    <row r="625" spans="1:2">
      <c r="A625" s="120" t="s">
        <v>766</v>
      </c>
      <c r="B625" s="121" t="s">
        <v>648</v>
      </c>
    </row>
    <row r="626" spans="1:2">
      <c r="A626" s="120" t="s">
        <v>256</v>
      </c>
      <c r="B626" s="121" t="s">
        <v>627</v>
      </c>
    </row>
    <row r="627" spans="1:2">
      <c r="A627" s="120" t="s">
        <v>55</v>
      </c>
      <c r="B627" s="121" t="s">
        <v>646</v>
      </c>
    </row>
    <row r="628" spans="1:2">
      <c r="A628" s="120" t="s">
        <v>245</v>
      </c>
      <c r="B628" s="121" t="s">
        <v>550</v>
      </c>
    </row>
    <row r="629" spans="1:2">
      <c r="A629" s="120" t="s">
        <v>767</v>
      </c>
      <c r="B629" s="121" t="s">
        <v>618</v>
      </c>
    </row>
    <row r="630" spans="1:2">
      <c r="A630" s="120" t="s">
        <v>768</v>
      </c>
      <c r="B630" s="121" t="s">
        <v>625</v>
      </c>
    </row>
    <row r="631" spans="1:2">
      <c r="A631" s="120" t="s">
        <v>243</v>
      </c>
      <c r="B631" s="121" t="s">
        <v>633</v>
      </c>
    </row>
    <row r="632" spans="1:2">
      <c r="A632" s="120" t="s">
        <v>256</v>
      </c>
      <c r="B632" s="121" t="s">
        <v>709</v>
      </c>
    </row>
    <row r="633" spans="1:2">
      <c r="A633" s="120" t="s">
        <v>86</v>
      </c>
      <c r="B633" s="121" t="s">
        <v>664</v>
      </c>
    </row>
    <row r="634" spans="1:2">
      <c r="A634" s="120" t="s">
        <v>195</v>
      </c>
      <c r="B634" s="121" t="s">
        <v>633</v>
      </c>
    </row>
    <row r="635" spans="1:2">
      <c r="A635" s="120" t="s">
        <v>145</v>
      </c>
      <c r="B635" s="121" t="s">
        <v>650</v>
      </c>
    </row>
    <row r="636" spans="1:2">
      <c r="A636" s="120" t="s">
        <v>193</v>
      </c>
      <c r="B636" s="121" t="s">
        <v>611</v>
      </c>
    </row>
    <row r="637" spans="1:2">
      <c r="A637" s="120" t="s">
        <v>153</v>
      </c>
      <c r="B637" s="121" t="s">
        <v>654</v>
      </c>
    </row>
    <row r="638" spans="1:2">
      <c r="A638" s="120" t="s">
        <v>769</v>
      </c>
      <c r="B638" s="121" t="s">
        <v>620</v>
      </c>
    </row>
    <row r="639" spans="1:2">
      <c r="A639" s="120" t="s">
        <v>770</v>
      </c>
      <c r="B639" s="121" t="s">
        <v>623</v>
      </c>
    </row>
    <row r="640" spans="1:2">
      <c r="A640" s="120" t="s">
        <v>771</v>
      </c>
      <c r="B640" s="121" t="s">
        <v>661</v>
      </c>
    </row>
    <row r="641" spans="1:2">
      <c r="A641" s="120" t="s">
        <v>772</v>
      </c>
      <c r="B641" s="121" t="s">
        <v>661</v>
      </c>
    </row>
    <row r="642" spans="1:2">
      <c r="A642" s="120" t="s">
        <v>249</v>
      </c>
      <c r="B642" s="121" t="s">
        <v>633</v>
      </c>
    </row>
    <row r="643" spans="1:2">
      <c r="A643" s="120" t="s">
        <v>184</v>
      </c>
      <c r="B643" s="121" t="s">
        <v>619</v>
      </c>
    </row>
    <row r="644" spans="1:2">
      <c r="A644" s="120" t="s">
        <v>147</v>
      </c>
      <c r="B644" s="121" t="s">
        <v>648</v>
      </c>
    </row>
    <row r="645" spans="1:2">
      <c r="A645" s="120" t="s">
        <v>91</v>
      </c>
      <c r="B645" s="121" t="s">
        <v>619</v>
      </c>
    </row>
    <row r="646" spans="1:2">
      <c r="A646" s="120" t="s">
        <v>246</v>
      </c>
      <c r="B646" s="121" t="s">
        <v>613</v>
      </c>
    </row>
    <row r="647" spans="1:2">
      <c r="A647" s="120" t="s">
        <v>224</v>
      </c>
      <c r="B647" s="121" t="s">
        <v>625</v>
      </c>
    </row>
    <row r="648" spans="1:2">
      <c r="A648" s="120" t="s">
        <v>276</v>
      </c>
      <c r="B648" s="121" t="s">
        <v>644</v>
      </c>
    </row>
    <row r="649" spans="1:2">
      <c r="A649" s="120" t="s">
        <v>239</v>
      </c>
      <c r="B649" s="121" t="s">
        <v>630</v>
      </c>
    </row>
    <row r="650" spans="1:2">
      <c r="A650" s="120" t="s">
        <v>773</v>
      </c>
      <c r="B650" s="121" t="s">
        <v>625</v>
      </c>
    </row>
    <row r="651" spans="1:2">
      <c r="A651" s="120" t="s">
        <v>231</v>
      </c>
      <c r="B651" s="121" t="s">
        <v>627</v>
      </c>
    </row>
    <row r="652" spans="1:2">
      <c r="A652" s="120" t="s">
        <v>722</v>
      </c>
      <c r="B652" s="121" t="s">
        <v>599</v>
      </c>
    </row>
    <row r="653" spans="1:2">
      <c r="A653" s="120" t="s">
        <v>78</v>
      </c>
      <c r="B653" s="121" t="s">
        <v>623</v>
      </c>
    </row>
    <row r="654" spans="1:2">
      <c r="A654" s="120" t="s">
        <v>199</v>
      </c>
      <c r="B654" s="121" t="s">
        <v>619</v>
      </c>
    </row>
    <row r="655" spans="1:2">
      <c r="A655" s="120" t="s">
        <v>178</v>
      </c>
      <c r="B655" s="121" t="s">
        <v>672</v>
      </c>
    </row>
    <row r="656" spans="1:2">
      <c r="A656" s="120" t="s">
        <v>217</v>
      </c>
      <c r="B656" s="121" t="s">
        <v>667</v>
      </c>
    </row>
    <row r="657" spans="1:2">
      <c r="A657" s="120" t="s">
        <v>226</v>
      </c>
      <c r="B657" s="121" t="s">
        <v>669</v>
      </c>
    </row>
    <row r="658" spans="1:2">
      <c r="A658" s="120" t="s">
        <v>265</v>
      </c>
      <c r="B658" s="121" t="s">
        <v>665</v>
      </c>
    </row>
    <row r="659" spans="1:2">
      <c r="A659" s="120" t="s">
        <v>271</v>
      </c>
      <c r="B659" s="121" t="s">
        <v>709</v>
      </c>
    </row>
    <row r="660" spans="1:2">
      <c r="A660" s="120" t="s">
        <v>110</v>
      </c>
      <c r="B660" s="121" t="s">
        <v>694</v>
      </c>
    </row>
    <row r="661" spans="1:2">
      <c r="A661" s="120" t="s">
        <v>89</v>
      </c>
      <c r="B661" s="121" t="s">
        <v>636</v>
      </c>
    </row>
    <row r="662" spans="1:2">
      <c r="A662" s="120" t="s">
        <v>110</v>
      </c>
      <c r="B662" s="121" t="s">
        <v>600</v>
      </c>
    </row>
    <row r="663" spans="1:2">
      <c r="A663" s="120" t="s">
        <v>119</v>
      </c>
      <c r="B663" s="121" t="s">
        <v>656</v>
      </c>
    </row>
    <row r="664" spans="1:2">
      <c r="A664" s="120" t="s">
        <v>125</v>
      </c>
      <c r="B664" s="121" t="s">
        <v>633</v>
      </c>
    </row>
    <row r="665" spans="1:2">
      <c r="A665" s="120" t="s">
        <v>774</v>
      </c>
      <c r="B665" s="121" t="s">
        <v>613</v>
      </c>
    </row>
    <row r="666" spans="1:2">
      <c r="A666" s="120" t="s">
        <v>260</v>
      </c>
      <c r="B666" s="121" t="s">
        <v>627</v>
      </c>
    </row>
    <row r="667" spans="1:2">
      <c r="A667" s="120" t="s">
        <v>161</v>
      </c>
      <c r="B667" s="121" t="s">
        <v>672</v>
      </c>
    </row>
    <row r="668" spans="1:2">
      <c r="A668" s="120" t="s">
        <v>160</v>
      </c>
      <c r="B668" s="121" t="s">
        <v>694</v>
      </c>
    </row>
    <row r="669" spans="1:2">
      <c r="A669" s="120" t="s">
        <v>228</v>
      </c>
      <c r="B669" s="121" t="s">
        <v>631</v>
      </c>
    </row>
    <row r="670" spans="1:2">
      <c r="A670" s="120" t="s">
        <v>231</v>
      </c>
      <c r="B670" s="121" t="s">
        <v>632</v>
      </c>
    </row>
    <row r="671" spans="1:2">
      <c r="A671" s="120" t="s">
        <v>107</v>
      </c>
      <c r="B671" s="121" t="s">
        <v>618</v>
      </c>
    </row>
    <row r="672" spans="1:2">
      <c r="A672" s="120" t="s">
        <v>115</v>
      </c>
      <c r="B672" s="121" t="s">
        <v>627</v>
      </c>
    </row>
    <row r="673" spans="1:2">
      <c r="A673" s="120" t="s">
        <v>116</v>
      </c>
      <c r="B673" s="121" t="s">
        <v>669</v>
      </c>
    </row>
    <row r="674" spans="1:2">
      <c r="A674" s="120" t="s">
        <v>117</v>
      </c>
      <c r="B674" s="121" t="s">
        <v>621</v>
      </c>
    </row>
    <row r="675" spans="1:2">
      <c r="A675" s="120" t="s">
        <v>97</v>
      </c>
      <c r="B675" s="121" t="s">
        <v>608</v>
      </c>
    </row>
    <row r="676" spans="1:2">
      <c r="A676" s="120" t="s">
        <v>101</v>
      </c>
      <c r="B676" s="121" t="s">
        <v>610</v>
      </c>
    </row>
    <row r="677" spans="1:2">
      <c r="A677" s="120" t="s">
        <v>271</v>
      </c>
      <c r="B677" s="121" t="s">
        <v>669</v>
      </c>
    </row>
    <row r="678" spans="1:2">
      <c r="A678" s="120" t="s">
        <v>97</v>
      </c>
      <c r="B678" s="121" t="s">
        <v>610</v>
      </c>
    </row>
    <row r="679" spans="1:2">
      <c r="A679" s="120" t="s">
        <v>81</v>
      </c>
      <c r="B679" s="121" t="s">
        <v>598</v>
      </c>
    </row>
    <row r="680" spans="1:2">
      <c r="A680" s="120" t="s">
        <v>63</v>
      </c>
      <c r="B680" s="121" t="s">
        <v>667</v>
      </c>
    </row>
    <row r="681" spans="1:2">
      <c r="A681" s="120" t="s">
        <v>57</v>
      </c>
      <c r="B681" s="121" t="s">
        <v>632</v>
      </c>
    </row>
    <row r="682" spans="1:2">
      <c r="A682" s="120" t="s">
        <v>226</v>
      </c>
      <c r="B682" s="121" t="s">
        <v>709</v>
      </c>
    </row>
    <row r="683" spans="1:2">
      <c r="A683" s="120" t="s">
        <v>775</v>
      </c>
      <c r="B683" s="121" t="s">
        <v>662</v>
      </c>
    </row>
    <row r="684" spans="1:2">
      <c r="A684" s="120" t="s">
        <v>97</v>
      </c>
      <c r="B684" s="121" t="s">
        <v>617</v>
      </c>
    </row>
    <row r="685" spans="1:2">
      <c r="A685" s="120" t="s">
        <v>695</v>
      </c>
      <c r="B685" s="121" t="s">
        <v>674</v>
      </c>
    </row>
    <row r="686" spans="1:2">
      <c r="A686" s="120" t="s">
        <v>69</v>
      </c>
      <c r="B686" s="121" t="s">
        <v>633</v>
      </c>
    </row>
    <row r="687" spans="1:2">
      <c r="A687" s="120" t="s">
        <v>692</v>
      </c>
      <c r="B687" s="121" t="s">
        <v>632</v>
      </c>
    </row>
    <row r="688" spans="1:2">
      <c r="A688" s="120" t="s">
        <v>101</v>
      </c>
      <c r="B688" s="121" t="s">
        <v>669</v>
      </c>
    </row>
    <row r="689" spans="1:2">
      <c r="A689" s="120" t="s">
        <v>120</v>
      </c>
      <c r="B689" s="121" t="s">
        <v>643</v>
      </c>
    </row>
    <row r="690" spans="1:2">
      <c r="A690" s="120" t="s">
        <v>121</v>
      </c>
      <c r="B690" s="121" t="s">
        <v>670</v>
      </c>
    </row>
    <row r="691" spans="1:2">
      <c r="A691" s="120" t="s">
        <v>739</v>
      </c>
      <c r="B691" s="121" t="s">
        <v>665</v>
      </c>
    </row>
    <row r="692" spans="1:2">
      <c r="A692" s="120" t="s">
        <v>161</v>
      </c>
      <c r="B692" s="121" t="s">
        <v>639</v>
      </c>
    </row>
    <row r="693" spans="1:2">
      <c r="A693" s="120" t="s">
        <v>776</v>
      </c>
      <c r="B693" s="121" t="s">
        <v>754</v>
      </c>
    </row>
    <row r="694" spans="1:2">
      <c r="A694" s="120" t="s">
        <v>217</v>
      </c>
      <c r="B694" s="121" t="s">
        <v>636</v>
      </c>
    </row>
    <row r="695" spans="1:2">
      <c r="A695" s="120" t="s">
        <v>228</v>
      </c>
      <c r="B695" s="121" t="s">
        <v>603</v>
      </c>
    </row>
    <row r="696" spans="1:2">
      <c r="A696" s="120" t="s">
        <v>266</v>
      </c>
      <c r="B696" s="121" t="s">
        <v>624</v>
      </c>
    </row>
    <row r="697" spans="1:2">
      <c r="A697" s="120" t="s">
        <v>267</v>
      </c>
      <c r="B697" s="121" t="s">
        <v>633</v>
      </c>
    </row>
    <row r="698" spans="1:2">
      <c r="A698" s="120" t="s">
        <v>285</v>
      </c>
      <c r="B698" s="121" t="s">
        <v>623</v>
      </c>
    </row>
    <row r="699" spans="1:2">
      <c r="A699" s="120" t="s">
        <v>777</v>
      </c>
      <c r="B699" s="121" t="s">
        <v>709</v>
      </c>
    </row>
    <row r="700" spans="1:2">
      <c r="A700" s="120" t="s">
        <v>159</v>
      </c>
      <c r="B700" s="121" t="s">
        <v>599</v>
      </c>
    </row>
    <row r="701" spans="1:2">
      <c r="A701" s="120" t="s">
        <v>160</v>
      </c>
      <c r="B701" s="121" t="s">
        <v>655</v>
      </c>
    </row>
    <row r="702" spans="1:2">
      <c r="A702" s="120" t="s">
        <v>226</v>
      </c>
      <c r="B702" s="121" t="s">
        <v>622</v>
      </c>
    </row>
    <row r="703" spans="1:2">
      <c r="A703" s="120" t="s">
        <v>217</v>
      </c>
      <c r="B703" s="121" t="s">
        <v>648</v>
      </c>
    </row>
    <row r="704" spans="1:2">
      <c r="A704" s="120" t="s">
        <v>53</v>
      </c>
      <c r="B704" s="121" t="s">
        <v>550</v>
      </c>
    </row>
    <row r="705" spans="1:2">
      <c r="A705" s="120" t="s">
        <v>228</v>
      </c>
      <c r="B705" s="121" t="s">
        <v>628</v>
      </c>
    </row>
    <row r="706" spans="1:2">
      <c r="A706" s="120" t="s">
        <v>778</v>
      </c>
      <c r="B706" s="121" t="s">
        <v>638</v>
      </c>
    </row>
    <row r="707" spans="1:2">
      <c r="A707" s="120" t="s">
        <v>161</v>
      </c>
      <c r="B707" s="121" t="s">
        <v>667</v>
      </c>
    </row>
    <row r="708" spans="1:2">
      <c r="A708" s="120" t="s">
        <v>226</v>
      </c>
      <c r="B708" s="121" t="s">
        <v>689</v>
      </c>
    </row>
    <row r="709" spans="1:2">
      <c r="A709" s="120" t="s">
        <v>773</v>
      </c>
      <c r="B709" s="121" t="s">
        <v>648</v>
      </c>
    </row>
    <row r="710" spans="1:2">
      <c r="A710" s="120" t="s">
        <v>269</v>
      </c>
      <c r="B710" s="121" t="s">
        <v>625</v>
      </c>
    </row>
    <row r="711" spans="1:2">
      <c r="A711" s="120" t="s">
        <v>96</v>
      </c>
      <c r="B711" s="121" t="s">
        <v>632</v>
      </c>
    </row>
    <row r="712" spans="1:2">
      <c r="A712" s="120" t="s">
        <v>217</v>
      </c>
      <c r="B712" s="121" t="s">
        <v>632</v>
      </c>
    </row>
    <row r="713" spans="1:2">
      <c r="A713" s="120" t="s">
        <v>245</v>
      </c>
      <c r="B713" s="121" t="s">
        <v>664</v>
      </c>
    </row>
    <row r="714" spans="1:2">
      <c r="A714" s="120" t="s">
        <v>121</v>
      </c>
      <c r="B714" s="121" t="s">
        <v>733</v>
      </c>
    </row>
    <row r="715" spans="1:2">
      <c r="A715" s="120" t="s">
        <v>740</v>
      </c>
      <c r="B715" s="121" t="s">
        <v>729</v>
      </c>
    </row>
    <row r="716" spans="1:2">
      <c r="A716" s="120" t="s">
        <v>83</v>
      </c>
      <c r="B716" s="121" t="s">
        <v>632</v>
      </c>
    </row>
    <row r="717" spans="1:2">
      <c r="A717" s="120" t="s">
        <v>265</v>
      </c>
      <c r="B717" s="121" t="s">
        <v>667</v>
      </c>
    </row>
    <row r="718" spans="1:2">
      <c r="A718" s="120" t="s">
        <v>779</v>
      </c>
      <c r="B718" s="121" t="s">
        <v>633</v>
      </c>
    </row>
    <row r="719" spans="1:2">
      <c r="A719" s="120" t="s">
        <v>178</v>
      </c>
      <c r="B719" s="121" t="s">
        <v>733</v>
      </c>
    </row>
    <row r="720" spans="1:2">
      <c r="A720" s="120" t="s">
        <v>91</v>
      </c>
      <c r="B720" s="121" t="s">
        <v>601</v>
      </c>
    </row>
    <row r="721" spans="1:2">
      <c r="A721" s="120" t="s">
        <v>185</v>
      </c>
      <c r="B721" s="121" t="s">
        <v>671</v>
      </c>
    </row>
    <row r="722" spans="1:2">
      <c r="A722" s="120" t="s">
        <v>247</v>
      </c>
      <c r="B722" s="121" t="s">
        <v>622</v>
      </c>
    </row>
    <row r="723" spans="1:2">
      <c r="A723" s="120" t="s">
        <v>256</v>
      </c>
      <c r="B723" s="121" t="s">
        <v>672</v>
      </c>
    </row>
    <row r="724" spans="1:2">
      <c r="A724" s="120" t="s">
        <v>289</v>
      </c>
      <c r="B724" s="121" t="s">
        <v>658</v>
      </c>
    </row>
    <row r="725" spans="1:2">
      <c r="A725" s="120" t="s">
        <v>188</v>
      </c>
      <c r="B725" s="121" t="s">
        <v>613</v>
      </c>
    </row>
    <row r="726" spans="1:2">
      <c r="A726" s="120" t="s">
        <v>246</v>
      </c>
      <c r="B726" s="121" t="s">
        <v>736</v>
      </c>
    </row>
    <row r="727" spans="1:2">
      <c r="A727" s="120" t="s">
        <v>221</v>
      </c>
      <c r="B727" s="121" t="s">
        <v>698</v>
      </c>
    </row>
    <row r="728" spans="1:2">
      <c r="A728" s="120" t="s">
        <v>231</v>
      </c>
      <c r="B728" s="121" t="s">
        <v>620</v>
      </c>
    </row>
    <row r="729" spans="1:2">
      <c r="A729" s="120" t="s">
        <v>161</v>
      </c>
      <c r="B729" s="121" t="s">
        <v>633</v>
      </c>
    </row>
    <row r="730" spans="1:2">
      <c r="A730" s="120" t="s">
        <v>756</v>
      </c>
      <c r="B730" s="121" t="s">
        <v>631</v>
      </c>
    </row>
    <row r="731" spans="1:2">
      <c r="A731" s="120" t="s">
        <v>66</v>
      </c>
      <c r="B731" s="121" t="s">
        <v>613</v>
      </c>
    </row>
    <row r="732" spans="1:2">
      <c r="A732" s="120" t="s">
        <v>292</v>
      </c>
      <c r="B732" s="121" t="s">
        <v>608</v>
      </c>
    </row>
    <row r="733" spans="1:2">
      <c r="A733" s="120" t="s">
        <v>221</v>
      </c>
      <c r="B733" s="121" t="s">
        <v>651</v>
      </c>
    </row>
    <row r="734" spans="1:2">
      <c r="A734" s="120" t="s">
        <v>292</v>
      </c>
      <c r="B734" s="121" t="s">
        <v>610</v>
      </c>
    </row>
    <row r="735" spans="1:2">
      <c r="A735" s="120" t="s">
        <v>84</v>
      </c>
      <c r="B735" s="121" t="s">
        <v>597</v>
      </c>
    </row>
    <row r="736" spans="1:2">
      <c r="A736" s="120" t="s">
        <v>104</v>
      </c>
      <c r="B736" s="121" t="s">
        <v>677</v>
      </c>
    </row>
    <row r="737" spans="1:2">
      <c r="A737" s="120" t="s">
        <v>108</v>
      </c>
      <c r="B737" s="121" t="s">
        <v>648</v>
      </c>
    </row>
    <row r="738" spans="1:2">
      <c r="A738" s="120" t="s">
        <v>246</v>
      </c>
      <c r="B738" s="121" t="s">
        <v>627</v>
      </c>
    </row>
    <row r="739" spans="1:2">
      <c r="A739" s="120" t="s">
        <v>107</v>
      </c>
      <c r="B739" s="121" t="s">
        <v>617</v>
      </c>
    </row>
    <row r="740" spans="1:2">
      <c r="A740" s="120" t="s">
        <v>247</v>
      </c>
      <c r="B740" s="121" t="s">
        <v>635</v>
      </c>
    </row>
    <row r="741" spans="1:2">
      <c r="A741" s="120" t="s">
        <v>301</v>
      </c>
      <c r="B741" s="121" t="s">
        <v>674</v>
      </c>
    </row>
    <row r="742" spans="1:2">
      <c r="A742" s="120" t="s">
        <v>104</v>
      </c>
      <c r="B742" s="121" t="s">
        <v>620</v>
      </c>
    </row>
    <row r="743" spans="1:2">
      <c r="A743" s="120" t="s">
        <v>160</v>
      </c>
      <c r="B743" s="121" t="s">
        <v>644</v>
      </c>
    </row>
    <row r="744" spans="1:2">
      <c r="A744" s="120" t="s">
        <v>261</v>
      </c>
      <c r="B744" s="121" t="s">
        <v>624</v>
      </c>
    </row>
    <row r="745" spans="1:2">
      <c r="A745" s="120" t="s">
        <v>74</v>
      </c>
      <c r="B745" s="121" t="s">
        <v>618</v>
      </c>
    </row>
    <row r="746" spans="1:2">
      <c r="A746" s="120" t="s">
        <v>104</v>
      </c>
      <c r="B746" s="121" t="s">
        <v>602</v>
      </c>
    </row>
    <row r="747" spans="1:2">
      <c r="A747" s="120" t="s">
        <v>114</v>
      </c>
      <c r="B747" s="121" t="s">
        <v>620</v>
      </c>
    </row>
    <row r="748" spans="1:2">
      <c r="A748" s="120" t="s">
        <v>113</v>
      </c>
      <c r="B748" s="121" t="s">
        <v>602</v>
      </c>
    </row>
    <row r="749" spans="1:2">
      <c r="A749" s="120" t="s">
        <v>114</v>
      </c>
      <c r="B749" s="121" t="s">
        <v>661</v>
      </c>
    </row>
    <row r="750" spans="1:2">
      <c r="A750" s="120" t="s">
        <v>125</v>
      </c>
      <c r="B750" s="121" t="s">
        <v>624</v>
      </c>
    </row>
    <row r="751" spans="1:2">
      <c r="A751" s="120" t="s">
        <v>65</v>
      </c>
      <c r="B751" s="121" t="s">
        <v>623</v>
      </c>
    </row>
    <row r="752" spans="1:2">
      <c r="A752" s="120" t="s">
        <v>221</v>
      </c>
      <c r="B752" s="121" t="s">
        <v>684</v>
      </c>
    </row>
    <row r="753" spans="1:2">
      <c r="A753" s="120" t="s">
        <v>230</v>
      </c>
      <c r="B753" s="121" t="s">
        <v>635</v>
      </c>
    </row>
    <row r="754" spans="1:2">
      <c r="A754" s="120" t="s">
        <v>233</v>
      </c>
      <c r="B754" s="121" t="s">
        <v>673</v>
      </c>
    </row>
    <row r="755" spans="1:2">
      <c r="A755" s="120" t="s">
        <v>723</v>
      </c>
      <c r="B755" s="121" t="s">
        <v>662</v>
      </c>
    </row>
    <row r="756" spans="1:2">
      <c r="A756" s="120" t="s">
        <v>248</v>
      </c>
      <c r="B756" s="121" t="s">
        <v>621</v>
      </c>
    </row>
    <row r="757" spans="1:2">
      <c r="A757" s="120" t="s">
        <v>95</v>
      </c>
      <c r="B757" s="121" t="s">
        <v>633</v>
      </c>
    </row>
    <row r="758" spans="1:2">
      <c r="A758" s="120" t="s">
        <v>750</v>
      </c>
      <c r="B758" s="121" t="s">
        <v>743</v>
      </c>
    </row>
    <row r="759" spans="1:2">
      <c r="A759" s="120" t="s">
        <v>723</v>
      </c>
      <c r="B759" s="121" t="s">
        <v>600</v>
      </c>
    </row>
    <row r="760" spans="1:2">
      <c r="A760" s="120" t="s">
        <v>265</v>
      </c>
      <c r="B760" s="121" t="s">
        <v>602</v>
      </c>
    </row>
    <row r="761" spans="1:2">
      <c r="A761" s="120" t="s">
        <v>267</v>
      </c>
      <c r="B761" s="121" t="s">
        <v>780</v>
      </c>
    </row>
    <row r="762" spans="1:2">
      <c r="A762" s="120" t="s">
        <v>53</v>
      </c>
      <c r="B762" s="121" t="s">
        <v>610</v>
      </c>
    </row>
    <row r="763" spans="1:2">
      <c r="A763" s="120" t="s">
        <v>266</v>
      </c>
      <c r="B763" s="121" t="s">
        <v>622</v>
      </c>
    </row>
    <row r="764" spans="1:2">
      <c r="A764" s="120" t="s">
        <v>197</v>
      </c>
      <c r="B764" s="121" t="s">
        <v>631</v>
      </c>
    </row>
    <row r="765" spans="1:2">
      <c r="A765" s="120" t="s">
        <v>198</v>
      </c>
      <c r="B765" s="121" t="s">
        <v>623</v>
      </c>
    </row>
    <row r="766" spans="1:2">
      <c r="A766" s="120" t="s">
        <v>69</v>
      </c>
      <c r="B766" s="121" t="s">
        <v>632</v>
      </c>
    </row>
    <row r="767" spans="1:2">
      <c r="A767" s="120" t="s">
        <v>210</v>
      </c>
      <c r="B767" s="121" t="s">
        <v>633</v>
      </c>
    </row>
    <row r="768" spans="1:2">
      <c r="A768" s="120" t="s">
        <v>781</v>
      </c>
      <c r="B768" s="121" t="s">
        <v>621</v>
      </c>
    </row>
    <row r="769" spans="1:2">
      <c r="A769" s="120" t="s">
        <v>723</v>
      </c>
      <c r="B769" s="121" t="s">
        <v>612</v>
      </c>
    </row>
    <row r="770" spans="1:2">
      <c r="A770" s="120" t="s">
        <v>120</v>
      </c>
      <c r="B770" s="121" t="s">
        <v>629</v>
      </c>
    </row>
    <row r="771" spans="1:2">
      <c r="A771" s="120" t="s">
        <v>276</v>
      </c>
      <c r="B771" s="121" t="s">
        <v>668</v>
      </c>
    </row>
    <row r="772" spans="1:2">
      <c r="A772" s="120" t="s">
        <v>782</v>
      </c>
      <c r="B772" s="121" t="s">
        <v>643</v>
      </c>
    </row>
    <row r="773" spans="1:2">
      <c r="A773" s="120" t="s">
        <v>142</v>
      </c>
      <c r="B773" s="121" t="s">
        <v>623</v>
      </c>
    </row>
    <row r="774" spans="1:2">
      <c r="A774" s="120" t="s">
        <v>217</v>
      </c>
      <c r="B774" s="121" t="s">
        <v>672</v>
      </c>
    </row>
    <row r="775" spans="1:2">
      <c r="A775" s="120" t="s">
        <v>104</v>
      </c>
      <c r="B775" s="121" t="s">
        <v>640</v>
      </c>
    </row>
    <row r="776" spans="1:2">
      <c r="A776" s="120" t="s">
        <v>104</v>
      </c>
      <c r="B776" s="121" t="s">
        <v>641</v>
      </c>
    </row>
    <row r="777" spans="1:2">
      <c r="A777" s="120" t="s">
        <v>292</v>
      </c>
      <c r="B777" s="121" t="s">
        <v>626</v>
      </c>
    </row>
    <row r="778" spans="1:2">
      <c r="A778" s="120" t="s">
        <v>221</v>
      </c>
      <c r="B778" s="121" t="s">
        <v>632</v>
      </c>
    </row>
    <row r="779" spans="1:2">
      <c r="A779" s="120" t="s">
        <v>292</v>
      </c>
      <c r="B779" s="121" t="s">
        <v>598</v>
      </c>
    </row>
    <row r="780" spans="1:2">
      <c r="A780" s="120" t="s">
        <v>69</v>
      </c>
      <c r="B780" s="121" t="s">
        <v>636</v>
      </c>
    </row>
    <row r="781" spans="1:2">
      <c r="A781" s="120" t="s">
        <v>119</v>
      </c>
      <c r="B781" s="121" t="s">
        <v>620</v>
      </c>
    </row>
    <row r="782" spans="1:2">
      <c r="A782" s="120" t="s">
        <v>99</v>
      </c>
      <c r="B782" s="121" t="s">
        <v>633</v>
      </c>
    </row>
    <row r="783" spans="1:2">
      <c r="A783" s="120" t="s">
        <v>238</v>
      </c>
      <c r="B783" s="121" t="s">
        <v>640</v>
      </c>
    </row>
    <row r="784" spans="1:2">
      <c r="A784" s="120" t="s">
        <v>195</v>
      </c>
      <c r="B784" s="121" t="s">
        <v>632</v>
      </c>
    </row>
    <row r="785" spans="1:2">
      <c r="A785" s="120" t="s">
        <v>119</v>
      </c>
      <c r="B785" s="121" t="s">
        <v>598</v>
      </c>
    </row>
    <row r="786" spans="1:2">
      <c r="A786" s="120" t="s">
        <v>271</v>
      </c>
      <c r="B786" s="121" t="s">
        <v>626</v>
      </c>
    </row>
    <row r="787" spans="1:2">
      <c r="A787" s="120" t="s">
        <v>178</v>
      </c>
      <c r="B787" s="121" t="s">
        <v>754</v>
      </c>
    </row>
    <row r="788" spans="1:2">
      <c r="A788" s="120" t="s">
        <v>224</v>
      </c>
      <c r="B788" s="121" t="s">
        <v>630</v>
      </c>
    </row>
    <row r="789" spans="1:2">
      <c r="A789" s="120" t="s">
        <v>235</v>
      </c>
      <c r="B789" s="121" t="s">
        <v>618</v>
      </c>
    </row>
    <row r="790" spans="1:2">
      <c r="A790" s="120" t="s">
        <v>97</v>
      </c>
      <c r="B790" s="121" t="s">
        <v>629</v>
      </c>
    </row>
    <row r="791" spans="1:2">
      <c r="A791" s="120" t="s">
        <v>187</v>
      </c>
      <c r="B791" s="121" t="s">
        <v>660</v>
      </c>
    </row>
    <row r="792" spans="1:2">
      <c r="A792" s="120" t="s">
        <v>103</v>
      </c>
      <c r="B792" s="121" t="s">
        <v>632</v>
      </c>
    </row>
    <row r="793" spans="1:2">
      <c r="A793" s="120" t="s">
        <v>63</v>
      </c>
      <c r="B793" s="121" t="s">
        <v>623</v>
      </c>
    </row>
    <row r="794" spans="1:2">
      <c r="A794" s="120" t="s">
        <v>121</v>
      </c>
      <c r="B794" s="121" t="s">
        <v>612</v>
      </c>
    </row>
    <row r="795" spans="1:2">
      <c r="A795" s="120" t="s">
        <v>138</v>
      </c>
      <c r="B795" s="121" t="s">
        <v>611</v>
      </c>
    </row>
    <row r="796" spans="1:2">
      <c r="A796" s="120" t="s">
        <v>97</v>
      </c>
      <c r="B796" s="121" t="s">
        <v>613</v>
      </c>
    </row>
    <row r="797" spans="1:2">
      <c r="A797" s="120" t="s">
        <v>84</v>
      </c>
      <c r="B797" s="121" t="s">
        <v>754</v>
      </c>
    </row>
    <row r="798" spans="1:2">
      <c r="A798" s="120" t="s">
        <v>185</v>
      </c>
      <c r="B798" s="121" t="s">
        <v>629</v>
      </c>
    </row>
    <row r="799" spans="1:2">
      <c r="A799" s="120" t="s">
        <v>201</v>
      </c>
      <c r="B799" s="121" t="s">
        <v>623</v>
      </c>
    </row>
    <row r="800" spans="1:2">
      <c r="A800" s="120" t="s">
        <v>84</v>
      </c>
      <c r="B800" s="121" t="s">
        <v>619</v>
      </c>
    </row>
    <row r="801" spans="1:2">
      <c r="A801" s="120" t="s">
        <v>69</v>
      </c>
      <c r="B801" s="121" t="s">
        <v>619</v>
      </c>
    </row>
    <row r="802" spans="1:2">
      <c r="A802" s="120" t="s">
        <v>92</v>
      </c>
      <c r="B802" s="121" t="s">
        <v>633</v>
      </c>
    </row>
    <row r="803" spans="1:2">
      <c r="A803" s="120" t="s">
        <v>81</v>
      </c>
      <c r="B803" s="121" t="s">
        <v>613</v>
      </c>
    </row>
    <row r="804" spans="1:2">
      <c r="A804" s="120" t="s">
        <v>178</v>
      </c>
      <c r="B804" s="121" t="s">
        <v>667</v>
      </c>
    </row>
    <row r="805" spans="1:2">
      <c r="A805" s="120" t="s">
        <v>79</v>
      </c>
      <c r="B805" s="121" t="s">
        <v>625</v>
      </c>
    </row>
    <row r="806" spans="1:2">
      <c r="A806" s="120" t="s">
        <v>69</v>
      </c>
      <c r="B806" s="121" t="s">
        <v>624</v>
      </c>
    </row>
    <row r="807" spans="1:2">
      <c r="A807" s="120" t="s">
        <v>113</v>
      </c>
      <c r="B807" s="121" t="s">
        <v>633</v>
      </c>
    </row>
    <row r="808" spans="1:2">
      <c r="A808" s="120" t="s">
        <v>135</v>
      </c>
      <c r="B808" s="121" t="s">
        <v>611</v>
      </c>
    </row>
    <row r="809" spans="1:2">
      <c r="A809" s="120" t="s">
        <v>63</v>
      </c>
      <c r="B809" s="121" t="s">
        <v>620</v>
      </c>
    </row>
    <row r="810" spans="1:2">
      <c r="A810" s="120" t="s">
        <v>101</v>
      </c>
      <c r="B810" s="121" t="s">
        <v>598</v>
      </c>
    </row>
    <row r="811" spans="1:2">
      <c r="A811" s="120" t="s">
        <v>105</v>
      </c>
      <c r="B811" s="121" t="s">
        <v>620</v>
      </c>
    </row>
    <row r="812" spans="1:2">
      <c r="A812" s="120" t="s">
        <v>783</v>
      </c>
      <c r="B812" s="121" t="s">
        <v>608</v>
      </c>
    </row>
    <row r="813" spans="1:2">
      <c r="A813" s="120" t="s">
        <v>94</v>
      </c>
      <c r="B813" s="121" t="s">
        <v>660</v>
      </c>
    </row>
    <row r="814" spans="1:2">
      <c r="A814" s="120" t="s">
        <v>92</v>
      </c>
      <c r="B814" s="121" t="s">
        <v>607</v>
      </c>
    </row>
    <row r="815" spans="1:2">
      <c r="A815" s="120" t="s">
        <v>95</v>
      </c>
      <c r="B815" s="121" t="s">
        <v>636</v>
      </c>
    </row>
    <row r="816" spans="1:2">
      <c r="A816" s="120" t="s">
        <v>66</v>
      </c>
      <c r="B816" s="121" t="s">
        <v>632</v>
      </c>
    </row>
    <row r="817" spans="1:2">
      <c r="A817" s="120" t="s">
        <v>181</v>
      </c>
      <c r="B817" s="121" t="s">
        <v>636</v>
      </c>
    </row>
    <row r="818" spans="1:2">
      <c r="A818" s="120" t="s">
        <v>113</v>
      </c>
      <c r="B818" s="121" t="s">
        <v>620</v>
      </c>
    </row>
    <row r="819" spans="1:2">
      <c r="A819" s="120" t="s">
        <v>240</v>
      </c>
      <c r="B819" s="121" t="s">
        <v>606</v>
      </c>
    </row>
    <row r="820" spans="1:2">
      <c r="A820" s="120" t="s">
        <v>99</v>
      </c>
      <c r="B820" s="121" t="s">
        <v>632</v>
      </c>
    </row>
    <row r="821" spans="1:2">
      <c r="A821" s="120" t="s">
        <v>187</v>
      </c>
      <c r="B821" s="121" t="s">
        <v>615</v>
      </c>
    </row>
  </sheetData>
  <autoFilter ref="A1:B1" xr:uid="{00000000-0001-0000-0400-000000000000}"/>
  <conditionalFormatting sqref="D2:D18">
    <cfRule type="expression" dxfId="3" priority="2">
      <formula>NOT(COUNTBLANK($A2:$AK2)&gt;=40)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827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827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827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827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827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827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3" t="s">
        <v>556</v>
      </c>
      <c r="C20" s="164"/>
      <c r="D20" s="164"/>
      <c r="E20" s="164"/>
      <c r="F20" s="164"/>
      <c r="G20" s="164"/>
      <c r="H20" s="164"/>
      <c r="I20" s="164"/>
      <c r="J20" s="165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topLeftCell="L1" workbookViewId="0">
      <pane ySplit="1" topLeftCell="A2" activePane="bottomLeft" state="frozen"/>
      <selection pane="bottomLeft" activeCell="V9" sqref="V9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9" customWidth="1"/>
    <col min="4" max="4" width="92.7109375" style="109" customWidth="1"/>
    <col min="5" max="5" width="13.5703125" style="109" customWidth="1"/>
    <col min="6" max="6" width="6.85546875" style="110" customWidth="1"/>
    <col min="7" max="7" width="19.7109375" style="109" bestFit="1" customWidth="1"/>
    <col min="8" max="8" width="11.7109375" style="109" customWidth="1"/>
    <col min="9" max="9" width="75.42578125" style="109" bestFit="1" customWidth="1"/>
    <col min="10" max="11" width="9.7109375" style="109" customWidth="1"/>
    <col min="12" max="12" width="16" style="109" customWidth="1"/>
    <col min="13" max="16" width="9.7109375" style="109" customWidth="1"/>
    <col min="17" max="17" width="14.7109375" style="109" customWidth="1"/>
    <col min="18" max="18" width="9.7109375" style="109" customWidth="1"/>
    <col min="19" max="20" width="15.28515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9" width="9.140625" style="49"/>
    <col min="40" max="16384" width="9.140625" style="51"/>
  </cols>
  <sheetData>
    <row r="1" spans="1:32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7" t="s">
        <v>784</v>
      </c>
      <c r="X1" s="79" t="s">
        <v>557</v>
      </c>
      <c r="Y1" s="77">
        <f>MAX(Y2:Y6000)</f>
        <v>31</v>
      </c>
      <c r="Z1" s="77"/>
      <c r="AA1" s="77" t="str">
        <f>RIGHT(TEXT(MAX(AA2:AA6000),"###"),3)</f>
        <v>320</v>
      </c>
      <c r="AB1" s="78" t="str">
        <f>RIGHT("000"&amp;Y1,2)&amp;"-"&amp;RIGHT("000"&amp;AA1,3)</f>
        <v>31-320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31-321-</v>
      </c>
      <c r="AE1" s="80" t="s">
        <v>583</v>
      </c>
      <c r="AF1" s="113" t="str">
        <f>L2</f>
        <v>Betmar</v>
      </c>
    </row>
    <row r="2" spans="1:32">
      <c r="A2" s="83" t="str">
        <f>IF(G2&amp;Q2&lt;&gt;"",S2&amp;Q2,"")</f>
        <v>B1134Hwhite</v>
      </c>
      <c r="B2" s="83" t="str">
        <f>IF(C2&lt;&gt;"",LEFT(C2,9),"")</f>
        <v>31-064-17</v>
      </c>
      <c r="C2" s="109" t="s">
        <v>942</v>
      </c>
      <c r="D2" s="109" t="s">
        <v>943</v>
      </c>
      <c r="E2" s="109" t="s">
        <v>793</v>
      </c>
      <c r="F2" s="110">
        <v>0</v>
      </c>
      <c r="G2" s="109" t="s">
        <v>944</v>
      </c>
      <c r="H2" s="109" t="s">
        <v>57</v>
      </c>
      <c r="I2" s="109" t="s">
        <v>945</v>
      </c>
      <c r="J2" s="109" t="s">
        <v>323</v>
      </c>
      <c r="K2" s="109" t="s">
        <v>387</v>
      </c>
      <c r="L2" s="109" t="s">
        <v>523</v>
      </c>
      <c r="M2" s="109" t="s">
        <v>384</v>
      </c>
      <c r="N2" s="109" t="s">
        <v>36</v>
      </c>
      <c r="O2" s="109" t="s">
        <v>386</v>
      </c>
      <c r="P2" s="109" t="s">
        <v>827</v>
      </c>
      <c r="Q2" s="109" t="s">
        <v>840</v>
      </c>
      <c r="R2" s="109" t="s">
        <v>57</v>
      </c>
      <c r="S2" s="83" t="str">
        <f>IF(G2&lt;&gt;"",IF(FIND(" ",G2)&gt;=1,MID(G2,1,FIND(" ",G2)-1),G2),"")</f>
        <v>B1134H</v>
      </c>
      <c r="T2" s="83" t="str">
        <f t="shared" ref="T2:T65" si="0">IF(A2&lt;&gt;"",IF(FIND(" ",G2)&gt;=1,MID(G2,FIND(" ",G2)+1,LEN(G2)),""),"")</f>
        <v>RAMONA</v>
      </c>
      <c r="Y2" s="60">
        <f>IFERROR(VALUE(MID($C2,1,2)),0)</f>
        <v>31</v>
      </c>
      <c r="Z2" s="49">
        <f t="shared" ref="Z2:Z66" si="1">IFERROR(VALUE(MID($C2,4,3)),0)</f>
        <v>64</v>
      </c>
      <c r="AA2" s="60">
        <f>VALUE(RIGHT("00"&amp;Y2,2)&amp;RIGHT("000"&amp;Z2,3))</f>
        <v>31064</v>
      </c>
    </row>
    <row r="3" spans="1:32">
      <c r="A3" s="83" t="str">
        <f t="shared" ref="A3:A66" si="2">IF(G3&amp;Q3&lt;&gt;"",S3&amp;Q3,"")</f>
        <v>B1431Hwhite.yellow</v>
      </c>
      <c r="B3" s="83" t="str">
        <f t="shared" ref="B3:B66" si="3">IF(C3&lt;&gt;"",LEFT(C3,9),"")</f>
        <v>31-078-20</v>
      </c>
      <c r="C3" s="109" t="s">
        <v>946</v>
      </c>
      <c r="D3" s="109" t="s">
        <v>947</v>
      </c>
      <c r="E3" s="109" t="s">
        <v>793</v>
      </c>
      <c r="F3" s="110">
        <v>0</v>
      </c>
      <c r="G3" s="109" t="s">
        <v>948</v>
      </c>
      <c r="H3" s="109" t="s">
        <v>108</v>
      </c>
      <c r="I3" s="109" t="s">
        <v>945</v>
      </c>
      <c r="J3" s="109" t="s">
        <v>323</v>
      </c>
      <c r="K3" s="109" t="s">
        <v>387</v>
      </c>
      <c r="L3" s="109" t="s">
        <v>523</v>
      </c>
      <c r="M3" s="109" t="s">
        <v>384</v>
      </c>
      <c r="N3" s="109" t="s">
        <v>36</v>
      </c>
      <c r="O3" s="109" t="s">
        <v>386</v>
      </c>
      <c r="P3" s="109" t="s">
        <v>826</v>
      </c>
      <c r="Q3" s="109" t="s">
        <v>949</v>
      </c>
      <c r="R3" s="109" t="s">
        <v>57</v>
      </c>
      <c r="S3" s="83" t="str">
        <f t="shared" ref="S3:S66" si="4">IF(G3&lt;&gt;"",IF(FIND(" ",G3)&gt;=1,MID(G3,1,FIND(" ",G3)-1),G3),"")</f>
        <v>B1431H</v>
      </c>
      <c r="T3" s="83" t="str">
        <f t="shared" si="0"/>
        <v>DEMETRIA</v>
      </c>
      <c r="Y3" s="60">
        <f t="shared" ref="Y3:Y66" si="5">IFERROR(VALUE(MID($C3,1,2)),0)</f>
        <v>31</v>
      </c>
      <c r="Z3" s="49">
        <f t="shared" si="1"/>
        <v>78</v>
      </c>
      <c r="AA3" s="60">
        <f t="shared" ref="AA3:AA66" si="6">VALUE(RIGHT("00"&amp;Y3,2)&amp;RIGHT("000"&amp;Z3,3))</f>
        <v>31078</v>
      </c>
    </row>
    <row r="4" spans="1:32">
      <c r="A4" s="83" t="str">
        <f t="shared" si="2"/>
        <v>B1449Hivory</v>
      </c>
      <c r="B4" s="83" t="str">
        <f t="shared" si="3"/>
        <v>31-081-36</v>
      </c>
      <c r="C4" s="109" t="s">
        <v>950</v>
      </c>
      <c r="D4" s="109" t="s">
        <v>951</v>
      </c>
      <c r="E4" s="109" t="s">
        <v>793</v>
      </c>
      <c r="F4" s="110">
        <v>0</v>
      </c>
      <c r="G4" s="109" t="s">
        <v>952</v>
      </c>
      <c r="H4" s="109" t="s">
        <v>187</v>
      </c>
      <c r="I4" s="109" t="s">
        <v>832</v>
      </c>
      <c r="J4" s="109" t="s">
        <v>329</v>
      </c>
      <c r="K4" s="109" t="s">
        <v>387</v>
      </c>
      <c r="L4" s="109" t="s">
        <v>523</v>
      </c>
      <c r="M4" s="109" t="s">
        <v>384</v>
      </c>
      <c r="N4" s="109" t="s">
        <v>36</v>
      </c>
      <c r="O4" s="109" t="s">
        <v>386</v>
      </c>
      <c r="P4" s="109" t="s">
        <v>827</v>
      </c>
      <c r="Q4" s="109" t="s">
        <v>843</v>
      </c>
      <c r="R4" s="109" t="s">
        <v>63</v>
      </c>
      <c r="S4" s="83" t="str">
        <f t="shared" si="4"/>
        <v>B1449H</v>
      </c>
      <c r="T4" s="83" t="str">
        <f t="shared" si="0"/>
        <v>JOANNE</v>
      </c>
      <c r="Y4" s="60">
        <f t="shared" si="5"/>
        <v>31</v>
      </c>
      <c r="Z4" s="49">
        <f t="shared" si="1"/>
        <v>81</v>
      </c>
      <c r="AA4" s="60">
        <f t="shared" si="6"/>
        <v>31081</v>
      </c>
    </row>
    <row r="5" spans="1:32">
      <c r="A5" s="83" t="str">
        <f t="shared" si="2"/>
        <v>B1557Hnatural.turquoise</v>
      </c>
      <c r="B5" s="83" t="str">
        <f t="shared" si="3"/>
        <v>31-128-19</v>
      </c>
      <c r="C5" s="109" t="s">
        <v>953</v>
      </c>
      <c r="D5" s="109" t="s">
        <v>954</v>
      </c>
      <c r="E5" s="109" t="s">
        <v>793</v>
      </c>
      <c r="F5" s="110">
        <v>0</v>
      </c>
      <c r="G5" s="109" t="s">
        <v>955</v>
      </c>
      <c r="H5" s="109" t="s">
        <v>74</v>
      </c>
      <c r="I5" s="109" t="s">
        <v>790</v>
      </c>
      <c r="J5" s="109" t="s">
        <v>323</v>
      </c>
      <c r="K5" s="109" t="s">
        <v>387</v>
      </c>
      <c r="L5" s="109" t="s">
        <v>523</v>
      </c>
      <c r="M5" s="109" t="s">
        <v>384</v>
      </c>
      <c r="N5" s="109" t="s">
        <v>36</v>
      </c>
      <c r="O5" s="109" t="s">
        <v>386</v>
      </c>
      <c r="P5" s="109" t="s">
        <v>826</v>
      </c>
      <c r="Q5" s="109" t="s">
        <v>956</v>
      </c>
      <c r="R5" s="109" t="s">
        <v>63</v>
      </c>
      <c r="S5" s="83" t="str">
        <f t="shared" si="4"/>
        <v>B1557H</v>
      </c>
      <c r="T5" s="83" t="str">
        <f t="shared" si="0"/>
        <v>LORA</v>
      </c>
      <c r="Y5" s="60">
        <f t="shared" si="5"/>
        <v>31</v>
      </c>
      <c r="Z5" s="49">
        <f t="shared" si="1"/>
        <v>128</v>
      </c>
      <c r="AA5" s="60">
        <f t="shared" si="6"/>
        <v>31128</v>
      </c>
    </row>
    <row r="6" spans="1:32">
      <c r="A6" s="83" t="str">
        <f t="shared" si="2"/>
        <v>B1557Hwhite.natural</v>
      </c>
      <c r="B6" s="83" t="str">
        <f t="shared" si="3"/>
        <v>31-128-59</v>
      </c>
      <c r="C6" s="109" t="s">
        <v>957</v>
      </c>
      <c r="D6" s="109" t="s">
        <v>958</v>
      </c>
      <c r="E6" s="109" t="s">
        <v>793</v>
      </c>
      <c r="F6" s="110">
        <v>0</v>
      </c>
      <c r="G6" s="109" t="s">
        <v>955</v>
      </c>
      <c r="H6" s="109" t="s">
        <v>104</v>
      </c>
      <c r="I6" s="109" t="s">
        <v>790</v>
      </c>
      <c r="J6" s="109" t="s">
        <v>323</v>
      </c>
      <c r="K6" s="109" t="s">
        <v>387</v>
      </c>
      <c r="L6" s="109" t="s">
        <v>523</v>
      </c>
      <c r="M6" s="109" t="s">
        <v>384</v>
      </c>
      <c r="N6" s="109" t="s">
        <v>36</v>
      </c>
      <c r="O6" s="109" t="s">
        <v>386</v>
      </c>
      <c r="P6" s="109" t="s">
        <v>826</v>
      </c>
      <c r="Q6" s="109" t="s">
        <v>934</v>
      </c>
      <c r="R6" s="109" t="s">
        <v>57</v>
      </c>
      <c r="S6" s="83" t="str">
        <f t="shared" si="4"/>
        <v>B1557H</v>
      </c>
      <c r="T6" s="83" t="str">
        <f t="shared" si="0"/>
        <v>LORA</v>
      </c>
      <c r="Y6" s="60">
        <f t="shared" si="5"/>
        <v>31</v>
      </c>
      <c r="Z6" s="49">
        <f t="shared" si="1"/>
        <v>128</v>
      </c>
      <c r="AA6" s="60">
        <f t="shared" si="6"/>
        <v>31128</v>
      </c>
    </row>
    <row r="7" spans="1:32">
      <c r="A7" s="83" t="str">
        <f t="shared" si="2"/>
        <v>B1609Hivory.pink</v>
      </c>
      <c r="B7" s="83" t="str">
        <f t="shared" si="3"/>
        <v>31-132-34</v>
      </c>
      <c r="C7" s="109" t="s">
        <v>959</v>
      </c>
      <c r="D7" s="109" t="s">
        <v>960</v>
      </c>
      <c r="E7" s="109" t="s">
        <v>791</v>
      </c>
      <c r="F7" s="110">
        <v>58</v>
      </c>
      <c r="G7" s="109" t="s">
        <v>961</v>
      </c>
      <c r="H7" s="109" t="s">
        <v>114</v>
      </c>
      <c r="I7" s="109" t="s">
        <v>792</v>
      </c>
      <c r="J7" s="109" t="s">
        <v>330</v>
      </c>
      <c r="K7" s="109" t="s">
        <v>387</v>
      </c>
      <c r="L7" s="109" t="s">
        <v>523</v>
      </c>
      <c r="M7" s="109" t="s">
        <v>384</v>
      </c>
      <c r="N7" s="109" t="s">
        <v>35</v>
      </c>
      <c r="O7" s="109" t="s">
        <v>445</v>
      </c>
      <c r="P7" s="109" t="s">
        <v>826</v>
      </c>
      <c r="Q7" s="109" t="s">
        <v>962</v>
      </c>
      <c r="R7" s="109" t="s">
        <v>57</v>
      </c>
      <c r="S7" s="83" t="str">
        <f t="shared" si="4"/>
        <v>B1609H</v>
      </c>
      <c r="T7" s="83" t="str">
        <f t="shared" si="0"/>
        <v>LAURA II</v>
      </c>
      <c r="Y7" s="60">
        <f t="shared" si="5"/>
        <v>31</v>
      </c>
      <c r="Z7" s="49">
        <f t="shared" si="1"/>
        <v>132</v>
      </c>
      <c r="AA7" s="60">
        <f t="shared" si="6"/>
        <v>31132</v>
      </c>
    </row>
    <row r="8" spans="1:32">
      <c r="A8" s="83" t="str">
        <f t="shared" si="2"/>
        <v>B166black</v>
      </c>
      <c r="B8" s="83" t="str">
        <f t="shared" si="3"/>
        <v>31-083-09</v>
      </c>
      <c r="C8" s="109" t="s">
        <v>963</v>
      </c>
      <c r="D8" s="109" t="s">
        <v>964</v>
      </c>
      <c r="E8" s="109" t="s">
        <v>793</v>
      </c>
      <c r="F8" s="110">
        <v>0</v>
      </c>
      <c r="G8" s="109" t="s">
        <v>965</v>
      </c>
      <c r="H8" s="109" t="s">
        <v>53</v>
      </c>
      <c r="I8" s="109" t="s">
        <v>966</v>
      </c>
      <c r="J8" s="109" t="s">
        <v>323</v>
      </c>
      <c r="K8" s="109" t="s">
        <v>387</v>
      </c>
      <c r="L8" s="109" t="s">
        <v>523</v>
      </c>
      <c r="M8" s="109" t="s">
        <v>384</v>
      </c>
      <c r="N8" s="109" t="s">
        <v>36</v>
      </c>
      <c r="O8" s="109" t="s">
        <v>386</v>
      </c>
      <c r="P8" s="109" t="s">
        <v>827</v>
      </c>
      <c r="Q8" s="109" t="s">
        <v>831</v>
      </c>
      <c r="R8" s="109" t="s">
        <v>53</v>
      </c>
      <c r="S8" s="83" t="str">
        <f t="shared" si="4"/>
        <v>B166</v>
      </c>
      <c r="T8" s="83" t="str">
        <f t="shared" si="0"/>
        <v>CLASSIC ROLL UP</v>
      </c>
      <c r="Y8" s="60">
        <f t="shared" si="5"/>
        <v>31</v>
      </c>
      <c r="Z8" s="49">
        <f t="shared" si="1"/>
        <v>83</v>
      </c>
      <c r="AA8" s="60">
        <f t="shared" si="6"/>
        <v>31083</v>
      </c>
    </row>
    <row r="9" spans="1:32">
      <c r="A9" s="83" t="str">
        <f t="shared" si="2"/>
        <v>B166lt.blue</v>
      </c>
      <c r="B9" s="83" t="str">
        <f t="shared" si="3"/>
        <v>31-083-19</v>
      </c>
      <c r="C9" s="109" t="s">
        <v>967</v>
      </c>
      <c r="D9" s="109" t="s">
        <v>968</v>
      </c>
      <c r="E9" s="109" t="s">
        <v>793</v>
      </c>
      <c r="F9" s="110">
        <v>0</v>
      </c>
      <c r="G9" s="109" t="s">
        <v>965</v>
      </c>
      <c r="H9" s="109" t="s">
        <v>91</v>
      </c>
      <c r="I9" s="109" t="s">
        <v>966</v>
      </c>
      <c r="J9" s="109" t="s">
        <v>323</v>
      </c>
      <c r="K9" s="109" t="s">
        <v>387</v>
      </c>
      <c r="L9" s="109" t="s">
        <v>523</v>
      </c>
      <c r="M9" s="109" t="s">
        <v>384</v>
      </c>
      <c r="N9" s="109" t="s">
        <v>36</v>
      </c>
      <c r="O9" s="109" t="s">
        <v>386</v>
      </c>
      <c r="P9" s="109" t="s">
        <v>826</v>
      </c>
      <c r="Q9" s="109" t="s">
        <v>969</v>
      </c>
      <c r="R9" s="109" t="s">
        <v>91</v>
      </c>
      <c r="S9" s="83" t="str">
        <f t="shared" si="4"/>
        <v>B166</v>
      </c>
      <c r="T9" s="83" t="str">
        <f t="shared" si="0"/>
        <v>CLASSIC ROLL UP</v>
      </c>
      <c r="Y9" s="60">
        <f t="shared" si="5"/>
        <v>31</v>
      </c>
      <c r="Z9" s="49">
        <f t="shared" si="1"/>
        <v>83</v>
      </c>
      <c r="AA9" s="60">
        <f t="shared" si="6"/>
        <v>31083</v>
      </c>
    </row>
    <row r="10" spans="1:32">
      <c r="A10" s="83" t="str">
        <f t="shared" si="2"/>
        <v>B1700Hnatural.printed</v>
      </c>
      <c r="B10" s="83" t="str">
        <f t="shared" si="3"/>
        <v>31-149-02</v>
      </c>
      <c r="C10" s="109" t="s">
        <v>970</v>
      </c>
      <c r="D10" s="109" t="s">
        <v>971</v>
      </c>
      <c r="E10" s="109" t="s">
        <v>793</v>
      </c>
      <c r="F10" s="110">
        <v>0</v>
      </c>
      <c r="G10" s="109" t="s">
        <v>972</v>
      </c>
      <c r="H10" s="109" t="s">
        <v>63</v>
      </c>
      <c r="I10" s="109" t="s">
        <v>790</v>
      </c>
      <c r="J10" s="109" t="s">
        <v>330</v>
      </c>
      <c r="K10" s="109" t="s">
        <v>387</v>
      </c>
      <c r="L10" s="109" t="s">
        <v>523</v>
      </c>
      <c r="M10" s="109" t="s">
        <v>384</v>
      </c>
      <c r="N10" s="109" t="s">
        <v>36</v>
      </c>
      <c r="O10" s="109" t="s">
        <v>386</v>
      </c>
      <c r="P10" s="109" t="s">
        <v>826</v>
      </c>
      <c r="Q10" s="109" t="s">
        <v>973</v>
      </c>
      <c r="R10" s="109" t="s">
        <v>63</v>
      </c>
      <c r="S10" s="83" t="str">
        <f t="shared" si="4"/>
        <v>B1700H</v>
      </c>
      <c r="T10" s="83" t="str">
        <f t="shared" si="0"/>
        <v>SIERRA</v>
      </c>
      <c r="Y10" s="60">
        <f t="shared" si="5"/>
        <v>31</v>
      </c>
      <c r="Z10" s="49">
        <f t="shared" si="1"/>
        <v>149</v>
      </c>
      <c r="AA10" s="60">
        <f t="shared" si="6"/>
        <v>31149</v>
      </c>
    </row>
    <row r="11" spans="1:32">
      <c r="A11" s="83" t="str">
        <f t="shared" si="2"/>
        <v>B1701Hblack</v>
      </c>
      <c r="B11" s="83" t="str">
        <f t="shared" si="3"/>
        <v>31-150-09</v>
      </c>
      <c r="C11" s="109" t="s">
        <v>974</v>
      </c>
      <c r="D11" s="109" t="s">
        <v>975</v>
      </c>
      <c r="E11" s="109" t="s">
        <v>793</v>
      </c>
      <c r="F11" s="110">
        <v>0</v>
      </c>
      <c r="G11" s="109" t="s">
        <v>976</v>
      </c>
      <c r="H11" s="109" t="s">
        <v>53</v>
      </c>
      <c r="I11" s="109" t="s">
        <v>945</v>
      </c>
      <c r="J11" s="109" t="s">
        <v>323</v>
      </c>
      <c r="K11" s="109" t="s">
        <v>387</v>
      </c>
      <c r="L11" s="109" t="s">
        <v>523</v>
      </c>
      <c r="M11" s="109" t="s">
        <v>384</v>
      </c>
      <c r="N11" s="109" t="s">
        <v>36</v>
      </c>
      <c r="O11" s="109" t="s">
        <v>386</v>
      </c>
      <c r="P11" s="109" t="s">
        <v>826</v>
      </c>
      <c r="Q11" s="109" t="s">
        <v>831</v>
      </c>
      <c r="R11" s="109" t="s">
        <v>53</v>
      </c>
      <c r="S11" s="83" t="str">
        <f t="shared" si="4"/>
        <v>B1701H</v>
      </c>
      <c r="T11" s="83" t="str">
        <f t="shared" si="0"/>
        <v>SELENA</v>
      </c>
      <c r="Y11" s="60">
        <f t="shared" si="5"/>
        <v>31</v>
      </c>
      <c r="Z11" s="49">
        <f t="shared" si="1"/>
        <v>150</v>
      </c>
      <c r="AA11" s="60">
        <f t="shared" si="6"/>
        <v>31150</v>
      </c>
    </row>
    <row r="12" spans="1:32">
      <c r="A12" s="83" t="str">
        <f t="shared" si="2"/>
        <v>B1701Hnatural</v>
      </c>
      <c r="B12" s="83" t="str">
        <f t="shared" si="3"/>
        <v>31-150-02</v>
      </c>
      <c r="C12" s="109" t="s">
        <v>977</v>
      </c>
      <c r="D12" s="109" t="s">
        <v>978</v>
      </c>
      <c r="E12" s="109" t="s">
        <v>793</v>
      </c>
      <c r="F12" s="110">
        <v>0</v>
      </c>
      <c r="G12" s="109" t="s">
        <v>976</v>
      </c>
      <c r="H12" s="109" t="s">
        <v>63</v>
      </c>
      <c r="I12" s="109" t="s">
        <v>945</v>
      </c>
      <c r="J12" s="109" t="s">
        <v>323</v>
      </c>
      <c r="K12" s="109" t="s">
        <v>387</v>
      </c>
      <c r="L12" s="109" t="s">
        <v>523</v>
      </c>
      <c r="M12" s="109" t="s">
        <v>384</v>
      </c>
      <c r="N12" s="109" t="s">
        <v>36</v>
      </c>
      <c r="O12" s="109" t="s">
        <v>386</v>
      </c>
      <c r="P12" s="109" t="s">
        <v>826</v>
      </c>
      <c r="Q12" s="109" t="s">
        <v>844</v>
      </c>
      <c r="R12" s="109" t="s">
        <v>63</v>
      </c>
      <c r="S12" s="83" t="str">
        <f t="shared" si="4"/>
        <v>B1701H</v>
      </c>
      <c r="T12" s="83" t="str">
        <f t="shared" si="0"/>
        <v>SELENA</v>
      </c>
      <c r="Y12" s="60">
        <f t="shared" si="5"/>
        <v>31</v>
      </c>
      <c r="Z12" s="49">
        <f t="shared" si="1"/>
        <v>150</v>
      </c>
      <c r="AA12" s="60">
        <f t="shared" si="6"/>
        <v>31150</v>
      </c>
    </row>
    <row r="13" spans="1:32">
      <c r="A13" s="83" t="str">
        <f t="shared" si="2"/>
        <v>B1702Hblack.white</v>
      </c>
      <c r="B13" s="83" t="str">
        <f t="shared" si="3"/>
        <v>31-151-09</v>
      </c>
      <c r="C13" s="109" t="s">
        <v>979</v>
      </c>
      <c r="D13" s="109" t="s">
        <v>980</v>
      </c>
      <c r="E13" s="109" t="s">
        <v>793</v>
      </c>
      <c r="F13" s="110">
        <v>0</v>
      </c>
      <c r="G13" s="109" t="s">
        <v>981</v>
      </c>
      <c r="H13" s="109" t="s">
        <v>119</v>
      </c>
      <c r="I13" s="109" t="s">
        <v>891</v>
      </c>
      <c r="J13" s="109" t="s">
        <v>357</v>
      </c>
      <c r="K13" s="109" t="s">
        <v>387</v>
      </c>
      <c r="L13" s="109" t="s">
        <v>523</v>
      </c>
      <c r="M13" s="109" t="s">
        <v>384</v>
      </c>
      <c r="N13" s="109" t="s">
        <v>36</v>
      </c>
      <c r="O13" s="109" t="s">
        <v>386</v>
      </c>
      <c r="P13" s="109" t="s">
        <v>826</v>
      </c>
      <c r="Q13" s="109" t="s">
        <v>866</v>
      </c>
      <c r="R13" s="109" t="s">
        <v>57</v>
      </c>
      <c r="S13" s="83" t="str">
        <f t="shared" si="4"/>
        <v>B1702H</v>
      </c>
      <c r="T13" s="83" t="str">
        <f t="shared" si="0"/>
        <v>KATE</v>
      </c>
      <c r="Y13" s="60">
        <f t="shared" si="5"/>
        <v>31</v>
      </c>
      <c r="Z13" s="49">
        <f t="shared" si="1"/>
        <v>151</v>
      </c>
      <c r="AA13" s="60">
        <f t="shared" si="6"/>
        <v>31151</v>
      </c>
    </row>
    <row r="14" spans="1:32">
      <c r="A14" s="83" t="str">
        <f t="shared" si="2"/>
        <v>B1703Hnatural.coral</v>
      </c>
      <c r="B14" s="83" t="str">
        <f t="shared" si="3"/>
        <v>31-152-34</v>
      </c>
      <c r="C14" s="109" t="s">
        <v>982</v>
      </c>
      <c r="D14" s="109" t="s">
        <v>983</v>
      </c>
      <c r="E14" s="109" t="s">
        <v>793</v>
      </c>
      <c r="F14" s="110">
        <v>0</v>
      </c>
      <c r="G14" s="109" t="s">
        <v>984</v>
      </c>
      <c r="H14" s="109" t="s">
        <v>95</v>
      </c>
      <c r="I14" s="109" t="s">
        <v>887</v>
      </c>
      <c r="J14" s="109" t="s">
        <v>323</v>
      </c>
      <c r="K14" s="109" t="s">
        <v>387</v>
      </c>
      <c r="L14" s="109" t="s">
        <v>523</v>
      </c>
      <c r="M14" s="109" t="s">
        <v>384</v>
      </c>
      <c r="N14" s="109" t="s">
        <v>36</v>
      </c>
      <c r="O14" s="109" t="s">
        <v>386</v>
      </c>
      <c r="P14" s="109" t="s">
        <v>826</v>
      </c>
      <c r="Q14" s="109" t="s">
        <v>985</v>
      </c>
      <c r="R14" s="109" t="s">
        <v>63</v>
      </c>
      <c r="S14" s="83" t="str">
        <f t="shared" si="4"/>
        <v>B1703H</v>
      </c>
      <c r="T14" s="83" t="str">
        <f t="shared" si="0"/>
        <v>PORTO</v>
      </c>
      <c r="Y14" s="60">
        <f t="shared" si="5"/>
        <v>31</v>
      </c>
      <c r="Z14" s="49">
        <f t="shared" si="1"/>
        <v>152</v>
      </c>
      <c r="AA14" s="60">
        <f t="shared" si="6"/>
        <v>31152</v>
      </c>
    </row>
    <row r="15" spans="1:32">
      <c r="A15" s="83" t="str">
        <f t="shared" si="2"/>
        <v>B1706Hivory.black</v>
      </c>
      <c r="B15" s="83" t="str">
        <f t="shared" si="3"/>
        <v>31-154-48</v>
      </c>
      <c r="C15" s="109" t="s">
        <v>986</v>
      </c>
      <c r="D15" s="109" t="s">
        <v>987</v>
      </c>
      <c r="E15" s="109" t="s">
        <v>798</v>
      </c>
      <c r="F15" s="110">
        <v>56</v>
      </c>
      <c r="G15" s="109" t="s">
        <v>988</v>
      </c>
      <c r="H15" s="109" t="s">
        <v>119</v>
      </c>
      <c r="I15" s="109" t="s">
        <v>790</v>
      </c>
      <c r="J15" s="109" t="s">
        <v>321</v>
      </c>
      <c r="K15" s="109" t="s">
        <v>387</v>
      </c>
      <c r="L15" s="109" t="s">
        <v>523</v>
      </c>
      <c r="M15" s="109" t="s">
        <v>384</v>
      </c>
      <c r="N15" s="109" t="s">
        <v>36</v>
      </c>
      <c r="O15" s="109" t="s">
        <v>445</v>
      </c>
      <c r="P15" s="109" t="s">
        <v>826</v>
      </c>
      <c r="Q15" s="109" t="s">
        <v>931</v>
      </c>
      <c r="R15" s="109" t="s">
        <v>57</v>
      </c>
      <c r="S15" s="83" t="str">
        <f t="shared" si="4"/>
        <v>B1706H</v>
      </c>
      <c r="T15" s="83" t="str">
        <f t="shared" si="0"/>
        <v>ESTHER</v>
      </c>
      <c r="Y15" s="60">
        <f t="shared" si="5"/>
        <v>31</v>
      </c>
      <c r="Z15" s="49">
        <f t="shared" si="1"/>
        <v>154</v>
      </c>
      <c r="AA15" s="60">
        <f t="shared" si="6"/>
        <v>31154</v>
      </c>
    </row>
    <row r="16" spans="1:32">
      <c r="A16" s="83" t="str">
        <f t="shared" si="2"/>
        <v>B1706Hivory.black</v>
      </c>
      <c r="B16" s="83" t="str">
        <f t="shared" si="3"/>
        <v>31-154-48</v>
      </c>
      <c r="C16" s="109" t="s">
        <v>989</v>
      </c>
      <c r="D16" s="109" t="s">
        <v>987</v>
      </c>
      <c r="E16" s="109" t="s">
        <v>791</v>
      </c>
      <c r="F16" s="110">
        <v>58</v>
      </c>
      <c r="G16" s="109" t="s">
        <v>988</v>
      </c>
      <c r="H16" s="109" t="s">
        <v>119</v>
      </c>
      <c r="I16" s="109" t="s">
        <v>790</v>
      </c>
      <c r="J16" s="109" t="s">
        <v>321</v>
      </c>
      <c r="K16" s="109" t="s">
        <v>387</v>
      </c>
      <c r="L16" s="109" t="s">
        <v>523</v>
      </c>
      <c r="M16" s="109" t="s">
        <v>384</v>
      </c>
      <c r="N16" s="109" t="s">
        <v>36</v>
      </c>
      <c r="O16" s="109" t="s">
        <v>445</v>
      </c>
      <c r="P16" s="109" t="s">
        <v>826</v>
      </c>
      <c r="Q16" s="109" t="s">
        <v>931</v>
      </c>
      <c r="R16" s="109" t="s">
        <v>57</v>
      </c>
      <c r="S16" s="83" t="str">
        <f t="shared" si="4"/>
        <v>B1706H</v>
      </c>
      <c r="T16" s="83" t="str">
        <f t="shared" si="0"/>
        <v>ESTHER</v>
      </c>
      <c r="Y16" s="60">
        <f t="shared" si="5"/>
        <v>31</v>
      </c>
      <c r="Z16" s="49">
        <f t="shared" si="1"/>
        <v>154</v>
      </c>
      <c r="AA16" s="60">
        <f t="shared" si="6"/>
        <v>31154</v>
      </c>
    </row>
    <row r="17" spans="1:27">
      <c r="A17" s="83" t="str">
        <f t="shared" si="2"/>
        <v>B1708Hkhaki</v>
      </c>
      <c r="B17" s="83" t="str">
        <f t="shared" si="3"/>
        <v>31-155-02</v>
      </c>
      <c r="C17" s="109" t="s">
        <v>990</v>
      </c>
      <c r="D17" s="109" t="s">
        <v>991</v>
      </c>
      <c r="E17" s="109" t="s">
        <v>793</v>
      </c>
      <c r="F17" s="110">
        <v>0</v>
      </c>
      <c r="G17" s="109" t="s">
        <v>992</v>
      </c>
      <c r="H17" s="109" t="s">
        <v>63</v>
      </c>
      <c r="I17" s="109" t="s">
        <v>787</v>
      </c>
      <c r="J17" s="109" t="s">
        <v>348</v>
      </c>
      <c r="K17" s="109" t="s">
        <v>387</v>
      </c>
      <c r="L17" s="109" t="s">
        <v>523</v>
      </c>
      <c r="M17" s="109" t="s">
        <v>384</v>
      </c>
      <c r="N17" s="109" t="s">
        <v>43</v>
      </c>
      <c r="O17" s="109" t="s">
        <v>386</v>
      </c>
      <c r="P17" s="109" t="s">
        <v>827</v>
      </c>
      <c r="Q17" s="109" t="s">
        <v>993</v>
      </c>
      <c r="R17" s="109" t="s">
        <v>63</v>
      </c>
      <c r="S17" s="83" t="str">
        <f t="shared" si="4"/>
        <v>B1708H</v>
      </c>
      <c r="T17" s="83" t="str">
        <f t="shared" si="0"/>
        <v>FISHERMAN CAP</v>
      </c>
      <c r="Y17" s="60">
        <f t="shared" si="5"/>
        <v>31</v>
      </c>
      <c r="Z17" s="49">
        <f t="shared" si="1"/>
        <v>155</v>
      </c>
      <c r="AA17" s="60">
        <f t="shared" si="6"/>
        <v>31155</v>
      </c>
    </row>
    <row r="18" spans="1:27">
      <c r="A18" s="83" t="str">
        <f t="shared" si="2"/>
        <v>B1708Hpoppy</v>
      </c>
      <c r="B18" s="83" t="str">
        <f t="shared" si="3"/>
        <v>31-155-18</v>
      </c>
      <c r="C18" s="109" t="s">
        <v>994</v>
      </c>
      <c r="D18" s="109" t="s">
        <v>995</v>
      </c>
      <c r="E18" s="109" t="s">
        <v>793</v>
      </c>
      <c r="F18" s="110">
        <v>0</v>
      </c>
      <c r="G18" s="109" t="s">
        <v>992</v>
      </c>
      <c r="H18" s="109" t="s">
        <v>78</v>
      </c>
      <c r="I18" s="109" t="s">
        <v>787</v>
      </c>
      <c r="J18" s="109" t="s">
        <v>348</v>
      </c>
      <c r="K18" s="109" t="s">
        <v>387</v>
      </c>
      <c r="L18" s="109" t="s">
        <v>523</v>
      </c>
      <c r="M18" s="109" t="s">
        <v>384</v>
      </c>
      <c r="N18" s="109" t="s">
        <v>43</v>
      </c>
      <c r="O18" s="109" t="s">
        <v>386</v>
      </c>
      <c r="P18" s="109" t="s">
        <v>827</v>
      </c>
      <c r="Q18" s="109" t="s">
        <v>996</v>
      </c>
      <c r="R18" s="109" t="s">
        <v>78</v>
      </c>
      <c r="S18" s="83" t="str">
        <f t="shared" si="4"/>
        <v>B1708H</v>
      </c>
      <c r="T18" s="83" t="str">
        <f t="shared" si="0"/>
        <v>FISHERMAN CAP</v>
      </c>
      <c r="Y18" s="60">
        <f t="shared" si="5"/>
        <v>31</v>
      </c>
      <c r="Z18" s="49">
        <f t="shared" si="1"/>
        <v>155</v>
      </c>
      <c r="AA18" s="60">
        <f t="shared" si="6"/>
        <v>31155</v>
      </c>
    </row>
    <row r="19" spans="1:27">
      <c r="A19" s="83" t="str">
        <f t="shared" si="2"/>
        <v>B1708Hwhite.navy</v>
      </c>
      <c r="B19" s="83" t="str">
        <f t="shared" si="3"/>
        <v>31-155-38</v>
      </c>
      <c r="C19" s="109" t="s">
        <v>997</v>
      </c>
      <c r="D19" s="109" t="s">
        <v>998</v>
      </c>
      <c r="E19" s="109" t="s">
        <v>793</v>
      </c>
      <c r="F19" s="110">
        <v>0</v>
      </c>
      <c r="G19" s="109" t="s">
        <v>992</v>
      </c>
      <c r="H19" s="109" t="s">
        <v>116</v>
      </c>
      <c r="I19" s="109" t="s">
        <v>787</v>
      </c>
      <c r="J19" s="109" t="s">
        <v>348</v>
      </c>
      <c r="K19" s="109" t="s">
        <v>387</v>
      </c>
      <c r="L19" s="109" t="s">
        <v>523</v>
      </c>
      <c r="M19" s="109" t="s">
        <v>384</v>
      </c>
      <c r="N19" s="109" t="s">
        <v>43</v>
      </c>
      <c r="O19" s="109" t="s">
        <v>386</v>
      </c>
      <c r="P19" s="109" t="s">
        <v>827</v>
      </c>
      <c r="Q19" s="109" t="s">
        <v>930</v>
      </c>
      <c r="R19" s="109" t="s">
        <v>57</v>
      </c>
      <c r="S19" s="83" t="str">
        <f t="shared" si="4"/>
        <v>B1708H</v>
      </c>
      <c r="T19" s="83" t="str">
        <f t="shared" si="0"/>
        <v>FISHERMAN CAP</v>
      </c>
      <c r="Y19" s="60">
        <f t="shared" si="5"/>
        <v>31</v>
      </c>
      <c r="Z19" s="49">
        <f t="shared" si="1"/>
        <v>155</v>
      </c>
      <c r="AA19" s="60">
        <f t="shared" si="6"/>
        <v>31155</v>
      </c>
    </row>
    <row r="20" spans="1:27">
      <c r="A20" s="83" t="str">
        <f t="shared" si="2"/>
        <v>B1735Hwhite.natural</v>
      </c>
      <c r="B20" s="83" t="str">
        <f t="shared" si="3"/>
        <v>31-171-00</v>
      </c>
      <c r="C20" s="109" t="s">
        <v>999</v>
      </c>
      <c r="D20" s="109" t="s">
        <v>1000</v>
      </c>
      <c r="E20" s="109" t="s">
        <v>793</v>
      </c>
      <c r="F20" s="110">
        <v>0</v>
      </c>
      <c r="G20" s="109" t="s">
        <v>1001</v>
      </c>
      <c r="H20" s="109" t="s">
        <v>66</v>
      </c>
      <c r="I20" s="109" t="s">
        <v>966</v>
      </c>
      <c r="J20" s="109" t="s">
        <v>323</v>
      </c>
      <c r="K20" s="109" t="s">
        <v>387</v>
      </c>
      <c r="L20" s="109" t="s">
        <v>523</v>
      </c>
      <c r="M20" s="109" t="s">
        <v>384</v>
      </c>
      <c r="N20" s="109" t="s">
        <v>36</v>
      </c>
      <c r="O20" s="109" t="s">
        <v>386</v>
      </c>
      <c r="P20" s="109" t="s">
        <v>826</v>
      </c>
      <c r="Q20" s="109" t="s">
        <v>934</v>
      </c>
      <c r="R20" s="109" t="s">
        <v>63</v>
      </c>
      <c r="S20" s="83" t="str">
        <f t="shared" si="4"/>
        <v>B1735H</v>
      </c>
      <c r="T20" s="83" t="str">
        <f t="shared" si="0"/>
        <v>AUDREY</v>
      </c>
      <c r="Y20" s="60">
        <f t="shared" si="5"/>
        <v>31</v>
      </c>
      <c r="Z20" s="49">
        <f t="shared" si="1"/>
        <v>171</v>
      </c>
      <c r="AA20" s="60">
        <f t="shared" si="6"/>
        <v>31171</v>
      </c>
    </row>
    <row r="21" spans="1:27">
      <c r="A21" s="83" t="str">
        <f t="shared" si="2"/>
        <v>B1736Hwhite.natural</v>
      </c>
      <c r="B21" s="83" t="str">
        <f t="shared" si="3"/>
        <v>31-172-17</v>
      </c>
      <c r="C21" s="109" t="s">
        <v>1002</v>
      </c>
      <c r="D21" s="109" t="s">
        <v>1003</v>
      </c>
      <c r="E21" s="109" t="s">
        <v>793</v>
      </c>
      <c r="F21" s="110">
        <v>0</v>
      </c>
      <c r="G21" s="109" t="s">
        <v>1004</v>
      </c>
      <c r="H21" s="109" t="s">
        <v>104</v>
      </c>
      <c r="I21" s="109" t="s">
        <v>891</v>
      </c>
      <c r="J21" s="109" t="s">
        <v>323</v>
      </c>
      <c r="K21" s="109" t="s">
        <v>387</v>
      </c>
      <c r="L21" s="109" t="s">
        <v>523</v>
      </c>
      <c r="M21" s="109" t="s">
        <v>384</v>
      </c>
      <c r="N21" s="109" t="s">
        <v>36</v>
      </c>
      <c r="O21" s="109" t="s">
        <v>386</v>
      </c>
      <c r="P21" s="109" t="s">
        <v>826</v>
      </c>
      <c r="Q21" s="109" t="s">
        <v>934</v>
      </c>
      <c r="R21" s="109" t="s">
        <v>57</v>
      </c>
      <c r="S21" s="83" t="str">
        <f t="shared" si="4"/>
        <v>B1736H</v>
      </c>
      <c r="T21" s="83" t="str">
        <f t="shared" si="0"/>
        <v>MALLORY</v>
      </c>
      <c r="Y21" s="60">
        <f t="shared" si="5"/>
        <v>31</v>
      </c>
      <c r="Z21" s="49">
        <f t="shared" si="1"/>
        <v>172</v>
      </c>
      <c r="AA21" s="60">
        <f t="shared" si="6"/>
        <v>31172</v>
      </c>
    </row>
    <row r="22" spans="1:27">
      <c r="A22" s="83" t="str">
        <f t="shared" si="2"/>
        <v>B176lt.pink</v>
      </c>
      <c r="B22" s="83" t="str">
        <f t="shared" si="3"/>
        <v>31-084-86</v>
      </c>
      <c r="C22" s="109" t="s">
        <v>1005</v>
      </c>
      <c r="D22" s="109" t="s">
        <v>1006</v>
      </c>
      <c r="E22" s="109" t="s">
        <v>793</v>
      </c>
      <c r="F22" s="110">
        <v>0</v>
      </c>
      <c r="G22" s="109" t="s">
        <v>1007</v>
      </c>
      <c r="H22" s="109" t="s">
        <v>230</v>
      </c>
      <c r="I22" s="109" t="s">
        <v>966</v>
      </c>
      <c r="J22" s="109" t="s">
        <v>357</v>
      </c>
      <c r="K22" s="109" t="s">
        <v>387</v>
      </c>
      <c r="L22" s="109" t="s">
        <v>523</v>
      </c>
      <c r="M22" s="109" t="s">
        <v>384</v>
      </c>
      <c r="N22" s="109" t="s">
        <v>36</v>
      </c>
      <c r="O22" s="109" t="s">
        <v>386</v>
      </c>
      <c r="P22" s="109" t="s">
        <v>826</v>
      </c>
      <c r="Q22" s="109" t="s">
        <v>1008</v>
      </c>
      <c r="R22" s="109" t="s">
        <v>68</v>
      </c>
      <c r="S22" s="83" t="str">
        <f t="shared" si="4"/>
        <v>B176</v>
      </c>
      <c r="T22" s="83" t="str">
        <f t="shared" si="0"/>
        <v>GOSSAMER</v>
      </c>
      <c r="Y22" s="60">
        <f t="shared" si="5"/>
        <v>31</v>
      </c>
      <c r="Z22" s="49">
        <f t="shared" si="1"/>
        <v>84</v>
      </c>
      <c r="AA22" s="60">
        <f t="shared" si="6"/>
        <v>31084</v>
      </c>
    </row>
    <row r="23" spans="1:27">
      <c r="A23" s="83" t="str">
        <f t="shared" si="2"/>
        <v>B176navy</v>
      </c>
      <c r="B23" s="83" t="str">
        <f t="shared" si="3"/>
        <v>31-084-16</v>
      </c>
      <c r="C23" s="109" t="s">
        <v>1009</v>
      </c>
      <c r="D23" s="109" t="s">
        <v>1010</v>
      </c>
      <c r="E23" s="109" t="s">
        <v>793</v>
      </c>
      <c r="F23" s="110">
        <v>0</v>
      </c>
      <c r="G23" s="109" t="s">
        <v>1007</v>
      </c>
      <c r="H23" s="109" t="s">
        <v>55</v>
      </c>
      <c r="I23" s="109" t="s">
        <v>887</v>
      </c>
      <c r="J23" s="109" t="s">
        <v>357</v>
      </c>
      <c r="K23" s="109" t="s">
        <v>387</v>
      </c>
      <c r="L23" s="109" t="s">
        <v>523</v>
      </c>
      <c r="M23" s="109" t="s">
        <v>384</v>
      </c>
      <c r="N23" s="109" t="s">
        <v>36</v>
      </c>
      <c r="O23" s="109" t="s">
        <v>386</v>
      </c>
      <c r="P23" s="109" t="s">
        <v>827</v>
      </c>
      <c r="Q23" s="109" t="s">
        <v>829</v>
      </c>
      <c r="R23" s="109" t="s">
        <v>71</v>
      </c>
      <c r="S23" s="83" t="str">
        <f t="shared" si="4"/>
        <v>B176</v>
      </c>
      <c r="T23" s="83" t="str">
        <f t="shared" si="0"/>
        <v>GOSSAMER</v>
      </c>
      <c r="Y23" s="60">
        <f t="shared" si="5"/>
        <v>31</v>
      </c>
      <c r="Z23" s="49">
        <f t="shared" si="1"/>
        <v>84</v>
      </c>
      <c r="AA23" s="60">
        <f t="shared" si="6"/>
        <v>31084</v>
      </c>
    </row>
    <row r="24" spans="1:27">
      <c r="A24" s="83" t="str">
        <f t="shared" si="2"/>
        <v>B1818Hblack</v>
      </c>
      <c r="B24" s="83" t="str">
        <f t="shared" si="3"/>
        <v>31-192-09</v>
      </c>
      <c r="C24" s="109" t="s">
        <v>1011</v>
      </c>
      <c r="D24" s="109" t="s">
        <v>1012</v>
      </c>
      <c r="E24" s="109" t="s">
        <v>793</v>
      </c>
      <c r="F24" s="110">
        <v>0</v>
      </c>
      <c r="G24" s="109" t="s">
        <v>1013</v>
      </c>
      <c r="H24" s="109" t="s">
        <v>53</v>
      </c>
      <c r="I24" s="109" t="s">
        <v>787</v>
      </c>
      <c r="J24" s="109" t="s">
        <v>348</v>
      </c>
      <c r="K24" s="109" t="s">
        <v>387</v>
      </c>
      <c r="L24" s="109" t="s">
        <v>523</v>
      </c>
      <c r="M24" s="109" t="s">
        <v>384</v>
      </c>
      <c r="N24" s="109" t="s">
        <v>43</v>
      </c>
      <c r="O24" s="109" t="s">
        <v>386</v>
      </c>
      <c r="P24" s="109" t="s">
        <v>827</v>
      </c>
      <c r="Q24" s="109" t="s">
        <v>831</v>
      </c>
      <c r="R24" s="109" t="s">
        <v>53</v>
      </c>
      <c r="S24" s="83" t="str">
        <f t="shared" si="4"/>
        <v>B1818H</v>
      </c>
      <c r="T24" s="83" t="str">
        <f t="shared" si="0"/>
        <v>SEAPORT CAP</v>
      </c>
      <c r="Y24" s="60">
        <f t="shared" si="5"/>
        <v>31</v>
      </c>
      <c r="Z24" s="49">
        <f t="shared" si="1"/>
        <v>192</v>
      </c>
      <c r="AA24" s="60">
        <f t="shared" si="6"/>
        <v>31192</v>
      </c>
    </row>
    <row r="25" spans="1:27">
      <c r="A25" s="83" t="str">
        <f t="shared" si="2"/>
        <v>B1818Hwhite</v>
      </c>
      <c r="B25" s="83" t="str">
        <f t="shared" si="3"/>
        <v>31-192-17</v>
      </c>
      <c r="C25" s="109" t="s">
        <v>1014</v>
      </c>
      <c r="D25" s="109" t="s">
        <v>1015</v>
      </c>
      <c r="E25" s="109" t="s">
        <v>793</v>
      </c>
      <c r="F25" s="110">
        <v>0</v>
      </c>
      <c r="G25" s="109" t="s">
        <v>1013</v>
      </c>
      <c r="H25" s="109" t="s">
        <v>57</v>
      </c>
      <c r="I25" s="109" t="s">
        <v>787</v>
      </c>
      <c r="J25" s="109" t="s">
        <v>348</v>
      </c>
      <c r="K25" s="109" t="s">
        <v>387</v>
      </c>
      <c r="L25" s="109" t="s">
        <v>523</v>
      </c>
      <c r="M25" s="109" t="s">
        <v>388</v>
      </c>
      <c r="N25" s="109" t="s">
        <v>43</v>
      </c>
      <c r="O25" s="109" t="s">
        <v>386</v>
      </c>
      <c r="P25" s="109" t="s">
        <v>827</v>
      </c>
      <c r="Q25" s="109" t="s">
        <v>840</v>
      </c>
      <c r="R25" s="109" t="s">
        <v>57</v>
      </c>
      <c r="S25" s="83" t="str">
        <f t="shared" si="4"/>
        <v>B1818H</v>
      </c>
      <c r="T25" s="83" t="str">
        <f t="shared" si="0"/>
        <v>SEAPORT CAP</v>
      </c>
      <c r="Y25" s="60">
        <f t="shared" si="5"/>
        <v>31</v>
      </c>
      <c r="Z25" s="49">
        <f t="shared" si="1"/>
        <v>192</v>
      </c>
      <c r="AA25" s="60">
        <f t="shared" si="6"/>
        <v>31192</v>
      </c>
    </row>
    <row r="26" spans="1:27">
      <c r="A26" s="83" t="str">
        <f t="shared" si="2"/>
        <v>B1819Hlightblue.white</v>
      </c>
      <c r="B26" s="83" t="str">
        <f t="shared" si="3"/>
        <v>31-193-19</v>
      </c>
      <c r="C26" s="109" t="s">
        <v>1016</v>
      </c>
      <c r="D26" s="109" t="s">
        <v>1017</v>
      </c>
      <c r="E26" s="109" t="s">
        <v>793</v>
      </c>
      <c r="F26" s="110">
        <v>0</v>
      </c>
      <c r="G26" s="109" t="s">
        <v>1018</v>
      </c>
      <c r="H26" s="109" t="s">
        <v>130</v>
      </c>
      <c r="I26" s="109" t="s">
        <v>1019</v>
      </c>
      <c r="J26" s="109" t="s">
        <v>360</v>
      </c>
      <c r="K26" s="109" t="s">
        <v>387</v>
      </c>
      <c r="L26" s="109" t="s">
        <v>523</v>
      </c>
      <c r="M26" s="109" t="s">
        <v>384</v>
      </c>
      <c r="N26" s="109" t="s">
        <v>43</v>
      </c>
      <c r="O26" s="109" t="s">
        <v>386</v>
      </c>
      <c r="P26" s="109" t="s">
        <v>826</v>
      </c>
      <c r="Q26" s="109" t="s">
        <v>1020</v>
      </c>
      <c r="R26" s="109" t="s">
        <v>91</v>
      </c>
      <c r="S26" s="83" t="str">
        <f t="shared" si="4"/>
        <v>B1819H</v>
      </c>
      <c r="T26" s="83" t="str">
        <f t="shared" si="0"/>
        <v>EVI</v>
      </c>
      <c r="Y26" s="60">
        <f t="shared" si="5"/>
        <v>31</v>
      </c>
      <c r="Z26" s="49">
        <f t="shared" si="1"/>
        <v>193</v>
      </c>
      <c r="AA26" s="60">
        <f t="shared" si="6"/>
        <v>31193</v>
      </c>
    </row>
    <row r="27" spans="1:27">
      <c r="A27" s="83" t="str">
        <f t="shared" si="2"/>
        <v>B1831Hdark denim dots</v>
      </c>
      <c r="B27" s="83" t="str">
        <f t="shared" si="3"/>
        <v>31-194-16</v>
      </c>
      <c r="C27" s="109" t="s">
        <v>1021</v>
      </c>
      <c r="D27" s="109" t="s">
        <v>1022</v>
      </c>
      <c r="E27" s="109" t="s">
        <v>793</v>
      </c>
      <c r="F27" s="110">
        <v>0</v>
      </c>
      <c r="G27" s="109" t="s">
        <v>1023</v>
      </c>
      <c r="H27" s="109" t="s">
        <v>71</v>
      </c>
      <c r="I27" s="109" t="s">
        <v>787</v>
      </c>
      <c r="J27" s="109" t="s">
        <v>348</v>
      </c>
      <c r="K27" s="109" t="s">
        <v>387</v>
      </c>
      <c r="L27" s="109" t="s">
        <v>523</v>
      </c>
      <c r="M27" s="109" t="s">
        <v>384</v>
      </c>
      <c r="N27" s="109" t="s">
        <v>43</v>
      </c>
      <c r="O27" s="109" t="s">
        <v>386</v>
      </c>
      <c r="P27" s="109" t="s">
        <v>826</v>
      </c>
      <c r="Q27" s="109" t="s">
        <v>1024</v>
      </c>
      <c r="R27" s="109" t="s">
        <v>71</v>
      </c>
      <c r="S27" s="83" t="str">
        <f t="shared" si="4"/>
        <v>B1831H</v>
      </c>
      <c r="T27" s="83" t="str">
        <f t="shared" si="0"/>
        <v>ADELE II</v>
      </c>
      <c r="Y27" s="60">
        <f t="shared" si="5"/>
        <v>31</v>
      </c>
      <c r="Z27" s="49">
        <f t="shared" si="1"/>
        <v>194</v>
      </c>
      <c r="AA27" s="60">
        <f t="shared" si="6"/>
        <v>31194</v>
      </c>
    </row>
    <row r="28" spans="1:27">
      <c r="A28" s="83" t="str">
        <f t="shared" si="2"/>
        <v>B1096Hecru</v>
      </c>
      <c r="B28" s="83" t="str">
        <f t="shared" si="3"/>
        <v>31-061-36</v>
      </c>
      <c r="C28" s="109" t="s">
        <v>1025</v>
      </c>
      <c r="D28" s="109" t="s">
        <v>1026</v>
      </c>
      <c r="E28" s="109" t="s">
        <v>793</v>
      </c>
      <c r="F28" s="110">
        <v>0</v>
      </c>
      <c r="G28" s="109" t="s">
        <v>1027</v>
      </c>
      <c r="H28" s="109" t="s">
        <v>66</v>
      </c>
      <c r="I28" s="109" t="s">
        <v>833</v>
      </c>
      <c r="J28" s="109" t="s">
        <v>357</v>
      </c>
      <c r="K28" s="109" t="s">
        <v>387</v>
      </c>
      <c r="L28" s="109" t="s">
        <v>523</v>
      </c>
      <c r="M28" s="109" t="s">
        <v>388</v>
      </c>
      <c r="O28" s="109" t="s">
        <v>386</v>
      </c>
      <c r="P28" s="109" t="s">
        <v>827</v>
      </c>
      <c r="Q28" s="109" t="s">
        <v>1028</v>
      </c>
      <c r="R28" s="109" t="s">
        <v>63</v>
      </c>
      <c r="S28" s="83" t="str">
        <f t="shared" si="4"/>
        <v>B1096H</v>
      </c>
      <c r="T28" s="83" t="str">
        <f t="shared" si="0"/>
        <v>TRICIA</v>
      </c>
      <c r="Y28" s="60">
        <f t="shared" si="5"/>
        <v>31</v>
      </c>
      <c r="Z28" s="49">
        <f t="shared" si="1"/>
        <v>61</v>
      </c>
      <c r="AA28" s="60">
        <f t="shared" si="6"/>
        <v>31061</v>
      </c>
    </row>
    <row r="29" spans="1:27">
      <c r="A29" s="83" t="str">
        <f t="shared" si="2"/>
        <v>B1609Hivory.black</v>
      </c>
      <c r="B29" s="83" t="str">
        <f t="shared" si="3"/>
        <v>31-132-48</v>
      </c>
      <c r="C29" s="109" t="s">
        <v>1029</v>
      </c>
      <c r="D29" s="109" t="s">
        <v>1030</v>
      </c>
      <c r="E29" s="109" t="s">
        <v>798</v>
      </c>
      <c r="F29" s="110">
        <v>56</v>
      </c>
      <c r="G29" s="109" t="s">
        <v>961</v>
      </c>
      <c r="H29" s="109" t="s">
        <v>119</v>
      </c>
      <c r="I29" s="109" t="s">
        <v>792</v>
      </c>
      <c r="J29" s="109" t="s">
        <v>330</v>
      </c>
      <c r="K29" s="109" t="s">
        <v>387</v>
      </c>
      <c r="L29" s="109" t="s">
        <v>523</v>
      </c>
      <c r="M29" s="109" t="s">
        <v>384</v>
      </c>
      <c r="N29" s="109" t="s">
        <v>35</v>
      </c>
      <c r="O29" s="109" t="s">
        <v>445</v>
      </c>
      <c r="P29" s="109" t="s">
        <v>827</v>
      </c>
      <c r="Q29" s="109" t="s">
        <v>931</v>
      </c>
      <c r="R29" s="109" t="s">
        <v>57</v>
      </c>
      <c r="S29" s="83" t="str">
        <f t="shared" si="4"/>
        <v>B1609H</v>
      </c>
      <c r="T29" s="83" t="str">
        <f t="shared" si="0"/>
        <v>LAURA II</v>
      </c>
      <c r="Y29" s="60">
        <f t="shared" si="5"/>
        <v>31</v>
      </c>
      <c r="Z29" s="49">
        <f t="shared" si="1"/>
        <v>132</v>
      </c>
      <c r="AA29" s="60">
        <f t="shared" si="6"/>
        <v>31132</v>
      </c>
    </row>
    <row r="30" spans="1:27">
      <c r="A30" s="83" t="str">
        <f t="shared" si="2"/>
        <v>B1609Hivory.black</v>
      </c>
      <c r="B30" s="83" t="str">
        <f t="shared" si="3"/>
        <v>31-132-48</v>
      </c>
      <c r="C30" s="109" t="s">
        <v>1031</v>
      </c>
      <c r="D30" s="109" t="s">
        <v>1030</v>
      </c>
      <c r="E30" s="109" t="s">
        <v>791</v>
      </c>
      <c r="F30" s="110">
        <v>58</v>
      </c>
      <c r="G30" s="109" t="s">
        <v>961</v>
      </c>
      <c r="H30" s="109" t="s">
        <v>119</v>
      </c>
      <c r="I30" s="109" t="s">
        <v>792</v>
      </c>
      <c r="J30" s="109" t="s">
        <v>330</v>
      </c>
      <c r="K30" s="109" t="s">
        <v>387</v>
      </c>
      <c r="L30" s="109" t="s">
        <v>523</v>
      </c>
      <c r="M30" s="109" t="s">
        <v>384</v>
      </c>
      <c r="N30" s="109" t="s">
        <v>35</v>
      </c>
      <c r="O30" s="109" t="s">
        <v>445</v>
      </c>
      <c r="P30" s="109" t="s">
        <v>827</v>
      </c>
      <c r="Q30" s="109" t="s">
        <v>931</v>
      </c>
      <c r="R30" s="109" t="s">
        <v>57</v>
      </c>
      <c r="S30" s="83" t="str">
        <f t="shared" si="4"/>
        <v>B1609H</v>
      </c>
      <c r="T30" s="83" t="str">
        <f t="shared" si="0"/>
        <v>LAURA II</v>
      </c>
      <c r="Y30" s="60">
        <f t="shared" si="5"/>
        <v>31</v>
      </c>
      <c r="Z30" s="49">
        <f t="shared" si="1"/>
        <v>132</v>
      </c>
      <c r="AA30" s="60">
        <f t="shared" si="6"/>
        <v>31132</v>
      </c>
    </row>
    <row r="31" spans="1:27">
      <c r="A31" s="83" t="str">
        <f t="shared" si="2"/>
        <v>B166rattlesnake</v>
      </c>
      <c r="B31" s="83" t="str">
        <f t="shared" si="3"/>
        <v>31-083-14</v>
      </c>
      <c r="C31" s="109" t="s">
        <v>1032</v>
      </c>
      <c r="D31" s="109" t="s">
        <v>1033</v>
      </c>
      <c r="E31" s="109" t="s">
        <v>793</v>
      </c>
      <c r="F31" s="110">
        <v>0</v>
      </c>
      <c r="G31" s="109" t="s">
        <v>965</v>
      </c>
      <c r="H31" s="109" t="s">
        <v>86</v>
      </c>
      <c r="I31" s="109" t="s">
        <v>887</v>
      </c>
      <c r="J31" s="109" t="s">
        <v>323</v>
      </c>
      <c r="K31" s="109" t="s">
        <v>387</v>
      </c>
      <c r="L31" s="109" t="s">
        <v>523</v>
      </c>
      <c r="M31" s="109" t="s">
        <v>384</v>
      </c>
      <c r="N31" s="109" t="s">
        <v>36</v>
      </c>
      <c r="O31" s="109" t="s">
        <v>386</v>
      </c>
      <c r="P31" s="109" t="s">
        <v>827</v>
      </c>
      <c r="Q31" s="109" t="s">
        <v>938</v>
      </c>
      <c r="R31" s="109" t="s">
        <v>86</v>
      </c>
      <c r="S31" s="83" t="str">
        <f t="shared" si="4"/>
        <v>B166</v>
      </c>
      <c r="T31" s="83" t="str">
        <f t="shared" si="0"/>
        <v>CLASSIC ROLL UP</v>
      </c>
      <c r="Y31" s="60">
        <f t="shared" si="5"/>
        <v>31</v>
      </c>
      <c r="Z31" s="49">
        <f t="shared" si="1"/>
        <v>83</v>
      </c>
      <c r="AA31" s="60">
        <f t="shared" si="6"/>
        <v>31083</v>
      </c>
    </row>
    <row r="32" spans="1:27">
      <c r="A32" s="83" t="str">
        <f t="shared" si="2"/>
        <v>B1718Hnavy.white</v>
      </c>
      <c r="B32" s="83" t="str">
        <f t="shared" si="3"/>
        <v>31-163-16</v>
      </c>
      <c r="C32" s="109" t="s">
        <v>1034</v>
      </c>
      <c r="D32" s="109" t="s">
        <v>1035</v>
      </c>
      <c r="E32" s="109" t="s">
        <v>793</v>
      </c>
      <c r="F32" s="110">
        <v>0</v>
      </c>
      <c r="G32" s="109" t="s">
        <v>1036</v>
      </c>
      <c r="H32" s="109" t="s">
        <v>248</v>
      </c>
      <c r="I32" s="109" t="s">
        <v>847</v>
      </c>
      <c r="J32" s="109" t="s">
        <v>323</v>
      </c>
      <c r="K32" s="109" t="s">
        <v>387</v>
      </c>
      <c r="L32" s="109" t="s">
        <v>523</v>
      </c>
      <c r="M32" s="109" t="s">
        <v>384</v>
      </c>
      <c r="N32" s="109" t="s">
        <v>36</v>
      </c>
      <c r="O32" s="109" t="s">
        <v>386</v>
      </c>
      <c r="P32" s="109" t="s">
        <v>826</v>
      </c>
      <c r="Q32" s="109" t="s">
        <v>1037</v>
      </c>
      <c r="R32" s="109" t="s">
        <v>71</v>
      </c>
      <c r="S32" s="83" t="str">
        <f t="shared" si="4"/>
        <v>B1718H</v>
      </c>
      <c r="T32" s="83" t="str">
        <f t="shared" si="0"/>
        <v>CORSICA</v>
      </c>
      <c r="Y32" s="60">
        <f t="shared" si="5"/>
        <v>31</v>
      </c>
      <c r="Z32" s="49">
        <f t="shared" si="1"/>
        <v>163</v>
      </c>
      <c r="AA32" s="60">
        <f t="shared" si="6"/>
        <v>31163</v>
      </c>
    </row>
    <row r="33" spans="1:27">
      <c r="A33" s="83" t="str">
        <f t="shared" si="2"/>
        <v>B176ocean</v>
      </c>
      <c r="B33" s="83" t="str">
        <f t="shared" si="3"/>
        <v>31-084-06</v>
      </c>
      <c r="C33" s="109" t="s">
        <v>1038</v>
      </c>
      <c r="D33" s="109" t="s">
        <v>1039</v>
      </c>
      <c r="E33" s="109" t="s">
        <v>793</v>
      </c>
      <c r="F33" s="110">
        <v>0</v>
      </c>
      <c r="G33" s="109" t="s">
        <v>1007</v>
      </c>
      <c r="H33" s="109" t="s">
        <v>71</v>
      </c>
      <c r="I33" s="109" t="s">
        <v>887</v>
      </c>
      <c r="J33" s="109" t="s">
        <v>357</v>
      </c>
      <c r="K33" s="109" t="s">
        <v>387</v>
      </c>
      <c r="L33" s="109" t="s">
        <v>523</v>
      </c>
      <c r="M33" s="109" t="s">
        <v>384</v>
      </c>
      <c r="N33" s="109" t="s">
        <v>36</v>
      </c>
      <c r="O33" s="109" t="s">
        <v>386</v>
      </c>
      <c r="P33" s="109" t="s">
        <v>827</v>
      </c>
      <c r="Q33" s="109" t="s">
        <v>1040</v>
      </c>
      <c r="R33" s="109" t="s">
        <v>71</v>
      </c>
      <c r="S33" s="83" t="str">
        <f t="shared" si="4"/>
        <v>B176</v>
      </c>
      <c r="T33" s="83" t="str">
        <f t="shared" si="0"/>
        <v>GOSSAMER</v>
      </c>
      <c r="Y33" s="60">
        <f t="shared" si="5"/>
        <v>31</v>
      </c>
      <c r="Z33" s="49">
        <f t="shared" si="1"/>
        <v>84</v>
      </c>
      <c r="AA33" s="60">
        <f t="shared" si="6"/>
        <v>31084</v>
      </c>
    </row>
    <row r="34" spans="1:27">
      <c r="A34" s="83" t="str">
        <f t="shared" si="2"/>
        <v>B1811Hnatural.white</v>
      </c>
      <c r="B34" s="83" t="str">
        <f t="shared" si="3"/>
        <v>31-204-02</v>
      </c>
      <c r="C34" s="109" t="s">
        <v>1041</v>
      </c>
      <c r="D34" s="109" t="s">
        <v>1042</v>
      </c>
      <c r="E34" s="109" t="s">
        <v>793</v>
      </c>
      <c r="F34" s="110">
        <v>0</v>
      </c>
      <c r="G34" s="109" t="s">
        <v>1043</v>
      </c>
      <c r="H34" s="109" t="s">
        <v>63</v>
      </c>
      <c r="I34" s="109" t="s">
        <v>891</v>
      </c>
      <c r="J34" s="109" t="s">
        <v>323</v>
      </c>
      <c r="K34" s="109" t="s">
        <v>387</v>
      </c>
      <c r="L34" s="109" t="s">
        <v>523</v>
      </c>
      <c r="M34" s="109" t="s">
        <v>384</v>
      </c>
      <c r="N34" s="109" t="s">
        <v>36</v>
      </c>
      <c r="O34" s="109" t="s">
        <v>386</v>
      </c>
      <c r="P34" s="109" t="s">
        <v>827</v>
      </c>
      <c r="Q34" s="109" t="s">
        <v>928</v>
      </c>
      <c r="R34" s="109" t="s">
        <v>63</v>
      </c>
      <c r="S34" s="83" t="str">
        <f t="shared" si="4"/>
        <v>B1811H</v>
      </c>
      <c r="T34" s="83" t="str">
        <f t="shared" si="0"/>
        <v>BARRET</v>
      </c>
      <c r="Y34" s="60">
        <f t="shared" si="5"/>
        <v>31</v>
      </c>
      <c r="Z34" s="49">
        <f t="shared" si="1"/>
        <v>204</v>
      </c>
      <c r="AA34" s="60">
        <f t="shared" si="6"/>
        <v>31204</v>
      </c>
    </row>
    <row r="35" spans="1:27">
      <c r="A35" s="83" t="str">
        <f t="shared" si="2"/>
        <v>B1812Hnatural multi</v>
      </c>
      <c r="B35" s="83" t="str">
        <f t="shared" si="3"/>
        <v>31-205-02</v>
      </c>
      <c r="C35" s="109" t="s">
        <v>1044</v>
      </c>
      <c r="D35" s="109" t="s">
        <v>1045</v>
      </c>
      <c r="E35" s="109" t="s">
        <v>793</v>
      </c>
      <c r="F35" s="110">
        <v>0</v>
      </c>
      <c r="G35" s="109" t="s">
        <v>1046</v>
      </c>
      <c r="H35" s="109" t="s">
        <v>63</v>
      </c>
      <c r="I35" s="109" t="s">
        <v>1047</v>
      </c>
      <c r="J35" s="109" t="s">
        <v>323</v>
      </c>
      <c r="K35" s="109" t="s">
        <v>387</v>
      </c>
      <c r="L35" s="109" t="s">
        <v>523</v>
      </c>
      <c r="M35" s="109" t="s">
        <v>384</v>
      </c>
      <c r="N35" s="109" t="s">
        <v>36</v>
      </c>
      <c r="O35" s="109" t="s">
        <v>386</v>
      </c>
      <c r="P35" s="109" t="s">
        <v>826</v>
      </c>
      <c r="Q35" s="109" t="s">
        <v>846</v>
      </c>
      <c r="R35" s="109" t="s">
        <v>63</v>
      </c>
      <c r="S35" s="83" t="str">
        <f t="shared" si="4"/>
        <v>B1812H</v>
      </c>
      <c r="T35" s="83" t="str">
        <f t="shared" si="0"/>
        <v>ST. TROPEZ</v>
      </c>
      <c r="Y35" s="60">
        <f t="shared" si="5"/>
        <v>31</v>
      </c>
      <c r="Z35" s="49">
        <f t="shared" si="1"/>
        <v>205</v>
      </c>
      <c r="AA35" s="60">
        <f t="shared" si="6"/>
        <v>31205</v>
      </c>
    </row>
    <row r="36" spans="1:27">
      <c r="A36" s="83" t="str">
        <f t="shared" si="2"/>
        <v>B1815Hnatural</v>
      </c>
      <c r="B36" s="83" t="str">
        <f t="shared" si="3"/>
        <v>31-206-02</v>
      </c>
      <c r="C36" s="109" t="s">
        <v>1048</v>
      </c>
      <c r="D36" s="109" t="s">
        <v>1049</v>
      </c>
      <c r="E36" s="109" t="s">
        <v>793</v>
      </c>
      <c r="F36" s="110">
        <v>0</v>
      </c>
      <c r="G36" s="109" t="s">
        <v>1050</v>
      </c>
      <c r="H36" s="109" t="s">
        <v>63</v>
      </c>
      <c r="I36" s="109" t="s">
        <v>891</v>
      </c>
      <c r="J36" s="109" t="s">
        <v>330</v>
      </c>
      <c r="K36" s="109" t="s">
        <v>387</v>
      </c>
      <c r="L36" s="109" t="s">
        <v>523</v>
      </c>
      <c r="M36" s="109" t="s">
        <v>384</v>
      </c>
      <c r="N36" s="109" t="s">
        <v>36</v>
      </c>
      <c r="O36" s="109" t="s">
        <v>386</v>
      </c>
      <c r="P36" s="109" t="s">
        <v>827</v>
      </c>
      <c r="Q36" s="109" t="s">
        <v>844</v>
      </c>
      <c r="R36" s="109" t="s">
        <v>63</v>
      </c>
      <c r="S36" s="83" t="str">
        <f t="shared" si="4"/>
        <v>B1815H</v>
      </c>
      <c r="T36" s="83" t="str">
        <f t="shared" si="0"/>
        <v>ELLERY</v>
      </c>
      <c r="Y36" s="60">
        <f t="shared" si="5"/>
        <v>31</v>
      </c>
      <c r="Z36" s="49">
        <f t="shared" si="1"/>
        <v>206</v>
      </c>
      <c r="AA36" s="60">
        <f t="shared" si="6"/>
        <v>31206</v>
      </c>
    </row>
    <row r="37" spans="1:27">
      <c r="A37" s="83" t="str">
        <f t="shared" si="2"/>
        <v>B1841Hsunshine</v>
      </c>
      <c r="B37" s="83" t="str">
        <f t="shared" si="3"/>
        <v>31-217-20</v>
      </c>
      <c r="C37" s="109" t="s">
        <v>1051</v>
      </c>
      <c r="D37" s="109" t="s">
        <v>1052</v>
      </c>
      <c r="E37" s="109" t="s">
        <v>793</v>
      </c>
      <c r="F37" s="110">
        <v>0</v>
      </c>
      <c r="G37" s="109" t="s">
        <v>1053</v>
      </c>
      <c r="H37" s="109" t="s">
        <v>65</v>
      </c>
      <c r="I37" s="109" t="s">
        <v>794</v>
      </c>
      <c r="J37" s="109" t="s">
        <v>323</v>
      </c>
      <c r="K37" s="109" t="s">
        <v>387</v>
      </c>
      <c r="L37" s="109" t="s">
        <v>523</v>
      </c>
      <c r="M37" s="109" t="s">
        <v>384</v>
      </c>
      <c r="O37" s="109" t="s">
        <v>386</v>
      </c>
      <c r="P37" s="109" t="s">
        <v>827</v>
      </c>
      <c r="Q37" s="109" t="s">
        <v>1054</v>
      </c>
      <c r="R37" s="109" t="s">
        <v>65</v>
      </c>
      <c r="S37" s="83" t="str">
        <f t="shared" si="4"/>
        <v>B1841H</v>
      </c>
      <c r="T37" s="83" t="str">
        <f t="shared" si="0"/>
        <v>MALTA</v>
      </c>
      <c r="Y37" s="60">
        <f t="shared" si="5"/>
        <v>31</v>
      </c>
      <c r="Z37" s="49">
        <f t="shared" si="1"/>
        <v>217</v>
      </c>
      <c r="AA37" s="60">
        <f t="shared" si="6"/>
        <v>31217</v>
      </c>
    </row>
    <row r="38" spans="1:27">
      <c r="A38" s="83" t="str">
        <f t="shared" si="2"/>
        <v>B1859Hnatural.lt.blue</v>
      </c>
      <c r="B38" s="83" t="str">
        <f t="shared" si="3"/>
        <v>31-218-02</v>
      </c>
      <c r="C38" s="109" t="s">
        <v>1055</v>
      </c>
      <c r="D38" s="109" t="s">
        <v>1056</v>
      </c>
      <c r="E38" s="109" t="s">
        <v>793</v>
      </c>
      <c r="F38" s="110">
        <v>0</v>
      </c>
      <c r="G38" s="109" t="s">
        <v>1057</v>
      </c>
      <c r="H38" s="109" t="s">
        <v>63</v>
      </c>
      <c r="I38" s="109" t="s">
        <v>848</v>
      </c>
      <c r="J38" s="109" t="s">
        <v>323</v>
      </c>
      <c r="K38" s="109" t="s">
        <v>387</v>
      </c>
      <c r="L38" s="109" t="s">
        <v>523</v>
      </c>
      <c r="M38" s="109" t="s">
        <v>384</v>
      </c>
      <c r="N38" s="109" t="s">
        <v>36</v>
      </c>
      <c r="O38" s="109" t="s">
        <v>386</v>
      </c>
      <c r="P38" s="109" t="s">
        <v>826</v>
      </c>
      <c r="Q38" s="109" t="s">
        <v>1058</v>
      </c>
      <c r="R38" s="109" t="s">
        <v>63</v>
      </c>
      <c r="S38" s="83" t="str">
        <f t="shared" si="4"/>
        <v>B1859H</v>
      </c>
      <c r="T38" s="83" t="str">
        <f t="shared" si="0"/>
        <v>LUCIA</v>
      </c>
      <c r="Y38" s="60">
        <f t="shared" si="5"/>
        <v>31</v>
      </c>
      <c r="Z38" s="49">
        <f t="shared" si="1"/>
        <v>218</v>
      </c>
      <c r="AA38" s="60">
        <f t="shared" si="6"/>
        <v>31218</v>
      </c>
    </row>
    <row r="39" spans="1:27">
      <c r="A39" s="83" t="str">
        <f t="shared" si="2"/>
        <v>B1872Hblack</v>
      </c>
      <c r="B39" s="83" t="str">
        <f t="shared" si="3"/>
        <v>31-219-09</v>
      </c>
      <c r="C39" s="109" t="s">
        <v>1059</v>
      </c>
      <c r="D39" s="109" t="s">
        <v>1060</v>
      </c>
      <c r="E39" s="109" t="s">
        <v>793</v>
      </c>
      <c r="F39" s="110">
        <v>0</v>
      </c>
      <c r="G39" s="109" t="s">
        <v>1061</v>
      </c>
      <c r="H39" s="109" t="s">
        <v>53</v>
      </c>
      <c r="I39" s="109" t="s">
        <v>863</v>
      </c>
      <c r="J39" s="109" t="s">
        <v>327</v>
      </c>
      <c r="K39" s="109" t="s">
        <v>387</v>
      </c>
      <c r="L39" s="109" t="s">
        <v>523</v>
      </c>
      <c r="M39" s="109" t="s">
        <v>388</v>
      </c>
      <c r="O39" s="109" t="s">
        <v>386</v>
      </c>
      <c r="P39" s="109" t="s">
        <v>827</v>
      </c>
      <c r="Q39" s="109" t="s">
        <v>831</v>
      </c>
      <c r="R39" s="109" t="s">
        <v>53</v>
      </c>
      <c r="S39" s="83" t="str">
        <f t="shared" si="4"/>
        <v>B1872H</v>
      </c>
      <c r="T39" s="83" t="str">
        <f t="shared" si="0"/>
        <v>QUILTED RAIN CAP</v>
      </c>
      <c r="Y39" s="60">
        <f t="shared" si="5"/>
        <v>31</v>
      </c>
      <c r="Z39" s="49">
        <f t="shared" si="1"/>
        <v>219</v>
      </c>
      <c r="AA39" s="60">
        <f t="shared" si="6"/>
        <v>31219</v>
      </c>
    </row>
    <row r="40" spans="1:27">
      <c r="A40" s="83" t="str">
        <f t="shared" si="2"/>
        <v>B1886Hleopard</v>
      </c>
      <c r="B40" s="83" t="str">
        <f t="shared" si="3"/>
        <v>31-220-00</v>
      </c>
      <c r="C40" s="109" t="s">
        <v>1062</v>
      </c>
      <c r="D40" s="109" t="s">
        <v>1063</v>
      </c>
      <c r="E40" s="109" t="s">
        <v>793</v>
      </c>
      <c r="F40" s="110">
        <v>0</v>
      </c>
      <c r="G40" s="109" t="s">
        <v>1064</v>
      </c>
      <c r="H40" s="109" t="s">
        <v>306</v>
      </c>
      <c r="I40" s="109" t="s">
        <v>794</v>
      </c>
      <c r="J40" s="109" t="s">
        <v>327</v>
      </c>
      <c r="K40" s="109" t="s">
        <v>387</v>
      </c>
      <c r="L40" s="109" t="s">
        <v>523</v>
      </c>
      <c r="M40" s="109" t="s">
        <v>388</v>
      </c>
      <c r="O40" s="109" t="s">
        <v>386</v>
      </c>
      <c r="P40" s="109" t="s">
        <v>827</v>
      </c>
      <c r="Q40" s="109" t="s">
        <v>1065</v>
      </c>
      <c r="R40" s="109" t="s">
        <v>53</v>
      </c>
      <c r="S40" s="83" t="str">
        <f t="shared" si="4"/>
        <v>B1886H</v>
      </c>
      <c r="T40" s="83" t="str">
        <f t="shared" si="0"/>
        <v>LEOPARD BASEBALL CAP</v>
      </c>
      <c r="Y40" s="60">
        <f t="shared" si="5"/>
        <v>31</v>
      </c>
      <c r="Z40" s="49">
        <f t="shared" si="1"/>
        <v>220</v>
      </c>
      <c r="AA40" s="60">
        <f t="shared" si="6"/>
        <v>31220</v>
      </c>
    </row>
    <row r="41" spans="1:27">
      <c r="A41" s="83" t="str">
        <f t="shared" si="2"/>
        <v>B1892Hfloral multi</v>
      </c>
      <c r="B41" s="83" t="str">
        <f t="shared" si="3"/>
        <v>31-221-35</v>
      </c>
      <c r="C41" s="109" t="s">
        <v>1066</v>
      </c>
      <c r="D41" s="109" t="s">
        <v>1067</v>
      </c>
      <c r="E41" s="109" t="s">
        <v>793</v>
      </c>
      <c r="F41" s="110">
        <v>0</v>
      </c>
      <c r="G41" s="109" t="s">
        <v>1068</v>
      </c>
      <c r="H41" s="109" t="s">
        <v>209</v>
      </c>
      <c r="I41" s="109" t="s">
        <v>794</v>
      </c>
      <c r="J41" s="109" t="s">
        <v>327</v>
      </c>
      <c r="K41" s="109" t="s">
        <v>387</v>
      </c>
      <c r="L41" s="109" t="s">
        <v>523</v>
      </c>
      <c r="M41" s="109" t="s">
        <v>388</v>
      </c>
      <c r="O41" s="109" t="s">
        <v>386</v>
      </c>
      <c r="P41" s="109" t="s">
        <v>827</v>
      </c>
      <c r="Q41" s="109" t="s">
        <v>1069</v>
      </c>
      <c r="R41" s="109" t="s">
        <v>209</v>
      </c>
      <c r="S41" s="83" t="str">
        <f t="shared" si="4"/>
        <v>B1892H</v>
      </c>
      <c r="T41" s="83" t="str">
        <f t="shared" si="0"/>
        <v>FLORAL BASEBALL CAP</v>
      </c>
      <c r="Y41" s="60">
        <f t="shared" si="5"/>
        <v>31</v>
      </c>
      <c r="Z41" s="49">
        <f t="shared" si="1"/>
        <v>221</v>
      </c>
      <c r="AA41" s="60">
        <f t="shared" si="6"/>
        <v>31221</v>
      </c>
    </row>
    <row r="42" spans="1:27">
      <c r="A42" s="83" t="str">
        <f t="shared" si="2"/>
        <v>B1877Hbordeaux</v>
      </c>
      <c r="B42" s="83" t="str">
        <f t="shared" si="3"/>
        <v>31-222-12</v>
      </c>
      <c r="C42" s="109" t="s">
        <v>1070</v>
      </c>
      <c r="D42" s="109" t="s">
        <v>1071</v>
      </c>
      <c r="E42" s="109" t="s">
        <v>793</v>
      </c>
      <c r="F42" s="110">
        <v>0</v>
      </c>
      <c r="G42" s="109" t="s">
        <v>1072</v>
      </c>
      <c r="H42" s="109" t="s">
        <v>121</v>
      </c>
      <c r="I42" s="109" t="s">
        <v>794</v>
      </c>
      <c r="J42" s="109" t="s">
        <v>334</v>
      </c>
      <c r="K42" s="109" t="s">
        <v>387</v>
      </c>
      <c r="L42" s="109" t="s">
        <v>523</v>
      </c>
      <c r="M42" s="109" t="s">
        <v>388</v>
      </c>
      <c r="O42" s="109" t="s">
        <v>386</v>
      </c>
      <c r="P42" s="109" t="s">
        <v>827</v>
      </c>
      <c r="Q42" s="109" t="s">
        <v>1073</v>
      </c>
      <c r="R42" s="109" t="s">
        <v>121</v>
      </c>
      <c r="S42" s="83" t="str">
        <f t="shared" si="4"/>
        <v>B1877H</v>
      </c>
      <c r="T42" s="83" t="str">
        <f t="shared" si="0"/>
        <v>GRACELLA</v>
      </c>
      <c r="Y42" s="60">
        <f t="shared" si="5"/>
        <v>31</v>
      </c>
      <c r="Z42" s="49">
        <f t="shared" si="1"/>
        <v>222</v>
      </c>
      <c r="AA42" s="60">
        <f t="shared" si="6"/>
        <v>31222</v>
      </c>
    </row>
    <row r="43" spans="1:27">
      <c r="A43" s="83" t="str">
        <f t="shared" si="2"/>
        <v>B515spice</v>
      </c>
      <c r="B43" s="83" t="str">
        <f t="shared" si="3"/>
        <v>31-034-14</v>
      </c>
      <c r="C43" s="109" t="s">
        <v>1074</v>
      </c>
      <c r="D43" s="109" t="s">
        <v>1075</v>
      </c>
      <c r="E43" s="109" t="s">
        <v>793</v>
      </c>
      <c r="F43" s="110">
        <v>0</v>
      </c>
      <c r="G43" s="109" t="s">
        <v>1076</v>
      </c>
      <c r="H43" s="109" t="s">
        <v>160</v>
      </c>
      <c r="I43" s="109" t="s">
        <v>796</v>
      </c>
      <c r="J43" s="109" t="s">
        <v>334</v>
      </c>
      <c r="K43" s="109" t="s">
        <v>387</v>
      </c>
      <c r="L43" s="109" t="s">
        <v>523</v>
      </c>
      <c r="M43" s="109" t="s">
        <v>389</v>
      </c>
      <c r="N43" s="109" t="s">
        <v>44</v>
      </c>
      <c r="O43" s="109" t="s">
        <v>386</v>
      </c>
      <c r="P43" s="109" t="s">
        <v>827</v>
      </c>
      <c r="Q43" s="109" t="s">
        <v>1077</v>
      </c>
      <c r="R43" s="109" t="s">
        <v>86</v>
      </c>
      <c r="S43" s="83" t="str">
        <f t="shared" si="4"/>
        <v>B515</v>
      </c>
      <c r="T43" s="83" t="str">
        <f t="shared" si="0"/>
        <v>FLOWER BERET</v>
      </c>
      <c r="Y43" s="60">
        <f t="shared" si="5"/>
        <v>31</v>
      </c>
      <c r="Z43" s="49">
        <f t="shared" si="1"/>
        <v>34</v>
      </c>
      <c r="AA43" s="60">
        <f t="shared" si="6"/>
        <v>31034</v>
      </c>
    </row>
    <row r="44" spans="1:27">
      <c r="A44" s="83" t="str">
        <f t="shared" si="2"/>
        <v>B011Hburgundy cord</v>
      </c>
      <c r="B44" s="83" t="str">
        <f t="shared" si="3"/>
        <v>31-002-86</v>
      </c>
      <c r="C44" s="109" t="s">
        <v>1078</v>
      </c>
      <c r="D44" s="109" t="s">
        <v>1079</v>
      </c>
      <c r="E44" s="109" t="s">
        <v>793</v>
      </c>
      <c r="F44" s="110">
        <v>0</v>
      </c>
      <c r="G44" s="109" t="s">
        <v>1080</v>
      </c>
      <c r="H44" s="109" t="s">
        <v>266</v>
      </c>
      <c r="I44" s="109" t="s">
        <v>853</v>
      </c>
      <c r="J44" s="109" t="s">
        <v>348</v>
      </c>
      <c r="K44" s="109" t="s">
        <v>387</v>
      </c>
      <c r="L44" s="109" t="s">
        <v>523</v>
      </c>
      <c r="M44" s="109" t="s">
        <v>388</v>
      </c>
      <c r="N44" s="109" t="s">
        <v>44</v>
      </c>
      <c r="O44" s="109" t="s">
        <v>386</v>
      </c>
      <c r="P44" s="109" t="s">
        <v>827</v>
      </c>
      <c r="Q44" s="109" t="s">
        <v>1081</v>
      </c>
      <c r="R44" s="109" t="s">
        <v>121</v>
      </c>
      <c r="S44" s="83" t="str">
        <f t="shared" si="4"/>
        <v>B011H</v>
      </c>
      <c r="T44" s="83" t="str">
        <f t="shared" si="0"/>
        <v>ADELE</v>
      </c>
      <c r="Y44" s="60">
        <f t="shared" si="5"/>
        <v>31</v>
      </c>
      <c r="Z44" s="49">
        <f t="shared" si="1"/>
        <v>2</v>
      </c>
      <c r="AA44" s="60">
        <f t="shared" si="6"/>
        <v>31002</v>
      </c>
    </row>
    <row r="45" spans="1:27">
      <c r="A45" s="83" t="str">
        <f t="shared" si="2"/>
        <v>B1794Holive</v>
      </c>
      <c r="B45" s="83" t="str">
        <f t="shared" si="3"/>
        <v>31-188-03</v>
      </c>
      <c r="C45" s="109" t="s">
        <v>1082</v>
      </c>
      <c r="D45" s="109" t="s">
        <v>1083</v>
      </c>
      <c r="E45" s="109" t="s">
        <v>793</v>
      </c>
      <c r="F45" s="110">
        <v>0</v>
      </c>
      <c r="G45" s="109" t="s">
        <v>1084</v>
      </c>
      <c r="H45" s="109" t="s">
        <v>195</v>
      </c>
      <c r="I45" s="109" t="s">
        <v>796</v>
      </c>
      <c r="J45" s="109" t="s">
        <v>348</v>
      </c>
      <c r="K45" s="109" t="s">
        <v>387</v>
      </c>
      <c r="L45" s="109" t="s">
        <v>523</v>
      </c>
      <c r="M45" s="109" t="s">
        <v>388</v>
      </c>
      <c r="N45" s="109" t="s">
        <v>44</v>
      </c>
      <c r="O45" s="109" t="s">
        <v>386</v>
      </c>
      <c r="P45" s="109" t="s">
        <v>826</v>
      </c>
      <c r="Q45" s="109" t="s">
        <v>838</v>
      </c>
      <c r="R45" s="109" t="s">
        <v>195</v>
      </c>
      <c r="S45" s="83" t="str">
        <f t="shared" si="4"/>
        <v>B1794H</v>
      </c>
      <c r="T45" s="83" t="str">
        <f t="shared" si="0"/>
        <v>CRYSTAL CAP</v>
      </c>
      <c r="Y45" s="60">
        <f t="shared" si="5"/>
        <v>31</v>
      </c>
      <c r="Z45" s="49">
        <f t="shared" si="1"/>
        <v>188</v>
      </c>
      <c r="AA45" s="60">
        <f t="shared" si="6"/>
        <v>31188</v>
      </c>
    </row>
    <row r="46" spans="1:27">
      <c r="A46" s="83" t="str">
        <f t="shared" si="2"/>
        <v>B1865Hcharcoal heather</v>
      </c>
      <c r="B46" s="83" t="str">
        <f t="shared" si="3"/>
        <v>31-223-05</v>
      </c>
      <c r="C46" s="109" t="s">
        <v>1085</v>
      </c>
      <c r="D46" s="109" t="s">
        <v>1086</v>
      </c>
      <c r="E46" s="109" t="s">
        <v>793</v>
      </c>
      <c r="F46" s="110">
        <v>0</v>
      </c>
      <c r="G46" s="109" t="s">
        <v>1087</v>
      </c>
      <c r="H46" s="109" t="s">
        <v>277</v>
      </c>
      <c r="I46" s="109" t="s">
        <v>796</v>
      </c>
      <c r="J46" s="109" t="s">
        <v>348</v>
      </c>
      <c r="K46" s="109" t="s">
        <v>387</v>
      </c>
      <c r="L46" s="109" t="s">
        <v>523</v>
      </c>
      <c r="M46" s="109" t="s">
        <v>388</v>
      </c>
      <c r="N46" s="109" t="s">
        <v>44</v>
      </c>
      <c r="O46" s="109" t="s">
        <v>386</v>
      </c>
      <c r="P46" s="109" t="s">
        <v>826</v>
      </c>
      <c r="Q46" s="109" t="s">
        <v>882</v>
      </c>
      <c r="R46" s="109" t="s">
        <v>83</v>
      </c>
      <c r="S46" s="83" t="str">
        <f t="shared" si="4"/>
        <v>B1865H</v>
      </c>
      <c r="T46" s="83" t="str">
        <f t="shared" si="0"/>
        <v>DITA</v>
      </c>
      <c r="Y46" s="60">
        <f t="shared" si="5"/>
        <v>31</v>
      </c>
      <c r="Z46" s="49">
        <f t="shared" si="1"/>
        <v>223</v>
      </c>
      <c r="AA46" s="60">
        <f t="shared" si="6"/>
        <v>31223</v>
      </c>
    </row>
    <row r="47" spans="1:27">
      <c r="A47" s="83" t="str">
        <f t="shared" si="2"/>
        <v>B1873Holive</v>
      </c>
      <c r="B47" s="83" t="str">
        <f t="shared" si="3"/>
        <v>31-224-03</v>
      </c>
      <c r="C47" s="109" t="s">
        <v>1088</v>
      </c>
      <c r="D47" s="109" t="s">
        <v>1089</v>
      </c>
      <c r="E47" s="109" t="s">
        <v>793</v>
      </c>
      <c r="F47" s="110">
        <v>0</v>
      </c>
      <c r="G47" s="109" t="s">
        <v>1090</v>
      </c>
      <c r="H47" s="109" t="s">
        <v>195</v>
      </c>
      <c r="I47" s="109" t="s">
        <v>794</v>
      </c>
      <c r="J47" s="109" t="s">
        <v>348</v>
      </c>
      <c r="K47" s="109" t="s">
        <v>387</v>
      </c>
      <c r="L47" s="109" t="s">
        <v>523</v>
      </c>
      <c r="M47" s="109" t="s">
        <v>388</v>
      </c>
      <c r="O47" s="109" t="s">
        <v>386</v>
      </c>
      <c r="P47" s="109" t="s">
        <v>827</v>
      </c>
      <c r="Q47" s="109" t="s">
        <v>838</v>
      </c>
      <c r="R47" s="109" t="s">
        <v>195</v>
      </c>
      <c r="S47" s="83" t="str">
        <f t="shared" si="4"/>
        <v>B1873H</v>
      </c>
      <c r="T47" s="83" t="str">
        <f t="shared" si="0"/>
        <v>LIEUTENANT CAP</v>
      </c>
      <c r="Y47" s="60">
        <f t="shared" si="5"/>
        <v>31</v>
      </c>
      <c r="Z47" s="49">
        <f t="shared" si="1"/>
        <v>224</v>
      </c>
      <c r="AA47" s="60">
        <f t="shared" si="6"/>
        <v>31224</v>
      </c>
    </row>
    <row r="48" spans="1:27">
      <c r="A48" s="83" t="str">
        <f t="shared" si="2"/>
        <v>B1891Hblack</v>
      </c>
      <c r="B48" s="83" t="str">
        <f t="shared" si="3"/>
        <v>31-225-09</v>
      </c>
      <c r="C48" s="109" t="s">
        <v>1091</v>
      </c>
      <c r="D48" s="109" t="s">
        <v>1092</v>
      </c>
      <c r="E48" s="109" t="s">
        <v>793</v>
      </c>
      <c r="F48" s="110">
        <v>0</v>
      </c>
      <c r="G48" s="109" t="s">
        <v>1093</v>
      </c>
      <c r="H48" s="109" t="s">
        <v>53</v>
      </c>
      <c r="I48" s="109" t="s">
        <v>863</v>
      </c>
      <c r="J48" s="109" t="s">
        <v>348</v>
      </c>
      <c r="K48" s="109" t="s">
        <v>387</v>
      </c>
      <c r="L48" s="109" t="s">
        <v>523</v>
      </c>
      <c r="M48" s="109" t="s">
        <v>388</v>
      </c>
      <c r="O48" s="109" t="s">
        <v>386</v>
      </c>
      <c r="P48" s="109" t="s">
        <v>827</v>
      </c>
      <c r="Q48" s="109" t="s">
        <v>831</v>
      </c>
      <c r="R48" s="109" t="s">
        <v>53</v>
      </c>
      <c r="S48" s="83" t="str">
        <f t="shared" si="4"/>
        <v>B1891H</v>
      </c>
      <c r="T48" s="83" t="str">
        <f t="shared" si="0"/>
        <v>LIEUTENANT RAIN CAP</v>
      </c>
      <c r="Y48" s="60">
        <f t="shared" si="5"/>
        <v>31</v>
      </c>
      <c r="Z48" s="49">
        <f t="shared" si="1"/>
        <v>225</v>
      </c>
      <c r="AA48" s="60">
        <f t="shared" si="6"/>
        <v>31225</v>
      </c>
    </row>
    <row r="49" spans="1:27">
      <c r="A49" s="83" t="str">
        <f t="shared" si="2"/>
        <v>B521lilac</v>
      </c>
      <c r="B49" s="83" t="str">
        <f t="shared" si="3"/>
        <v>31-035-45</v>
      </c>
      <c r="C49" s="109" t="s">
        <v>1094</v>
      </c>
      <c r="D49" s="109" t="s">
        <v>1095</v>
      </c>
      <c r="E49" s="109" t="s">
        <v>793</v>
      </c>
      <c r="F49" s="110">
        <v>0</v>
      </c>
      <c r="G49" s="109" t="s">
        <v>1096</v>
      </c>
      <c r="H49" s="109" t="s">
        <v>191</v>
      </c>
      <c r="I49" s="109" t="s">
        <v>796</v>
      </c>
      <c r="J49" s="109" t="s">
        <v>348</v>
      </c>
      <c r="K49" s="109" t="s">
        <v>387</v>
      </c>
      <c r="L49" s="109" t="s">
        <v>523</v>
      </c>
      <c r="M49" s="109" t="s">
        <v>388</v>
      </c>
      <c r="N49" s="109" t="s">
        <v>44</v>
      </c>
      <c r="O49" s="109" t="s">
        <v>386</v>
      </c>
      <c r="P49" s="109" t="s">
        <v>826</v>
      </c>
      <c r="Q49" s="109" t="s">
        <v>1097</v>
      </c>
      <c r="R49" s="109" t="s">
        <v>68</v>
      </c>
      <c r="S49" s="83" t="str">
        <f t="shared" si="4"/>
        <v>B521</v>
      </c>
      <c r="T49" s="83" t="str">
        <f t="shared" si="0"/>
        <v>RHINESTONE CAP</v>
      </c>
      <c r="Y49" s="60">
        <f t="shared" si="5"/>
        <v>31</v>
      </c>
      <c r="Z49" s="49">
        <f t="shared" si="1"/>
        <v>35</v>
      </c>
      <c r="AA49" s="60">
        <f t="shared" si="6"/>
        <v>31035</v>
      </c>
    </row>
    <row r="50" spans="1:27">
      <c r="A50" s="83" t="str">
        <f t="shared" si="2"/>
        <v>B562black.white glen plaid</v>
      </c>
      <c r="B50" s="83" t="str">
        <f t="shared" si="3"/>
        <v>31-038-05</v>
      </c>
      <c r="C50" s="109" t="s">
        <v>1098</v>
      </c>
      <c r="D50" s="109" t="s">
        <v>1099</v>
      </c>
      <c r="E50" s="109" t="s">
        <v>793</v>
      </c>
      <c r="F50" s="110">
        <v>0</v>
      </c>
      <c r="G50" s="109" t="s">
        <v>1100</v>
      </c>
      <c r="H50" s="109" t="s">
        <v>277</v>
      </c>
      <c r="I50" s="109" t="s">
        <v>853</v>
      </c>
      <c r="J50" s="109" t="s">
        <v>348</v>
      </c>
      <c r="K50" s="109" t="s">
        <v>387</v>
      </c>
      <c r="L50" s="109" t="s">
        <v>523</v>
      </c>
      <c r="M50" s="109" t="s">
        <v>388</v>
      </c>
      <c r="N50" s="109" t="s">
        <v>44</v>
      </c>
      <c r="O50" s="109" t="s">
        <v>386</v>
      </c>
      <c r="P50" s="109" t="s">
        <v>827</v>
      </c>
      <c r="Q50" s="109" t="s">
        <v>1101</v>
      </c>
      <c r="R50" s="109" t="s">
        <v>83</v>
      </c>
      <c r="S50" s="83" t="str">
        <f t="shared" si="4"/>
        <v>B562</v>
      </c>
      <c r="T50" s="83" t="str">
        <f t="shared" si="0"/>
        <v>BOY MEETS GIRL</v>
      </c>
      <c r="Y50" s="60">
        <f t="shared" si="5"/>
        <v>31</v>
      </c>
      <c r="Z50" s="49">
        <f t="shared" si="1"/>
        <v>38</v>
      </c>
      <c r="AA50" s="60">
        <f t="shared" si="6"/>
        <v>31038</v>
      </c>
    </row>
    <row r="51" spans="1:27">
      <c r="A51" s="83" t="str">
        <f t="shared" si="2"/>
        <v>B1249Hwoodland mix</v>
      </c>
      <c r="B51" s="83" t="str">
        <f t="shared" si="3"/>
        <v>31-008-03</v>
      </c>
      <c r="C51" s="109" t="s">
        <v>1102</v>
      </c>
      <c r="D51" s="109" t="s">
        <v>1103</v>
      </c>
      <c r="E51" s="109" t="s">
        <v>793</v>
      </c>
      <c r="F51" s="110">
        <v>0</v>
      </c>
      <c r="G51" s="109" t="s">
        <v>1104</v>
      </c>
      <c r="H51" s="109" t="s">
        <v>195</v>
      </c>
      <c r="I51" s="109" t="s">
        <v>785</v>
      </c>
      <c r="J51" s="109" t="s">
        <v>330</v>
      </c>
      <c r="K51" s="109" t="s">
        <v>387</v>
      </c>
      <c r="L51" s="109" t="s">
        <v>523</v>
      </c>
      <c r="M51" s="109" t="s">
        <v>388</v>
      </c>
      <c r="N51" s="109" t="s">
        <v>30</v>
      </c>
      <c r="O51" s="109" t="s">
        <v>386</v>
      </c>
      <c r="P51" s="109" t="s">
        <v>826</v>
      </c>
      <c r="Q51" s="109" t="s">
        <v>878</v>
      </c>
      <c r="R51" s="109" t="s">
        <v>195</v>
      </c>
      <c r="S51" s="83" t="str">
        <f t="shared" si="4"/>
        <v>B1249H</v>
      </c>
      <c r="T51" s="83" t="str">
        <f t="shared" si="0"/>
        <v>DARCY</v>
      </c>
      <c r="Y51" s="60">
        <f t="shared" si="5"/>
        <v>31</v>
      </c>
      <c r="Z51" s="49">
        <f t="shared" si="1"/>
        <v>8</v>
      </c>
      <c r="AA51" s="60">
        <f t="shared" si="6"/>
        <v>31008</v>
      </c>
    </row>
    <row r="52" spans="1:27">
      <c r="A52" s="83" t="str">
        <f t="shared" si="2"/>
        <v>B1488Hspice</v>
      </c>
      <c r="B52" s="83" t="str">
        <f t="shared" si="3"/>
        <v>31-142-86</v>
      </c>
      <c r="C52" s="109" t="s">
        <v>1105</v>
      </c>
      <c r="D52" s="109" t="s">
        <v>1106</v>
      </c>
      <c r="E52" s="109" t="s">
        <v>793</v>
      </c>
      <c r="F52" s="110">
        <v>0</v>
      </c>
      <c r="G52" s="109" t="s">
        <v>1107</v>
      </c>
      <c r="H52" s="109" t="s">
        <v>160</v>
      </c>
      <c r="I52" s="109" t="s">
        <v>785</v>
      </c>
      <c r="J52" s="109" t="s">
        <v>357</v>
      </c>
      <c r="K52" s="109" t="s">
        <v>387</v>
      </c>
      <c r="L52" s="109" t="s">
        <v>523</v>
      </c>
      <c r="M52" s="109" t="s">
        <v>388</v>
      </c>
      <c r="N52" s="109" t="s">
        <v>30</v>
      </c>
      <c r="O52" s="109" t="s">
        <v>386</v>
      </c>
      <c r="P52" s="109" t="s">
        <v>826</v>
      </c>
      <c r="Q52" s="109" t="s">
        <v>1077</v>
      </c>
      <c r="R52" s="109" t="s">
        <v>86</v>
      </c>
      <c r="S52" s="83" t="str">
        <f t="shared" si="4"/>
        <v>B1488H</v>
      </c>
      <c r="T52" s="83" t="str">
        <f t="shared" si="0"/>
        <v>CHRISTINA</v>
      </c>
      <c r="Y52" s="60">
        <f t="shared" si="5"/>
        <v>31</v>
      </c>
      <c r="Z52" s="49">
        <f t="shared" si="1"/>
        <v>142</v>
      </c>
      <c r="AA52" s="60">
        <f t="shared" si="6"/>
        <v>31142</v>
      </c>
    </row>
    <row r="53" spans="1:27">
      <c r="A53" s="83" t="str">
        <f t="shared" si="2"/>
        <v>B1779Hoatmeal</v>
      </c>
      <c r="B53" s="83" t="str">
        <f t="shared" si="3"/>
        <v>31-184-01</v>
      </c>
      <c r="C53" s="109" t="s">
        <v>1108</v>
      </c>
      <c r="D53" s="109" t="s">
        <v>1109</v>
      </c>
      <c r="E53" s="109" t="s">
        <v>793</v>
      </c>
      <c r="F53" s="110">
        <v>0</v>
      </c>
      <c r="G53" s="109" t="s">
        <v>1110</v>
      </c>
      <c r="H53" s="109" t="s">
        <v>231</v>
      </c>
      <c r="I53" s="109" t="s">
        <v>1111</v>
      </c>
      <c r="J53" s="109" t="s">
        <v>357</v>
      </c>
      <c r="K53" s="109" t="s">
        <v>387</v>
      </c>
      <c r="L53" s="109" t="s">
        <v>523</v>
      </c>
      <c r="M53" s="109" t="s">
        <v>388</v>
      </c>
      <c r="N53" s="109" t="s">
        <v>44</v>
      </c>
      <c r="O53" s="109" t="s">
        <v>386</v>
      </c>
      <c r="P53" s="109" t="s">
        <v>826</v>
      </c>
      <c r="Q53" s="109" t="s">
        <v>1112</v>
      </c>
      <c r="R53" s="109" t="s">
        <v>83</v>
      </c>
      <c r="S53" s="83" t="str">
        <f t="shared" si="4"/>
        <v>B1779H</v>
      </c>
      <c r="T53" s="83" t="str">
        <f t="shared" si="0"/>
        <v>PIPPA</v>
      </c>
      <c r="Y53" s="60">
        <f t="shared" si="5"/>
        <v>31</v>
      </c>
      <c r="Z53" s="49">
        <f t="shared" si="1"/>
        <v>184</v>
      </c>
      <c r="AA53" s="60">
        <f t="shared" si="6"/>
        <v>31184</v>
      </c>
    </row>
    <row r="54" spans="1:27">
      <c r="A54" s="83" t="str">
        <f t="shared" si="2"/>
        <v>B1788Hblack multi</v>
      </c>
      <c r="B54" s="83" t="str">
        <f t="shared" si="3"/>
        <v>31-226-09</v>
      </c>
      <c r="C54" s="109" t="s">
        <v>1113</v>
      </c>
      <c r="D54" s="109" t="s">
        <v>1114</v>
      </c>
      <c r="E54" s="109" t="s">
        <v>793</v>
      </c>
      <c r="F54" s="110">
        <v>0</v>
      </c>
      <c r="G54" s="109" t="s">
        <v>1115</v>
      </c>
      <c r="H54" s="109" t="s">
        <v>53</v>
      </c>
      <c r="I54" s="109" t="s">
        <v>1116</v>
      </c>
      <c r="J54" s="109" t="s">
        <v>357</v>
      </c>
      <c r="K54" s="109" t="s">
        <v>387</v>
      </c>
      <c r="L54" s="109" t="s">
        <v>523</v>
      </c>
      <c r="M54" s="109" t="s">
        <v>388</v>
      </c>
      <c r="O54" s="109" t="s">
        <v>386</v>
      </c>
      <c r="P54" s="109" t="s">
        <v>827</v>
      </c>
      <c r="Q54" s="109" t="s">
        <v>881</v>
      </c>
      <c r="R54" s="109" t="s">
        <v>53</v>
      </c>
      <c r="S54" s="83" t="str">
        <f t="shared" si="4"/>
        <v>B1788H</v>
      </c>
      <c r="T54" s="83" t="str">
        <f t="shared" si="0"/>
        <v>EMELIA</v>
      </c>
      <c r="Y54" s="60">
        <f t="shared" si="5"/>
        <v>31</v>
      </c>
      <c r="Z54" s="49">
        <f t="shared" si="1"/>
        <v>226</v>
      </c>
      <c r="AA54" s="60">
        <f t="shared" si="6"/>
        <v>31226</v>
      </c>
    </row>
    <row r="55" spans="1:27">
      <c r="A55" s="83" t="str">
        <f t="shared" si="2"/>
        <v>B1795Htwig</v>
      </c>
      <c r="B55" s="83" t="str">
        <f t="shared" si="3"/>
        <v>31-183-13</v>
      </c>
      <c r="C55" s="109" t="s">
        <v>1117</v>
      </c>
      <c r="D55" s="109" t="s">
        <v>1118</v>
      </c>
      <c r="E55" s="109" t="s">
        <v>798</v>
      </c>
      <c r="F55" s="110">
        <v>56</v>
      </c>
      <c r="G55" s="109" t="s">
        <v>1119</v>
      </c>
      <c r="H55" s="109" t="s">
        <v>217</v>
      </c>
      <c r="I55" s="109" t="s">
        <v>785</v>
      </c>
      <c r="J55" s="109" t="s">
        <v>330</v>
      </c>
      <c r="K55" s="109" t="s">
        <v>387</v>
      </c>
      <c r="L55" s="109" t="s">
        <v>523</v>
      </c>
      <c r="M55" s="109" t="s">
        <v>388</v>
      </c>
      <c r="N55" s="109" t="s">
        <v>30</v>
      </c>
      <c r="O55" s="109" t="s">
        <v>445</v>
      </c>
      <c r="P55" s="109" t="s">
        <v>827</v>
      </c>
      <c r="Q55" s="109" t="s">
        <v>1120</v>
      </c>
      <c r="R55" s="109" t="s">
        <v>199</v>
      </c>
      <c r="S55" s="83" t="str">
        <f t="shared" si="4"/>
        <v>B1795H</v>
      </c>
      <c r="T55" s="83" t="str">
        <f t="shared" si="0"/>
        <v>SAWYER</v>
      </c>
      <c r="Y55" s="60">
        <f t="shared" si="5"/>
        <v>31</v>
      </c>
      <c r="Z55" s="49">
        <f t="shared" si="1"/>
        <v>183</v>
      </c>
      <c r="AA55" s="60">
        <f t="shared" si="6"/>
        <v>31183</v>
      </c>
    </row>
    <row r="56" spans="1:27">
      <c r="A56" s="83" t="str">
        <f t="shared" si="2"/>
        <v>B1795Htwig</v>
      </c>
      <c r="B56" s="83" t="str">
        <f t="shared" si="3"/>
        <v>31-183-13</v>
      </c>
      <c r="C56" s="109" t="s">
        <v>1121</v>
      </c>
      <c r="D56" s="109" t="s">
        <v>1118</v>
      </c>
      <c r="E56" s="109" t="s">
        <v>791</v>
      </c>
      <c r="F56" s="110">
        <v>58</v>
      </c>
      <c r="G56" s="109" t="s">
        <v>1119</v>
      </c>
      <c r="H56" s="109" t="s">
        <v>217</v>
      </c>
      <c r="I56" s="109" t="s">
        <v>785</v>
      </c>
      <c r="J56" s="109" t="s">
        <v>330</v>
      </c>
      <c r="K56" s="109" t="s">
        <v>387</v>
      </c>
      <c r="L56" s="109" t="s">
        <v>523</v>
      </c>
      <c r="M56" s="109" t="s">
        <v>388</v>
      </c>
      <c r="N56" s="109" t="s">
        <v>30</v>
      </c>
      <c r="O56" s="109" t="s">
        <v>445</v>
      </c>
      <c r="P56" s="109" t="s">
        <v>827</v>
      </c>
      <c r="Q56" s="109" t="s">
        <v>1120</v>
      </c>
      <c r="R56" s="109" t="s">
        <v>199</v>
      </c>
      <c r="S56" s="83" t="str">
        <f t="shared" si="4"/>
        <v>B1795H</v>
      </c>
      <c r="T56" s="83" t="str">
        <f t="shared" si="0"/>
        <v>SAWYER</v>
      </c>
      <c r="Y56" s="60">
        <f t="shared" si="5"/>
        <v>31</v>
      </c>
      <c r="Z56" s="49">
        <f t="shared" si="1"/>
        <v>183</v>
      </c>
      <c r="AA56" s="60">
        <f t="shared" si="6"/>
        <v>31183</v>
      </c>
    </row>
    <row r="57" spans="1:27">
      <c r="A57" s="83" t="str">
        <f t="shared" si="2"/>
        <v>B1796Hdenim mix</v>
      </c>
      <c r="B57" s="83" t="str">
        <f t="shared" si="3"/>
        <v>31-187-06</v>
      </c>
      <c r="C57" s="109" t="s">
        <v>1122</v>
      </c>
      <c r="D57" s="109" t="s">
        <v>1123</v>
      </c>
      <c r="E57" s="109" t="s">
        <v>793</v>
      </c>
      <c r="F57" s="110">
        <v>0</v>
      </c>
      <c r="G57" s="109" t="s">
        <v>1124</v>
      </c>
      <c r="H57" s="109" t="s">
        <v>71</v>
      </c>
      <c r="I57" s="109" t="s">
        <v>785</v>
      </c>
      <c r="J57" s="109" t="s">
        <v>357</v>
      </c>
      <c r="K57" s="109" t="s">
        <v>387</v>
      </c>
      <c r="L57" s="109" t="s">
        <v>523</v>
      </c>
      <c r="M57" s="109" t="s">
        <v>388</v>
      </c>
      <c r="N57" s="109" t="s">
        <v>30</v>
      </c>
      <c r="O57" s="109" t="s">
        <v>386</v>
      </c>
      <c r="P57" s="109" t="s">
        <v>827</v>
      </c>
      <c r="Q57" s="109" t="s">
        <v>1125</v>
      </c>
      <c r="R57" s="109" t="s">
        <v>71</v>
      </c>
      <c r="S57" s="83" t="str">
        <f t="shared" si="4"/>
        <v>B1796H</v>
      </c>
      <c r="T57" s="83" t="str">
        <f t="shared" si="0"/>
        <v>DIXIE</v>
      </c>
      <c r="Y57" s="60">
        <f t="shared" si="5"/>
        <v>31</v>
      </c>
      <c r="Z57" s="49">
        <f t="shared" si="1"/>
        <v>187</v>
      </c>
      <c r="AA57" s="60">
        <f t="shared" si="6"/>
        <v>31187</v>
      </c>
    </row>
    <row r="58" spans="1:27">
      <c r="A58" s="83" t="str">
        <f t="shared" si="2"/>
        <v>B1798Haubergine</v>
      </c>
      <c r="B58" s="83" t="str">
        <f t="shared" si="3"/>
        <v>31-185-41</v>
      </c>
      <c r="C58" s="109" t="s">
        <v>1126</v>
      </c>
      <c r="D58" s="109" t="s">
        <v>1127</v>
      </c>
      <c r="E58" s="109" t="s">
        <v>791</v>
      </c>
      <c r="F58" s="110">
        <v>58</v>
      </c>
      <c r="G58" s="109" t="s">
        <v>1128</v>
      </c>
      <c r="H58" s="109" t="s">
        <v>286</v>
      </c>
      <c r="I58" s="109" t="s">
        <v>785</v>
      </c>
      <c r="J58" s="109" t="s">
        <v>357</v>
      </c>
      <c r="K58" s="109" t="s">
        <v>387</v>
      </c>
      <c r="L58" s="109" t="s">
        <v>523</v>
      </c>
      <c r="M58" s="109" t="s">
        <v>388</v>
      </c>
      <c r="N58" s="109" t="s">
        <v>30</v>
      </c>
      <c r="O58" s="109" t="s">
        <v>445</v>
      </c>
      <c r="P58" s="109" t="s">
        <v>827</v>
      </c>
      <c r="Q58" s="109" t="s">
        <v>898</v>
      </c>
      <c r="R58" s="109" t="s">
        <v>286</v>
      </c>
      <c r="S58" s="83" t="str">
        <f t="shared" si="4"/>
        <v>B1798H</v>
      </c>
      <c r="T58" s="83" t="str">
        <f t="shared" si="0"/>
        <v>CASSAT</v>
      </c>
      <c r="Y58" s="60">
        <f t="shared" si="5"/>
        <v>31</v>
      </c>
      <c r="Z58" s="49">
        <f t="shared" si="1"/>
        <v>185</v>
      </c>
      <c r="AA58" s="60">
        <f t="shared" si="6"/>
        <v>31185</v>
      </c>
    </row>
    <row r="59" spans="1:27">
      <c r="A59" s="83" t="str">
        <f t="shared" si="2"/>
        <v>B1798Haubergine</v>
      </c>
      <c r="B59" s="83" t="str">
        <f t="shared" si="3"/>
        <v>31-185-41</v>
      </c>
      <c r="C59" s="109" t="s">
        <v>1129</v>
      </c>
      <c r="D59" s="109" t="s">
        <v>1127</v>
      </c>
      <c r="E59" s="109" t="s">
        <v>798</v>
      </c>
      <c r="F59" s="110">
        <v>56</v>
      </c>
      <c r="G59" s="109" t="s">
        <v>1128</v>
      </c>
      <c r="H59" s="109" t="s">
        <v>286</v>
      </c>
      <c r="I59" s="109" t="s">
        <v>785</v>
      </c>
      <c r="J59" s="109" t="s">
        <v>357</v>
      </c>
      <c r="K59" s="109" t="s">
        <v>387</v>
      </c>
      <c r="L59" s="109" t="s">
        <v>523</v>
      </c>
      <c r="M59" s="109" t="s">
        <v>388</v>
      </c>
      <c r="N59" s="109" t="s">
        <v>30</v>
      </c>
      <c r="O59" s="109" t="s">
        <v>445</v>
      </c>
      <c r="P59" s="109" t="s">
        <v>827</v>
      </c>
      <c r="Q59" s="109" t="s">
        <v>898</v>
      </c>
      <c r="R59" s="109" t="s">
        <v>286</v>
      </c>
      <c r="S59" s="83" t="str">
        <f t="shared" si="4"/>
        <v>B1798H</v>
      </c>
      <c r="T59" s="83" t="str">
        <f t="shared" si="0"/>
        <v>CASSAT</v>
      </c>
      <c r="Y59" s="60">
        <f t="shared" si="5"/>
        <v>31</v>
      </c>
      <c r="Z59" s="49">
        <f t="shared" si="1"/>
        <v>185</v>
      </c>
      <c r="AA59" s="60">
        <f t="shared" si="6"/>
        <v>31185</v>
      </c>
    </row>
    <row r="60" spans="1:27">
      <c r="A60" s="83" t="str">
        <f t="shared" si="2"/>
        <v>B1799Hleopard</v>
      </c>
      <c r="B60" s="83" t="str">
        <f t="shared" si="3"/>
        <v>31-178-13</v>
      </c>
      <c r="C60" s="109" t="s">
        <v>1130</v>
      </c>
      <c r="D60" s="109" t="s">
        <v>1131</v>
      </c>
      <c r="E60" s="109" t="s">
        <v>793</v>
      </c>
      <c r="F60" s="110">
        <v>0</v>
      </c>
      <c r="G60" s="109" t="s">
        <v>1132</v>
      </c>
      <c r="H60" s="109" t="s">
        <v>306</v>
      </c>
      <c r="I60" s="109" t="s">
        <v>785</v>
      </c>
      <c r="J60" s="109" t="s">
        <v>323</v>
      </c>
      <c r="K60" s="109" t="s">
        <v>387</v>
      </c>
      <c r="L60" s="109" t="s">
        <v>523</v>
      </c>
      <c r="M60" s="109" t="s">
        <v>388</v>
      </c>
      <c r="N60" s="109" t="s">
        <v>30</v>
      </c>
      <c r="O60" s="109" t="s">
        <v>386</v>
      </c>
      <c r="P60" s="109" t="s">
        <v>827</v>
      </c>
      <c r="Q60" s="109" t="s">
        <v>1065</v>
      </c>
      <c r="R60" s="109" t="s">
        <v>53</v>
      </c>
      <c r="S60" s="83" t="str">
        <f t="shared" si="4"/>
        <v>B1799H</v>
      </c>
      <c r="T60" s="83" t="str">
        <f t="shared" si="0"/>
        <v>MULLINS</v>
      </c>
      <c r="Y60" s="60">
        <f t="shared" si="5"/>
        <v>31</v>
      </c>
      <c r="Z60" s="49">
        <f t="shared" si="1"/>
        <v>178</v>
      </c>
      <c r="AA60" s="60">
        <f t="shared" si="6"/>
        <v>31178</v>
      </c>
    </row>
    <row r="61" spans="1:27">
      <c r="A61" s="83" t="str">
        <f t="shared" si="2"/>
        <v>B1863Hblack</v>
      </c>
      <c r="B61" s="83" t="str">
        <f t="shared" si="3"/>
        <v>31-227-09</v>
      </c>
      <c r="C61" s="109" t="s">
        <v>1133</v>
      </c>
      <c r="D61" s="109" t="s">
        <v>1134</v>
      </c>
      <c r="E61" s="109" t="s">
        <v>793</v>
      </c>
      <c r="F61" s="110">
        <v>0</v>
      </c>
      <c r="G61" s="109" t="s">
        <v>1135</v>
      </c>
      <c r="H61" s="109" t="s">
        <v>53</v>
      </c>
      <c r="I61" s="109" t="s">
        <v>1136</v>
      </c>
      <c r="J61" s="109" t="s">
        <v>357</v>
      </c>
      <c r="K61" s="109" t="s">
        <v>387</v>
      </c>
      <c r="L61" s="109" t="s">
        <v>523</v>
      </c>
      <c r="M61" s="109" t="s">
        <v>388</v>
      </c>
      <c r="N61" s="109" t="s">
        <v>44</v>
      </c>
      <c r="O61" s="109" t="s">
        <v>386</v>
      </c>
      <c r="P61" s="109" t="s">
        <v>827</v>
      </c>
      <c r="Q61" s="109" t="s">
        <v>831</v>
      </c>
      <c r="R61" s="109" t="s">
        <v>53</v>
      </c>
      <c r="S61" s="83" t="str">
        <f t="shared" si="4"/>
        <v>B1863H</v>
      </c>
      <c r="T61" s="83" t="str">
        <f t="shared" si="0"/>
        <v>SOPHIYA</v>
      </c>
      <c r="Y61" s="60">
        <f t="shared" si="5"/>
        <v>31</v>
      </c>
      <c r="Z61" s="49">
        <f t="shared" si="1"/>
        <v>227</v>
      </c>
      <c r="AA61" s="60">
        <f t="shared" si="6"/>
        <v>31227</v>
      </c>
    </row>
    <row r="62" spans="1:27">
      <c r="A62" s="83" t="str">
        <f t="shared" si="2"/>
        <v>B1866Hblack</v>
      </c>
      <c r="B62" s="83" t="str">
        <f t="shared" si="3"/>
        <v>31-228-09</v>
      </c>
      <c r="C62" s="109" t="s">
        <v>1137</v>
      </c>
      <c r="D62" s="109" t="s">
        <v>1138</v>
      </c>
      <c r="E62" s="109" t="s">
        <v>793</v>
      </c>
      <c r="F62" s="110">
        <v>0</v>
      </c>
      <c r="G62" s="109" t="s">
        <v>1139</v>
      </c>
      <c r="H62" s="109" t="s">
        <v>53</v>
      </c>
      <c r="I62" s="109" t="s">
        <v>785</v>
      </c>
      <c r="J62" s="109" t="s">
        <v>323</v>
      </c>
      <c r="K62" s="109" t="s">
        <v>387</v>
      </c>
      <c r="L62" s="109" t="s">
        <v>523</v>
      </c>
      <c r="M62" s="109" t="s">
        <v>388</v>
      </c>
      <c r="N62" s="109" t="s">
        <v>30</v>
      </c>
      <c r="O62" s="109" t="s">
        <v>386</v>
      </c>
      <c r="P62" s="109" t="s">
        <v>827</v>
      </c>
      <c r="Q62" s="109" t="s">
        <v>831</v>
      </c>
      <c r="R62" s="109" t="s">
        <v>53</v>
      </c>
      <c r="S62" s="83" t="str">
        <f t="shared" si="4"/>
        <v>B1866H</v>
      </c>
      <c r="T62" s="83" t="str">
        <f t="shared" si="0"/>
        <v>FRIDA</v>
      </c>
      <c r="Y62" s="60">
        <f t="shared" si="5"/>
        <v>31</v>
      </c>
      <c r="Z62" s="49">
        <f t="shared" si="1"/>
        <v>228</v>
      </c>
      <c r="AA62" s="60">
        <f t="shared" si="6"/>
        <v>31228</v>
      </c>
    </row>
    <row r="63" spans="1:27">
      <c r="A63" s="83" t="str">
        <f t="shared" si="2"/>
        <v>B1868Hheather grey</v>
      </c>
      <c r="B63" s="83" t="str">
        <f t="shared" si="3"/>
        <v>31-229-08</v>
      </c>
      <c r="C63" s="109" t="s">
        <v>1140</v>
      </c>
      <c r="D63" s="109" t="s">
        <v>1141</v>
      </c>
      <c r="E63" s="109" t="s">
        <v>793</v>
      </c>
      <c r="F63" s="110">
        <v>0</v>
      </c>
      <c r="G63" s="109" t="s">
        <v>1142</v>
      </c>
      <c r="H63" s="109" t="s">
        <v>83</v>
      </c>
      <c r="I63" s="109" t="s">
        <v>785</v>
      </c>
      <c r="J63" s="109" t="s">
        <v>330</v>
      </c>
      <c r="K63" s="109" t="s">
        <v>387</v>
      </c>
      <c r="L63" s="109" t="s">
        <v>523</v>
      </c>
      <c r="M63" s="109" t="s">
        <v>388</v>
      </c>
      <c r="N63" s="109" t="s">
        <v>30</v>
      </c>
      <c r="O63" s="109" t="s">
        <v>386</v>
      </c>
      <c r="P63" s="109" t="s">
        <v>827</v>
      </c>
      <c r="Q63" s="109" t="s">
        <v>1143</v>
      </c>
      <c r="R63" s="109" t="s">
        <v>83</v>
      </c>
      <c r="S63" s="83" t="str">
        <f t="shared" si="4"/>
        <v>B1868H</v>
      </c>
      <c r="T63" s="83" t="str">
        <f t="shared" si="0"/>
        <v>BARDOT</v>
      </c>
      <c r="Y63" s="60">
        <f t="shared" si="5"/>
        <v>31</v>
      </c>
      <c r="Z63" s="49">
        <f t="shared" si="1"/>
        <v>229</v>
      </c>
      <c r="AA63" s="60">
        <f t="shared" si="6"/>
        <v>31229</v>
      </c>
    </row>
    <row r="64" spans="1:27">
      <c r="A64" s="83" t="str">
        <f t="shared" si="2"/>
        <v>B1869Hblack</v>
      </c>
      <c r="B64" s="83" t="str">
        <f t="shared" si="3"/>
        <v>31-230-09</v>
      </c>
      <c r="C64" s="109" t="s">
        <v>1144</v>
      </c>
      <c r="D64" s="109" t="s">
        <v>1145</v>
      </c>
      <c r="E64" s="109" t="s">
        <v>793</v>
      </c>
      <c r="F64" s="110">
        <v>0</v>
      </c>
      <c r="G64" s="109" t="s">
        <v>1146</v>
      </c>
      <c r="H64" s="109" t="s">
        <v>53</v>
      </c>
      <c r="I64" s="109" t="s">
        <v>785</v>
      </c>
      <c r="J64" s="109" t="s">
        <v>357</v>
      </c>
      <c r="K64" s="109" t="s">
        <v>387</v>
      </c>
      <c r="L64" s="109" t="s">
        <v>523</v>
      </c>
      <c r="M64" s="109" t="s">
        <v>388</v>
      </c>
      <c r="N64" s="109" t="s">
        <v>30</v>
      </c>
      <c r="O64" s="109" t="s">
        <v>386</v>
      </c>
      <c r="P64" s="109" t="s">
        <v>826</v>
      </c>
      <c r="Q64" s="109" t="s">
        <v>831</v>
      </c>
      <c r="R64" s="109" t="s">
        <v>53</v>
      </c>
      <c r="S64" s="83" t="str">
        <f t="shared" si="4"/>
        <v>B1869H</v>
      </c>
      <c r="T64" s="83" t="str">
        <f t="shared" si="0"/>
        <v>ZELDA</v>
      </c>
      <c r="Y64" s="60">
        <f t="shared" si="5"/>
        <v>31</v>
      </c>
      <c r="Z64" s="49">
        <f t="shared" si="1"/>
        <v>230</v>
      </c>
      <c r="AA64" s="60">
        <f t="shared" si="6"/>
        <v>31230</v>
      </c>
    </row>
    <row r="65" spans="1:27">
      <c r="A65" s="83" t="str">
        <f t="shared" si="2"/>
        <v>B1879Hbrown multi</v>
      </c>
      <c r="B65" s="83" t="str">
        <f t="shared" si="3"/>
        <v>31-231-14</v>
      </c>
      <c r="C65" s="109" t="s">
        <v>1147</v>
      </c>
      <c r="D65" s="109" t="s">
        <v>1148</v>
      </c>
      <c r="E65" s="109" t="s">
        <v>793</v>
      </c>
      <c r="F65" s="110">
        <v>0</v>
      </c>
      <c r="G65" s="109" t="s">
        <v>1149</v>
      </c>
      <c r="H65" s="109" t="s">
        <v>86</v>
      </c>
      <c r="I65" s="109" t="s">
        <v>1150</v>
      </c>
      <c r="J65" s="109" t="s">
        <v>357</v>
      </c>
      <c r="K65" s="109" t="s">
        <v>387</v>
      </c>
      <c r="L65" s="109" t="s">
        <v>523</v>
      </c>
      <c r="M65" s="109" t="s">
        <v>388</v>
      </c>
      <c r="O65" s="109" t="s">
        <v>386</v>
      </c>
      <c r="P65" s="109" t="s">
        <v>827</v>
      </c>
      <c r="Q65" s="109" t="s">
        <v>873</v>
      </c>
      <c r="R65" s="109" t="s">
        <v>86</v>
      </c>
      <c r="S65" s="83" t="str">
        <f t="shared" si="4"/>
        <v>B1879H</v>
      </c>
      <c r="T65" s="83" t="str">
        <f t="shared" si="0"/>
        <v>LUCILLE</v>
      </c>
      <c r="Y65" s="60">
        <f t="shared" si="5"/>
        <v>31</v>
      </c>
      <c r="Z65" s="49">
        <f t="shared" si="1"/>
        <v>231</v>
      </c>
      <c r="AA65" s="60">
        <f t="shared" si="6"/>
        <v>31231</v>
      </c>
    </row>
    <row r="66" spans="1:27">
      <c r="A66" s="83" t="str">
        <f t="shared" si="2"/>
        <v>B1881Hconcord multi</v>
      </c>
      <c r="B66" s="83" t="str">
        <f t="shared" si="3"/>
        <v>31-232-16</v>
      </c>
      <c r="C66" s="109" t="s">
        <v>1151</v>
      </c>
      <c r="D66" s="109" t="s">
        <v>1152</v>
      </c>
      <c r="E66" s="109" t="s">
        <v>793</v>
      </c>
      <c r="F66" s="110">
        <v>0</v>
      </c>
      <c r="G66" s="109" t="s">
        <v>1153</v>
      </c>
      <c r="H66" s="109" t="s">
        <v>55</v>
      </c>
      <c r="I66" s="109" t="s">
        <v>1154</v>
      </c>
      <c r="J66" s="109" t="s">
        <v>357</v>
      </c>
      <c r="K66" s="109" t="s">
        <v>387</v>
      </c>
      <c r="L66" s="109" t="s">
        <v>523</v>
      </c>
      <c r="M66" s="109" t="s">
        <v>388</v>
      </c>
      <c r="O66" s="109" t="s">
        <v>386</v>
      </c>
      <c r="P66" s="109" t="s">
        <v>826</v>
      </c>
      <c r="Q66" s="109" t="s">
        <v>1155</v>
      </c>
      <c r="R66" s="109" t="s">
        <v>71</v>
      </c>
      <c r="S66" s="83" t="str">
        <f t="shared" si="4"/>
        <v>B1881H</v>
      </c>
      <c r="T66" s="83" t="str">
        <f t="shared" ref="T66:T129" si="7">IF(A66&lt;&gt;"",IF(FIND(" ",G66)&gt;=1,MID(G66,FIND(" ",G66)+1,LEN(G66)),""),"")</f>
        <v>CHERIE</v>
      </c>
      <c r="Y66" s="60">
        <f t="shared" si="5"/>
        <v>31</v>
      </c>
      <c r="Z66" s="49">
        <f t="shared" si="1"/>
        <v>232</v>
      </c>
      <c r="AA66" s="60">
        <f t="shared" si="6"/>
        <v>31232</v>
      </c>
    </row>
    <row r="67" spans="1:27">
      <c r="A67" s="83" t="str">
        <f t="shared" ref="A67:A130" si="8">IF(G67&amp;Q67&lt;&gt;"",S67&amp;Q67,"")</f>
        <v>B1883Holive</v>
      </c>
      <c r="B67" s="83" t="str">
        <f t="shared" ref="B67:B130" si="9">IF(C67&lt;&gt;"",LEFT(C67,9),"")</f>
        <v>31-233-03</v>
      </c>
      <c r="C67" s="109" t="s">
        <v>1156</v>
      </c>
      <c r="D67" s="109" t="s">
        <v>1157</v>
      </c>
      <c r="E67" s="109" t="s">
        <v>798</v>
      </c>
      <c r="F67" s="110">
        <v>56</v>
      </c>
      <c r="G67" s="109" t="s">
        <v>1158</v>
      </c>
      <c r="H67" s="109" t="s">
        <v>195</v>
      </c>
      <c r="I67" s="109" t="s">
        <v>785</v>
      </c>
      <c r="J67" s="109" t="s">
        <v>330</v>
      </c>
      <c r="K67" s="109" t="s">
        <v>387</v>
      </c>
      <c r="L67" s="109" t="s">
        <v>523</v>
      </c>
      <c r="M67" s="109" t="s">
        <v>388</v>
      </c>
      <c r="N67" s="109" t="s">
        <v>30</v>
      </c>
      <c r="O67" s="109" t="s">
        <v>445</v>
      </c>
      <c r="P67" s="109" t="s">
        <v>827</v>
      </c>
      <c r="Q67" s="109" t="s">
        <v>838</v>
      </c>
      <c r="R67" s="109" t="s">
        <v>195</v>
      </c>
      <c r="S67" s="83" t="str">
        <f t="shared" ref="S67:S130" si="10">IF(G67&lt;&gt;"",IF(FIND(" ",G67)&gt;=1,MID(G67,1,FIND(" ",G67)-1),G67),"")</f>
        <v>B1883H</v>
      </c>
      <c r="T67" s="83" t="str">
        <f t="shared" si="7"/>
        <v>ASHLAND</v>
      </c>
      <c r="Y67" s="60">
        <f t="shared" ref="Y67:Y130" si="11">IFERROR(VALUE(MID($C67,1,2)),0)</f>
        <v>31</v>
      </c>
      <c r="Z67" s="49">
        <f t="shared" ref="Z67:Z130" si="12">IFERROR(VALUE(MID($C67,4,3)),0)</f>
        <v>233</v>
      </c>
      <c r="AA67" s="60">
        <f t="shared" ref="AA67:AA130" si="13">VALUE(RIGHT("00"&amp;Y67,2)&amp;RIGHT("000"&amp;Z67,3))</f>
        <v>31233</v>
      </c>
    </row>
    <row r="68" spans="1:27">
      <c r="A68" s="83" t="str">
        <f t="shared" si="8"/>
        <v>B1883Holive</v>
      </c>
      <c r="B68" s="83" t="str">
        <f t="shared" si="9"/>
        <v>31-233-03</v>
      </c>
      <c r="C68" s="109" t="s">
        <v>1159</v>
      </c>
      <c r="D68" s="109" t="s">
        <v>1157</v>
      </c>
      <c r="E68" s="109" t="s">
        <v>791</v>
      </c>
      <c r="F68" s="110">
        <v>58</v>
      </c>
      <c r="G68" s="109" t="s">
        <v>1158</v>
      </c>
      <c r="H68" s="109" t="s">
        <v>195</v>
      </c>
      <c r="I68" s="109" t="s">
        <v>785</v>
      </c>
      <c r="J68" s="109" t="s">
        <v>330</v>
      </c>
      <c r="K68" s="109" t="s">
        <v>387</v>
      </c>
      <c r="L68" s="109" t="s">
        <v>523</v>
      </c>
      <c r="M68" s="109" t="s">
        <v>388</v>
      </c>
      <c r="N68" s="109" t="s">
        <v>30</v>
      </c>
      <c r="O68" s="109" t="s">
        <v>445</v>
      </c>
      <c r="P68" s="109" t="s">
        <v>827</v>
      </c>
      <c r="Q68" s="109" t="s">
        <v>838</v>
      </c>
      <c r="R68" s="109" t="s">
        <v>195</v>
      </c>
      <c r="S68" s="83" t="str">
        <f t="shared" si="10"/>
        <v>B1883H</v>
      </c>
      <c r="T68" s="83" t="str">
        <f t="shared" si="7"/>
        <v>ASHLAND</v>
      </c>
      <c r="Y68" s="60">
        <f t="shared" si="11"/>
        <v>31</v>
      </c>
      <c r="Z68" s="49">
        <f t="shared" si="12"/>
        <v>233</v>
      </c>
      <c r="AA68" s="60">
        <f t="shared" si="13"/>
        <v>31233</v>
      </c>
    </row>
    <row r="69" spans="1:27">
      <c r="A69" s="83" t="str">
        <f t="shared" si="8"/>
        <v>B1884Hplum</v>
      </c>
      <c r="B69" s="83" t="str">
        <f t="shared" si="9"/>
        <v>31-234-41</v>
      </c>
      <c r="C69" s="109" t="s">
        <v>1160</v>
      </c>
      <c r="D69" s="109" t="s">
        <v>1161</v>
      </c>
      <c r="E69" s="109" t="s">
        <v>791</v>
      </c>
      <c r="F69" s="110">
        <v>58</v>
      </c>
      <c r="G69" s="109" t="s">
        <v>1162</v>
      </c>
      <c r="H69" s="109" t="s">
        <v>286</v>
      </c>
      <c r="I69" s="109" t="s">
        <v>785</v>
      </c>
      <c r="J69" s="109" t="s">
        <v>357</v>
      </c>
      <c r="K69" s="109" t="s">
        <v>387</v>
      </c>
      <c r="L69" s="109" t="s">
        <v>523</v>
      </c>
      <c r="M69" s="109" t="s">
        <v>388</v>
      </c>
      <c r="N69" s="109" t="s">
        <v>30</v>
      </c>
      <c r="O69" s="109" t="s">
        <v>445</v>
      </c>
      <c r="P69" s="109" t="s">
        <v>827</v>
      </c>
      <c r="Q69" s="109" t="s">
        <v>1163</v>
      </c>
      <c r="R69" s="109" t="s">
        <v>286</v>
      </c>
      <c r="S69" s="83" t="str">
        <f t="shared" si="10"/>
        <v>B1884H</v>
      </c>
      <c r="T69" s="83" t="str">
        <f t="shared" si="7"/>
        <v>BARTON</v>
      </c>
      <c r="Y69" s="60">
        <f t="shared" si="11"/>
        <v>31</v>
      </c>
      <c r="Z69" s="49">
        <f t="shared" si="12"/>
        <v>234</v>
      </c>
      <c r="AA69" s="60">
        <f t="shared" si="13"/>
        <v>31234</v>
      </c>
    </row>
    <row r="70" spans="1:27">
      <c r="A70" s="83" t="str">
        <f t="shared" si="8"/>
        <v>B1884Hplum</v>
      </c>
      <c r="B70" s="83" t="str">
        <f t="shared" si="9"/>
        <v>31-234-41</v>
      </c>
      <c r="C70" s="109" t="s">
        <v>1164</v>
      </c>
      <c r="D70" s="109" t="s">
        <v>1161</v>
      </c>
      <c r="E70" s="109" t="s">
        <v>798</v>
      </c>
      <c r="F70" s="110">
        <v>56</v>
      </c>
      <c r="G70" s="109" t="s">
        <v>1162</v>
      </c>
      <c r="H70" s="109" t="s">
        <v>286</v>
      </c>
      <c r="I70" s="109" t="s">
        <v>785</v>
      </c>
      <c r="J70" s="109" t="s">
        <v>357</v>
      </c>
      <c r="K70" s="109" t="s">
        <v>387</v>
      </c>
      <c r="L70" s="109" t="s">
        <v>523</v>
      </c>
      <c r="M70" s="109" t="s">
        <v>388</v>
      </c>
      <c r="N70" s="109" t="s">
        <v>30</v>
      </c>
      <c r="O70" s="109" t="s">
        <v>445</v>
      </c>
      <c r="P70" s="109" t="s">
        <v>827</v>
      </c>
      <c r="Q70" s="109" t="s">
        <v>1163</v>
      </c>
      <c r="R70" s="109" t="s">
        <v>286</v>
      </c>
      <c r="S70" s="83" t="str">
        <f t="shared" si="10"/>
        <v>B1884H</v>
      </c>
      <c r="T70" s="83" t="str">
        <f t="shared" si="7"/>
        <v>BARTON</v>
      </c>
      <c r="Y70" s="60">
        <f t="shared" si="11"/>
        <v>31</v>
      </c>
      <c r="Z70" s="49">
        <f t="shared" si="12"/>
        <v>234</v>
      </c>
      <c r="AA70" s="60">
        <f t="shared" si="13"/>
        <v>31234</v>
      </c>
    </row>
    <row r="71" spans="1:27">
      <c r="A71" s="83" t="str">
        <f t="shared" si="8"/>
        <v>B1889Hcranberry</v>
      </c>
      <c r="B71" s="83" t="str">
        <f t="shared" si="9"/>
        <v>31-235-12</v>
      </c>
      <c r="C71" s="109" t="s">
        <v>1165</v>
      </c>
      <c r="D71" s="109" t="s">
        <v>1166</v>
      </c>
      <c r="E71" s="109" t="s">
        <v>793</v>
      </c>
      <c r="F71" s="110">
        <v>0</v>
      </c>
      <c r="G71" s="109" t="s">
        <v>1167</v>
      </c>
      <c r="H71" s="109" t="s">
        <v>121</v>
      </c>
      <c r="I71" s="109" t="s">
        <v>785</v>
      </c>
      <c r="J71" s="109" t="s">
        <v>357</v>
      </c>
      <c r="K71" s="109" t="s">
        <v>387</v>
      </c>
      <c r="L71" s="109" t="s">
        <v>523</v>
      </c>
      <c r="M71" s="109" t="s">
        <v>388</v>
      </c>
      <c r="N71" s="109" t="s">
        <v>30</v>
      </c>
      <c r="O71" s="109" t="s">
        <v>386</v>
      </c>
      <c r="P71" s="109" t="s">
        <v>827</v>
      </c>
      <c r="Q71" s="109" t="s">
        <v>1168</v>
      </c>
      <c r="R71" s="109" t="s">
        <v>121</v>
      </c>
      <c r="S71" s="83" t="str">
        <f t="shared" si="10"/>
        <v>B1889H</v>
      </c>
      <c r="T71" s="83" t="str">
        <f t="shared" si="7"/>
        <v>NOELLE</v>
      </c>
      <c r="Y71" s="60">
        <f t="shared" si="11"/>
        <v>31</v>
      </c>
      <c r="Z71" s="49">
        <f t="shared" si="12"/>
        <v>235</v>
      </c>
      <c r="AA71" s="60">
        <f t="shared" si="13"/>
        <v>31235</v>
      </c>
    </row>
    <row r="72" spans="1:27">
      <c r="A72" s="83" t="str">
        <f t="shared" si="8"/>
        <v>B1890Hchocolate</v>
      </c>
      <c r="B72" s="83" t="str">
        <f t="shared" si="9"/>
        <v>31-236-14</v>
      </c>
      <c r="C72" s="109" t="s">
        <v>1169</v>
      </c>
      <c r="D72" s="109" t="s">
        <v>1170</v>
      </c>
      <c r="E72" s="109" t="s">
        <v>793</v>
      </c>
      <c r="F72" s="110">
        <v>0</v>
      </c>
      <c r="G72" s="109" t="s">
        <v>1171</v>
      </c>
      <c r="H72" s="109" t="s">
        <v>86</v>
      </c>
      <c r="I72" s="109" t="s">
        <v>785</v>
      </c>
      <c r="J72" s="109" t="s">
        <v>330</v>
      </c>
      <c r="K72" s="109" t="s">
        <v>387</v>
      </c>
      <c r="L72" s="109" t="s">
        <v>523</v>
      </c>
      <c r="M72" s="109" t="s">
        <v>388</v>
      </c>
      <c r="N72" s="109" t="s">
        <v>30</v>
      </c>
      <c r="O72" s="109" t="s">
        <v>386</v>
      </c>
      <c r="P72" s="109" t="s">
        <v>826</v>
      </c>
      <c r="Q72" s="109" t="s">
        <v>851</v>
      </c>
      <c r="R72" s="109" t="s">
        <v>86</v>
      </c>
      <c r="S72" s="83" t="str">
        <f t="shared" si="10"/>
        <v>B1890H</v>
      </c>
      <c r="T72" s="83" t="str">
        <f t="shared" si="7"/>
        <v>CAROLENA</v>
      </c>
      <c r="Y72" s="60">
        <f t="shared" si="11"/>
        <v>31</v>
      </c>
      <c r="Z72" s="49">
        <f t="shared" si="12"/>
        <v>236</v>
      </c>
      <c r="AA72" s="60">
        <f t="shared" si="13"/>
        <v>31236</v>
      </c>
    </row>
    <row r="73" spans="1:27">
      <c r="A73" s="83" t="str">
        <f t="shared" si="8"/>
        <v>B434Hnavy multi</v>
      </c>
      <c r="B73" s="83" t="str">
        <f t="shared" si="9"/>
        <v>31-032-16</v>
      </c>
      <c r="C73" s="109" t="s">
        <v>1172</v>
      </c>
      <c r="D73" s="109" t="s">
        <v>1173</v>
      </c>
      <c r="E73" s="109" t="s">
        <v>793</v>
      </c>
      <c r="F73" s="110">
        <v>0</v>
      </c>
      <c r="G73" s="109" t="s">
        <v>1174</v>
      </c>
      <c r="H73" s="109" t="s">
        <v>55</v>
      </c>
      <c r="I73" s="109" t="s">
        <v>1154</v>
      </c>
      <c r="J73" s="109" t="s">
        <v>357</v>
      </c>
      <c r="K73" s="109" t="s">
        <v>387</v>
      </c>
      <c r="L73" s="109" t="s">
        <v>523</v>
      </c>
      <c r="M73" s="109" t="s">
        <v>388</v>
      </c>
      <c r="O73" s="109" t="s">
        <v>539</v>
      </c>
      <c r="P73" s="109" t="s">
        <v>826</v>
      </c>
      <c r="Q73" s="109" t="s">
        <v>1175</v>
      </c>
      <c r="R73" s="109" t="s">
        <v>71</v>
      </c>
      <c r="S73" s="83" t="str">
        <f t="shared" si="10"/>
        <v>B434H</v>
      </c>
      <c r="T73" s="83" t="str">
        <f t="shared" si="7"/>
        <v>WILLOW</v>
      </c>
      <c r="Y73" s="60">
        <f t="shared" si="11"/>
        <v>31</v>
      </c>
      <c r="Z73" s="49">
        <f t="shared" si="12"/>
        <v>32</v>
      </c>
      <c r="AA73" s="60">
        <f t="shared" si="13"/>
        <v>31032</v>
      </c>
    </row>
    <row r="74" spans="1:27">
      <c r="A74" s="83" t="str">
        <f t="shared" si="8"/>
        <v>B545Hscarlet.black</v>
      </c>
      <c r="B74" s="83" t="str">
        <f t="shared" si="9"/>
        <v>31-037-72</v>
      </c>
      <c r="C74" s="109" t="s">
        <v>1176</v>
      </c>
      <c r="D74" s="109" t="s">
        <v>1177</v>
      </c>
      <c r="E74" s="109" t="s">
        <v>793</v>
      </c>
      <c r="F74" s="110">
        <v>0</v>
      </c>
      <c r="G74" s="109" t="s">
        <v>1178</v>
      </c>
      <c r="H74" s="109" t="s">
        <v>186</v>
      </c>
      <c r="I74" s="109" t="s">
        <v>785</v>
      </c>
      <c r="J74" s="109" t="s">
        <v>357</v>
      </c>
      <c r="K74" s="109" t="s">
        <v>387</v>
      </c>
      <c r="L74" s="109" t="s">
        <v>523</v>
      </c>
      <c r="M74" s="109" t="s">
        <v>388</v>
      </c>
      <c r="N74" s="109" t="s">
        <v>30</v>
      </c>
      <c r="O74" s="109" t="s">
        <v>386</v>
      </c>
      <c r="P74" s="109" t="s">
        <v>827</v>
      </c>
      <c r="Q74" s="109" t="s">
        <v>1179</v>
      </c>
      <c r="R74" s="109" t="s">
        <v>78</v>
      </c>
      <c r="S74" s="83" t="str">
        <f t="shared" si="10"/>
        <v>B545H</v>
      </c>
      <c r="T74" s="83" t="str">
        <f t="shared" si="7"/>
        <v>ALEXANDRITE</v>
      </c>
      <c r="Y74" s="60">
        <f t="shared" si="11"/>
        <v>31</v>
      </c>
      <c r="Z74" s="49">
        <f t="shared" si="12"/>
        <v>37</v>
      </c>
      <c r="AA74" s="60">
        <f t="shared" si="13"/>
        <v>31037</v>
      </c>
    </row>
    <row r="75" spans="1:27">
      <c r="A75" s="83" t="str">
        <f t="shared" si="8"/>
        <v>B952Hforest multi</v>
      </c>
      <c r="B75" s="83" t="str">
        <f t="shared" si="9"/>
        <v>31-045-07</v>
      </c>
      <c r="C75" s="109" t="s">
        <v>1180</v>
      </c>
      <c r="D75" s="109" t="s">
        <v>1181</v>
      </c>
      <c r="E75" s="109" t="s">
        <v>793</v>
      </c>
      <c r="F75" s="110">
        <v>0</v>
      </c>
      <c r="G75" s="109" t="s">
        <v>1182</v>
      </c>
      <c r="H75" s="109" t="s">
        <v>60</v>
      </c>
      <c r="I75" s="109" t="s">
        <v>1183</v>
      </c>
      <c r="J75" s="109" t="s">
        <v>357</v>
      </c>
      <c r="K75" s="109" t="s">
        <v>387</v>
      </c>
      <c r="L75" s="109" t="s">
        <v>523</v>
      </c>
      <c r="M75" s="109" t="s">
        <v>388</v>
      </c>
      <c r="O75" s="109" t="s">
        <v>539</v>
      </c>
      <c r="P75" s="109" t="s">
        <v>826</v>
      </c>
      <c r="Q75" s="109" t="s">
        <v>1184</v>
      </c>
      <c r="R75" s="109" t="s">
        <v>60</v>
      </c>
      <c r="S75" s="83" t="str">
        <f t="shared" si="10"/>
        <v>B952H</v>
      </c>
      <c r="T75" s="83" t="str">
        <f t="shared" si="7"/>
        <v>MAYA</v>
      </c>
      <c r="Y75" s="60">
        <f t="shared" si="11"/>
        <v>31</v>
      </c>
      <c r="Z75" s="49">
        <f t="shared" si="12"/>
        <v>45</v>
      </c>
      <c r="AA75" s="60">
        <f t="shared" si="13"/>
        <v>31045</v>
      </c>
    </row>
    <row r="76" spans="1:27">
      <c r="A76" s="83" t="str">
        <f t="shared" si="8"/>
        <v>B1844Hdenim</v>
      </c>
      <c r="B76" s="83" t="str">
        <f t="shared" si="9"/>
        <v>31-190-19</v>
      </c>
      <c r="C76" s="109" t="s">
        <v>1185</v>
      </c>
      <c r="D76" s="109" t="s">
        <v>1186</v>
      </c>
      <c r="E76" s="109" t="s">
        <v>793</v>
      </c>
      <c r="F76" s="110">
        <v>0</v>
      </c>
      <c r="G76" s="109" t="s">
        <v>1187</v>
      </c>
      <c r="H76" s="109" t="s">
        <v>91</v>
      </c>
      <c r="I76" s="109" t="s">
        <v>787</v>
      </c>
      <c r="J76" s="109" t="s">
        <v>327</v>
      </c>
      <c r="K76" s="109" t="s">
        <v>387</v>
      </c>
      <c r="L76" s="109" t="s">
        <v>523</v>
      </c>
      <c r="M76" s="109" t="s">
        <v>384</v>
      </c>
      <c r="N76" s="109" t="s">
        <v>43</v>
      </c>
      <c r="O76" s="109" t="s">
        <v>386</v>
      </c>
      <c r="P76" s="109" t="s">
        <v>827</v>
      </c>
      <c r="Q76" s="109" t="s">
        <v>860</v>
      </c>
      <c r="R76" s="109" t="s">
        <v>91</v>
      </c>
      <c r="S76" s="83" t="str">
        <f t="shared" si="10"/>
        <v>B1844H</v>
      </c>
      <c r="T76" s="83" t="str">
        <f t="shared" si="7"/>
        <v>ASTRID</v>
      </c>
      <c r="Y76" s="60">
        <f t="shared" si="11"/>
        <v>31</v>
      </c>
      <c r="Z76" s="49">
        <f t="shared" si="12"/>
        <v>190</v>
      </c>
      <c r="AA76" s="60">
        <f t="shared" si="13"/>
        <v>31190</v>
      </c>
    </row>
    <row r="77" spans="1:27">
      <c r="A77" s="83" t="str">
        <f t="shared" si="8"/>
        <v>B1860Hpolka dots</v>
      </c>
      <c r="B77" s="83" t="str">
        <f t="shared" si="9"/>
        <v>31-191-06</v>
      </c>
      <c r="C77" s="109" t="s">
        <v>1188</v>
      </c>
      <c r="D77" s="109" t="s">
        <v>1189</v>
      </c>
      <c r="E77" s="109" t="s">
        <v>793</v>
      </c>
      <c r="F77" s="110">
        <v>0</v>
      </c>
      <c r="G77" s="109" t="s">
        <v>1190</v>
      </c>
      <c r="H77" s="109" t="s">
        <v>71</v>
      </c>
      <c r="I77" s="109" t="s">
        <v>787</v>
      </c>
      <c r="J77" s="109" t="s">
        <v>327</v>
      </c>
      <c r="K77" s="109" t="s">
        <v>387</v>
      </c>
      <c r="L77" s="109" t="s">
        <v>523</v>
      </c>
      <c r="M77" s="109" t="s">
        <v>384</v>
      </c>
      <c r="N77" s="109" t="s">
        <v>43</v>
      </c>
      <c r="O77" s="109" t="s">
        <v>386</v>
      </c>
      <c r="P77" s="109" t="s">
        <v>826</v>
      </c>
      <c r="Q77" s="109" t="s">
        <v>1191</v>
      </c>
      <c r="R77" s="109" t="s">
        <v>71</v>
      </c>
      <c r="S77" s="83" t="str">
        <f t="shared" si="10"/>
        <v>B1860H</v>
      </c>
      <c r="T77" s="83" t="str">
        <f t="shared" si="7"/>
        <v>JESSA</v>
      </c>
      <c r="Y77" s="60">
        <f t="shared" si="11"/>
        <v>31</v>
      </c>
      <c r="Z77" s="49">
        <f t="shared" si="12"/>
        <v>191</v>
      </c>
      <c r="AA77" s="60">
        <f t="shared" si="13"/>
        <v>31191</v>
      </c>
    </row>
    <row r="78" spans="1:27">
      <c r="A78" s="83" t="str">
        <f t="shared" si="8"/>
        <v>B1708Hpinstripes</v>
      </c>
      <c r="B78" s="83" t="str">
        <f t="shared" si="9"/>
        <v>31-155-08</v>
      </c>
      <c r="C78" s="109" t="s">
        <v>1192</v>
      </c>
      <c r="D78" s="109" t="s">
        <v>1193</v>
      </c>
      <c r="E78" s="109" t="s">
        <v>793</v>
      </c>
      <c r="F78" s="110">
        <v>0</v>
      </c>
      <c r="G78" s="109" t="s">
        <v>992</v>
      </c>
      <c r="H78" s="109" t="s">
        <v>83</v>
      </c>
      <c r="I78" s="109" t="s">
        <v>787</v>
      </c>
      <c r="J78" s="109" t="s">
        <v>348</v>
      </c>
      <c r="K78" s="109" t="s">
        <v>387</v>
      </c>
      <c r="L78" s="109" t="s">
        <v>523</v>
      </c>
      <c r="M78" s="109" t="s">
        <v>384</v>
      </c>
      <c r="N78" s="109" t="s">
        <v>43</v>
      </c>
      <c r="O78" s="109" t="s">
        <v>386</v>
      </c>
      <c r="P78" s="109" t="s">
        <v>826</v>
      </c>
      <c r="Q78" s="109" t="s">
        <v>1194</v>
      </c>
      <c r="R78" s="109" t="s">
        <v>83</v>
      </c>
      <c r="S78" s="83" t="str">
        <f t="shared" si="10"/>
        <v>B1708H</v>
      </c>
      <c r="T78" s="83" t="str">
        <f t="shared" si="7"/>
        <v>FISHERMAN CAP</v>
      </c>
      <c r="Y78" s="60">
        <f t="shared" si="11"/>
        <v>31</v>
      </c>
      <c r="Z78" s="49">
        <f t="shared" si="12"/>
        <v>155</v>
      </c>
      <c r="AA78" s="60">
        <f t="shared" si="13"/>
        <v>31155</v>
      </c>
    </row>
    <row r="79" spans="1:27">
      <c r="A79" s="83" t="str">
        <f t="shared" si="8"/>
        <v>B1818Hdenim</v>
      </c>
      <c r="B79" s="83" t="str">
        <f t="shared" si="9"/>
        <v>31-192-06</v>
      </c>
      <c r="C79" s="109" t="s">
        <v>1195</v>
      </c>
      <c r="D79" s="109" t="s">
        <v>1196</v>
      </c>
      <c r="E79" s="109" t="s">
        <v>793</v>
      </c>
      <c r="F79" s="110">
        <v>0</v>
      </c>
      <c r="G79" s="109" t="s">
        <v>1013</v>
      </c>
      <c r="H79" s="109" t="s">
        <v>71</v>
      </c>
      <c r="I79" s="109" t="s">
        <v>787</v>
      </c>
      <c r="J79" s="109" t="s">
        <v>348</v>
      </c>
      <c r="K79" s="109" t="s">
        <v>387</v>
      </c>
      <c r="L79" s="109" t="s">
        <v>523</v>
      </c>
      <c r="M79" s="109" t="s">
        <v>388</v>
      </c>
      <c r="N79" s="109" t="s">
        <v>43</v>
      </c>
      <c r="O79" s="109" t="s">
        <v>386</v>
      </c>
      <c r="P79" s="109" t="s">
        <v>827</v>
      </c>
      <c r="Q79" s="109" t="s">
        <v>860</v>
      </c>
      <c r="R79" s="109" t="s">
        <v>71</v>
      </c>
      <c r="S79" s="83" t="str">
        <f t="shared" si="10"/>
        <v>B1818H</v>
      </c>
      <c r="T79" s="83" t="str">
        <f t="shared" si="7"/>
        <v>SEAPORT CAP</v>
      </c>
      <c r="Y79" s="60">
        <f t="shared" si="11"/>
        <v>31</v>
      </c>
      <c r="Z79" s="49">
        <f t="shared" si="12"/>
        <v>192</v>
      </c>
      <c r="AA79" s="60">
        <f t="shared" si="13"/>
        <v>31192</v>
      </c>
    </row>
    <row r="80" spans="1:27">
      <c r="A80" s="83" t="str">
        <f t="shared" si="8"/>
        <v>B1819Hwhite.coral</v>
      </c>
      <c r="B80" s="83" t="str">
        <f t="shared" si="9"/>
        <v>31-193-59</v>
      </c>
      <c r="C80" s="109" t="s">
        <v>1197</v>
      </c>
      <c r="D80" s="109" t="s">
        <v>1198</v>
      </c>
      <c r="E80" s="109" t="s">
        <v>793</v>
      </c>
      <c r="F80" s="110">
        <v>0</v>
      </c>
      <c r="G80" s="109" t="s">
        <v>1018</v>
      </c>
      <c r="H80" s="109" t="s">
        <v>114</v>
      </c>
      <c r="I80" s="109" t="s">
        <v>1019</v>
      </c>
      <c r="J80" s="109" t="s">
        <v>360</v>
      </c>
      <c r="K80" s="109" t="s">
        <v>387</v>
      </c>
      <c r="L80" s="109" t="s">
        <v>523</v>
      </c>
      <c r="M80" s="109" t="s">
        <v>384</v>
      </c>
      <c r="N80" s="109" t="s">
        <v>43</v>
      </c>
      <c r="O80" s="109" t="s">
        <v>386</v>
      </c>
      <c r="P80" s="109" t="s">
        <v>826</v>
      </c>
      <c r="Q80" s="109" t="s">
        <v>1199</v>
      </c>
      <c r="R80" s="109" t="s">
        <v>57</v>
      </c>
      <c r="S80" s="83" t="str">
        <f t="shared" si="10"/>
        <v>B1819H</v>
      </c>
      <c r="T80" s="83" t="str">
        <f t="shared" si="7"/>
        <v>EVI</v>
      </c>
      <c r="Y80" s="60">
        <f t="shared" si="11"/>
        <v>31</v>
      </c>
      <c r="Z80" s="49">
        <f t="shared" si="12"/>
        <v>193</v>
      </c>
      <c r="AA80" s="60">
        <f t="shared" si="13"/>
        <v>31193</v>
      </c>
    </row>
    <row r="81" spans="1:27">
      <c r="A81" s="83" t="str">
        <f t="shared" si="8"/>
        <v>B1831Hlt.denim</v>
      </c>
      <c r="B81" s="83" t="str">
        <f t="shared" si="9"/>
        <v>31-194-19</v>
      </c>
      <c r="C81" s="109" t="s">
        <v>1200</v>
      </c>
      <c r="D81" s="109" t="s">
        <v>1201</v>
      </c>
      <c r="E81" s="109" t="s">
        <v>793</v>
      </c>
      <c r="F81" s="110">
        <v>0</v>
      </c>
      <c r="G81" s="109" t="s">
        <v>1023</v>
      </c>
      <c r="H81" s="109" t="s">
        <v>91</v>
      </c>
      <c r="I81" s="109" t="s">
        <v>787</v>
      </c>
      <c r="J81" s="109" t="s">
        <v>348</v>
      </c>
      <c r="K81" s="109" t="s">
        <v>387</v>
      </c>
      <c r="L81" s="109" t="s">
        <v>523</v>
      </c>
      <c r="M81" s="109" t="s">
        <v>384</v>
      </c>
      <c r="N81" s="109" t="s">
        <v>43</v>
      </c>
      <c r="O81" s="109" t="s">
        <v>386</v>
      </c>
      <c r="P81" s="109" t="s">
        <v>826</v>
      </c>
      <c r="Q81" s="109" t="s">
        <v>1202</v>
      </c>
      <c r="R81" s="109" t="s">
        <v>91</v>
      </c>
      <c r="S81" s="83" t="str">
        <f t="shared" si="10"/>
        <v>B1831H</v>
      </c>
      <c r="T81" s="83" t="str">
        <f t="shared" si="7"/>
        <v>ADELE II</v>
      </c>
      <c r="Y81" s="60">
        <f t="shared" si="11"/>
        <v>31</v>
      </c>
      <c r="Z81" s="49">
        <f t="shared" si="12"/>
        <v>194</v>
      </c>
      <c r="AA81" s="60">
        <f t="shared" si="13"/>
        <v>31194</v>
      </c>
    </row>
    <row r="82" spans="1:27">
      <c r="A82" s="83" t="str">
        <f t="shared" si="8"/>
        <v>B1845Hpinstripes</v>
      </c>
      <c r="B82" s="83" t="str">
        <f t="shared" si="9"/>
        <v>31-195-08</v>
      </c>
      <c r="C82" s="109" t="s">
        <v>1203</v>
      </c>
      <c r="D82" s="109" t="s">
        <v>1204</v>
      </c>
      <c r="E82" s="109" t="s">
        <v>793</v>
      </c>
      <c r="F82" s="110">
        <v>0</v>
      </c>
      <c r="G82" s="109" t="s">
        <v>1205</v>
      </c>
      <c r="H82" s="109" t="s">
        <v>71</v>
      </c>
      <c r="I82" s="109" t="s">
        <v>835</v>
      </c>
      <c r="J82" s="109" t="s">
        <v>348</v>
      </c>
      <c r="K82" s="109" t="s">
        <v>387</v>
      </c>
      <c r="L82" s="109" t="s">
        <v>523</v>
      </c>
      <c r="M82" s="109" t="s">
        <v>384</v>
      </c>
      <c r="N82" s="109" t="s">
        <v>37</v>
      </c>
      <c r="O82" s="109" t="s">
        <v>386</v>
      </c>
      <c r="P82" s="109" t="s">
        <v>827</v>
      </c>
      <c r="Q82" s="109" t="s">
        <v>1194</v>
      </c>
      <c r="R82" s="109" t="s">
        <v>71</v>
      </c>
      <c r="S82" s="83" t="str">
        <f t="shared" si="10"/>
        <v>B1845H</v>
      </c>
      <c r="T82" s="83" t="str">
        <f t="shared" si="7"/>
        <v>SAILOR CAP</v>
      </c>
      <c r="Y82" s="60">
        <f t="shared" si="11"/>
        <v>31</v>
      </c>
      <c r="Z82" s="49">
        <f t="shared" si="12"/>
        <v>195</v>
      </c>
      <c r="AA82" s="60">
        <f t="shared" si="13"/>
        <v>31195</v>
      </c>
    </row>
    <row r="83" spans="1:27">
      <c r="A83" s="83" t="str">
        <f t="shared" si="8"/>
        <v>B964denim</v>
      </c>
      <c r="B83" s="83" t="str">
        <f t="shared" si="9"/>
        <v>31-053-06</v>
      </c>
      <c r="C83" s="109" t="s">
        <v>1206</v>
      </c>
      <c r="D83" s="109" t="s">
        <v>1207</v>
      </c>
      <c r="E83" s="109" t="s">
        <v>793</v>
      </c>
      <c r="F83" s="110">
        <v>0</v>
      </c>
      <c r="G83" s="109" t="s">
        <v>1208</v>
      </c>
      <c r="H83" s="109" t="s">
        <v>71</v>
      </c>
      <c r="I83" s="109" t="s">
        <v>787</v>
      </c>
      <c r="J83" s="109" t="s">
        <v>360</v>
      </c>
      <c r="K83" s="109" t="s">
        <v>387</v>
      </c>
      <c r="L83" s="109" t="s">
        <v>523</v>
      </c>
      <c r="M83" s="109" t="s">
        <v>384</v>
      </c>
      <c r="N83" s="109" t="s">
        <v>43</v>
      </c>
      <c r="O83" s="109" t="s">
        <v>386</v>
      </c>
      <c r="P83" s="109" t="s">
        <v>827</v>
      </c>
      <c r="Q83" s="109" t="s">
        <v>860</v>
      </c>
      <c r="R83" s="109" t="s">
        <v>71</v>
      </c>
      <c r="S83" s="83" t="str">
        <f t="shared" si="10"/>
        <v>B964</v>
      </c>
      <c r="T83" s="83" t="str">
        <f t="shared" si="7"/>
        <v>FACE FRAMER</v>
      </c>
      <c r="Y83" s="60">
        <f t="shared" si="11"/>
        <v>31</v>
      </c>
      <c r="Z83" s="49">
        <f t="shared" si="12"/>
        <v>53</v>
      </c>
      <c r="AA83" s="60">
        <f t="shared" si="13"/>
        <v>31053</v>
      </c>
    </row>
    <row r="84" spans="1:27">
      <c r="A84" s="83" t="str">
        <f t="shared" si="8"/>
        <v>B1834Hscarlet</v>
      </c>
      <c r="B84" s="83" t="str">
        <f t="shared" si="9"/>
        <v>31-197-18</v>
      </c>
      <c r="C84" s="109" t="s">
        <v>1209</v>
      </c>
      <c r="D84" s="109" t="s">
        <v>1210</v>
      </c>
      <c r="E84" s="109" t="s">
        <v>793</v>
      </c>
      <c r="F84" s="110">
        <v>0</v>
      </c>
      <c r="G84" s="109" t="s">
        <v>1211</v>
      </c>
      <c r="H84" s="109" t="s">
        <v>78</v>
      </c>
      <c r="I84" s="109" t="s">
        <v>794</v>
      </c>
      <c r="J84" s="109" t="s">
        <v>510</v>
      </c>
      <c r="K84" s="109" t="s">
        <v>387</v>
      </c>
      <c r="L84" s="109" t="s">
        <v>523</v>
      </c>
      <c r="M84" s="109" t="s">
        <v>384</v>
      </c>
      <c r="O84" s="109" t="s">
        <v>386</v>
      </c>
      <c r="P84" s="109" t="s">
        <v>826</v>
      </c>
      <c r="Q84" s="109" t="s">
        <v>896</v>
      </c>
      <c r="R84" s="109" t="s">
        <v>78</v>
      </c>
      <c r="S84" s="83" t="str">
        <f t="shared" si="10"/>
        <v>B1834H</v>
      </c>
      <c r="T84" s="83" t="str">
        <f t="shared" si="7"/>
        <v>EMMABELLA</v>
      </c>
      <c r="Y84" s="60">
        <f t="shared" si="11"/>
        <v>31</v>
      </c>
      <c r="Z84" s="49">
        <f t="shared" si="12"/>
        <v>197</v>
      </c>
      <c r="AA84" s="60">
        <f t="shared" si="13"/>
        <v>31197</v>
      </c>
    </row>
    <row r="85" spans="1:27">
      <c r="A85" s="83" t="str">
        <f t="shared" si="8"/>
        <v>B1710Hcoral</v>
      </c>
      <c r="B85" s="83" t="str">
        <f t="shared" si="9"/>
        <v>31-198-34</v>
      </c>
      <c r="C85" s="109" t="s">
        <v>1212</v>
      </c>
      <c r="D85" s="109" t="s">
        <v>1213</v>
      </c>
      <c r="E85" s="109" t="s">
        <v>793</v>
      </c>
      <c r="F85" s="110">
        <v>0</v>
      </c>
      <c r="G85" s="109" t="s">
        <v>1214</v>
      </c>
      <c r="H85" s="109" t="s">
        <v>276</v>
      </c>
      <c r="I85" s="109" t="s">
        <v>787</v>
      </c>
      <c r="J85" s="109" t="s">
        <v>325</v>
      </c>
      <c r="K85" s="109" t="s">
        <v>387</v>
      </c>
      <c r="L85" s="109" t="s">
        <v>523</v>
      </c>
      <c r="M85" s="109" t="s">
        <v>384</v>
      </c>
      <c r="N85" s="109" t="s">
        <v>43</v>
      </c>
      <c r="O85" s="109" t="s">
        <v>386</v>
      </c>
      <c r="P85" s="109" t="s">
        <v>826</v>
      </c>
      <c r="Q85" s="109" t="s">
        <v>1215</v>
      </c>
      <c r="R85" s="109" t="s">
        <v>68</v>
      </c>
      <c r="S85" s="83" t="str">
        <f t="shared" si="10"/>
        <v>B1710H</v>
      </c>
      <c r="T85" s="83" t="str">
        <f t="shared" si="7"/>
        <v>GIGI</v>
      </c>
      <c r="Y85" s="60">
        <f t="shared" si="11"/>
        <v>31</v>
      </c>
      <c r="Z85" s="49">
        <f t="shared" si="12"/>
        <v>198</v>
      </c>
      <c r="AA85" s="60">
        <f t="shared" si="13"/>
        <v>31198</v>
      </c>
    </row>
    <row r="86" spans="1:27">
      <c r="A86" s="83" t="str">
        <f t="shared" si="8"/>
        <v>B1816Hdenim</v>
      </c>
      <c r="B86" s="83" t="str">
        <f t="shared" si="9"/>
        <v>31-199-06</v>
      </c>
      <c r="C86" s="109" t="s">
        <v>1216</v>
      </c>
      <c r="D86" s="109" t="s">
        <v>1217</v>
      </c>
      <c r="E86" s="109" t="s">
        <v>793</v>
      </c>
      <c r="F86" s="110">
        <v>0</v>
      </c>
      <c r="G86" s="109" t="s">
        <v>1218</v>
      </c>
      <c r="H86" s="109" t="s">
        <v>71</v>
      </c>
      <c r="I86" s="109" t="s">
        <v>787</v>
      </c>
      <c r="J86" s="109" t="s">
        <v>325</v>
      </c>
      <c r="K86" s="109" t="s">
        <v>387</v>
      </c>
      <c r="L86" s="109" t="s">
        <v>523</v>
      </c>
      <c r="M86" s="109" t="s">
        <v>384</v>
      </c>
      <c r="N86" s="109" t="s">
        <v>43</v>
      </c>
      <c r="O86" s="109" t="s">
        <v>386</v>
      </c>
      <c r="P86" s="109" t="s">
        <v>826</v>
      </c>
      <c r="Q86" s="109" t="s">
        <v>860</v>
      </c>
      <c r="R86" s="109" t="s">
        <v>71</v>
      </c>
      <c r="S86" s="83" t="str">
        <f t="shared" si="10"/>
        <v>B1816H</v>
      </c>
      <c r="T86" s="83" t="str">
        <f t="shared" si="7"/>
        <v>CAMILLA</v>
      </c>
      <c r="Y86" s="60">
        <f t="shared" si="11"/>
        <v>31</v>
      </c>
      <c r="Z86" s="49">
        <f t="shared" si="12"/>
        <v>199</v>
      </c>
      <c r="AA86" s="60">
        <f t="shared" si="13"/>
        <v>31199</v>
      </c>
    </row>
    <row r="87" spans="1:27">
      <c r="A87" s="83" t="str">
        <f t="shared" si="8"/>
        <v>B1817Hpoppy</v>
      </c>
      <c r="B87" s="83" t="str">
        <f t="shared" si="9"/>
        <v>31-200-18</v>
      </c>
      <c r="C87" s="109" t="s">
        <v>1219</v>
      </c>
      <c r="D87" s="109" t="s">
        <v>1220</v>
      </c>
      <c r="E87" s="109" t="s">
        <v>793</v>
      </c>
      <c r="F87" s="110">
        <v>0</v>
      </c>
      <c r="G87" s="109" t="s">
        <v>1221</v>
      </c>
      <c r="H87" s="109" t="s">
        <v>78</v>
      </c>
      <c r="I87" s="109" t="s">
        <v>787</v>
      </c>
      <c r="J87" s="109" t="s">
        <v>325</v>
      </c>
      <c r="K87" s="109" t="s">
        <v>387</v>
      </c>
      <c r="L87" s="109" t="s">
        <v>523</v>
      </c>
      <c r="M87" s="109" t="s">
        <v>384</v>
      </c>
      <c r="N87" s="109" t="s">
        <v>43</v>
      </c>
      <c r="O87" s="109" t="s">
        <v>386</v>
      </c>
      <c r="P87" s="109" t="s">
        <v>826</v>
      </c>
      <c r="Q87" s="109" t="s">
        <v>996</v>
      </c>
      <c r="R87" s="109" t="s">
        <v>78</v>
      </c>
      <c r="S87" s="83" t="str">
        <f t="shared" si="10"/>
        <v>B1817H</v>
      </c>
      <c r="T87" s="83" t="str">
        <f t="shared" si="7"/>
        <v>CLOVER</v>
      </c>
      <c r="Y87" s="60">
        <f t="shared" si="11"/>
        <v>31</v>
      </c>
      <c r="Z87" s="49">
        <f t="shared" si="12"/>
        <v>200</v>
      </c>
      <c r="AA87" s="60">
        <f t="shared" si="13"/>
        <v>31200</v>
      </c>
    </row>
    <row r="88" spans="1:27">
      <c r="A88" s="83" t="str">
        <f t="shared" si="8"/>
        <v>B962lilac</v>
      </c>
      <c r="B88" s="83" t="str">
        <f t="shared" si="9"/>
        <v>31-090-45</v>
      </c>
      <c r="C88" s="109" t="s">
        <v>1222</v>
      </c>
      <c r="D88" s="109" t="s">
        <v>1223</v>
      </c>
      <c r="E88" s="109" t="s">
        <v>793</v>
      </c>
      <c r="F88" s="110">
        <v>0</v>
      </c>
      <c r="G88" s="109" t="s">
        <v>1224</v>
      </c>
      <c r="H88" s="109" t="s">
        <v>191</v>
      </c>
      <c r="I88" s="109" t="s">
        <v>787</v>
      </c>
      <c r="J88" s="109" t="s">
        <v>325</v>
      </c>
      <c r="K88" s="109" t="s">
        <v>387</v>
      </c>
      <c r="L88" s="109" t="s">
        <v>523</v>
      </c>
      <c r="M88" s="109" t="s">
        <v>384</v>
      </c>
      <c r="N88" s="109" t="s">
        <v>43</v>
      </c>
      <c r="O88" s="109" t="s">
        <v>386</v>
      </c>
      <c r="P88" s="109" t="s">
        <v>826</v>
      </c>
      <c r="Q88" s="109" t="s">
        <v>1097</v>
      </c>
      <c r="R88" s="109" t="s">
        <v>68</v>
      </c>
      <c r="S88" s="83" t="str">
        <f t="shared" si="10"/>
        <v>B962</v>
      </c>
      <c r="T88" s="83" t="str">
        <f t="shared" si="7"/>
        <v>KNOTTED CLOCHE</v>
      </c>
      <c r="Y88" s="60">
        <f t="shared" si="11"/>
        <v>31</v>
      </c>
      <c r="Z88" s="49">
        <f t="shared" si="12"/>
        <v>90</v>
      </c>
      <c r="AA88" s="60">
        <f t="shared" si="13"/>
        <v>31090</v>
      </c>
    </row>
    <row r="89" spans="1:27">
      <c r="A89" s="83" t="str">
        <f t="shared" si="8"/>
        <v>B1096Hlt.blue</v>
      </c>
      <c r="B89" s="83" t="str">
        <f t="shared" si="9"/>
        <v>31-061-19</v>
      </c>
      <c r="C89" s="109" t="s">
        <v>1225</v>
      </c>
      <c r="D89" s="109" t="s">
        <v>1226</v>
      </c>
      <c r="E89" s="109" t="s">
        <v>793</v>
      </c>
      <c r="F89" s="110">
        <v>0</v>
      </c>
      <c r="G89" s="109" t="s">
        <v>1027</v>
      </c>
      <c r="H89" s="109" t="s">
        <v>91</v>
      </c>
      <c r="I89" s="109" t="s">
        <v>833</v>
      </c>
      <c r="J89" s="109" t="s">
        <v>357</v>
      </c>
      <c r="K89" s="109" t="s">
        <v>387</v>
      </c>
      <c r="L89" s="109" t="s">
        <v>523</v>
      </c>
      <c r="M89" s="109" t="s">
        <v>384</v>
      </c>
      <c r="O89" s="109" t="s">
        <v>386</v>
      </c>
      <c r="P89" s="109" t="s">
        <v>826</v>
      </c>
      <c r="Q89" s="109" t="s">
        <v>969</v>
      </c>
      <c r="R89" s="109" t="s">
        <v>91</v>
      </c>
      <c r="S89" s="83" t="str">
        <f t="shared" si="10"/>
        <v>B1096H</v>
      </c>
      <c r="T89" s="83" t="str">
        <f t="shared" si="7"/>
        <v>TRICIA</v>
      </c>
      <c r="Y89" s="60">
        <f t="shared" si="11"/>
        <v>31</v>
      </c>
      <c r="Z89" s="49">
        <f t="shared" si="12"/>
        <v>61</v>
      </c>
      <c r="AA89" s="60">
        <f t="shared" si="13"/>
        <v>31061</v>
      </c>
    </row>
    <row r="90" spans="1:27">
      <c r="A90" s="83" t="str">
        <f t="shared" si="8"/>
        <v>B1134Hrattlesnake</v>
      </c>
      <c r="B90" s="83" t="str">
        <f t="shared" si="9"/>
        <v>31-064-14</v>
      </c>
      <c r="C90" s="109" t="s">
        <v>1227</v>
      </c>
      <c r="D90" s="109" t="s">
        <v>1228</v>
      </c>
      <c r="E90" s="109" t="s">
        <v>793</v>
      </c>
      <c r="F90" s="110">
        <v>0</v>
      </c>
      <c r="G90" s="109" t="s">
        <v>944</v>
      </c>
      <c r="H90" s="109" t="s">
        <v>86</v>
      </c>
      <c r="I90" s="109" t="s">
        <v>945</v>
      </c>
      <c r="J90" s="109" t="s">
        <v>323</v>
      </c>
      <c r="K90" s="109" t="s">
        <v>387</v>
      </c>
      <c r="L90" s="109" t="s">
        <v>523</v>
      </c>
      <c r="M90" s="109" t="s">
        <v>384</v>
      </c>
      <c r="N90" s="109" t="s">
        <v>36</v>
      </c>
      <c r="O90" s="109" t="s">
        <v>386</v>
      </c>
      <c r="P90" s="109" t="s">
        <v>827</v>
      </c>
      <c r="Q90" s="109" t="s">
        <v>938</v>
      </c>
      <c r="R90" s="109" t="s">
        <v>86</v>
      </c>
      <c r="S90" s="83" t="str">
        <f t="shared" si="10"/>
        <v>B1134H</v>
      </c>
      <c r="T90" s="83" t="str">
        <f t="shared" si="7"/>
        <v>RAMONA</v>
      </c>
      <c r="Y90" s="60">
        <f t="shared" si="11"/>
        <v>31</v>
      </c>
      <c r="Z90" s="49">
        <f t="shared" si="12"/>
        <v>64</v>
      </c>
      <c r="AA90" s="60">
        <f t="shared" si="13"/>
        <v>31064</v>
      </c>
    </row>
    <row r="91" spans="1:27">
      <c r="A91" s="83" t="str">
        <f t="shared" si="8"/>
        <v>B1431Hwhite/multi</v>
      </c>
      <c r="B91" s="83" t="str">
        <f t="shared" si="9"/>
        <v>31-078-35</v>
      </c>
      <c r="C91" s="109" t="s">
        <v>1229</v>
      </c>
      <c r="D91" s="109" t="s">
        <v>1230</v>
      </c>
      <c r="E91" s="109" t="s">
        <v>793</v>
      </c>
      <c r="F91" s="110">
        <v>0</v>
      </c>
      <c r="G91" s="109" t="s">
        <v>948</v>
      </c>
      <c r="H91" s="109" t="s">
        <v>209</v>
      </c>
      <c r="I91" s="109" t="s">
        <v>945</v>
      </c>
      <c r="J91" s="109" t="s">
        <v>323</v>
      </c>
      <c r="K91" s="109" t="s">
        <v>387</v>
      </c>
      <c r="L91" s="109" t="s">
        <v>523</v>
      </c>
      <c r="M91" s="109" t="s">
        <v>384</v>
      </c>
      <c r="N91" s="109" t="s">
        <v>36</v>
      </c>
      <c r="O91" s="109" t="s">
        <v>386</v>
      </c>
      <c r="P91" s="109" t="s">
        <v>826</v>
      </c>
      <c r="Q91" s="109" t="s">
        <v>1231</v>
      </c>
      <c r="R91" s="109" t="s">
        <v>209</v>
      </c>
      <c r="S91" s="83" t="str">
        <f t="shared" si="10"/>
        <v>B1431H</v>
      </c>
      <c r="T91" s="83" t="str">
        <f t="shared" si="7"/>
        <v>DEMETRIA</v>
      </c>
      <c r="Y91" s="60">
        <f t="shared" si="11"/>
        <v>31</v>
      </c>
      <c r="Z91" s="49">
        <f t="shared" si="12"/>
        <v>78</v>
      </c>
      <c r="AA91" s="60">
        <f t="shared" si="13"/>
        <v>31078</v>
      </c>
    </row>
    <row r="92" spans="1:27">
      <c r="A92" s="83" t="str">
        <f t="shared" si="8"/>
        <v>B1440Hblack.brown</v>
      </c>
      <c r="B92" s="83" t="str">
        <f t="shared" si="9"/>
        <v>31-080-33</v>
      </c>
      <c r="C92" s="109" t="s">
        <v>1232</v>
      </c>
      <c r="D92" s="109" t="s">
        <v>1233</v>
      </c>
      <c r="E92" s="109" t="s">
        <v>793</v>
      </c>
      <c r="F92" s="110">
        <v>0</v>
      </c>
      <c r="G92" s="109" t="s">
        <v>1234</v>
      </c>
      <c r="H92" s="109" t="s">
        <v>301</v>
      </c>
      <c r="I92" s="109" t="s">
        <v>945</v>
      </c>
      <c r="J92" s="109" t="s">
        <v>323</v>
      </c>
      <c r="K92" s="109" t="s">
        <v>387</v>
      </c>
      <c r="L92" s="109" t="s">
        <v>523</v>
      </c>
      <c r="M92" s="109" t="s">
        <v>384</v>
      </c>
      <c r="N92" s="109" t="s">
        <v>36</v>
      </c>
      <c r="O92" s="109" t="s">
        <v>386</v>
      </c>
      <c r="P92" s="109" t="s">
        <v>826</v>
      </c>
      <c r="Q92" s="109" t="s">
        <v>854</v>
      </c>
      <c r="R92" s="109" t="s">
        <v>53</v>
      </c>
      <c r="S92" s="83" t="str">
        <f t="shared" si="10"/>
        <v>B1440H</v>
      </c>
      <c r="T92" s="83" t="str">
        <f t="shared" si="7"/>
        <v>Perla</v>
      </c>
      <c r="Y92" s="60">
        <f t="shared" si="11"/>
        <v>31</v>
      </c>
      <c r="Z92" s="49">
        <f t="shared" si="12"/>
        <v>80</v>
      </c>
      <c r="AA92" s="60">
        <f t="shared" si="13"/>
        <v>31080</v>
      </c>
    </row>
    <row r="93" spans="1:27">
      <c r="A93" s="83" t="str">
        <f t="shared" si="8"/>
        <v>B1449Hdenim wash</v>
      </c>
      <c r="B93" s="83" t="str">
        <f t="shared" si="9"/>
        <v>31-081-06</v>
      </c>
      <c r="C93" s="109" t="s">
        <v>1235</v>
      </c>
      <c r="D93" s="109" t="s">
        <v>1236</v>
      </c>
      <c r="E93" s="109" t="s">
        <v>793</v>
      </c>
      <c r="F93" s="110">
        <v>0</v>
      </c>
      <c r="G93" s="109" t="s">
        <v>952</v>
      </c>
      <c r="H93" s="109" t="s">
        <v>71</v>
      </c>
      <c r="I93" s="109" t="s">
        <v>832</v>
      </c>
      <c r="J93" s="109" t="s">
        <v>329</v>
      </c>
      <c r="K93" s="109" t="s">
        <v>387</v>
      </c>
      <c r="L93" s="109" t="s">
        <v>523</v>
      </c>
      <c r="M93" s="109" t="s">
        <v>384</v>
      </c>
      <c r="N93" s="109" t="s">
        <v>36</v>
      </c>
      <c r="O93" s="109" t="s">
        <v>386</v>
      </c>
      <c r="P93" s="109" t="s">
        <v>826</v>
      </c>
      <c r="Q93" s="109" t="s">
        <v>1237</v>
      </c>
      <c r="R93" s="109" t="s">
        <v>71</v>
      </c>
      <c r="S93" s="83" t="str">
        <f t="shared" si="10"/>
        <v>B1449H</v>
      </c>
      <c r="T93" s="83" t="str">
        <f t="shared" si="7"/>
        <v>JOANNE</v>
      </c>
      <c r="Y93" s="60">
        <f t="shared" si="11"/>
        <v>31</v>
      </c>
      <c r="Z93" s="49">
        <f t="shared" si="12"/>
        <v>81</v>
      </c>
      <c r="AA93" s="60">
        <f t="shared" si="13"/>
        <v>31081</v>
      </c>
    </row>
    <row r="94" spans="1:27">
      <c r="A94" s="83" t="str">
        <f t="shared" si="8"/>
        <v>B1703Hnatural/black</v>
      </c>
      <c r="B94" s="83" t="str">
        <f t="shared" si="9"/>
        <v>31-152-53</v>
      </c>
      <c r="C94" s="109" t="s">
        <v>1238</v>
      </c>
      <c r="D94" s="109" t="s">
        <v>1239</v>
      </c>
      <c r="E94" s="109" t="s">
        <v>793</v>
      </c>
      <c r="F94" s="110">
        <v>0</v>
      </c>
      <c r="G94" s="109" t="s">
        <v>984</v>
      </c>
      <c r="H94" s="109" t="s">
        <v>101</v>
      </c>
      <c r="I94" s="109" t="s">
        <v>887</v>
      </c>
      <c r="J94" s="109" t="s">
        <v>323</v>
      </c>
      <c r="K94" s="109" t="s">
        <v>387</v>
      </c>
      <c r="L94" s="109" t="s">
        <v>523</v>
      </c>
      <c r="M94" s="109" t="s">
        <v>384</v>
      </c>
      <c r="N94" s="109" t="s">
        <v>36</v>
      </c>
      <c r="O94" s="109" t="s">
        <v>386</v>
      </c>
      <c r="P94" s="109" t="s">
        <v>826</v>
      </c>
      <c r="Q94" s="109" t="s">
        <v>865</v>
      </c>
      <c r="R94" s="109" t="s">
        <v>63</v>
      </c>
      <c r="S94" s="83" t="str">
        <f t="shared" si="10"/>
        <v>B1703H</v>
      </c>
      <c r="T94" s="83" t="str">
        <f t="shared" si="7"/>
        <v>PORTO</v>
      </c>
      <c r="Y94" s="60">
        <f t="shared" si="11"/>
        <v>31</v>
      </c>
      <c r="Z94" s="49">
        <f t="shared" si="12"/>
        <v>152</v>
      </c>
      <c r="AA94" s="60">
        <f t="shared" si="13"/>
        <v>31152</v>
      </c>
    </row>
    <row r="95" spans="1:27">
      <c r="A95" s="83" t="str">
        <f t="shared" si="8"/>
        <v>B1718Hblack/natural</v>
      </c>
      <c r="B95" s="83" t="str">
        <f t="shared" si="9"/>
        <v>31-163-53</v>
      </c>
      <c r="C95" s="109" t="s">
        <v>1240</v>
      </c>
      <c r="D95" s="109" t="s">
        <v>1241</v>
      </c>
      <c r="E95" s="109" t="s">
        <v>793</v>
      </c>
      <c r="F95" s="110">
        <v>0</v>
      </c>
      <c r="G95" s="109" t="s">
        <v>1036</v>
      </c>
      <c r="H95" s="109" t="s">
        <v>292</v>
      </c>
      <c r="I95" s="109" t="s">
        <v>868</v>
      </c>
      <c r="J95" s="109" t="s">
        <v>323</v>
      </c>
      <c r="K95" s="109" t="s">
        <v>387</v>
      </c>
      <c r="L95" s="109" t="s">
        <v>523</v>
      </c>
      <c r="M95" s="109" t="s">
        <v>384</v>
      </c>
      <c r="N95" s="109" t="s">
        <v>36</v>
      </c>
      <c r="O95" s="109" t="s">
        <v>386</v>
      </c>
      <c r="P95" s="109" t="s">
        <v>826</v>
      </c>
      <c r="Q95" s="109" t="s">
        <v>1242</v>
      </c>
      <c r="R95" s="109" t="s">
        <v>53</v>
      </c>
      <c r="S95" s="83" t="str">
        <f t="shared" si="10"/>
        <v>B1718H</v>
      </c>
      <c r="T95" s="83" t="str">
        <f t="shared" si="7"/>
        <v>CORSICA</v>
      </c>
      <c r="Y95" s="60">
        <f t="shared" si="11"/>
        <v>31</v>
      </c>
      <c r="Z95" s="49">
        <f t="shared" si="12"/>
        <v>163</v>
      </c>
      <c r="AA95" s="60">
        <f t="shared" si="13"/>
        <v>31163</v>
      </c>
    </row>
    <row r="96" spans="1:27">
      <c r="A96" s="83" t="str">
        <f t="shared" si="8"/>
        <v>B1735Hnavy/white</v>
      </c>
      <c r="B96" s="83" t="str">
        <f t="shared" si="9"/>
        <v>31-171-95</v>
      </c>
      <c r="C96" s="109" t="s">
        <v>1243</v>
      </c>
      <c r="D96" s="109" t="s">
        <v>1244</v>
      </c>
      <c r="E96" s="109" t="s">
        <v>793</v>
      </c>
      <c r="F96" s="110">
        <v>0</v>
      </c>
      <c r="G96" s="109" t="s">
        <v>1001</v>
      </c>
      <c r="H96" s="109" t="s">
        <v>248</v>
      </c>
      <c r="I96" s="109" t="s">
        <v>1245</v>
      </c>
      <c r="J96" s="109" t="s">
        <v>323</v>
      </c>
      <c r="K96" s="109" t="s">
        <v>387</v>
      </c>
      <c r="L96" s="109" t="s">
        <v>523</v>
      </c>
      <c r="M96" s="109" t="s">
        <v>384</v>
      </c>
      <c r="N96" s="109" t="s">
        <v>36</v>
      </c>
      <c r="O96" s="109" t="s">
        <v>386</v>
      </c>
      <c r="P96" s="109" t="s">
        <v>826</v>
      </c>
      <c r="Q96" s="109" t="s">
        <v>1246</v>
      </c>
      <c r="R96" s="109" t="s">
        <v>71</v>
      </c>
      <c r="S96" s="83" t="str">
        <f t="shared" si="10"/>
        <v>B1735H</v>
      </c>
      <c r="T96" s="83" t="str">
        <f t="shared" si="7"/>
        <v>AUDREY</v>
      </c>
      <c r="Y96" s="60">
        <f t="shared" si="11"/>
        <v>31</v>
      </c>
      <c r="Z96" s="49">
        <f t="shared" si="12"/>
        <v>171</v>
      </c>
      <c r="AA96" s="60">
        <f t="shared" si="13"/>
        <v>31171</v>
      </c>
    </row>
    <row r="97" spans="1:27">
      <c r="A97" s="83" t="str">
        <f t="shared" si="8"/>
        <v>B176tropical multi</v>
      </c>
      <c r="B97" s="83" t="str">
        <f t="shared" si="9"/>
        <v>31-084-87</v>
      </c>
      <c r="C97" s="109" t="s">
        <v>1247</v>
      </c>
      <c r="D97" s="109" t="s">
        <v>1248</v>
      </c>
      <c r="E97" s="109" t="s">
        <v>793</v>
      </c>
      <c r="F97" s="110">
        <v>0</v>
      </c>
      <c r="G97" s="109" t="s">
        <v>1007</v>
      </c>
      <c r="H97" s="109" t="s">
        <v>160</v>
      </c>
      <c r="I97" s="109" t="s">
        <v>887</v>
      </c>
      <c r="J97" s="109" t="s">
        <v>357</v>
      </c>
      <c r="K97" s="109" t="s">
        <v>387</v>
      </c>
      <c r="L97" s="109" t="s">
        <v>523</v>
      </c>
      <c r="M97" s="109" t="s">
        <v>384</v>
      </c>
      <c r="N97" s="109" t="s">
        <v>36</v>
      </c>
      <c r="O97" s="109" t="s">
        <v>386</v>
      </c>
      <c r="P97" s="109" t="s">
        <v>827</v>
      </c>
      <c r="Q97" s="109" t="s">
        <v>939</v>
      </c>
      <c r="R97" s="109" t="s">
        <v>86</v>
      </c>
      <c r="S97" s="83" t="str">
        <f t="shared" si="10"/>
        <v>B176</v>
      </c>
      <c r="T97" s="83" t="str">
        <f t="shared" si="7"/>
        <v>GOSSAMER</v>
      </c>
      <c r="Y97" s="60">
        <f t="shared" si="11"/>
        <v>31</v>
      </c>
      <c r="Z97" s="49">
        <f t="shared" si="12"/>
        <v>84</v>
      </c>
      <c r="AA97" s="60">
        <f t="shared" si="13"/>
        <v>31084</v>
      </c>
    </row>
    <row r="98" spans="1:27">
      <c r="A98" s="83" t="str">
        <f t="shared" si="8"/>
        <v>B1807Hlt.blue</v>
      </c>
      <c r="B98" s="83" t="str">
        <f t="shared" si="9"/>
        <v>31-201-19</v>
      </c>
      <c r="C98" s="109" t="s">
        <v>1249</v>
      </c>
      <c r="D98" s="109" t="s">
        <v>1250</v>
      </c>
      <c r="E98" s="109" t="s">
        <v>793</v>
      </c>
      <c r="F98" s="110">
        <v>0</v>
      </c>
      <c r="G98" s="109" t="s">
        <v>1251</v>
      </c>
      <c r="H98" s="109" t="s">
        <v>91</v>
      </c>
      <c r="I98" s="109" t="s">
        <v>887</v>
      </c>
      <c r="J98" s="109" t="s">
        <v>357</v>
      </c>
      <c r="K98" s="109" t="s">
        <v>387</v>
      </c>
      <c r="L98" s="109" t="s">
        <v>523</v>
      </c>
      <c r="M98" s="109" t="s">
        <v>384</v>
      </c>
      <c r="N98" s="109" t="s">
        <v>36</v>
      </c>
      <c r="O98" s="109" t="s">
        <v>386</v>
      </c>
      <c r="P98" s="109" t="s">
        <v>826</v>
      </c>
      <c r="Q98" s="109" t="s">
        <v>969</v>
      </c>
      <c r="R98" s="109" t="s">
        <v>91</v>
      </c>
      <c r="S98" s="83" t="str">
        <f t="shared" si="10"/>
        <v>B1807H</v>
      </c>
      <c r="T98" s="83" t="str">
        <f t="shared" si="7"/>
        <v>WILLA</v>
      </c>
      <c r="Y98" s="60">
        <f t="shared" si="11"/>
        <v>31</v>
      </c>
      <c r="Z98" s="49">
        <f t="shared" si="12"/>
        <v>201</v>
      </c>
      <c r="AA98" s="60">
        <f t="shared" si="13"/>
        <v>31201</v>
      </c>
    </row>
    <row r="99" spans="1:27">
      <c r="A99" s="83" t="str">
        <f t="shared" si="8"/>
        <v>B1808Hstardust</v>
      </c>
      <c r="B99" s="83" t="str">
        <f t="shared" si="9"/>
        <v>31-202-02</v>
      </c>
      <c r="C99" s="109" t="s">
        <v>1252</v>
      </c>
      <c r="D99" s="109" t="s">
        <v>1253</v>
      </c>
      <c r="E99" s="109" t="s">
        <v>793</v>
      </c>
      <c r="F99" s="110">
        <v>0</v>
      </c>
      <c r="G99" s="109" t="s">
        <v>1254</v>
      </c>
      <c r="H99" s="109" t="s">
        <v>63</v>
      </c>
      <c r="I99" s="109" t="s">
        <v>1255</v>
      </c>
      <c r="J99" s="109" t="s">
        <v>323</v>
      </c>
      <c r="K99" s="109" t="s">
        <v>387</v>
      </c>
      <c r="L99" s="109" t="s">
        <v>523</v>
      </c>
      <c r="M99" s="109" t="s">
        <v>384</v>
      </c>
      <c r="N99" s="109" t="s">
        <v>36</v>
      </c>
      <c r="O99" s="109" t="s">
        <v>386</v>
      </c>
      <c r="P99" s="109" t="s">
        <v>826</v>
      </c>
      <c r="Q99" s="109" t="s">
        <v>1256</v>
      </c>
      <c r="R99" s="109" t="s">
        <v>63</v>
      </c>
      <c r="S99" s="83" t="str">
        <f t="shared" si="10"/>
        <v>B1808H</v>
      </c>
      <c r="T99" s="83" t="str">
        <f t="shared" si="7"/>
        <v>STELLA</v>
      </c>
      <c r="Y99" s="60">
        <f t="shared" si="11"/>
        <v>31</v>
      </c>
      <c r="Z99" s="49">
        <f t="shared" si="12"/>
        <v>202</v>
      </c>
      <c r="AA99" s="60">
        <f t="shared" si="13"/>
        <v>31202</v>
      </c>
    </row>
    <row r="100" spans="1:27">
      <c r="A100" s="83" t="str">
        <f t="shared" si="8"/>
        <v>B1809Hnavy multi</v>
      </c>
      <c r="B100" s="83" t="str">
        <f t="shared" si="9"/>
        <v>31-203-06</v>
      </c>
      <c r="C100" s="109" t="s">
        <v>1257</v>
      </c>
      <c r="D100" s="109" t="s">
        <v>1258</v>
      </c>
      <c r="E100" s="109" t="s">
        <v>793</v>
      </c>
      <c r="F100" s="110">
        <v>0</v>
      </c>
      <c r="G100" s="109" t="s">
        <v>1259</v>
      </c>
      <c r="H100" s="109" t="s">
        <v>71</v>
      </c>
      <c r="I100" s="109" t="s">
        <v>1260</v>
      </c>
      <c r="J100" s="109" t="s">
        <v>323</v>
      </c>
      <c r="K100" s="109" t="s">
        <v>387</v>
      </c>
      <c r="L100" s="109" t="s">
        <v>523</v>
      </c>
      <c r="M100" s="109" t="s">
        <v>384</v>
      </c>
      <c r="N100" s="109" t="s">
        <v>36</v>
      </c>
      <c r="O100" s="109" t="s">
        <v>386</v>
      </c>
      <c r="P100" s="109" t="s">
        <v>826</v>
      </c>
      <c r="Q100" s="109" t="s">
        <v>1175</v>
      </c>
      <c r="R100" s="109" t="s">
        <v>71</v>
      </c>
      <c r="S100" s="83" t="str">
        <f t="shared" si="10"/>
        <v>B1809H</v>
      </c>
      <c r="T100" s="83" t="str">
        <f t="shared" si="7"/>
        <v>MANCHESTER</v>
      </c>
      <c r="Y100" s="60">
        <f t="shared" si="11"/>
        <v>31</v>
      </c>
      <c r="Z100" s="49">
        <f t="shared" si="12"/>
        <v>203</v>
      </c>
      <c r="AA100" s="60">
        <f t="shared" si="13"/>
        <v>31203</v>
      </c>
    </row>
    <row r="101" spans="1:27">
      <c r="A101" s="83" t="str">
        <f t="shared" si="8"/>
        <v>B1811Hblack.brown</v>
      </c>
      <c r="B101" s="83" t="str">
        <f t="shared" si="9"/>
        <v>31-204-96</v>
      </c>
      <c r="C101" s="109" t="s">
        <v>1261</v>
      </c>
      <c r="D101" s="109" t="s">
        <v>1262</v>
      </c>
      <c r="E101" s="109" t="s">
        <v>793</v>
      </c>
      <c r="F101" s="110">
        <v>0</v>
      </c>
      <c r="G101" s="109" t="s">
        <v>1043</v>
      </c>
      <c r="H101" s="109" t="s">
        <v>301</v>
      </c>
      <c r="I101" s="109" t="s">
        <v>891</v>
      </c>
      <c r="J101" s="109" t="s">
        <v>323</v>
      </c>
      <c r="K101" s="109" t="s">
        <v>387</v>
      </c>
      <c r="L101" s="109" t="s">
        <v>523</v>
      </c>
      <c r="M101" s="109" t="s">
        <v>384</v>
      </c>
      <c r="N101" s="109" t="s">
        <v>36</v>
      </c>
      <c r="O101" s="109" t="s">
        <v>386</v>
      </c>
      <c r="P101" s="109" t="s">
        <v>827</v>
      </c>
      <c r="Q101" s="109" t="s">
        <v>854</v>
      </c>
      <c r="R101" s="109" t="s">
        <v>53</v>
      </c>
      <c r="S101" s="83" t="str">
        <f t="shared" si="10"/>
        <v>B1811H</v>
      </c>
      <c r="T101" s="83" t="str">
        <f t="shared" si="7"/>
        <v>BARRET</v>
      </c>
      <c r="Y101" s="60">
        <f t="shared" si="11"/>
        <v>31</v>
      </c>
      <c r="Z101" s="49">
        <f t="shared" si="12"/>
        <v>204</v>
      </c>
      <c r="AA101" s="60">
        <f t="shared" si="13"/>
        <v>31204</v>
      </c>
    </row>
    <row r="102" spans="1:27">
      <c r="A102" s="83" t="str">
        <f t="shared" si="8"/>
        <v>B1812Hnavy multi</v>
      </c>
      <c r="B102" s="83" t="str">
        <f t="shared" si="9"/>
        <v>31-205-06</v>
      </c>
      <c r="C102" s="109" t="s">
        <v>1263</v>
      </c>
      <c r="D102" s="109" t="s">
        <v>1264</v>
      </c>
      <c r="E102" s="109" t="s">
        <v>793</v>
      </c>
      <c r="F102" s="110">
        <v>0</v>
      </c>
      <c r="G102" s="109" t="s">
        <v>1046</v>
      </c>
      <c r="H102" s="109" t="s">
        <v>71</v>
      </c>
      <c r="I102" s="109" t="s">
        <v>1047</v>
      </c>
      <c r="J102" s="109" t="s">
        <v>323</v>
      </c>
      <c r="K102" s="109" t="s">
        <v>387</v>
      </c>
      <c r="L102" s="109" t="s">
        <v>523</v>
      </c>
      <c r="M102" s="109" t="s">
        <v>384</v>
      </c>
      <c r="N102" s="109" t="s">
        <v>36</v>
      </c>
      <c r="O102" s="109" t="s">
        <v>386</v>
      </c>
      <c r="P102" s="109" t="s">
        <v>826</v>
      </c>
      <c r="Q102" s="109" t="s">
        <v>1175</v>
      </c>
      <c r="R102" s="109" t="s">
        <v>71</v>
      </c>
      <c r="S102" s="83" t="str">
        <f t="shared" si="10"/>
        <v>B1812H</v>
      </c>
      <c r="T102" s="83" t="str">
        <f t="shared" si="7"/>
        <v>ST. TROPEZ</v>
      </c>
      <c r="Y102" s="60">
        <f t="shared" si="11"/>
        <v>31</v>
      </c>
      <c r="Z102" s="49">
        <f t="shared" si="12"/>
        <v>205</v>
      </c>
      <c r="AA102" s="60">
        <f t="shared" si="13"/>
        <v>31205</v>
      </c>
    </row>
    <row r="103" spans="1:27">
      <c r="A103" s="83" t="str">
        <f t="shared" si="8"/>
        <v>B1815Hbrown multi</v>
      </c>
      <c r="B103" s="83" t="str">
        <f t="shared" si="9"/>
        <v>31-206-14</v>
      </c>
      <c r="C103" s="109" t="s">
        <v>1265</v>
      </c>
      <c r="D103" s="109" t="s">
        <v>1266</v>
      </c>
      <c r="E103" s="109" t="s">
        <v>793</v>
      </c>
      <c r="F103" s="110">
        <v>0</v>
      </c>
      <c r="G103" s="109" t="s">
        <v>1050</v>
      </c>
      <c r="H103" s="109" t="s">
        <v>86</v>
      </c>
      <c r="I103" s="109" t="s">
        <v>891</v>
      </c>
      <c r="J103" s="109" t="s">
        <v>330</v>
      </c>
      <c r="K103" s="109" t="s">
        <v>387</v>
      </c>
      <c r="L103" s="109" t="s">
        <v>523</v>
      </c>
      <c r="M103" s="109" t="s">
        <v>384</v>
      </c>
      <c r="N103" s="109" t="s">
        <v>36</v>
      </c>
      <c r="O103" s="109" t="s">
        <v>386</v>
      </c>
      <c r="P103" s="109" t="s">
        <v>827</v>
      </c>
      <c r="Q103" s="109" t="s">
        <v>873</v>
      </c>
      <c r="R103" s="109" t="s">
        <v>86</v>
      </c>
      <c r="S103" s="83" t="str">
        <f t="shared" si="10"/>
        <v>B1815H</v>
      </c>
      <c r="T103" s="83" t="str">
        <f t="shared" si="7"/>
        <v>ELLERY</v>
      </c>
      <c r="Y103" s="60">
        <f t="shared" si="11"/>
        <v>31</v>
      </c>
      <c r="Z103" s="49">
        <f t="shared" si="12"/>
        <v>206</v>
      </c>
      <c r="AA103" s="60">
        <f t="shared" si="13"/>
        <v>31206</v>
      </c>
    </row>
    <row r="104" spans="1:27">
      <c r="A104" s="83" t="str">
        <f t="shared" si="8"/>
        <v>B1820Hwhite</v>
      </c>
      <c r="B104" s="83" t="str">
        <f t="shared" si="9"/>
        <v>31-207-17</v>
      </c>
      <c r="C104" s="109" t="s">
        <v>1267</v>
      </c>
      <c r="D104" s="109" t="s">
        <v>1268</v>
      </c>
      <c r="E104" s="109" t="s">
        <v>793</v>
      </c>
      <c r="F104" s="110">
        <v>0</v>
      </c>
      <c r="G104" s="109" t="s">
        <v>1269</v>
      </c>
      <c r="H104" s="109" t="s">
        <v>57</v>
      </c>
      <c r="I104" s="109" t="s">
        <v>794</v>
      </c>
      <c r="J104" s="109" t="s">
        <v>323</v>
      </c>
      <c r="K104" s="109" t="s">
        <v>387</v>
      </c>
      <c r="L104" s="109" t="s">
        <v>523</v>
      </c>
      <c r="M104" s="109" t="s">
        <v>384</v>
      </c>
      <c r="O104" s="109" t="s">
        <v>386</v>
      </c>
      <c r="P104" s="109" t="s">
        <v>827</v>
      </c>
      <c r="Q104" s="109" t="s">
        <v>840</v>
      </c>
      <c r="R104" s="109" t="s">
        <v>57</v>
      </c>
      <c r="S104" s="83" t="str">
        <f t="shared" si="10"/>
        <v>B1820H</v>
      </c>
      <c r="T104" s="83" t="str">
        <f t="shared" si="7"/>
        <v>MORGANE</v>
      </c>
      <c r="Y104" s="60">
        <f t="shared" si="11"/>
        <v>31</v>
      </c>
      <c r="Z104" s="49">
        <f t="shared" si="12"/>
        <v>207</v>
      </c>
      <c r="AA104" s="60">
        <f t="shared" si="13"/>
        <v>31207</v>
      </c>
    </row>
    <row r="105" spans="1:27">
      <c r="A105" s="83" t="str">
        <f t="shared" si="8"/>
        <v>B1826Hmulti</v>
      </c>
      <c r="B105" s="83" t="str">
        <f t="shared" si="9"/>
        <v>31-208-35</v>
      </c>
      <c r="C105" s="109" t="s">
        <v>1270</v>
      </c>
      <c r="D105" s="109" t="s">
        <v>1271</v>
      </c>
      <c r="E105" s="109" t="s">
        <v>793</v>
      </c>
      <c r="F105" s="110">
        <v>0</v>
      </c>
      <c r="G105" s="109" t="s">
        <v>1272</v>
      </c>
      <c r="H105" s="109" t="s">
        <v>209</v>
      </c>
      <c r="I105" s="109" t="s">
        <v>790</v>
      </c>
      <c r="J105" s="109" t="s">
        <v>323</v>
      </c>
      <c r="K105" s="109" t="s">
        <v>387</v>
      </c>
      <c r="L105" s="109" t="s">
        <v>523</v>
      </c>
      <c r="M105" s="109" t="s">
        <v>384</v>
      </c>
      <c r="N105" s="109" t="s">
        <v>36</v>
      </c>
      <c r="O105" s="109" t="s">
        <v>386</v>
      </c>
      <c r="P105" s="109" t="s">
        <v>826</v>
      </c>
      <c r="Q105" s="109" t="s">
        <v>899</v>
      </c>
      <c r="R105" s="109" t="s">
        <v>209</v>
      </c>
      <c r="S105" s="83" t="str">
        <f t="shared" si="10"/>
        <v>B1826H</v>
      </c>
      <c r="T105" s="83" t="str">
        <f t="shared" si="7"/>
        <v>MEADOW</v>
      </c>
      <c r="Y105" s="60">
        <f t="shared" si="11"/>
        <v>31</v>
      </c>
      <c r="Z105" s="49">
        <f t="shared" si="12"/>
        <v>208</v>
      </c>
      <c r="AA105" s="60">
        <f t="shared" si="13"/>
        <v>31208</v>
      </c>
    </row>
    <row r="106" spans="1:27">
      <c r="A106" s="83" t="str">
        <f t="shared" si="8"/>
        <v>B1830Hmulti</v>
      </c>
      <c r="B106" s="83" t="str">
        <f t="shared" si="9"/>
        <v>31-209-35</v>
      </c>
      <c r="C106" s="109" t="s">
        <v>1273</v>
      </c>
      <c r="D106" s="109" t="s">
        <v>1274</v>
      </c>
      <c r="E106" s="109" t="s">
        <v>793</v>
      </c>
      <c r="F106" s="110">
        <v>0</v>
      </c>
      <c r="G106" s="109" t="s">
        <v>1275</v>
      </c>
      <c r="H106" s="109" t="s">
        <v>209</v>
      </c>
      <c r="I106" s="109" t="s">
        <v>790</v>
      </c>
      <c r="J106" s="109" t="s">
        <v>323</v>
      </c>
      <c r="K106" s="109" t="s">
        <v>387</v>
      </c>
      <c r="L106" s="109" t="s">
        <v>523</v>
      </c>
      <c r="M106" s="109" t="s">
        <v>384</v>
      </c>
      <c r="N106" s="109" t="s">
        <v>36</v>
      </c>
      <c r="O106" s="109" t="s">
        <v>386</v>
      </c>
      <c r="P106" s="109" t="s">
        <v>827</v>
      </c>
      <c r="Q106" s="109" t="s">
        <v>899</v>
      </c>
      <c r="R106" s="109" t="s">
        <v>209</v>
      </c>
      <c r="S106" s="83" t="str">
        <f t="shared" si="10"/>
        <v>B1830H</v>
      </c>
      <c r="T106" s="83" t="str">
        <f t="shared" si="7"/>
        <v>TULUM</v>
      </c>
      <c r="Y106" s="60">
        <f t="shared" si="11"/>
        <v>31</v>
      </c>
      <c r="Z106" s="49">
        <f t="shared" si="12"/>
        <v>209</v>
      </c>
      <c r="AA106" s="60">
        <f t="shared" si="13"/>
        <v>31209</v>
      </c>
    </row>
    <row r="107" spans="1:27">
      <c r="A107" s="83" t="str">
        <f t="shared" si="8"/>
        <v>B1835Hblush</v>
      </c>
      <c r="B107" s="83" t="str">
        <f t="shared" si="9"/>
        <v>31-210-34</v>
      </c>
      <c r="C107" s="109" t="s">
        <v>1276</v>
      </c>
      <c r="D107" s="109" t="s">
        <v>1277</v>
      </c>
      <c r="E107" s="109" t="s">
        <v>793</v>
      </c>
      <c r="F107" s="110">
        <v>0</v>
      </c>
      <c r="G107" s="109" t="s">
        <v>1278</v>
      </c>
      <c r="H107" s="109" t="s">
        <v>68</v>
      </c>
      <c r="I107" s="109" t="s">
        <v>794</v>
      </c>
      <c r="J107" s="109" t="s">
        <v>357</v>
      </c>
      <c r="K107" s="109" t="s">
        <v>387</v>
      </c>
      <c r="L107" s="109" t="s">
        <v>523</v>
      </c>
      <c r="M107" s="109" t="s">
        <v>384</v>
      </c>
      <c r="O107" s="109" t="s">
        <v>386</v>
      </c>
      <c r="P107" s="109" t="s">
        <v>826</v>
      </c>
      <c r="Q107" s="109" t="s">
        <v>1279</v>
      </c>
      <c r="R107" s="109" t="s">
        <v>68</v>
      </c>
      <c r="S107" s="83" t="str">
        <f t="shared" si="10"/>
        <v>B1835H</v>
      </c>
      <c r="T107" s="83" t="str">
        <f t="shared" si="7"/>
        <v>GRACIE</v>
      </c>
      <c r="Y107" s="60">
        <f t="shared" si="11"/>
        <v>31</v>
      </c>
      <c r="Z107" s="49">
        <f t="shared" si="12"/>
        <v>210</v>
      </c>
      <c r="AA107" s="60">
        <f t="shared" si="13"/>
        <v>31210</v>
      </c>
    </row>
    <row r="108" spans="1:27">
      <c r="A108" s="83" t="str">
        <f t="shared" si="8"/>
        <v>B1836Hblack</v>
      </c>
      <c r="B108" s="83" t="str">
        <f t="shared" si="9"/>
        <v>31-211-09</v>
      </c>
      <c r="C108" s="109" t="s">
        <v>1280</v>
      </c>
      <c r="D108" s="109" t="s">
        <v>1281</v>
      </c>
      <c r="E108" s="109" t="s">
        <v>793</v>
      </c>
      <c r="F108" s="110">
        <v>0</v>
      </c>
      <c r="G108" s="109" t="s">
        <v>1282</v>
      </c>
      <c r="H108" s="109" t="s">
        <v>53</v>
      </c>
      <c r="I108" s="109" t="s">
        <v>833</v>
      </c>
      <c r="J108" s="109" t="s">
        <v>323</v>
      </c>
      <c r="K108" s="109" t="s">
        <v>387</v>
      </c>
      <c r="L108" s="109" t="s">
        <v>523</v>
      </c>
      <c r="M108" s="109" t="s">
        <v>384</v>
      </c>
      <c r="O108" s="109" t="s">
        <v>386</v>
      </c>
      <c r="P108" s="109" t="s">
        <v>826</v>
      </c>
      <c r="Q108" s="109" t="s">
        <v>831</v>
      </c>
      <c r="R108" s="109" t="s">
        <v>53</v>
      </c>
      <c r="S108" s="83" t="str">
        <f t="shared" si="10"/>
        <v>B1836H</v>
      </c>
      <c r="T108" s="83" t="str">
        <f t="shared" si="7"/>
        <v>VALENTINA</v>
      </c>
      <c r="Y108" s="60">
        <f t="shared" si="11"/>
        <v>31</v>
      </c>
      <c r="Z108" s="49">
        <f t="shared" si="12"/>
        <v>211</v>
      </c>
      <c r="AA108" s="60">
        <f t="shared" si="13"/>
        <v>31211</v>
      </c>
    </row>
    <row r="109" spans="1:27">
      <c r="A109" s="83" t="str">
        <f t="shared" si="8"/>
        <v>B1837Hlight grey</v>
      </c>
      <c r="B109" s="83" t="str">
        <f t="shared" si="9"/>
        <v>31-212-08</v>
      </c>
      <c r="C109" s="109" t="s">
        <v>1283</v>
      </c>
      <c r="D109" s="109" t="s">
        <v>1284</v>
      </c>
      <c r="E109" s="109" t="s">
        <v>793</v>
      </c>
      <c r="F109" s="110">
        <v>0</v>
      </c>
      <c r="G109" s="109" t="s">
        <v>1285</v>
      </c>
      <c r="H109" s="109" t="s">
        <v>83</v>
      </c>
      <c r="I109" s="109" t="s">
        <v>794</v>
      </c>
      <c r="J109" s="109" t="s">
        <v>323</v>
      </c>
      <c r="K109" s="109" t="s">
        <v>387</v>
      </c>
      <c r="L109" s="109" t="s">
        <v>523</v>
      </c>
      <c r="M109" s="109" t="s">
        <v>384</v>
      </c>
      <c r="O109" s="109" t="s">
        <v>386</v>
      </c>
      <c r="P109" s="109" t="s">
        <v>826</v>
      </c>
      <c r="Q109" s="109" t="s">
        <v>837</v>
      </c>
      <c r="R109" s="109" t="s">
        <v>83</v>
      </c>
      <c r="S109" s="83" t="str">
        <f t="shared" si="10"/>
        <v>B1837H</v>
      </c>
      <c r="T109" s="83" t="str">
        <f t="shared" si="7"/>
        <v>ODETTE</v>
      </c>
      <c r="Y109" s="60">
        <f t="shared" si="11"/>
        <v>31</v>
      </c>
      <c r="Z109" s="49">
        <f t="shared" si="12"/>
        <v>212</v>
      </c>
      <c r="AA109" s="60">
        <f t="shared" si="13"/>
        <v>31212</v>
      </c>
    </row>
    <row r="110" spans="1:27">
      <c r="A110" s="83" t="str">
        <f t="shared" si="8"/>
        <v>B1848Hnatural multi</v>
      </c>
      <c r="B110" s="83" t="str">
        <f t="shared" si="9"/>
        <v>31-213-02</v>
      </c>
      <c r="C110" s="109" t="s">
        <v>1286</v>
      </c>
      <c r="D110" s="109" t="s">
        <v>1287</v>
      </c>
      <c r="E110" s="109" t="s">
        <v>798</v>
      </c>
      <c r="F110" s="110">
        <v>56</v>
      </c>
      <c r="G110" s="109" t="s">
        <v>1288</v>
      </c>
      <c r="H110" s="109" t="s">
        <v>63</v>
      </c>
      <c r="I110" s="109" t="s">
        <v>792</v>
      </c>
      <c r="J110" s="109" t="s">
        <v>323</v>
      </c>
      <c r="K110" s="109" t="s">
        <v>387</v>
      </c>
      <c r="L110" s="109" t="s">
        <v>523</v>
      </c>
      <c r="M110" s="109" t="s">
        <v>384</v>
      </c>
      <c r="N110" s="109" t="s">
        <v>35</v>
      </c>
      <c r="O110" s="109" t="s">
        <v>445</v>
      </c>
      <c r="P110" s="109" t="s">
        <v>826</v>
      </c>
      <c r="Q110" s="109" t="s">
        <v>846</v>
      </c>
      <c r="R110" s="109" t="s">
        <v>63</v>
      </c>
      <c r="S110" s="83" t="str">
        <f t="shared" si="10"/>
        <v>B1848H</v>
      </c>
      <c r="T110" s="83" t="str">
        <f t="shared" si="7"/>
        <v>MONTEREY</v>
      </c>
      <c r="Y110" s="60">
        <f t="shared" si="11"/>
        <v>31</v>
      </c>
      <c r="Z110" s="49">
        <f t="shared" si="12"/>
        <v>213</v>
      </c>
      <c r="AA110" s="60">
        <f t="shared" si="13"/>
        <v>31213</v>
      </c>
    </row>
    <row r="111" spans="1:27">
      <c r="A111" s="83" t="str">
        <f t="shared" si="8"/>
        <v>B1848Hnatural multi</v>
      </c>
      <c r="B111" s="83" t="str">
        <f t="shared" si="9"/>
        <v>31-213-02</v>
      </c>
      <c r="C111" s="109" t="s">
        <v>1289</v>
      </c>
      <c r="D111" s="109" t="s">
        <v>1287</v>
      </c>
      <c r="E111" s="109" t="s">
        <v>791</v>
      </c>
      <c r="F111" s="110">
        <v>58</v>
      </c>
      <c r="G111" s="109" t="s">
        <v>1288</v>
      </c>
      <c r="H111" s="109" t="s">
        <v>63</v>
      </c>
      <c r="I111" s="109" t="s">
        <v>792</v>
      </c>
      <c r="J111" s="109" t="s">
        <v>323</v>
      </c>
      <c r="K111" s="109" t="s">
        <v>387</v>
      </c>
      <c r="L111" s="109" t="s">
        <v>523</v>
      </c>
      <c r="M111" s="109" t="s">
        <v>384</v>
      </c>
      <c r="N111" s="109" t="s">
        <v>35</v>
      </c>
      <c r="O111" s="109" t="s">
        <v>445</v>
      </c>
      <c r="P111" s="109" t="s">
        <v>826</v>
      </c>
      <c r="Q111" s="109" t="s">
        <v>846</v>
      </c>
      <c r="R111" s="109" t="s">
        <v>63</v>
      </c>
      <c r="S111" s="83" t="str">
        <f t="shared" si="10"/>
        <v>B1848H</v>
      </c>
      <c r="T111" s="83" t="str">
        <f t="shared" si="7"/>
        <v>MONTEREY</v>
      </c>
      <c r="Y111" s="60">
        <f t="shared" si="11"/>
        <v>31</v>
      </c>
      <c r="Z111" s="49">
        <f t="shared" si="12"/>
        <v>213</v>
      </c>
      <c r="AA111" s="60">
        <f t="shared" si="13"/>
        <v>31213</v>
      </c>
    </row>
    <row r="112" spans="1:27">
      <c r="A112" s="83" t="str">
        <f t="shared" si="8"/>
        <v>B1862Hnatural.black</v>
      </c>
      <c r="B112" s="83" t="str">
        <f t="shared" si="9"/>
        <v>31-214-53</v>
      </c>
      <c r="C112" s="109" t="s">
        <v>1290</v>
      </c>
      <c r="D112" s="109" t="s">
        <v>1291</v>
      </c>
      <c r="E112" s="109" t="s">
        <v>793</v>
      </c>
      <c r="F112" s="110">
        <v>0</v>
      </c>
      <c r="G112" s="109" t="s">
        <v>1292</v>
      </c>
      <c r="H112" s="109" t="s">
        <v>101</v>
      </c>
      <c r="I112" s="109" t="s">
        <v>790</v>
      </c>
      <c r="J112" s="109" t="s">
        <v>323</v>
      </c>
      <c r="K112" s="109" t="s">
        <v>387</v>
      </c>
      <c r="L112" s="109" t="s">
        <v>523</v>
      </c>
      <c r="M112" s="109" t="s">
        <v>384</v>
      </c>
      <c r="N112" s="109" t="s">
        <v>36</v>
      </c>
      <c r="O112" s="109" t="s">
        <v>386</v>
      </c>
      <c r="P112" s="109" t="s">
        <v>826</v>
      </c>
      <c r="Q112" s="109" t="s">
        <v>888</v>
      </c>
      <c r="R112" s="109" t="s">
        <v>63</v>
      </c>
      <c r="S112" s="83" t="str">
        <f t="shared" si="10"/>
        <v>B1862H</v>
      </c>
      <c r="T112" s="83" t="str">
        <f t="shared" si="7"/>
        <v>CHANTALLE</v>
      </c>
      <c r="Y112" s="60">
        <f t="shared" si="11"/>
        <v>31</v>
      </c>
      <c r="Z112" s="49">
        <f t="shared" si="12"/>
        <v>214</v>
      </c>
      <c r="AA112" s="60">
        <f t="shared" si="13"/>
        <v>31214</v>
      </c>
    </row>
    <row r="113" spans="1:27">
      <c r="A113" s="83" t="str">
        <f t="shared" si="8"/>
        <v>B3261sunshine</v>
      </c>
      <c r="B113" s="83" t="str">
        <f t="shared" si="9"/>
        <v>31-087-20</v>
      </c>
      <c r="C113" s="109" t="s">
        <v>1293</v>
      </c>
      <c r="D113" s="109" t="s">
        <v>1294</v>
      </c>
      <c r="E113" s="109" t="s">
        <v>793</v>
      </c>
      <c r="F113" s="110">
        <v>0</v>
      </c>
      <c r="G113" s="109" t="s">
        <v>1295</v>
      </c>
      <c r="H113" s="109" t="s">
        <v>65</v>
      </c>
      <c r="I113" s="109" t="s">
        <v>794</v>
      </c>
      <c r="J113" s="109" t="s">
        <v>323</v>
      </c>
      <c r="K113" s="109" t="s">
        <v>387</v>
      </c>
      <c r="L113" s="109" t="s">
        <v>523</v>
      </c>
      <c r="M113" s="109" t="s">
        <v>384</v>
      </c>
      <c r="N113" s="109" t="s">
        <v>35</v>
      </c>
      <c r="O113" s="109" t="s">
        <v>386</v>
      </c>
      <c r="P113" s="109" t="s">
        <v>826</v>
      </c>
      <c r="Q113" s="109" t="s">
        <v>1054</v>
      </c>
      <c r="R113" s="109" t="s">
        <v>65</v>
      </c>
      <c r="S113" s="83" t="str">
        <f t="shared" si="10"/>
        <v>B3261</v>
      </c>
      <c r="T113" s="83" t="str">
        <f t="shared" si="7"/>
        <v>COCONUT RING SAFARI</v>
      </c>
      <c r="Y113" s="60">
        <f t="shared" si="11"/>
        <v>31</v>
      </c>
      <c r="Z113" s="49">
        <f t="shared" si="12"/>
        <v>87</v>
      </c>
      <c r="AA113" s="60">
        <f t="shared" si="13"/>
        <v>31087</v>
      </c>
    </row>
    <row r="114" spans="1:27">
      <c r="A114" s="83" t="str">
        <f t="shared" si="8"/>
        <v>B1249Hspice</v>
      </c>
      <c r="B114" s="83" t="str">
        <f t="shared" si="9"/>
        <v>31-008-12</v>
      </c>
      <c r="C114" s="109" t="s">
        <v>1296</v>
      </c>
      <c r="D114" s="109" t="s">
        <v>1297</v>
      </c>
      <c r="E114" s="109" t="s">
        <v>793</v>
      </c>
      <c r="F114" s="110">
        <v>0</v>
      </c>
      <c r="G114" s="109" t="s">
        <v>1104</v>
      </c>
      <c r="H114" s="109" t="s">
        <v>121</v>
      </c>
      <c r="I114" s="109" t="s">
        <v>785</v>
      </c>
      <c r="J114" s="109" t="s">
        <v>330</v>
      </c>
      <c r="K114" s="109" t="s">
        <v>387</v>
      </c>
      <c r="L114" s="109" t="s">
        <v>523</v>
      </c>
      <c r="M114" s="109" t="s">
        <v>388</v>
      </c>
      <c r="N114" s="109" t="s">
        <v>44</v>
      </c>
      <c r="O114" s="109" t="s">
        <v>386</v>
      </c>
      <c r="P114" s="109" t="s">
        <v>826</v>
      </c>
      <c r="Q114" s="109" t="s">
        <v>1077</v>
      </c>
      <c r="R114" s="109" t="s">
        <v>121</v>
      </c>
      <c r="S114" s="83" t="str">
        <f t="shared" si="10"/>
        <v>B1249H</v>
      </c>
      <c r="T114" s="83" t="str">
        <f t="shared" si="7"/>
        <v>DARCY</v>
      </c>
      <c r="Y114" s="60">
        <f t="shared" si="11"/>
        <v>31</v>
      </c>
      <c r="Z114" s="49">
        <f t="shared" si="12"/>
        <v>8</v>
      </c>
      <c r="AA114" s="60">
        <f t="shared" si="13"/>
        <v>31008</v>
      </c>
    </row>
    <row r="115" spans="1:27">
      <c r="A115" s="83" t="str">
        <f t="shared" si="8"/>
        <v>B1249Hheather grey</v>
      </c>
      <c r="B115" s="83" t="str">
        <f t="shared" si="9"/>
        <v>31-008-08</v>
      </c>
      <c r="C115" s="109" t="s">
        <v>1298</v>
      </c>
      <c r="D115" s="109" t="s">
        <v>1299</v>
      </c>
      <c r="E115" s="109" t="s">
        <v>793</v>
      </c>
      <c r="F115" s="110">
        <v>0</v>
      </c>
      <c r="G115" s="109" t="s">
        <v>1104</v>
      </c>
      <c r="H115" s="109" t="s">
        <v>83</v>
      </c>
      <c r="I115" s="109" t="s">
        <v>785</v>
      </c>
      <c r="J115" s="109" t="s">
        <v>330</v>
      </c>
      <c r="K115" s="109" t="s">
        <v>387</v>
      </c>
      <c r="L115" s="109" t="s">
        <v>523</v>
      </c>
      <c r="M115" s="109" t="s">
        <v>388</v>
      </c>
      <c r="N115" s="109" t="s">
        <v>44</v>
      </c>
      <c r="O115" s="109" t="s">
        <v>386</v>
      </c>
      <c r="P115" s="109" t="s">
        <v>826</v>
      </c>
      <c r="Q115" s="109" t="s">
        <v>1143</v>
      </c>
      <c r="R115" s="109" t="s">
        <v>83</v>
      </c>
      <c r="S115" s="83" t="str">
        <f t="shared" si="10"/>
        <v>B1249H</v>
      </c>
      <c r="T115" s="83" t="str">
        <f t="shared" si="7"/>
        <v>DARCY</v>
      </c>
      <c r="Y115" s="60">
        <f t="shared" si="11"/>
        <v>31</v>
      </c>
      <c r="Z115" s="49">
        <f t="shared" si="12"/>
        <v>8</v>
      </c>
      <c r="AA115" s="60">
        <f t="shared" si="13"/>
        <v>31008</v>
      </c>
    </row>
    <row r="116" spans="1:27">
      <c r="A116" s="83" t="str">
        <f t="shared" si="8"/>
        <v>B1765Hcamel</v>
      </c>
      <c r="B116" s="83" t="str">
        <f t="shared" si="9"/>
        <v>31-182-02</v>
      </c>
      <c r="C116" s="109" t="s">
        <v>1300</v>
      </c>
      <c r="D116" s="109" t="s">
        <v>1301</v>
      </c>
      <c r="E116" s="109" t="s">
        <v>793</v>
      </c>
      <c r="F116" s="110">
        <v>0</v>
      </c>
      <c r="G116" s="109" t="s">
        <v>1302</v>
      </c>
      <c r="H116" s="109" t="s">
        <v>63</v>
      </c>
      <c r="I116" s="109" t="s">
        <v>785</v>
      </c>
      <c r="J116" s="109" t="s">
        <v>330</v>
      </c>
      <c r="K116" s="109" t="s">
        <v>387</v>
      </c>
      <c r="L116" s="109" t="s">
        <v>523</v>
      </c>
      <c r="M116" s="109" t="s">
        <v>388</v>
      </c>
      <c r="N116" s="109" t="s">
        <v>30</v>
      </c>
      <c r="O116" s="109" t="s">
        <v>386</v>
      </c>
      <c r="P116" s="109" t="s">
        <v>826</v>
      </c>
      <c r="Q116" s="109" t="s">
        <v>834</v>
      </c>
      <c r="R116" s="109" t="s">
        <v>63</v>
      </c>
      <c r="S116" s="83" t="str">
        <f t="shared" si="10"/>
        <v>B1765H</v>
      </c>
      <c r="T116" s="83" t="str">
        <f t="shared" si="7"/>
        <v>WALDEN</v>
      </c>
      <c r="Y116" s="60">
        <f t="shared" si="11"/>
        <v>31</v>
      </c>
      <c r="Z116" s="49">
        <f t="shared" si="12"/>
        <v>182</v>
      </c>
      <c r="AA116" s="60">
        <f t="shared" si="13"/>
        <v>31182</v>
      </c>
    </row>
    <row r="117" spans="1:27">
      <c r="A117" s="83" t="str">
        <f t="shared" si="8"/>
        <v>B1781Hchocolate</v>
      </c>
      <c r="B117" s="83" t="str">
        <f t="shared" si="9"/>
        <v>31-180-14</v>
      </c>
      <c r="C117" s="109" t="s">
        <v>1303</v>
      </c>
      <c r="D117" s="109" t="s">
        <v>1304</v>
      </c>
      <c r="E117" s="109" t="s">
        <v>798</v>
      </c>
      <c r="F117" s="110">
        <v>56</v>
      </c>
      <c r="G117" s="109" t="s">
        <v>1305</v>
      </c>
      <c r="H117" s="109" t="s">
        <v>86</v>
      </c>
      <c r="I117" s="109" t="s">
        <v>785</v>
      </c>
      <c r="J117" s="109" t="s">
        <v>323</v>
      </c>
      <c r="K117" s="109" t="s">
        <v>387</v>
      </c>
      <c r="L117" s="109" t="s">
        <v>523</v>
      </c>
      <c r="M117" s="109" t="s">
        <v>388</v>
      </c>
      <c r="N117" s="109" t="s">
        <v>30</v>
      </c>
      <c r="O117" s="109" t="s">
        <v>445</v>
      </c>
      <c r="P117" s="109" t="s">
        <v>826</v>
      </c>
      <c r="Q117" s="109" t="s">
        <v>851</v>
      </c>
      <c r="R117" s="109" t="s">
        <v>86</v>
      </c>
      <c r="S117" s="83" t="str">
        <f t="shared" si="10"/>
        <v>B1781H</v>
      </c>
      <c r="T117" s="83" t="str">
        <f t="shared" si="7"/>
        <v>ALDRIDGE</v>
      </c>
      <c r="Y117" s="60">
        <f t="shared" si="11"/>
        <v>31</v>
      </c>
      <c r="Z117" s="49">
        <f t="shared" si="12"/>
        <v>180</v>
      </c>
      <c r="AA117" s="60">
        <f t="shared" si="13"/>
        <v>31180</v>
      </c>
    </row>
    <row r="118" spans="1:27">
      <c r="A118" s="83" t="str">
        <f t="shared" si="8"/>
        <v>B1781Hchocolate</v>
      </c>
      <c r="B118" s="83" t="str">
        <f t="shared" si="9"/>
        <v>31-180-14</v>
      </c>
      <c r="C118" s="109" t="s">
        <v>1306</v>
      </c>
      <c r="D118" s="109" t="s">
        <v>1304</v>
      </c>
      <c r="E118" s="109" t="s">
        <v>791</v>
      </c>
      <c r="F118" s="110">
        <v>58</v>
      </c>
      <c r="G118" s="109" t="s">
        <v>1305</v>
      </c>
      <c r="H118" s="109" t="s">
        <v>86</v>
      </c>
      <c r="I118" s="109" t="s">
        <v>785</v>
      </c>
      <c r="J118" s="109" t="s">
        <v>323</v>
      </c>
      <c r="K118" s="109" t="s">
        <v>387</v>
      </c>
      <c r="L118" s="109" t="s">
        <v>523</v>
      </c>
      <c r="M118" s="109" t="s">
        <v>388</v>
      </c>
      <c r="N118" s="109" t="s">
        <v>30</v>
      </c>
      <c r="O118" s="109" t="s">
        <v>445</v>
      </c>
      <c r="P118" s="109" t="s">
        <v>826</v>
      </c>
      <c r="Q118" s="109" t="s">
        <v>851</v>
      </c>
      <c r="R118" s="109" t="s">
        <v>86</v>
      </c>
      <c r="S118" s="83" t="str">
        <f t="shared" si="10"/>
        <v>B1781H</v>
      </c>
      <c r="T118" s="83" t="str">
        <f t="shared" si="7"/>
        <v>ALDRIDGE</v>
      </c>
      <c r="Y118" s="60">
        <f t="shared" si="11"/>
        <v>31</v>
      </c>
      <c r="Z118" s="49">
        <f t="shared" si="12"/>
        <v>180</v>
      </c>
      <c r="AA118" s="60">
        <f t="shared" si="13"/>
        <v>31180</v>
      </c>
    </row>
    <row r="119" spans="1:27">
      <c r="A119" s="83" t="str">
        <f t="shared" si="8"/>
        <v>B1781Hsilver</v>
      </c>
      <c r="B119" s="83" t="str">
        <f t="shared" si="9"/>
        <v>31-180-01</v>
      </c>
      <c r="C119" s="109" t="s">
        <v>1307</v>
      </c>
      <c r="D119" s="109" t="s">
        <v>1308</v>
      </c>
      <c r="E119" s="109" t="s">
        <v>798</v>
      </c>
      <c r="F119" s="110">
        <v>56</v>
      </c>
      <c r="G119" s="109" t="s">
        <v>1305</v>
      </c>
      <c r="H119" s="109" t="s">
        <v>231</v>
      </c>
      <c r="I119" s="109" t="s">
        <v>785</v>
      </c>
      <c r="J119" s="109" t="s">
        <v>323</v>
      </c>
      <c r="K119" s="109" t="s">
        <v>387</v>
      </c>
      <c r="L119" s="109" t="s">
        <v>523</v>
      </c>
      <c r="M119" s="109" t="s">
        <v>388</v>
      </c>
      <c r="N119" s="109" t="s">
        <v>30</v>
      </c>
      <c r="O119" s="109" t="s">
        <v>445</v>
      </c>
      <c r="P119" s="109" t="s">
        <v>826</v>
      </c>
      <c r="Q119" s="109" t="s">
        <v>884</v>
      </c>
      <c r="R119" s="109" t="s">
        <v>83</v>
      </c>
      <c r="S119" s="83" t="str">
        <f t="shared" si="10"/>
        <v>B1781H</v>
      </c>
      <c r="T119" s="83" t="str">
        <f t="shared" si="7"/>
        <v>ALDRIDGE</v>
      </c>
      <c r="Y119" s="60">
        <f t="shared" si="11"/>
        <v>31</v>
      </c>
      <c r="Z119" s="49">
        <f t="shared" si="12"/>
        <v>180</v>
      </c>
      <c r="AA119" s="60">
        <f t="shared" si="13"/>
        <v>31180</v>
      </c>
    </row>
    <row r="120" spans="1:27">
      <c r="A120" s="83" t="str">
        <f t="shared" si="8"/>
        <v>B1781Hsilver</v>
      </c>
      <c r="B120" s="83" t="str">
        <f t="shared" si="9"/>
        <v>31-180-01</v>
      </c>
      <c r="C120" s="109" t="s">
        <v>1309</v>
      </c>
      <c r="D120" s="109" t="s">
        <v>1308</v>
      </c>
      <c r="E120" s="109" t="s">
        <v>791</v>
      </c>
      <c r="F120" s="110">
        <v>58</v>
      </c>
      <c r="G120" s="109" t="s">
        <v>1305</v>
      </c>
      <c r="H120" s="109" t="s">
        <v>231</v>
      </c>
      <c r="I120" s="109" t="s">
        <v>785</v>
      </c>
      <c r="J120" s="109" t="s">
        <v>323</v>
      </c>
      <c r="K120" s="109" t="s">
        <v>387</v>
      </c>
      <c r="L120" s="109" t="s">
        <v>523</v>
      </c>
      <c r="M120" s="109" t="s">
        <v>388</v>
      </c>
      <c r="N120" s="109" t="s">
        <v>30</v>
      </c>
      <c r="O120" s="109" t="s">
        <v>445</v>
      </c>
      <c r="P120" s="109" t="s">
        <v>826</v>
      </c>
      <c r="Q120" s="109" t="s">
        <v>884</v>
      </c>
      <c r="R120" s="109" t="s">
        <v>83</v>
      </c>
      <c r="S120" s="83" t="str">
        <f t="shared" si="10"/>
        <v>B1781H</v>
      </c>
      <c r="T120" s="83" t="str">
        <f t="shared" si="7"/>
        <v>ALDRIDGE</v>
      </c>
      <c r="Y120" s="60">
        <f t="shared" si="11"/>
        <v>31</v>
      </c>
      <c r="Z120" s="49">
        <f t="shared" si="12"/>
        <v>180</v>
      </c>
      <c r="AA120" s="60">
        <f t="shared" si="13"/>
        <v>31180</v>
      </c>
    </row>
    <row r="121" spans="1:27">
      <c r="A121" s="83" t="str">
        <f t="shared" si="8"/>
        <v>B1782Hburgundy</v>
      </c>
      <c r="B121" s="83" t="str">
        <f t="shared" si="9"/>
        <v>31-177-14</v>
      </c>
      <c r="C121" s="109" t="s">
        <v>1310</v>
      </c>
      <c r="D121" s="109" t="s">
        <v>1311</v>
      </c>
      <c r="E121" s="109" t="s">
        <v>798</v>
      </c>
      <c r="F121" s="110">
        <v>56</v>
      </c>
      <c r="G121" s="109" t="s">
        <v>1312</v>
      </c>
      <c r="H121" s="109" t="s">
        <v>266</v>
      </c>
      <c r="I121" s="109" t="s">
        <v>785</v>
      </c>
      <c r="J121" s="109" t="s">
        <v>323</v>
      </c>
      <c r="K121" s="109" t="s">
        <v>387</v>
      </c>
      <c r="L121" s="109" t="s">
        <v>523</v>
      </c>
      <c r="M121" s="109" t="s">
        <v>388</v>
      </c>
      <c r="N121" s="109" t="s">
        <v>30</v>
      </c>
      <c r="O121" s="109" t="s">
        <v>445</v>
      </c>
      <c r="P121" s="109" t="s">
        <v>826</v>
      </c>
      <c r="Q121" s="109" t="s">
        <v>856</v>
      </c>
      <c r="R121" s="109" t="s">
        <v>121</v>
      </c>
      <c r="S121" s="83" t="str">
        <f t="shared" si="10"/>
        <v>B1782H</v>
      </c>
      <c r="T121" s="83" t="str">
        <f t="shared" si="7"/>
        <v>BYRNE</v>
      </c>
      <c r="Y121" s="60">
        <f t="shared" si="11"/>
        <v>31</v>
      </c>
      <c r="Z121" s="49">
        <f t="shared" si="12"/>
        <v>177</v>
      </c>
      <c r="AA121" s="60">
        <f t="shared" si="13"/>
        <v>31177</v>
      </c>
    </row>
    <row r="122" spans="1:27">
      <c r="A122" s="83" t="str">
        <f t="shared" si="8"/>
        <v>B1782Hburgundy</v>
      </c>
      <c r="B122" s="83" t="str">
        <f t="shared" si="9"/>
        <v>31-177-14</v>
      </c>
      <c r="C122" s="109" t="s">
        <v>1313</v>
      </c>
      <c r="D122" s="109" t="s">
        <v>1311</v>
      </c>
      <c r="E122" s="109" t="s">
        <v>791</v>
      </c>
      <c r="F122" s="110">
        <v>58</v>
      </c>
      <c r="G122" s="109" t="s">
        <v>1312</v>
      </c>
      <c r="H122" s="109" t="s">
        <v>266</v>
      </c>
      <c r="I122" s="109" t="s">
        <v>785</v>
      </c>
      <c r="J122" s="109" t="s">
        <v>323</v>
      </c>
      <c r="K122" s="109" t="s">
        <v>387</v>
      </c>
      <c r="L122" s="109" t="s">
        <v>523</v>
      </c>
      <c r="M122" s="109" t="s">
        <v>388</v>
      </c>
      <c r="N122" s="109" t="s">
        <v>30</v>
      </c>
      <c r="O122" s="109" t="s">
        <v>445</v>
      </c>
      <c r="P122" s="109" t="s">
        <v>826</v>
      </c>
      <c r="Q122" s="109" t="s">
        <v>856</v>
      </c>
      <c r="R122" s="109" t="s">
        <v>121</v>
      </c>
      <c r="S122" s="83" t="str">
        <f t="shared" si="10"/>
        <v>B1782H</v>
      </c>
      <c r="T122" s="83" t="str">
        <f t="shared" si="7"/>
        <v>BYRNE</v>
      </c>
      <c r="Y122" s="60">
        <f t="shared" si="11"/>
        <v>31</v>
      </c>
      <c r="Z122" s="49">
        <f t="shared" si="12"/>
        <v>177</v>
      </c>
      <c r="AA122" s="60">
        <f t="shared" si="13"/>
        <v>31177</v>
      </c>
    </row>
    <row r="123" spans="1:27">
      <c r="A123" s="83" t="str">
        <f t="shared" si="8"/>
        <v>B1790Hblack</v>
      </c>
      <c r="B123" s="83" t="str">
        <f t="shared" si="9"/>
        <v>31-215-09</v>
      </c>
      <c r="C123" s="109" t="s">
        <v>1314</v>
      </c>
      <c r="D123" s="109" t="s">
        <v>1315</v>
      </c>
      <c r="E123" s="109" t="s">
        <v>793</v>
      </c>
      <c r="F123" s="110">
        <v>0</v>
      </c>
      <c r="G123" s="109" t="s">
        <v>1316</v>
      </c>
      <c r="H123" s="109" t="s">
        <v>53</v>
      </c>
      <c r="I123" s="109" t="s">
        <v>785</v>
      </c>
      <c r="J123" s="109" t="s">
        <v>357</v>
      </c>
      <c r="K123" s="109" t="s">
        <v>387</v>
      </c>
      <c r="L123" s="109" t="s">
        <v>523</v>
      </c>
      <c r="M123" s="109" t="s">
        <v>388</v>
      </c>
      <c r="N123" s="109" t="s">
        <v>30</v>
      </c>
      <c r="O123" s="109" t="s">
        <v>386</v>
      </c>
      <c r="P123" s="109" t="s">
        <v>826</v>
      </c>
      <c r="Q123" s="109" t="s">
        <v>831</v>
      </c>
      <c r="R123" s="109" t="s">
        <v>53</v>
      </c>
      <c r="S123" s="83" t="str">
        <f t="shared" si="10"/>
        <v>B1790H</v>
      </c>
      <c r="T123" s="83" t="str">
        <f t="shared" si="7"/>
        <v>MINDENHALL</v>
      </c>
      <c r="Y123" s="60">
        <f t="shared" si="11"/>
        <v>31</v>
      </c>
      <c r="Z123" s="49">
        <f t="shared" si="12"/>
        <v>215</v>
      </c>
      <c r="AA123" s="60">
        <f t="shared" si="13"/>
        <v>31215</v>
      </c>
    </row>
    <row r="124" spans="1:27">
      <c r="A124" s="83" t="str">
        <f t="shared" si="8"/>
        <v>B1790Htrue red</v>
      </c>
      <c r="B124" s="83" t="str">
        <f t="shared" si="9"/>
        <v>31-215-18</v>
      </c>
      <c r="C124" s="109" t="s">
        <v>1317</v>
      </c>
      <c r="D124" s="109" t="s">
        <v>1318</v>
      </c>
      <c r="E124" s="109" t="s">
        <v>793</v>
      </c>
      <c r="F124" s="110">
        <v>0</v>
      </c>
      <c r="G124" s="109" t="s">
        <v>1316</v>
      </c>
      <c r="H124" s="109" t="s">
        <v>78</v>
      </c>
      <c r="I124" s="109" t="s">
        <v>785</v>
      </c>
      <c r="J124" s="109" t="s">
        <v>357</v>
      </c>
      <c r="K124" s="109" t="s">
        <v>387</v>
      </c>
      <c r="L124" s="109" t="s">
        <v>523</v>
      </c>
      <c r="M124" s="109" t="s">
        <v>388</v>
      </c>
      <c r="N124" s="109" t="s">
        <v>30</v>
      </c>
      <c r="O124" s="109" t="s">
        <v>386</v>
      </c>
      <c r="P124" s="109" t="s">
        <v>826</v>
      </c>
      <c r="Q124" s="109" t="s">
        <v>870</v>
      </c>
      <c r="R124" s="109" t="s">
        <v>78</v>
      </c>
      <c r="S124" s="83" t="str">
        <f t="shared" si="10"/>
        <v>B1790H</v>
      </c>
      <c r="T124" s="83" t="str">
        <f t="shared" si="7"/>
        <v>MINDENHALL</v>
      </c>
      <c r="Y124" s="60">
        <f t="shared" si="11"/>
        <v>31</v>
      </c>
      <c r="Z124" s="49">
        <f t="shared" si="12"/>
        <v>215</v>
      </c>
      <c r="AA124" s="60">
        <f t="shared" si="13"/>
        <v>31215</v>
      </c>
    </row>
    <row r="125" spans="1:27">
      <c r="A125" s="83" t="str">
        <f t="shared" si="8"/>
        <v>B1790Hwinter white</v>
      </c>
      <c r="B125" s="83" t="str">
        <f t="shared" si="9"/>
        <v>31-215-17</v>
      </c>
      <c r="C125" s="109" t="s">
        <v>1319</v>
      </c>
      <c r="D125" s="109" t="s">
        <v>1320</v>
      </c>
      <c r="E125" s="109" t="s">
        <v>793</v>
      </c>
      <c r="F125" s="110">
        <v>0</v>
      </c>
      <c r="G125" s="109" t="s">
        <v>1316</v>
      </c>
      <c r="H125" s="109" t="s">
        <v>57</v>
      </c>
      <c r="I125" s="109" t="s">
        <v>785</v>
      </c>
      <c r="J125" s="109" t="s">
        <v>357</v>
      </c>
      <c r="K125" s="109" t="s">
        <v>387</v>
      </c>
      <c r="L125" s="109" t="s">
        <v>523</v>
      </c>
      <c r="M125" s="109" t="s">
        <v>388</v>
      </c>
      <c r="N125" s="109" t="s">
        <v>30</v>
      </c>
      <c r="O125" s="109" t="s">
        <v>386</v>
      </c>
      <c r="P125" s="109" t="s">
        <v>826</v>
      </c>
      <c r="Q125" s="109" t="s">
        <v>1321</v>
      </c>
      <c r="R125" s="109" t="s">
        <v>57</v>
      </c>
      <c r="S125" s="83" t="str">
        <f t="shared" si="10"/>
        <v>B1790H</v>
      </c>
      <c r="T125" s="83" t="str">
        <f t="shared" si="7"/>
        <v>MINDENHALL</v>
      </c>
      <c r="Y125" s="60">
        <f t="shared" si="11"/>
        <v>31</v>
      </c>
      <c r="Z125" s="49">
        <f t="shared" si="12"/>
        <v>215</v>
      </c>
      <c r="AA125" s="60">
        <f t="shared" si="13"/>
        <v>31215</v>
      </c>
    </row>
    <row r="126" spans="1:27">
      <c r="A126" s="83" t="str">
        <f t="shared" si="8"/>
        <v>B1791Hblack</v>
      </c>
      <c r="B126" s="83" t="str">
        <f t="shared" si="9"/>
        <v>31-216-09</v>
      </c>
      <c r="C126" s="109" t="s">
        <v>1322</v>
      </c>
      <c r="D126" s="109" t="s">
        <v>1323</v>
      </c>
      <c r="E126" s="109" t="s">
        <v>793</v>
      </c>
      <c r="F126" s="110">
        <v>0</v>
      </c>
      <c r="G126" s="109" t="s">
        <v>1324</v>
      </c>
      <c r="H126" s="109" t="s">
        <v>53</v>
      </c>
      <c r="I126" s="109" t="s">
        <v>1325</v>
      </c>
      <c r="J126" s="109" t="s">
        <v>323</v>
      </c>
      <c r="K126" s="109" t="s">
        <v>387</v>
      </c>
      <c r="L126" s="109" t="s">
        <v>523</v>
      </c>
      <c r="M126" s="109" t="s">
        <v>388</v>
      </c>
      <c r="O126" s="109" t="s">
        <v>386</v>
      </c>
      <c r="P126" s="109" t="s">
        <v>826</v>
      </c>
      <c r="Q126" s="109" t="s">
        <v>831</v>
      </c>
      <c r="R126" s="109" t="s">
        <v>53</v>
      </c>
      <c r="S126" s="83" t="str">
        <f t="shared" si="10"/>
        <v>B1791H</v>
      </c>
      <c r="T126" s="83" t="str">
        <f t="shared" si="7"/>
        <v>ANNIE</v>
      </c>
      <c r="Y126" s="60">
        <f t="shared" si="11"/>
        <v>31</v>
      </c>
      <c r="Z126" s="49">
        <f t="shared" si="12"/>
        <v>216</v>
      </c>
      <c r="AA126" s="60">
        <f t="shared" si="13"/>
        <v>31216</v>
      </c>
    </row>
    <row r="127" spans="1:27">
      <c r="A127" s="83" t="str">
        <f t="shared" si="8"/>
        <v>B1794Hplum</v>
      </c>
      <c r="B127" s="83" t="str">
        <f t="shared" si="9"/>
        <v>31-188-41</v>
      </c>
      <c r="C127" s="109" t="s">
        <v>1326</v>
      </c>
      <c r="D127" s="109" t="s">
        <v>1327</v>
      </c>
      <c r="E127" s="109" t="s">
        <v>793</v>
      </c>
      <c r="F127" s="110">
        <v>0</v>
      </c>
      <c r="G127" s="109" t="s">
        <v>1084</v>
      </c>
      <c r="H127" s="109" t="s">
        <v>286</v>
      </c>
      <c r="I127" s="109" t="s">
        <v>796</v>
      </c>
      <c r="J127" s="109" t="s">
        <v>348</v>
      </c>
      <c r="K127" s="109" t="s">
        <v>387</v>
      </c>
      <c r="L127" s="109" t="s">
        <v>523</v>
      </c>
      <c r="M127" s="109" t="s">
        <v>388</v>
      </c>
      <c r="N127" s="109" t="s">
        <v>44</v>
      </c>
      <c r="O127" s="109" t="s">
        <v>386</v>
      </c>
      <c r="P127" s="109" t="s">
        <v>826</v>
      </c>
      <c r="Q127" s="109" t="s">
        <v>1163</v>
      </c>
      <c r="R127" s="109" t="s">
        <v>286</v>
      </c>
      <c r="S127" s="83" t="str">
        <f t="shared" si="10"/>
        <v>B1794H</v>
      </c>
      <c r="T127" s="83" t="str">
        <f t="shared" si="7"/>
        <v>CRYSTAL CAP</v>
      </c>
      <c r="Y127" s="60">
        <f t="shared" si="11"/>
        <v>31</v>
      </c>
      <c r="Z127" s="49">
        <f t="shared" si="12"/>
        <v>188</v>
      </c>
      <c r="AA127" s="60">
        <f t="shared" si="13"/>
        <v>31188</v>
      </c>
    </row>
    <row r="128" spans="1:27">
      <c r="A128" s="83" t="str">
        <f t="shared" si="8"/>
        <v>B1798Hblack</v>
      </c>
      <c r="B128" s="83" t="str">
        <f t="shared" si="9"/>
        <v>31-185-09</v>
      </c>
      <c r="C128" s="109" t="s">
        <v>1328</v>
      </c>
      <c r="D128" s="109" t="s">
        <v>1329</v>
      </c>
      <c r="E128" s="109" t="s">
        <v>791</v>
      </c>
      <c r="F128" s="110">
        <v>58</v>
      </c>
      <c r="G128" s="109" t="s">
        <v>1128</v>
      </c>
      <c r="H128" s="109" t="s">
        <v>53</v>
      </c>
      <c r="I128" s="109" t="s">
        <v>785</v>
      </c>
      <c r="J128" s="109" t="s">
        <v>357</v>
      </c>
      <c r="K128" s="109" t="s">
        <v>387</v>
      </c>
      <c r="L128" s="109" t="s">
        <v>523</v>
      </c>
      <c r="M128" s="109" t="s">
        <v>388</v>
      </c>
      <c r="N128" s="109" t="s">
        <v>30</v>
      </c>
      <c r="O128" s="109" t="s">
        <v>445</v>
      </c>
      <c r="P128" s="109" t="s">
        <v>827</v>
      </c>
      <c r="Q128" s="109" t="s">
        <v>831</v>
      </c>
      <c r="R128" s="109" t="s">
        <v>53</v>
      </c>
      <c r="S128" s="83" t="str">
        <f t="shared" si="10"/>
        <v>B1798H</v>
      </c>
      <c r="T128" s="83" t="str">
        <f t="shared" si="7"/>
        <v>CASSAT</v>
      </c>
      <c r="Y128" s="60">
        <f t="shared" si="11"/>
        <v>31</v>
      </c>
      <c r="Z128" s="49">
        <f t="shared" si="12"/>
        <v>185</v>
      </c>
      <c r="AA128" s="60">
        <f t="shared" si="13"/>
        <v>31185</v>
      </c>
    </row>
    <row r="129" spans="1:27">
      <c r="A129" s="83" t="str">
        <f t="shared" si="8"/>
        <v>B1798Hblack</v>
      </c>
      <c r="B129" s="83" t="str">
        <f t="shared" si="9"/>
        <v>31-185-09</v>
      </c>
      <c r="C129" s="109" t="s">
        <v>1330</v>
      </c>
      <c r="D129" s="109" t="s">
        <v>1329</v>
      </c>
      <c r="E129" s="109" t="s">
        <v>798</v>
      </c>
      <c r="F129" s="110">
        <v>56</v>
      </c>
      <c r="G129" s="109" t="s">
        <v>1128</v>
      </c>
      <c r="H129" s="109" t="s">
        <v>53</v>
      </c>
      <c r="I129" s="109" t="s">
        <v>785</v>
      </c>
      <c r="J129" s="109" t="s">
        <v>357</v>
      </c>
      <c r="K129" s="109" t="s">
        <v>387</v>
      </c>
      <c r="L129" s="109" t="s">
        <v>523</v>
      </c>
      <c r="M129" s="109" t="s">
        <v>388</v>
      </c>
      <c r="N129" s="109" t="s">
        <v>30</v>
      </c>
      <c r="O129" s="109" t="s">
        <v>445</v>
      </c>
      <c r="P129" s="109" t="s">
        <v>827</v>
      </c>
      <c r="Q129" s="109" t="s">
        <v>831</v>
      </c>
      <c r="R129" s="109" t="s">
        <v>53</v>
      </c>
      <c r="S129" s="83" t="str">
        <f t="shared" si="10"/>
        <v>B1798H</v>
      </c>
      <c r="T129" s="83" t="str">
        <f t="shared" si="7"/>
        <v>CASSAT</v>
      </c>
      <c r="Y129" s="60">
        <f t="shared" si="11"/>
        <v>31</v>
      </c>
      <c r="Z129" s="49">
        <f t="shared" si="12"/>
        <v>185</v>
      </c>
      <c r="AA129" s="60">
        <f t="shared" si="13"/>
        <v>31185</v>
      </c>
    </row>
    <row r="130" spans="1:27">
      <c r="A130" s="83" t="str">
        <f t="shared" si="8"/>
        <v>B1798Hnavy</v>
      </c>
      <c r="B130" s="83" t="str">
        <f t="shared" si="9"/>
        <v>31-185-16</v>
      </c>
      <c r="C130" s="109" t="s">
        <v>1331</v>
      </c>
      <c r="D130" s="109" t="s">
        <v>1332</v>
      </c>
      <c r="E130" s="109" t="s">
        <v>798</v>
      </c>
      <c r="F130" s="110">
        <v>56</v>
      </c>
      <c r="G130" s="109" t="s">
        <v>1128</v>
      </c>
      <c r="H130" s="109" t="s">
        <v>55</v>
      </c>
      <c r="I130" s="109" t="s">
        <v>785</v>
      </c>
      <c r="J130" s="109" t="s">
        <v>357</v>
      </c>
      <c r="K130" s="109" t="s">
        <v>387</v>
      </c>
      <c r="L130" s="109" t="s">
        <v>523</v>
      </c>
      <c r="M130" s="109" t="s">
        <v>388</v>
      </c>
      <c r="N130" s="109" t="s">
        <v>30</v>
      </c>
      <c r="O130" s="109" t="s">
        <v>445</v>
      </c>
      <c r="P130" s="109" t="s">
        <v>826</v>
      </c>
      <c r="Q130" s="109" t="s">
        <v>829</v>
      </c>
      <c r="R130" s="109" t="s">
        <v>71</v>
      </c>
      <c r="S130" s="83" t="str">
        <f t="shared" si="10"/>
        <v>B1798H</v>
      </c>
      <c r="T130" s="83" t="str">
        <f t="shared" ref="T130:T193" si="14">IF(A130&lt;&gt;"",IF(FIND(" ",G130)&gt;=1,MID(G130,FIND(" ",G130)+1,LEN(G130)),""),"")</f>
        <v>CASSAT</v>
      </c>
      <c r="Y130" s="60">
        <f t="shared" si="11"/>
        <v>31</v>
      </c>
      <c r="Z130" s="49">
        <f t="shared" si="12"/>
        <v>185</v>
      </c>
      <c r="AA130" s="60">
        <f t="shared" si="13"/>
        <v>31185</v>
      </c>
    </row>
    <row r="131" spans="1:27">
      <c r="A131" s="83" t="str">
        <f t="shared" ref="A131:A194" si="15">IF(G131&amp;Q131&lt;&gt;"",S131&amp;Q131,"")</f>
        <v>B1798Hnavy</v>
      </c>
      <c r="B131" s="83" t="str">
        <f t="shared" ref="B131:B194" si="16">IF(C131&lt;&gt;"",LEFT(C131,9),"")</f>
        <v>31-185-16</v>
      </c>
      <c r="C131" s="109" t="s">
        <v>1333</v>
      </c>
      <c r="D131" s="109" t="s">
        <v>1332</v>
      </c>
      <c r="E131" s="109" t="s">
        <v>791</v>
      </c>
      <c r="F131" s="110">
        <v>58</v>
      </c>
      <c r="G131" s="109" t="s">
        <v>1128</v>
      </c>
      <c r="H131" s="109" t="s">
        <v>55</v>
      </c>
      <c r="I131" s="109" t="s">
        <v>785</v>
      </c>
      <c r="J131" s="109" t="s">
        <v>357</v>
      </c>
      <c r="K131" s="109" t="s">
        <v>387</v>
      </c>
      <c r="L131" s="109" t="s">
        <v>523</v>
      </c>
      <c r="M131" s="109" t="s">
        <v>388</v>
      </c>
      <c r="N131" s="109" t="s">
        <v>30</v>
      </c>
      <c r="O131" s="109" t="s">
        <v>445</v>
      </c>
      <c r="P131" s="109" t="s">
        <v>826</v>
      </c>
      <c r="Q131" s="109" t="s">
        <v>829</v>
      </c>
      <c r="R131" s="109" t="s">
        <v>71</v>
      </c>
      <c r="S131" s="83" t="str">
        <f t="shared" ref="S131:S194" si="17">IF(G131&lt;&gt;"",IF(FIND(" ",G131)&gt;=1,MID(G131,1,FIND(" ",G131)-1),G131),"")</f>
        <v>B1798H</v>
      </c>
      <c r="T131" s="83" t="str">
        <f t="shared" si="14"/>
        <v>CASSAT</v>
      </c>
      <c r="Y131" s="60">
        <f t="shared" ref="Y131:Y194" si="18">IFERROR(VALUE(MID($C131,1,2)),0)</f>
        <v>31</v>
      </c>
      <c r="Z131" s="49">
        <f t="shared" ref="Z131:Z194" si="19">IFERROR(VALUE(MID($C131,4,3)),0)</f>
        <v>185</v>
      </c>
      <c r="AA131" s="60">
        <f t="shared" ref="AA131:AA194" si="20">VALUE(RIGHT("00"&amp;Y131,2)&amp;RIGHT("000"&amp;Z131,3))</f>
        <v>31185</v>
      </c>
    </row>
    <row r="132" spans="1:27">
      <c r="A132" s="83" t="str">
        <f t="shared" si="15"/>
        <v>B1806Holive/cognac</v>
      </c>
      <c r="B132" s="83" t="str">
        <f t="shared" si="16"/>
        <v>31-181-13</v>
      </c>
      <c r="C132" s="109" t="s">
        <v>1334</v>
      </c>
      <c r="D132" s="109" t="s">
        <v>1335</v>
      </c>
      <c r="E132" s="109" t="s">
        <v>798</v>
      </c>
      <c r="F132" s="110">
        <v>56</v>
      </c>
      <c r="G132" s="109" t="s">
        <v>1336</v>
      </c>
      <c r="H132" s="109" t="s">
        <v>198</v>
      </c>
      <c r="I132" s="109" t="s">
        <v>785</v>
      </c>
      <c r="J132" s="109" t="s">
        <v>330</v>
      </c>
      <c r="K132" s="109" t="s">
        <v>387</v>
      </c>
      <c r="L132" s="109" t="s">
        <v>523</v>
      </c>
      <c r="M132" s="109" t="s">
        <v>388</v>
      </c>
      <c r="N132" s="109" t="s">
        <v>30</v>
      </c>
      <c r="O132" s="109" t="s">
        <v>445</v>
      </c>
      <c r="P132" s="109" t="s">
        <v>826</v>
      </c>
      <c r="Q132" s="109" t="s">
        <v>1337</v>
      </c>
      <c r="R132" s="109" t="s">
        <v>195</v>
      </c>
      <c r="S132" s="83" t="str">
        <f t="shared" si="17"/>
        <v>B1806H</v>
      </c>
      <c r="T132" s="83" t="str">
        <f t="shared" si="14"/>
        <v>DICKINSON</v>
      </c>
      <c r="Y132" s="60">
        <f t="shared" si="18"/>
        <v>31</v>
      </c>
      <c r="Z132" s="49">
        <f t="shared" si="19"/>
        <v>181</v>
      </c>
      <c r="AA132" s="60">
        <f t="shared" si="20"/>
        <v>31181</v>
      </c>
    </row>
    <row r="133" spans="1:27">
      <c r="A133" s="83" t="str">
        <f t="shared" si="15"/>
        <v>B1806Holive/cognac</v>
      </c>
      <c r="B133" s="83" t="str">
        <f t="shared" si="16"/>
        <v>31-181-13</v>
      </c>
      <c r="C133" s="109" t="s">
        <v>1338</v>
      </c>
      <c r="D133" s="109" t="s">
        <v>1335</v>
      </c>
      <c r="E133" s="109" t="s">
        <v>791</v>
      </c>
      <c r="F133" s="110">
        <v>58</v>
      </c>
      <c r="G133" s="109" t="s">
        <v>1336</v>
      </c>
      <c r="H133" s="109" t="s">
        <v>198</v>
      </c>
      <c r="I133" s="109" t="s">
        <v>785</v>
      </c>
      <c r="J133" s="109" t="s">
        <v>330</v>
      </c>
      <c r="K133" s="109" t="s">
        <v>387</v>
      </c>
      <c r="L133" s="109" t="s">
        <v>523</v>
      </c>
      <c r="M133" s="109" t="s">
        <v>388</v>
      </c>
      <c r="N133" s="109" t="s">
        <v>30</v>
      </c>
      <c r="O133" s="109" t="s">
        <v>445</v>
      </c>
      <c r="P133" s="109" t="s">
        <v>826</v>
      </c>
      <c r="Q133" s="109" t="s">
        <v>1337</v>
      </c>
      <c r="R133" s="109" t="s">
        <v>195</v>
      </c>
      <c r="S133" s="83" t="str">
        <f t="shared" si="17"/>
        <v>B1806H</v>
      </c>
      <c r="T133" s="83" t="str">
        <f t="shared" si="14"/>
        <v>DICKINSON</v>
      </c>
      <c r="Y133" s="60">
        <f t="shared" si="18"/>
        <v>31</v>
      </c>
      <c r="Z133" s="49">
        <f t="shared" si="19"/>
        <v>181</v>
      </c>
      <c r="AA133" s="60">
        <f t="shared" si="20"/>
        <v>31181</v>
      </c>
    </row>
    <row r="134" spans="1:27">
      <c r="A134" s="83" t="str">
        <f t="shared" si="15"/>
        <v>B515navy</v>
      </c>
      <c r="B134" s="83" t="str">
        <f t="shared" si="16"/>
        <v>31-034-16</v>
      </c>
      <c r="C134" s="109" t="s">
        <v>1339</v>
      </c>
      <c r="D134" s="109" t="s">
        <v>1340</v>
      </c>
      <c r="E134" s="109" t="s">
        <v>793</v>
      </c>
      <c r="F134" s="110">
        <v>0</v>
      </c>
      <c r="G134" s="109" t="s">
        <v>1076</v>
      </c>
      <c r="H134" s="109" t="s">
        <v>55</v>
      </c>
      <c r="I134" s="109" t="s">
        <v>799</v>
      </c>
      <c r="J134" s="109" t="s">
        <v>334</v>
      </c>
      <c r="K134" s="109" t="s">
        <v>387</v>
      </c>
      <c r="L134" s="109" t="s">
        <v>523</v>
      </c>
      <c r="M134" s="109" t="s">
        <v>389</v>
      </c>
      <c r="N134" s="109" t="s">
        <v>44</v>
      </c>
      <c r="O134" s="109" t="s">
        <v>386</v>
      </c>
      <c r="P134" s="109" t="s">
        <v>827</v>
      </c>
      <c r="Q134" s="109" t="s">
        <v>829</v>
      </c>
      <c r="R134" s="109" t="s">
        <v>71</v>
      </c>
      <c r="S134" s="83" t="str">
        <f t="shared" si="17"/>
        <v>B515</v>
      </c>
      <c r="T134" s="83" t="str">
        <f t="shared" si="14"/>
        <v>FLOWER BERET</v>
      </c>
      <c r="Y134" s="60">
        <f t="shared" si="18"/>
        <v>31</v>
      </c>
      <c r="Z134" s="49">
        <f t="shared" si="19"/>
        <v>34</v>
      </c>
      <c r="AA134" s="60">
        <f t="shared" si="20"/>
        <v>31034</v>
      </c>
    </row>
    <row r="135" spans="1:27">
      <c r="A135" s="83" t="str">
        <f t="shared" si="15"/>
        <v>B521olive</v>
      </c>
      <c r="B135" s="83" t="str">
        <f t="shared" si="16"/>
        <v>31-035-03</v>
      </c>
      <c r="C135" s="109" t="s">
        <v>1341</v>
      </c>
      <c r="D135" s="109" t="s">
        <v>1342</v>
      </c>
      <c r="E135" s="109" t="s">
        <v>793</v>
      </c>
      <c r="F135" s="110">
        <v>0</v>
      </c>
      <c r="G135" s="109" t="s">
        <v>1096</v>
      </c>
      <c r="H135" s="109" t="s">
        <v>195</v>
      </c>
      <c r="I135" s="109" t="s">
        <v>796</v>
      </c>
      <c r="J135" s="109" t="s">
        <v>348</v>
      </c>
      <c r="K135" s="109" t="s">
        <v>387</v>
      </c>
      <c r="L135" s="109" t="s">
        <v>523</v>
      </c>
      <c r="M135" s="109" t="s">
        <v>388</v>
      </c>
      <c r="N135" s="109" t="s">
        <v>44</v>
      </c>
      <c r="O135" s="109" t="s">
        <v>386</v>
      </c>
      <c r="P135" s="109" t="s">
        <v>826</v>
      </c>
      <c r="Q135" s="109" t="s">
        <v>838</v>
      </c>
      <c r="R135" s="109" t="s">
        <v>195</v>
      </c>
      <c r="S135" s="83" t="str">
        <f t="shared" si="17"/>
        <v>B521</v>
      </c>
      <c r="T135" s="83" t="str">
        <f t="shared" si="14"/>
        <v>RHINESTONE CAP</v>
      </c>
      <c r="Y135" s="60">
        <f t="shared" si="18"/>
        <v>31</v>
      </c>
      <c r="Z135" s="49">
        <f t="shared" si="19"/>
        <v>35</v>
      </c>
      <c r="AA135" s="60">
        <f t="shared" si="20"/>
        <v>31035</v>
      </c>
    </row>
    <row r="136" spans="1:27">
      <c r="A136" s="83" t="str">
        <f t="shared" si="15"/>
        <v>B612Hchocolate</v>
      </c>
      <c r="B136" s="83" t="str">
        <f t="shared" si="16"/>
        <v>31-039-14</v>
      </c>
      <c r="C136" s="109" t="s">
        <v>1343</v>
      </c>
      <c r="D136" s="109" t="s">
        <v>1344</v>
      </c>
      <c r="E136" s="109" t="s">
        <v>793</v>
      </c>
      <c r="F136" s="110">
        <v>0</v>
      </c>
      <c r="G136" s="109" t="s">
        <v>1345</v>
      </c>
      <c r="H136" s="109" t="s">
        <v>86</v>
      </c>
      <c r="I136" s="109" t="s">
        <v>1346</v>
      </c>
      <c r="J136" s="109" t="s">
        <v>348</v>
      </c>
      <c r="K136" s="109" t="s">
        <v>387</v>
      </c>
      <c r="L136" s="109" t="s">
        <v>523</v>
      </c>
      <c r="M136" s="109" t="s">
        <v>388</v>
      </c>
      <c r="O136" s="109" t="s">
        <v>386</v>
      </c>
      <c r="P136" s="109" t="s">
        <v>826</v>
      </c>
      <c r="Q136" s="109" t="s">
        <v>851</v>
      </c>
      <c r="R136" s="109" t="s">
        <v>86</v>
      </c>
      <c r="S136" s="83" t="str">
        <f t="shared" si="17"/>
        <v>B612H</v>
      </c>
      <c r="T136" s="83" t="str">
        <f t="shared" si="14"/>
        <v>FERN</v>
      </c>
      <c r="Y136" s="60">
        <f t="shared" si="18"/>
        <v>31</v>
      </c>
      <c r="Z136" s="49">
        <f t="shared" si="19"/>
        <v>39</v>
      </c>
      <c r="AA136" s="60">
        <f t="shared" si="20"/>
        <v>31039</v>
      </c>
    </row>
    <row r="137" spans="1:27">
      <c r="A137" s="83" t="str">
        <f t="shared" si="15"/>
        <v>B1873Hblack</v>
      </c>
      <c r="B137" s="83" t="str">
        <f t="shared" si="16"/>
        <v>31-224-09</v>
      </c>
      <c r="C137" s="109" t="s">
        <v>1347</v>
      </c>
      <c r="D137" s="109" t="s">
        <v>1348</v>
      </c>
      <c r="E137" s="109" t="s">
        <v>793</v>
      </c>
      <c r="F137" s="110">
        <v>0</v>
      </c>
      <c r="G137" s="109" t="s">
        <v>1090</v>
      </c>
      <c r="H137" s="109" t="s">
        <v>53</v>
      </c>
      <c r="I137" s="109" t="s">
        <v>794</v>
      </c>
      <c r="J137" s="109" t="s">
        <v>348</v>
      </c>
      <c r="K137" s="109" t="s">
        <v>387</v>
      </c>
      <c r="L137" s="109" t="s">
        <v>523</v>
      </c>
      <c r="M137" s="109" t="s">
        <v>388</v>
      </c>
      <c r="O137" s="109" t="s">
        <v>386</v>
      </c>
      <c r="P137" s="109" t="s">
        <v>827</v>
      </c>
      <c r="Q137" s="109" t="s">
        <v>831</v>
      </c>
      <c r="R137" s="109" t="s">
        <v>53</v>
      </c>
      <c r="S137" s="83" t="str">
        <f t="shared" si="17"/>
        <v>B1873H</v>
      </c>
      <c r="T137" s="83" t="str">
        <f t="shared" si="14"/>
        <v>LIEUTENANT CAP</v>
      </c>
      <c r="Y137" s="60">
        <f t="shared" si="18"/>
        <v>31</v>
      </c>
      <c r="Z137" s="49">
        <f t="shared" si="19"/>
        <v>224</v>
      </c>
      <c r="AA137" s="60">
        <f t="shared" si="20"/>
        <v>31224</v>
      </c>
    </row>
    <row r="138" spans="1:27">
      <c r="A138" s="83" t="str">
        <f t="shared" si="15"/>
        <v>B1873Hbordeaux</v>
      </c>
      <c r="B138" s="83" t="str">
        <f t="shared" si="16"/>
        <v>31-224-12</v>
      </c>
      <c r="C138" s="109" t="s">
        <v>1349</v>
      </c>
      <c r="D138" s="109" t="s">
        <v>1350</v>
      </c>
      <c r="E138" s="109" t="s">
        <v>793</v>
      </c>
      <c r="F138" s="110">
        <v>0</v>
      </c>
      <c r="G138" s="109" t="s">
        <v>1090</v>
      </c>
      <c r="H138" s="109" t="s">
        <v>121</v>
      </c>
      <c r="I138" s="109" t="s">
        <v>794</v>
      </c>
      <c r="J138" s="109" t="s">
        <v>348</v>
      </c>
      <c r="K138" s="109" t="s">
        <v>387</v>
      </c>
      <c r="L138" s="109" t="s">
        <v>523</v>
      </c>
      <c r="M138" s="109" t="s">
        <v>388</v>
      </c>
      <c r="O138" s="109" t="s">
        <v>386</v>
      </c>
      <c r="P138" s="109" t="s">
        <v>827</v>
      </c>
      <c r="Q138" s="109" t="s">
        <v>1073</v>
      </c>
      <c r="R138" s="109" t="s">
        <v>121</v>
      </c>
      <c r="S138" s="83" t="str">
        <f t="shared" si="17"/>
        <v>B1873H</v>
      </c>
      <c r="T138" s="83" t="str">
        <f t="shared" si="14"/>
        <v>LIEUTENANT CAP</v>
      </c>
      <c r="Y138" s="60">
        <f t="shared" si="18"/>
        <v>31</v>
      </c>
      <c r="Z138" s="49">
        <f t="shared" si="19"/>
        <v>224</v>
      </c>
      <c r="AA138" s="60">
        <f t="shared" si="20"/>
        <v>31224</v>
      </c>
    </row>
    <row r="139" spans="1:27">
      <c r="A139" s="83" t="str">
        <f t="shared" si="15"/>
        <v>B1890Hblack</v>
      </c>
      <c r="B139" s="83" t="str">
        <f t="shared" si="16"/>
        <v>31-236-09</v>
      </c>
      <c r="C139" s="109" t="s">
        <v>1351</v>
      </c>
      <c r="D139" s="109" t="s">
        <v>1352</v>
      </c>
      <c r="E139" s="109" t="s">
        <v>793</v>
      </c>
      <c r="F139" s="110">
        <v>0</v>
      </c>
      <c r="G139" s="109" t="s">
        <v>1171</v>
      </c>
      <c r="H139" s="109" t="s">
        <v>53</v>
      </c>
      <c r="I139" s="109" t="s">
        <v>785</v>
      </c>
      <c r="J139" s="109" t="s">
        <v>330</v>
      </c>
      <c r="K139" s="109" t="s">
        <v>387</v>
      </c>
      <c r="L139" s="109" t="s">
        <v>523</v>
      </c>
      <c r="M139" s="109" t="s">
        <v>388</v>
      </c>
      <c r="N139" s="109" t="s">
        <v>30</v>
      </c>
      <c r="O139" s="109" t="s">
        <v>386</v>
      </c>
      <c r="P139" s="109" t="s">
        <v>827</v>
      </c>
      <c r="Q139" s="109" t="s">
        <v>831</v>
      </c>
      <c r="R139" s="109" t="s">
        <v>53</v>
      </c>
      <c r="S139" s="83" t="str">
        <f t="shared" si="17"/>
        <v>B1890H</v>
      </c>
      <c r="T139" s="83" t="str">
        <f t="shared" si="14"/>
        <v>CAROLENA</v>
      </c>
      <c r="Y139" s="60">
        <f t="shared" si="18"/>
        <v>31</v>
      </c>
      <c r="Z139" s="49">
        <f t="shared" si="19"/>
        <v>236</v>
      </c>
      <c r="AA139" s="60">
        <f t="shared" si="20"/>
        <v>31236</v>
      </c>
    </row>
    <row r="140" spans="1:27">
      <c r="A140" s="83" t="str">
        <f t="shared" si="15"/>
        <v>B1863Hcharcoal heather</v>
      </c>
      <c r="B140" s="83" t="str">
        <f t="shared" si="16"/>
        <v>31-227-05</v>
      </c>
      <c r="C140" s="109" t="s">
        <v>1353</v>
      </c>
      <c r="D140" s="109" t="s">
        <v>1354</v>
      </c>
      <c r="E140" s="109" t="s">
        <v>793</v>
      </c>
      <c r="F140" s="110">
        <v>0</v>
      </c>
      <c r="G140" s="109" t="s">
        <v>1135</v>
      </c>
      <c r="H140" s="109" t="s">
        <v>277</v>
      </c>
      <c r="I140" s="109" t="s">
        <v>1136</v>
      </c>
      <c r="J140" s="109" t="s">
        <v>357</v>
      </c>
      <c r="K140" s="109" t="s">
        <v>387</v>
      </c>
      <c r="L140" s="109" t="s">
        <v>523</v>
      </c>
      <c r="M140" s="109" t="s">
        <v>388</v>
      </c>
      <c r="N140" s="109" t="s">
        <v>44</v>
      </c>
      <c r="O140" s="109" t="s">
        <v>386</v>
      </c>
      <c r="P140" s="109" t="s">
        <v>827</v>
      </c>
      <c r="Q140" s="109" t="s">
        <v>882</v>
      </c>
      <c r="R140" s="109" t="s">
        <v>83</v>
      </c>
      <c r="S140" s="83" t="str">
        <f t="shared" si="17"/>
        <v>B1863H</v>
      </c>
      <c r="T140" s="83" t="str">
        <f t="shared" si="14"/>
        <v>SOPHIYA</v>
      </c>
      <c r="Y140" s="60">
        <f t="shared" si="18"/>
        <v>31</v>
      </c>
      <c r="Z140" s="49">
        <f t="shared" si="19"/>
        <v>227</v>
      </c>
      <c r="AA140" s="60">
        <f t="shared" si="20"/>
        <v>31227</v>
      </c>
    </row>
    <row r="141" spans="1:27">
      <c r="A141" s="83" t="str">
        <f t="shared" si="15"/>
        <v>B1877Hblack</v>
      </c>
      <c r="B141" s="83" t="str">
        <f t="shared" si="16"/>
        <v>31-222-09</v>
      </c>
      <c r="C141" s="109" t="s">
        <v>1355</v>
      </c>
      <c r="D141" s="109" t="s">
        <v>1356</v>
      </c>
      <c r="E141" s="109" t="s">
        <v>793</v>
      </c>
      <c r="F141" s="110">
        <v>0</v>
      </c>
      <c r="G141" s="109" t="s">
        <v>1072</v>
      </c>
      <c r="H141" s="109" t="s">
        <v>53</v>
      </c>
      <c r="I141" s="109" t="s">
        <v>794</v>
      </c>
      <c r="J141" s="109" t="s">
        <v>334</v>
      </c>
      <c r="K141" s="109" t="s">
        <v>387</v>
      </c>
      <c r="L141" s="109" t="s">
        <v>523</v>
      </c>
      <c r="M141" s="109" t="s">
        <v>388</v>
      </c>
      <c r="O141" s="109" t="s">
        <v>386</v>
      </c>
      <c r="P141" s="109" t="s">
        <v>827</v>
      </c>
      <c r="Q141" s="109" t="s">
        <v>831</v>
      </c>
      <c r="R141" s="109" t="s">
        <v>53</v>
      </c>
      <c r="S141" s="83" t="str">
        <f t="shared" si="17"/>
        <v>B1877H</v>
      </c>
      <c r="T141" s="83" t="str">
        <f t="shared" si="14"/>
        <v>GRACELLA</v>
      </c>
      <c r="Y141" s="60">
        <f t="shared" si="18"/>
        <v>31</v>
      </c>
      <c r="Z141" s="49">
        <f t="shared" si="19"/>
        <v>222</v>
      </c>
      <c r="AA141" s="60">
        <f t="shared" si="20"/>
        <v>31222</v>
      </c>
    </row>
    <row r="142" spans="1:27">
      <c r="A142" s="83" t="str">
        <f t="shared" si="15"/>
        <v>B166auburn sand</v>
      </c>
      <c r="B142" s="83" t="str">
        <f t="shared" si="16"/>
        <v>31-083-91</v>
      </c>
      <c r="C142" s="109" t="s">
        <v>1357</v>
      </c>
      <c r="D142" s="109" t="s">
        <v>1358</v>
      </c>
      <c r="E142" s="109" t="s">
        <v>793</v>
      </c>
      <c r="F142" s="110">
        <v>0</v>
      </c>
      <c r="G142" s="109" t="s">
        <v>965</v>
      </c>
      <c r="H142" s="109" t="s">
        <v>178</v>
      </c>
      <c r="I142" s="109" t="s">
        <v>887</v>
      </c>
      <c r="J142" s="109" t="s">
        <v>323</v>
      </c>
      <c r="K142" s="109" t="s">
        <v>387</v>
      </c>
      <c r="L142" s="109" t="s">
        <v>523</v>
      </c>
      <c r="M142" s="109" t="s">
        <v>384</v>
      </c>
      <c r="N142" s="109" t="s">
        <v>36</v>
      </c>
      <c r="O142" s="109" t="s">
        <v>386</v>
      </c>
      <c r="P142" s="109" t="s">
        <v>827</v>
      </c>
      <c r="Q142" s="109" t="s">
        <v>941</v>
      </c>
      <c r="R142" s="109" t="s">
        <v>86</v>
      </c>
      <c r="S142" s="83" t="str">
        <f t="shared" si="17"/>
        <v>B166</v>
      </c>
      <c r="T142" s="83" t="str">
        <f t="shared" si="14"/>
        <v>CLASSIC ROLL UP</v>
      </c>
      <c r="Y142" s="60">
        <f t="shared" si="18"/>
        <v>31</v>
      </c>
      <c r="Z142" s="49">
        <f t="shared" si="19"/>
        <v>83</v>
      </c>
      <c r="AA142" s="60">
        <f t="shared" si="20"/>
        <v>31083</v>
      </c>
    </row>
    <row r="143" spans="1:27">
      <c r="A143" s="83" t="str">
        <f t="shared" si="15"/>
        <v>B1708Hlight denim</v>
      </c>
      <c r="B143" s="83" t="str">
        <f t="shared" si="16"/>
        <v>31-155-06</v>
      </c>
      <c r="C143" s="109" t="s">
        <v>1359</v>
      </c>
      <c r="D143" s="109" t="s">
        <v>1360</v>
      </c>
      <c r="E143" s="109" t="s">
        <v>793</v>
      </c>
      <c r="F143" s="110">
        <v>0</v>
      </c>
      <c r="G143" s="109" t="s">
        <v>992</v>
      </c>
      <c r="H143" s="109" t="s">
        <v>71</v>
      </c>
      <c r="I143" s="109" t="s">
        <v>787</v>
      </c>
      <c r="J143" s="109" t="s">
        <v>348</v>
      </c>
      <c r="K143" s="109" t="s">
        <v>387</v>
      </c>
      <c r="L143" s="109" t="s">
        <v>523</v>
      </c>
      <c r="M143" s="109" t="s">
        <v>384</v>
      </c>
      <c r="N143" s="109" t="s">
        <v>43</v>
      </c>
      <c r="O143" s="109" t="s">
        <v>386</v>
      </c>
      <c r="P143" s="109" t="s">
        <v>827</v>
      </c>
      <c r="Q143" s="109" t="s">
        <v>1361</v>
      </c>
      <c r="R143" s="109" t="s">
        <v>71</v>
      </c>
      <c r="S143" s="83" t="str">
        <f t="shared" si="17"/>
        <v>B1708H</v>
      </c>
      <c r="T143" s="83" t="str">
        <f t="shared" si="14"/>
        <v>FISHERMAN CAP</v>
      </c>
      <c r="Y143" s="60">
        <f t="shared" si="18"/>
        <v>31</v>
      </c>
      <c r="Z143" s="49">
        <f t="shared" si="19"/>
        <v>155</v>
      </c>
      <c r="AA143" s="60">
        <f t="shared" si="20"/>
        <v>31155</v>
      </c>
    </row>
    <row r="144" spans="1:27">
      <c r="A144" s="83" t="str">
        <f t="shared" si="15"/>
        <v>B176denim multi</v>
      </c>
      <c r="B144" s="83" t="str">
        <f t="shared" si="16"/>
        <v>31-084-63</v>
      </c>
      <c r="C144" s="109" t="s">
        <v>1362</v>
      </c>
      <c r="D144" s="109" t="s">
        <v>1363</v>
      </c>
      <c r="E144" s="109" t="s">
        <v>793</v>
      </c>
      <c r="F144" s="110">
        <v>0</v>
      </c>
      <c r="G144" s="109" t="s">
        <v>1007</v>
      </c>
      <c r="H144" s="109" t="s">
        <v>267</v>
      </c>
      <c r="I144" s="109" t="s">
        <v>966</v>
      </c>
      <c r="J144" s="109" t="s">
        <v>357</v>
      </c>
      <c r="K144" s="109" t="s">
        <v>387</v>
      </c>
      <c r="L144" s="109" t="s">
        <v>523</v>
      </c>
      <c r="M144" s="109" t="s">
        <v>384</v>
      </c>
      <c r="N144" s="109" t="s">
        <v>36</v>
      </c>
      <c r="O144" s="109" t="s">
        <v>386</v>
      </c>
      <c r="P144" s="109" t="s">
        <v>827</v>
      </c>
      <c r="Q144" s="109" t="s">
        <v>1364</v>
      </c>
      <c r="R144" s="109" t="s">
        <v>71</v>
      </c>
      <c r="S144" s="83" t="str">
        <f t="shared" si="17"/>
        <v>B176</v>
      </c>
      <c r="T144" s="83" t="str">
        <f t="shared" si="14"/>
        <v>GOSSAMER</v>
      </c>
      <c r="Y144" s="60">
        <f t="shared" si="18"/>
        <v>31</v>
      </c>
      <c r="Z144" s="49">
        <f t="shared" si="19"/>
        <v>84</v>
      </c>
      <c r="AA144" s="60">
        <f t="shared" si="20"/>
        <v>31084</v>
      </c>
    </row>
    <row r="145" spans="1:27">
      <c r="A145" s="83" t="str">
        <f t="shared" si="15"/>
        <v>B1812Hivory multi</v>
      </c>
      <c r="B145" s="83" t="str">
        <f t="shared" si="16"/>
        <v>31-205-17</v>
      </c>
      <c r="C145" s="109" t="s">
        <v>1365</v>
      </c>
      <c r="D145" s="109" t="s">
        <v>1366</v>
      </c>
      <c r="E145" s="109" t="s">
        <v>793</v>
      </c>
      <c r="F145" s="110">
        <v>0</v>
      </c>
      <c r="G145" s="109" t="s">
        <v>1046</v>
      </c>
      <c r="H145" s="109" t="s">
        <v>57</v>
      </c>
      <c r="I145" s="109" t="s">
        <v>1047</v>
      </c>
      <c r="J145" s="109" t="s">
        <v>323</v>
      </c>
      <c r="K145" s="109" t="s">
        <v>387</v>
      </c>
      <c r="L145" s="109" t="s">
        <v>523</v>
      </c>
      <c r="M145" s="109" t="s">
        <v>384</v>
      </c>
      <c r="N145" s="109" t="s">
        <v>36</v>
      </c>
      <c r="O145" s="109" t="s">
        <v>386</v>
      </c>
      <c r="P145" s="109" t="s">
        <v>827</v>
      </c>
      <c r="Q145" s="109" t="s">
        <v>1367</v>
      </c>
      <c r="R145" s="109" t="s">
        <v>57</v>
      </c>
      <c r="S145" s="83" t="str">
        <f t="shared" si="17"/>
        <v>B1812H</v>
      </c>
      <c r="T145" s="83" t="str">
        <f t="shared" si="14"/>
        <v>ST. TROPEZ</v>
      </c>
      <c r="Y145" s="60">
        <f t="shared" si="18"/>
        <v>31</v>
      </c>
      <c r="Z145" s="49">
        <f t="shared" si="19"/>
        <v>205</v>
      </c>
      <c r="AA145" s="60">
        <f t="shared" si="20"/>
        <v>31205</v>
      </c>
    </row>
    <row r="146" spans="1:27">
      <c r="A146" s="83" t="str">
        <f t="shared" si="15"/>
        <v>B1815Hblack</v>
      </c>
      <c r="B146" s="83" t="str">
        <f t="shared" si="16"/>
        <v>31-206-09</v>
      </c>
      <c r="C146" s="109" t="s">
        <v>1368</v>
      </c>
      <c r="D146" s="109" t="s">
        <v>1369</v>
      </c>
      <c r="E146" s="109" t="s">
        <v>793</v>
      </c>
      <c r="F146" s="110">
        <v>0</v>
      </c>
      <c r="G146" s="109" t="s">
        <v>1050</v>
      </c>
      <c r="H146" s="109" t="s">
        <v>53</v>
      </c>
      <c r="I146" s="109" t="s">
        <v>891</v>
      </c>
      <c r="J146" s="109" t="s">
        <v>330</v>
      </c>
      <c r="K146" s="109" t="s">
        <v>387</v>
      </c>
      <c r="L146" s="109" t="s">
        <v>523</v>
      </c>
      <c r="M146" s="109" t="s">
        <v>384</v>
      </c>
      <c r="N146" s="109" t="s">
        <v>36</v>
      </c>
      <c r="O146" s="109" t="s">
        <v>386</v>
      </c>
      <c r="P146" s="109" t="s">
        <v>827</v>
      </c>
      <c r="Q146" s="109" t="s">
        <v>831</v>
      </c>
      <c r="R146" s="109" t="s">
        <v>53</v>
      </c>
      <c r="S146" s="83" t="str">
        <f t="shared" si="17"/>
        <v>B1815H</v>
      </c>
      <c r="T146" s="83" t="str">
        <f t="shared" si="14"/>
        <v>ELLERY</v>
      </c>
      <c r="Y146" s="60">
        <f t="shared" si="18"/>
        <v>31</v>
      </c>
      <c r="Z146" s="49">
        <f t="shared" si="19"/>
        <v>206</v>
      </c>
      <c r="AA146" s="60">
        <f t="shared" si="20"/>
        <v>31206</v>
      </c>
    </row>
    <row r="147" spans="1:27">
      <c r="A147" s="83" t="str">
        <f t="shared" si="15"/>
        <v>B1818Hwhite.olive</v>
      </c>
      <c r="B147" s="83" t="str">
        <f t="shared" si="16"/>
        <v>31-192-03</v>
      </c>
      <c r="C147" s="109" t="s">
        <v>1370</v>
      </c>
      <c r="D147" s="109" t="s">
        <v>1371</v>
      </c>
      <c r="E147" s="109" t="s">
        <v>793</v>
      </c>
      <c r="F147" s="110">
        <v>0</v>
      </c>
      <c r="G147" s="109" t="s">
        <v>1013</v>
      </c>
      <c r="H147" s="109" t="s">
        <v>112</v>
      </c>
      <c r="I147" s="109" t="s">
        <v>787</v>
      </c>
      <c r="J147" s="109" t="s">
        <v>348</v>
      </c>
      <c r="K147" s="109" t="s">
        <v>387</v>
      </c>
      <c r="L147" s="109" t="s">
        <v>523</v>
      </c>
      <c r="M147" s="109" t="s">
        <v>384</v>
      </c>
      <c r="N147" s="109" t="s">
        <v>43</v>
      </c>
      <c r="O147" s="109" t="s">
        <v>386</v>
      </c>
      <c r="P147" s="109" t="s">
        <v>827</v>
      </c>
      <c r="Q147" s="109" t="s">
        <v>1372</v>
      </c>
      <c r="R147" s="109" t="s">
        <v>57</v>
      </c>
      <c r="S147" s="83" t="str">
        <f t="shared" si="17"/>
        <v>B1818H</v>
      </c>
      <c r="T147" s="83" t="str">
        <f t="shared" si="14"/>
        <v>SEAPORT CAP</v>
      </c>
      <c r="Y147" s="60">
        <f t="shared" si="18"/>
        <v>31</v>
      </c>
      <c r="Z147" s="49">
        <f t="shared" si="19"/>
        <v>192</v>
      </c>
      <c r="AA147" s="60">
        <f t="shared" si="20"/>
        <v>31192</v>
      </c>
    </row>
    <row r="148" spans="1:27">
      <c r="A148" s="83" t="str">
        <f t="shared" si="15"/>
        <v>B1820Hnavy</v>
      </c>
      <c r="B148" s="83" t="str">
        <f t="shared" si="16"/>
        <v>31-207-16</v>
      </c>
      <c r="C148" s="109" t="s">
        <v>1373</v>
      </c>
      <c r="D148" s="109" t="s">
        <v>1374</v>
      </c>
      <c r="E148" s="109" t="s">
        <v>793</v>
      </c>
      <c r="F148" s="110">
        <v>0</v>
      </c>
      <c r="G148" s="109" t="s">
        <v>1269</v>
      </c>
      <c r="H148" s="109" t="s">
        <v>55</v>
      </c>
      <c r="I148" s="109" t="s">
        <v>794</v>
      </c>
      <c r="J148" s="109" t="s">
        <v>323</v>
      </c>
      <c r="K148" s="109" t="s">
        <v>387</v>
      </c>
      <c r="L148" s="109" t="s">
        <v>523</v>
      </c>
      <c r="M148" s="109" t="s">
        <v>384</v>
      </c>
      <c r="O148" s="109" t="s">
        <v>386</v>
      </c>
      <c r="P148" s="109" t="s">
        <v>827</v>
      </c>
      <c r="Q148" s="109" t="s">
        <v>829</v>
      </c>
      <c r="R148" s="109" t="s">
        <v>71</v>
      </c>
      <c r="S148" s="83" t="str">
        <f t="shared" si="17"/>
        <v>B1820H</v>
      </c>
      <c r="T148" s="83" t="str">
        <f t="shared" si="14"/>
        <v>MORGANE</v>
      </c>
      <c r="Y148" s="60">
        <f t="shared" si="18"/>
        <v>31</v>
      </c>
      <c r="Z148" s="49">
        <f t="shared" si="19"/>
        <v>207</v>
      </c>
      <c r="AA148" s="60">
        <f t="shared" si="20"/>
        <v>31207</v>
      </c>
    </row>
    <row r="149" spans="1:27">
      <c r="A149" s="83" t="str">
        <f t="shared" si="15"/>
        <v>B1826Hblack multi</v>
      </c>
      <c r="B149" s="83" t="str">
        <f t="shared" si="16"/>
        <v>31-208-09</v>
      </c>
      <c r="C149" s="109" t="s">
        <v>1375</v>
      </c>
      <c r="D149" s="109" t="s">
        <v>1376</v>
      </c>
      <c r="E149" s="109" t="s">
        <v>793</v>
      </c>
      <c r="F149" s="110">
        <v>0</v>
      </c>
      <c r="G149" s="109" t="s">
        <v>1272</v>
      </c>
      <c r="H149" s="109" t="s">
        <v>53</v>
      </c>
      <c r="I149" s="109" t="s">
        <v>790</v>
      </c>
      <c r="J149" s="109" t="s">
        <v>323</v>
      </c>
      <c r="K149" s="109" t="s">
        <v>387</v>
      </c>
      <c r="L149" s="109" t="s">
        <v>523</v>
      </c>
      <c r="M149" s="109" t="s">
        <v>384</v>
      </c>
      <c r="N149" s="109" t="s">
        <v>36</v>
      </c>
      <c r="O149" s="109" t="s">
        <v>386</v>
      </c>
      <c r="P149" s="109" t="s">
        <v>827</v>
      </c>
      <c r="Q149" s="109" t="s">
        <v>881</v>
      </c>
      <c r="R149" s="109" t="s">
        <v>53</v>
      </c>
      <c r="S149" s="83" t="str">
        <f t="shared" si="17"/>
        <v>B1826H</v>
      </c>
      <c r="T149" s="83" t="str">
        <f t="shared" si="14"/>
        <v>MEADOW</v>
      </c>
      <c r="Y149" s="60">
        <f t="shared" si="18"/>
        <v>31</v>
      </c>
      <c r="Z149" s="49">
        <f t="shared" si="19"/>
        <v>208</v>
      </c>
      <c r="AA149" s="60">
        <f t="shared" si="20"/>
        <v>31208</v>
      </c>
    </row>
    <row r="150" spans="1:27">
      <c r="A150" s="83" t="str">
        <f t="shared" si="15"/>
        <v>B1834Hnavy</v>
      </c>
      <c r="B150" s="83" t="str">
        <f t="shared" si="16"/>
        <v>31-197-16</v>
      </c>
      <c r="C150" s="109" t="s">
        <v>1377</v>
      </c>
      <c r="D150" s="109" t="s">
        <v>1378</v>
      </c>
      <c r="E150" s="109" t="s">
        <v>793</v>
      </c>
      <c r="F150" s="110">
        <v>0</v>
      </c>
      <c r="G150" s="109" t="s">
        <v>1211</v>
      </c>
      <c r="H150" s="109" t="s">
        <v>55</v>
      </c>
      <c r="I150" s="109" t="s">
        <v>794</v>
      </c>
      <c r="J150" s="109" t="s">
        <v>510</v>
      </c>
      <c r="K150" s="109" t="s">
        <v>387</v>
      </c>
      <c r="L150" s="109" t="s">
        <v>523</v>
      </c>
      <c r="M150" s="109" t="s">
        <v>384</v>
      </c>
      <c r="O150" s="109" t="s">
        <v>386</v>
      </c>
      <c r="P150" s="109" t="s">
        <v>827</v>
      </c>
      <c r="Q150" s="109" t="s">
        <v>829</v>
      </c>
      <c r="R150" s="109" t="s">
        <v>71</v>
      </c>
      <c r="S150" s="83" t="str">
        <f t="shared" si="17"/>
        <v>B1834H</v>
      </c>
      <c r="T150" s="83" t="str">
        <f t="shared" si="14"/>
        <v>EMMABELLA</v>
      </c>
      <c r="Y150" s="60">
        <f t="shared" si="18"/>
        <v>31</v>
      </c>
      <c r="Z150" s="49">
        <f t="shared" si="19"/>
        <v>197</v>
      </c>
      <c r="AA150" s="60">
        <f t="shared" si="20"/>
        <v>31197</v>
      </c>
    </row>
    <row r="151" spans="1:27">
      <c r="A151" s="83" t="str">
        <f t="shared" si="15"/>
        <v>B1841Hnavy</v>
      </c>
      <c r="B151" s="83" t="str">
        <f t="shared" si="16"/>
        <v>31-217-16</v>
      </c>
      <c r="C151" s="109" t="s">
        <v>1379</v>
      </c>
      <c r="D151" s="109" t="s">
        <v>1380</v>
      </c>
      <c r="E151" s="109" t="s">
        <v>793</v>
      </c>
      <c r="F151" s="110">
        <v>0</v>
      </c>
      <c r="G151" s="109" t="s">
        <v>1053</v>
      </c>
      <c r="H151" s="109" t="s">
        <v>55</v>
      </c>
      <c r="I151" s="109" t="s">
        <v>794</v>
      </c>
      <c r="J151" s="109" t="s">
        <v>323</v>
      </c>
      <c r="K151" s="109" t="s">
        <v>387</v>
      </c>
      <c r="L151" s="109" t="s">
        <v>523</v>
      </c>
      <c r="M151" s="109" t="s">
        <v>384</v>
      </c>
      <c r="O151" s="109" t="s">
        <v>386</v>
      </c>
      <c r="P151" s="109" t="s">
        <v>827</v>
      </c>
      <c r="Q151" s="109" t="s">
        <v>829</v>
      </c>
      <c r="R151" s="109" t="s">
        <v>71</v>
      </c>
      <c r="S151" s="83" t="str">
        <f t="shared" si="17"/>
        <v>B1841H</v>
      </c>
      <c r="T151" s="83" t="str">
        <f t="shared" si="14"/>
        <v>MALTA</v>
      </c>
      <c r="Y151" s="60">
        <f t="shared" si="18"/>
        <v>31</v>
      </c>
      <c r="Z151" s="49">
        <f t="shared" si="19"/>
        <v>217</v>
      </c>
      <c r="AA151" s="60">
        <f t="shared" si="20"/>
        <v>31217</v>
      </c>
    </row>
    <row r="152" spans="1:27">
      <c r="A152" s="83" t="str">
        <f t="shared" si="15"/>
        <v>B1845Hdenim static</v>
      </c>
      <c r="B152" s="83" t="str">
        <f t="shared" si="16"/>
        <v>31-195-26</v>
      </c>
      <c r="C152" s="109" t="s">
        <v>1381</v>
      </c>
      <c r="D152" s="109" t="s">
        <v>1382</v>
      </c>
      <c r="E152" s="109" t="s">
        <v>793</v>
      </c>
      <c r="F152" s="110">
        <v>0</v>
      </c>
      <c r="G152" s="109" t="s">
        <v>1205</v>
      </c>
      <c r="H152" s="109" t="s">
        <v>116</v>
      </c>
      <c r="I152" s="109" t="s">
        <v>835</v>
      </c>
      <c r="J152" s="109" t="s">
        <v>348</v>
      </c>
      <c r="K152" s="109" t="s">
        <v>387</v>
      </c>
      <c r="L152" s="109" t="s">
        <v>523</v>
      </c>
      <c r="M152" s="109" t="s">
        <v>384</v>
      </c>
      <c r="N152" s="109" t="s">
        <v>43</v>
      </c>
      <c r="O152" s="109" t="s">
        <v>386</v>
      </c>
      <c r="P152" s="109" t="s">
        <v>827</v>
      </c>
      <c r="Q152" s="109" t="s">
        <v>1383</v>
      </c>
      <c r="R152" s="109" t="s">
        <v>83</v>
      </c>
      <c r="S152" s="83" t="str">
        <f t="shared" si="17"/>
        <v>B1845H</v>
      </c>
      <c r="T152" s="83" t="str">
        <f t="shared" si="14"/>
        <v>SAILOR CAP</v>
      </c>
      <c r="Y152" s="60">
        <f t="shared" si="18"/>
        <v>31</v>
      </c>
      <c r="Z152" s="49">
        <f t="shared" si="19"/>
        <v>195</v>
      </c>
      <c r="AA152" s="60">
        <f t="shared" si="20"/>
        <v>31195</v>
      </c>
    </row>
    <row r="153" spans="1:27">
      <c r="A153" s="83" t="str">
        <f t="shared" si="15"/>
        <v>B1899Hrattlesnake</v>
      </c>
      <c r="B153" s="83" t="str">
        <f t="shared" si="16"/>
        <v>31-237-14</v>
      </c>
      <c r="C153" s="109" t="s">
        <v>1384</v>
      </c>
      <c r="D153" s="109" t="s">
        <v>1385</v>
      </c>
      <c r="E153" s="109" t="s">
        <v>793</v>
      </c>
      <c r="F153" s="110">
        <v>0</v>
      </c>
      <c r="G153" s="109" t="s">
        <v>1386</v>
      </c>
      <c r="H153" s="109" t="s">
        <v>86</v>
      </c>
      <c r="I153" s="109" t="s">
        <v>887</v>
      </c>
      <c r="J153" s="109" t="s">
        <v>357</v>
      </c>
      <c r="K153" s="109" t="s">
        <v>387</v>
      </c>
      <c r="L153" s="109" t="s">
        <v>523</v>
      </c>
      <c r="M153" s="109" t="s">
        <v>384</v>
      </c>
      <c r="N153" s="109" t="s">
        <v>36</v>
      </c>
      <c r="O153" s="109" t="s">
        <v>386</v>
      </c>
      <c r="P153" s="109" t="s">
        <v>827</v>
      </c>
      <c r="Q153" s="109" t="s">
        <v>938</v>
      </c>
      <c r="R153" s="109" t="s">
        <v>86</v>
      </c>
      <c r="S153" s="83" t="str">
        <f t="shared" si="17"/>
        <v>B1899H</v>
      </c>
      <c r="T153" s="83" t="str">
        <f t="shared" si="14"/>
        <v>GOSSAMER MINI</v>
      </c>
      <c r="Y153" s="60">
        <f t="shared" si="18"/>
        <v>31</v>
      </c>
      <c r="Z153" s="49">
        <f t="shared" si="19"/>
        <v>237</v>
      </c>
      <c r="AA153" s="60">
        <f t="shared" si="20"/>
        <v>31237</v>
      </c>
    </row>
    <row r="154" spans="1:27">
      <c r="A154" s="83" t="str">
        <f t="shared" si="15"/>
        <v>B1900Hnatural</v>
      </c>
      <c r="B154" s="83" t="str">
        <f t="shared" si="16"/>
        <v>31-238-02</v>
      </c>
      <c r="C154" s="109" t="s">
        <v>1387</v>
      </c>
      <c r="D154" s="109" t="s">
        <v>1388</v>
      </c>
      <c r="E154" s="109" t="s">
        <v>793</v>
      </c>
      <c r="F154" s="110">
        <v>0</v>
      </c>
      <c r="G154" s="109" t="s">
        <v>1389</v>
      </c>
      <c r="H154" s="109" t="s">
        <v>63</v>
      </c>
      <c r="I154" s="109" t="s">
        <v>966</v>
      </c>
      <c r="J154" s="109" t="s">
        <v>323</v>
      </c>
      <c r="K154" s="109" t="s">
        <v>387</v>
      </c>
      <c r="L154" s="109" t="s">
        <v>523</v>
      </c>
      <c r="M154" s="109" t="s">
        <v>384</v>
      </c>
      <c r="N154" s="109" t="s">
        <v>36</v>
      </c>
      <c r="O154" s="109" t="s">
        <v>386</v>
      </c>
      <c r="P154" s="109" t="s">
        <v>827</v>
      </c>
      <c r="Q154" s="109" t="s">
        <v>844</v>
      </c>
      <c r="R154" s="109" t="s">
        <v>63</v>
      </c>
      <c r="S154" s="83" t="str">
        <f t="shared" si="17"/>
        <v>B1900H</v>
      </c>
      <c r="T154" s="83" t="str">
        <f t="shared" si="14"/>
        <v>BLANCHET</v>
      </c>
      <c r="Y154" s="60">
        <f t="shared" si="18"/>
        <v>31</v>
      </c>
      <c r="Z154" s="49">
        <f t="shared" si="19"/>
        <v>238</v>
      </c>
      <c r="AA154" s="60">
        <f t="shared" si="20"/>
        <v>31238</v>
      </c>
    </row>
    <row r="155" spans="1:27">
      <c r="A155" s="83" t="str">
        <f t="shared" si="15"/>
        <v>B1902Hwhite</v>
      </c>
      <c r="B155" s="83" t="str">
        <f t="shared" si="16"/>
        <v>31-239-17</v>
      </c>
      <c r="C155" s="109" t="s">
        <v>1390</v>
      </c>
      <c r="D155" s="109" t="s">
        <v>1391</v>
      </c>
      <c r="E155" s="109" t="s">
        <v>793</v>
      </c>
      <c r="F155" s="110">
        <v>0</v>
      </c>
      <c r="G155" s="109" t="s">
        <v>1392</v>
      </c>
      <c r="H155" s="109" t="s">
        <v>57</v>
      </c>
      <c r="I155" s="109" t="s">
        <v>790</v>
      </c>
      <c r="J155" s="109" t="s">
        <v>323</v>
      </c>
      <c r="K155" s="109" t="s">
        <v>387</v>
      </c>
      <c r="L155" s="109" t="s">
        <v>523</v>
      </c>
      <c r="M155" s="109" t="s">
        <v>384</v>
      </c>
      <c r="N155" s="109" t="s">
        <v>36</v>
      </c>
      <c r="O155" s="109" t="s">
        <v>386</v>
      </c>
      <c r="P155" s="109" t="s">
        <v>827</v>
      </c>
      <c r="Q155" s="109" t="s">
        <v>840</v>
      </c>
      <c r="R155" s="109" t="s">
        <v>57</v>
      </c>
      <c r="S155" s="83" t="str">
        <f t="shared" si="17"/>
        <v>B1902H</v>
      </c>
      <c r="T155" s="83" t="str">
        <f t="shared" si="14"/>
        <v>PALMA</v>
      </c>
      <c r="Y155" s="60">
        <f t="shared" si="18"/>
        <v>31</v>
      </c>
      <c r="Z155" s="49">
        <f t="shared" si="19"/>
        <v>239</v>
      </c>
      <c r="AA155" s="60">
        <f t="shared" si="20"/>
        <v>31239</v>
      </c>
    </row>
    <row r="156" spans="1:27">
      <c r="A156" s="83" t="str">
        <f t="shared" si="15"/>
        <v>B1904Hblack.white</v>
      </c>
      <c r="B156" s="83" t="str">
        <f t="shared" si="16"/>
        <v>31-240-48</v>
      </c>
      <c r="C156" s="109" t="s">
        <v>1393</v>
      </c>
      <c r="D156" s="109" t="s">
        <v>1394</v>
      </c>
      <c r="E156" s="109" t="s">
        <v>793</v>
      </c>
      <c r="F156" s="110">
        <v>0</v>
      </c>
      <c r="G156" s="109" t="s">
        <v>1395</v>
      </c>
      <c r="H156" s="109" t="s">
        <v>293</v>
      </c>
      <c r="I156" s="109" t="s">
        <v>833</v>
      </c>
      <c r="J156" s="109" t="s">
        <v>323</v>
      </c>
      <c r="K156" s="109" t="s">
        <v>387</v>
      </c>
      <c r="L156" s="109" t="s">
        <v>523</v>
      </c>
      <c r="M156" s="109" t="s">
        <v>384</v>
      </c>
      <c r="O156" s="109" t="s">
        <v>386</v>
      </c>
      <c r="P156" s="109" t="s">
        <v>827</v>
      </c>
      <c r="Q156" s="109" t="s">
        <v>866</v>
      </c>
      <c r="R156" s="109" t="s">
        <v>53</v>
      </c>
      <c r="S156" s="83" t="str">
        <f t="shared" si="17"/>
        <v>B1904H</v>
      </c>
      <c r="T156" s="83" t="str">
        <f t="shared" si="14"/>
        <v>BARRYMORE</v>
      </c>
      <c r="Y156" s="60">
        <f t="shared" si="18"/>
        <v>31</v>
      </c>
      <c r="Z156" s="49">
        <f t="shared" si="19"/>
        <v>240</v>
      </c>
      <c r="AA156" s="60">
        <f t="shared" si="20"/>
        <v>31240</v>
      </c>
    </row>
    <row r="157" spans="1:27">
      <c r="A157" s="83" t="str">
        <f t="shared" si="15"/>
        <v>B1906Hnavy</v>
      </c>
      <c r="B157" s="83" t="str">
        <f t="shared" si="16"/>
        <v>31-241-16</v>
      </c>
      <c r="C157" s="109" t="s">
        <v>1396</v>
      </c>
      <c r="D157" s="109" t="s">
        <v>1397</v>
      </c>
      <c r="E157" s="109" t="s">
        <v>793</v>
      </c>
      <c r="F157" s="110">
        <v>0</v>
      </c>
      <c r="G157" s="109" t="s">
        <v>1398</v>
      </c>
      <c r="H157" s="109" t="s">
        <v>55</v>
      </c>
      <c r="I157" s="109" t="s">
        <v>794</v>
      </c>
      <c r="J157" s="109" t="s">
        <v>323</v>
      </c>
      <c r="K157" s="109" t="s">
        <v>387</v>
      </c>
      <c r="L157" s="109" t="s">
        <v>523</v>
      </c>
      <c r="M157" s="109" t="s">
        <v>384</v>
      </c>
      <c r="O157" s="109" t="s">
        <v>386</v>
      </c>
      <c r="P157" s="109" t="s">
        <v>827</v>
      </c>
      <c r="Q157" s="109" t="s">
        <v>829</v>
      </c>
      <c r="R157" s="109" t="s">
        <v>71</v>
      </c>
      <c r="S157" s="83" t="str">
        <f t="shared" si="17"/>
        <v>B1906H</v>
      </c>
      <c r="T157" s="83" t="str">
        <f t="shared" si="14"/>
        <v>ATLANTIS</v>
      </c>
      <c r="Y157" s="60">
        <f t="shared" si="18"/>
        <v>31</v>
      </c>
      <c r="Z157" s="49">
        <f t="shared" si="19"/>
        <v>241</v>
      </c>
      <c r="AA157" s="60">
        <f t="shared" si="20"/>
        <v>31241</v>
      </c>
    </row>
    <row r="158" spans="1:27">
      <c r="A158" s="83" t="str">
        <f t="shared" si="15"/>
        <v>B1907Hhoney</v>
      </c>
      <c r="B158" s="83" t="str">
        <f t="shared" si="16"/>
        <v>31-242-00</v>
      </c>
      <c r="C158" s="109" t="s">
        <v>1399</v>
      </c>
      <c r="D158" s="109" t="s">
        <v>1400</v>
      </c>
      <c r="E158" s="109" t="s">
        <v>793</v>
      </c>
      <c r="F158" s="110">
        <v>0</v>
      </c>
      <c r="G158" s="109" t="s">
        <v>1401</v>
      </c>
      <c r="H158" s="109" t="s">
        <v>265</v>
      </c>
      <c r="I158" s="109" t="s">
        <v>790</v>
      </c>
      <c r="J158" s="109" t="s">
        <v>323</v>
      </c>
      <c r="K158" s="109" t="s">
        <v>387</v>
      </c>
      <c r="L158" s="109" t="s">
        <v>523</v>
      </c>
      <c r="M158" s="109" t="s">
        <v>384</v>
      </c>
      <c r="N158" s="109" t="s">
        <v>36</v>
      </c>
      <c r="O158" s="109" t="s">
        <v>386</v>
      </c>
      <c r="P158" s="109" t="s">
        <v>827</v>
      </c>
      <c r="Q158" s="109" t="s">
        <v>830</v>
      </c>
      <c r="R158" s="109" t="s">
        <v>63</v>
      </c>
      <c r="S158" s="83" t="str">
        <f t="shared" si="17"/>
        <v>B1907H</v>
      </c>
      <c r="T158" s="83" t="str">
        <f t="shared" si="14"/>
        <v>ABBEY</v>
      </c>
      <c r="Y158" s="60">
        <f t="shared" si="18"/>
        <v>31</v>
      </c>
      <c r="Z158" s="49">
        <f t="shared" si="19"/>
        <v>242</v>
      </c>
      <c r="AA158" s="60">
        <f t="shared" si="20"/>
        <v>31242</v>
      </c>
    </row>
    <row r="159" spans="1:27">
      <c r="A159" s="83" t="str">
        <f t="shared" si="15"/>
        <v>B1910Hnatural</v>
      </c>
      <c r="B159" s="83" t="str">
        <f t="shared" si="16"/>
        <v>31-243-02</v>
      </c>
      <c r="C159" s="109" t="s">
        <v>1402</v>
      </c>
      <c r="D159" s="109" t="s">
        <v>1403</v>
      </c>
      <c r="E159" s="109" t="s">
        <v>793</v>
      </c>
      <c r="F159" s="110">
        <v>0</v>
      </c>
      <c r="G159" s="109" t="s">
        <v>1404</v>
      </c>
      <c r="H159" s="109" t="s">
        <v>63</v>
      </c>
      <c r="I159" s="109" t="s">
        <v>792</v>
      </c>
      <c r="J159" s="109" t="s">
        <v>321</v>
      </c>
      <c r="K159" s="109" t="s">
        <v>387</v>
      </c>
      <c r="L159" s="109" t="s">
        <v>523</v>
      </c>
      <c r="M159" s="109" t="s">
        <v>384</v>
      </c>
      <c r="N159" s="109" t="s">
        <v>35</v>
      </c>
      <c r="O159" s="109" t="s">
        <v>386</v>
      </c>
      <c r="P159" s="109" t="s">
        <v>827</v>
      </c>
      <c r="Q159" s="109" t="s">
        <v>844</v>
      </c>
      <c r="R159" s="109" t="s">
        <v>63</v>
      </c>
      <c r="S159" s="83" t="str">
        <f t="shared" si="17"/>
        <v>B1910H</v>
      </c>
      <c r="T159" s="83" t="str">
        <f t="shared" si="14"/>
        <v>RIVERIA</v>
      </c>
      <c r="Y159" s="60">
        <f t="shared" si="18"/>
        <v>31</v>
      </c>
      <c r="Z159" s="49">
        <f t="shared" si="19"/>
        <v>243</v>
      </c>
      <c r="AA159" s="60">
        <f t="shared" si="20"/>
        <v>31243</v>
      </c>
    </row>
    <row r="160" spans="1:27">
      <c r="A160" s="83" t="str">
        <f t="shared" si="15"/>
        <v>B1911Hblack</v>
      </c>
      <c r="B160" s="83" t="str">
        <f t="shared" si="16"/>
        <v>31-244-09</v>
      </c>
      <c r="C160" s="109" t="s">
        <v>1405</v>
      </c>
      <c r="D160" s="109" t="s">
        <v>1406</v>
      </c>
      <c r="E160" s="109" t="s">
        <v>793</v>
      </c>
      <c r="F160" s="110">
        <v>0</v>
      </c>
      <c r="G160" s="109" t="s">
        <v>1407</v>
      </c>
      <c r="H160" s="109" t="s">
        <v>53</v>
      </c>
      <c r="I160" s="109" t="s">
        <v>794</v>
      </c>
      <c r="J160" s="109" t="s">
        <v>510</v>
      </c>
      <c r="K160" s="109" t="s">
        <v>387</v>
      </c>
      <c r="L160" s="109" t="s">
        <v>523</v>
      </c>
      <c r="M160" s="109" t="s">
        <v>384</v>
      </c>
      <c r="O160" s="109" t="s">
        <v>386</v>
      </c>
      <c r="P160" s="109" t="s">
        <v>827</v>
      </c>
      <c r="Q160" s="109" t="s">
        <v>831</v>
      </c>
      <c r="R160" s="109" t="s">
        <v>53</v>
      </c>
      <c r="S160" s="83" t="str">
        <f t="shared" si="17"/>
        <v>B1911H</v>
      </c>
      <c r="T160" s="83" t="str">
        <f t="shared" si="14"/>
        <v>COCO</v>
      </c>
      <c r="Y160" s="60">
        <f t="shared" si="18"/>
        <v>31</v>
      </c>
      <c r="Z160" s="49">
        <f t="shared" si="19"/>
        <v>244</v>
      </c>
      <c r="AA160" s="60">
        <f t="shared" si="20"/>
        <v>31244</v>
      </c>
    </row>
    <row r="161" spans="1:27">
      <c r="A161" s="83" t="str">
        <f t="shared" si="15"/>
        <v>B1913Hwhite.denim</v>
      </c>
      <c r="B161" s="83" t="str">
        <f t="shared" si="16"/>
        <v>31-245-38</v>
      </c>
      <c r="C161" s="109" t="s">
        <v>1408</v>
      </c>
      <c r="D161" s="109" t="s">
        <v>1409</v>
      </c>
      <c r="E161" s="109" t="s">
        <v>793</v>
      </c>
      <c r="F161" s="110">
        <v>0</v>
      </c>
      <c r="G161" s="109" t="s">
        <v>1410</v>
      </c>
      <c r="H161" s="109" t="s">
        <v>116</v>
      </c>
      <c r="I161" s="109" t="s">
        <v>787</v>
      </c>
      <c r="J161" s="109" t="s">
        <v>327</v>
      </c>
      <c r="K161" s="109" t="s">
        <v>387</v>
      </c>
      <c r="L161" s="109" t="s">
        <v>523</v>
      </c>
      <c r="M161" s="109" t="s">
        <v>388</v>
      </c>
      <c r="N161" s="109" t="s">
        <v>43</v>
      </c>
      <c r="O161" s="109" t="s">
        <v>386</v>
      </c>
      <c r="P161" s="109" t="s">
        <v>827</v>
      </c>
      <c r="Q161" s="109" t="s">
        <v>1411</v>
      </c>
      <c r="R161" s="109" t="s">
        <v>57</v>
      </c>
      <c r="S161" s="83" t="str">
        <f t="shared" si="17"/>
        <v>B1913H</v>
      </c>
      <c r="T161" s="83" t="str">
        <f t="shared" si="14"/>
        <v>LACE BASEBALL CAP</v>
      </c>
      <c r="Y161" s="60">
        <f t="shared" si="18"/>
        <v>31</v>
      </c>
      <c r="Z161" s="49">
        <f t="shared" si="19"/>
        <v>245</v>
      </c>
      <c r="AA161" s="60">
        <f t="shared" si="20"/>
        <v>31245</v>
      </c>
    </row>
    <row r="162" spans="1:27">
      <c r="A162" s="83" t="str">
        <f t="shared" si="15"/>
        <v>B1914Hhoney</v>
      </c>
      <c r="B162" s="83" t="str">
        <f t="shared" si="16"/>
        <v>31-246-00</v>
      </c>
      <c r="C162" s="109" t="s">
        <v>1412</v>
      </c>
      <c r="D162" s="109" t="s">
        <v>1413</v>
      </c>
      <c r="E162" s="109" t="s">
        <v>793</v>
      </c>
      <c r="F162" s="110">
        <v>0</v>
      </c>
      <c r="G162" s="109" t="s">
        <v>1414</v>
      </c>
      <c r="H162" s="109" t="s">
        <v>265</v>
      </c>
      <c r="I162" s="109" t="s">
        <v>790</v>
      </c>
      <c r="J162" s="109" t="s">
        <v>357</v>
      </c>
      <c r="K162" s="109" t="s">
        <v>387</v>
      </c>
      <c r="L162" s="109" t="s">
        <v>523</v>
      </c>
      <c r="M162" s="109" t="s">
        <v>384</v>
      </c>
      <c r="N162" s="109" t="s">
        <v>36</v>
      </c>
      <c r="O162" s="109" t="s">
        <v>386</v>
      </c>
      <c r="P162" s="109" t="s">
        <v>827</v>
      </c>
      <c r="Q162" s="109" t="s">
        <v>830</v>
      </c>
      <c r="R162" s="109" t="s">
        <v>63</v>
      </c>
      <c r="S162" s="83" t="str">
        <f t="shared" si="17"/>
        <v>B1914H</v>
      </c>
      <c r="T162" s="83" t="str">
        <f t="shared" si="14"/>
        <v>KIKI</v>
      </c>
      <c r="Y162" s="60">
        <f t="shared" si="18"/>
        <v>31</v>
      </c>
      <c r="Z162" s="49">
        <f t="shared" si="19"/>
        <v>246</v>
      </c>
      <c r="AA162" s="60">
        <f t="shared" si="20"/>
        <v>31246</v>
      </c>
    </row>
    <row r="163" spans="1:27">
      <c r="A163" s="83" t="str">
        <f t="shared" si="15"/>
        <v>B1915Hnavy.floral</v>
      </c>
      <c r="B163" s="83" t="str">
        <f t="shared" si="16"/>
        <v>31-247-06</v>
      </c>
      <c r="C163" s="109" t="s">
        <v>1415</v>
      </c>
      <c r="D163" s="109" t="s">
        <v>1416</v>
      </c>
      <c r="E163" s="109" t="s">
        <v>793</v>
      </c>
      <c r="F163" s="110">
        <v>0</v>
      </c>
      <c r="G163" s="109" t="s">
        <v>1417</v>
      </c>
      <c r="H163" s="109" t="s">
        <v>71</v>
      </c>
      <c r="I163" s="109" t="s">
        <v>1418</v>
      </c>
      <c r="J163" s="109" t="s">
        <v>325</v>
      </c>
      <c r="K163" s="109" t="s">
        <v>387</v>
      </c>
      <c r="L163" s="109" t="s">
        <v>523</v>
      </c>
      <c r="M163" s="109" t="s">
        <v>384</v>
      </c>
      <c r="N163" s="109" t="s">
        <v>43</v>
      </c>
      <c r="O163" s="109" t="s">
        <v>386</v>
      </c>
      <c r="P163" s="109" t="s">
        <v>827</v>
      </c>
      <c r="Q163" s="109" t="s">
        <v>1419</v>
      </c>
      <c r="R163" s="109" t="s">
        <v>71</v>
      </c>
      <c r="S163" s="83" t="str">
        <f t="shared" si="17"/>
        <v>B1915H</v>
      </c>
      <c r="T163" s="83" t="str">
        <f t="shared" si="14"/>
        <v>REVERSIBLE ROLL UP</v>
      </c>
      <c r="Y163" s="60">
        <f t="shared" si="18"/>
        <v>31</v>
      </c>
      <c r="Z163" s="49">
        <f t="shared" si="19"/>
        <v>247</v>
      </c>
      <c r="AA163" s="60">
        <f t="shared" si="20"/>
        <v>31247</v>
      </c>
    </row>
    <row r="164" spans="1:27">
      <c r="A164" s="83" t="str">
        <f t="shared" si="15"/>
        <v>B213honey</v>
      </c>
      <c r="B164" s="83" t="str">
        <f t="shared" si="16"/>
        <v>31-085-83</v>
      </c>
      <c r="C164" s="109" t="s">
        <v>1420</v>
      </c>
      <c r="D164" s="109" t="s">
        <v>1421</v>
      </c>
      <c r="E164" s="109" t="s">
        <v>793</v>
      </c>
      <c r="F164" s="110">
        <v>0</v>
      </c>
      <c r="G164" s="109" t="s">
        <v>1422</v>
      </c>
      <c r="H164" s="109" t="s">
        <v>265</v>
      </c>
      <c r="I164" s="109" t="s">
        <v>1423</v>
      </c>
      <c r="J164" s="109" t="s">
        <v>323</v>
      </c>
      <c r="K164" s="109" t="s">
        <v>387</v>
      </c>
      <c r="L164" s="109" t="s">
        <v>523</v>
      </c>
      <c r="M164" s="109" t="s">
        <v>384</v>
      </c>
      <c r="N164" s="109" t="s">
        <v>43</v>
      </c>
      <c r="O164" s="109" t="s">
        <v>386</v>
      </c>
      <c r="P164" s="109" t="s">
        <v>827</v>
      </c>
      <c r="Q164" s="109" t="s">
        <v>830</v>
      </c>
      <c r="R164" s="109" t="s">
        <v>63</v>
      </c>
      <c r="S164" s="83" t="str">
        <f t="shared" si="17"/>
        <v>B213</v>
      </c>
      <c r="T164" s="83" t="str">
        <f t="shared" si="14"/>
        <v>CLASSIC SUNSHADE</v>
      </c>
      <c r="Y164" s="60">
        <f t="shared" si="18"/>
        <v>31</v>
      </c>
      <c r="Z164" s="49">
        <f t="shared" si="19"/>
        <v>85</v>
      </c>
      <c r="AA164" s="60">
        <f t="shared" si="20"/>
        <v>31085</v>
      </c>
    </row>
    <row r="165" spans="1:27">
      <c r="A165" s="83" t="str">
        <f t="shared" si="15"/>
        <v>B3261fuchsia</v>
      </c>
      <c r="B165" s="83" t="str">
        <f t="shared" si="16"/>
        <v>31-087-84</v>
      </c>
      <c r="C165" s="109" t="s">
        <v>1424</v>
      </c>
      <c r="D165" s="109" t="s">
        <v>1425</v>
      </c>
      <c r="E165" s="109" t="s">
        <v>793</v>
      </c>
      <c r="F165" s="110">
        <v>0</v>
      </c>
      <c r="G165" s="109" t="s">
        <v>1295</v>
      </c>
      <c r="H165" s="109" t="s">
        <v>276</v>
      </c>
      <c r="I165" s="109" t="s">
        <v>794</v>
      </c>
      <c r="J165" s="109" t="s">
        <v>323</v>
      </c>
      <c r="K165" s="109" t="s">
        <v>387</v>
      </c>
      <c r="L165" s="109" t="s">
        <v>523</v>
      </c>
      <c r="M165" s="109" t="s">
        <v>384</v>
      </c>
      <c r="O165" s="109" t="s">
        <v>386</v>
      </c>
      <c r="P165" s="109" t="s">
        <v>827</v>
      </c>
      <c r="Q165" s="109" t="s">
        <v>1426</v>
      </c>
      <c r="R165" s="109" t="s">
        <v>68</v>
      </c>
      <c r="S165" s="83" t="str">
        <f t="shared" si="17"/>
        <v>B3261</v>
      </c>
      <c r="T165" s="83" t="str">
        <f t="shared" si="14"/>
        <v>COCONUT RING SAFARI</v>
      </c>
      <c r="Y165" s="60">
        <f t="shared" si="18"/>
        <v>31</v>
      </c>
      <c r="Z165" s="49">
        <f t="shared" si="19"/>
        <v>87</v>
      </c>
      <c r="AA165" s="60">
        <f t="shared" si="20"/>
        <v>31087</v>
      </c>
    </row>
    <row r="166" spans="1:27">
      <c r="A166" s="83" t="str">
        <f t="shared" si="15"/>
        <v>B962black.white</v>
      </c>
      <c r="B166" s="83" t="str">
        <f t="shared" si="16"/>
        <v>31-090-48</v>
      </c>
      <c r="C166" s="109" t="s">
        <v>1427</v>
      </c>
      <c r="D166" s="109" t="s">
        <v>1428</v>
      </c>
      <c r="E166" s="109" t="s">
        <v>793</v>
      </c>
      <c r="F166" s="110">
        <v>0</v>
      </c>
      <c r="G166" s="109" t="s">
        <v>1224</v>
      </c>
      <c r="H166" s="109" t="s">
        <v>119</v>
      </c>
      <c r="I166" s="109" t="s">
        <v>787</v>
      </c>
      <c r="J166" s="109" t="s">
        <v>325</v>
      </c>
      <c r="K166" s="109" t="s">
        <v>387</v>
      </c>
      <c r="L166" s="109" t="s">
        <v>523</v>
      </c>
      <c r="M166" s="109" t="s">
        <v>384</v>
      </c>
      <c r="N166" s="109" t="s">
        <v>43</v>
      </c>
      <c r="O166" s="109" t="s">
        <v>386</v>
      </c>
      <c r="P166" s="109" t="s">
        <v>827</v>
      </c>
      <c r="Q166" s="109" t="s">
        <v>866</v>
      </c>
      <c r="R166" s="109" t="s">
        <v>57</v>
      </c>
      <c r="S166" s="83" t="str">
        <f t="shared" si="17"/>
        <v>B962</v>
      </c>
      <c r="T166" s="83" t="str">
        <f t="shared" si="14"/>
        <v>KNOTTED CLOCHE</v>
      </c>
      <c r="Y166" s="60">
        <f t="shared" si="18"/>
        <v>31</v>
      </c>
      <c r="Z166" s="49">
        <f t="shared" si="19"/>
        <v>90</v>
      </c>
      <c r="AA166" s="60">
        <f t="shared" si="20"/>
        <v>31090</v>
      </c>
    </row>
    <row r="167" spans="1:27">
      <c r="A167" s="83" t="str">
        <f t="shared" si="15"/>
        <v>B964blue check</v>
      </c>
      <c r="B167" s="83" t="str">
        <f t="shared" si="16"/>
        <v>31-053-46</v>
      </c>
      <c r="C167" s="109" t="s">
        <v>1429</v>
      </c>
      <c r="D167" s="109" t="s">
        <v>1430</v>
      </c>
      <c r="E167" s="109" t="s">
        <v>793</v>
      </c>
      <c r="F167" s="110">
        <v>0</v>
      </c>
      <c r="G167" s="109" t="s">
        <v>1208</v>
      </c>
      <c r="H167" s="109" t="s">
        <v>116</v>
      </c>
      <c r="I167" s="109" t="s">
        <v>787</v>
      </c>
      <c r="J167" s="109" t="s">
        <v>360</v>
      </c>
      <c r="K167" s="109" t="s">
        <v>387</v>
      </c>
      <c r="L167" s="109" t="s">
        <v>523</v>
      </c>
      <c r="M167" s="109" t="s">
        <v>384</v>
      </c>
      <c r="N167" s="109" t="s">
        <v>43</v>
      </c>
      <c r="O167" s="109" t="s">
        <v>386</v>
      </c>
      <c r="P167" s="109" t="s">
        <v>827</v>
      </c>
      <c r="Q167" s="109" t="s">
        <v>1431</v>
      </c>
      <c r="R167" s="109" t="s">
        <v>57</v>
      </c>
      <c r="S167" s="83" t="str">
        <f t="shared" si="17"/>
        <v>B964</v>
      </c>
      <c r="T167" s="83" t="str">
        <f t="shared" si="14"/>
        <v>FACE FRAMER</v>
      </c>
      <c r="Y167" s="60">
        <f t="shared" si="18"/>
        <v>31</v>
      </c>
      <c r="Z167" s="49">
        <f t="shared" si="19"/>
        <v>53</v>
      </c>
      <c r="AA167" s="60">
        <f t="shared" si="20"/>
        <v>31053</v>
      </c>
    </row>
    <row r="168" spans="1:27">
      <c r="A168" s="83" t="str">
        <f t="shared" si="15"/>
        <v>B512dark blue</v>
      </c>
      <c r="B168" s="83" t="str">
        <f t="shared" si="16"/>
        <v>31-033-16</v>
      </c>
      <c r="C168" s="109" t="s">
        <v>1432</v>
      </c>
      <c r="D168" s="109" t="s">
        <v>1433</v>
      </c>
      <c r="E168" s="109" t="s">
        <v>793</v>
      </c>
      <c r="F168" s="110">
        <v>0</v>
      </c>
      <c r="G168" s="109" t="s">
        <v>1434</v>
      </c>
      <c r="H168" s="109" t="s">
        <v>55</v>
      </c>
      <c r="I168" s="109" t="s">
        <v>785</v>
      </c>
      <c r="J168" s="109" t="s">
        <v>334</v>
      </c>
      <c r="K168" s="109" t="s">
        <v>387</v>
      </c>
      <c r="L168" s="109" t="s">
        <v>523</v>
      </c>
      <c r="M168" s="109" t="s">
        <v>389</v>
      </c>
      <c r="N168" s="109" t="s">
        <v>44</v>
      </c>
      <c r="O168" s="109" t="s">
        <v>445</v>
      </c>
      <c r="P168" s="109" t="s">
        <v>827</v>
      </c>
      <c r="Q168" s="109" t="s">
        <v>1435</v>
      </c>
      <c r="R168" s="109" t="s">
        <v>71</v>
      </c>
      <c r="S168" s="83" t="str">
        <f t="shared" si="17"/>
        <v>B512</v>
      </c>
      <c r="T168" s="83" t="str">
        <f t="shared" si="14"/>
        <v>WOOL BERET</v>
      </c>
      <c r="Y168" s="60">
        <f t="shared" si="18"/>
        <v>31</v>
      </c>
      <c r="Z168" s="49">
        <f t="shared" si="19"/>
        <v>33</v>
      </c>
      <c r="AA168" s="60">
        <f t="shared" si="20"/>
        <v>31033</v>
      </c>
    </row>
    <row r="169" spans="1:27">
      <c r="A169" s="83" t="str">
        <f t="shared" si="15"/>
        <v>B1844Hwhite</v>
      </c>
      <c r="B169" s="83" t="str">
        <f t="shared" si="16"/>
        <v>31-190-17</v>
      </c>
      <c r="C169" s="109" t="s">
        <v>1436</v>
      </c>
      <c r="D169" s="109" t="s">
        <v>1437</v>
      </c>
      <c r="E169" s="109" t="s">
        <v>793</v>
      </c>
      <c r="F169" s="110">
        <v>0</v>
      </c>
      <c r="G169" s="109" t="s">
        <v>1187</v>
      </c>
      <c r="H169" s="109" t="s">
        <v>57</v>
      </c>
      <c r="I169" s="109" t="s">
        <v>787</v>
      </c>
      <c r="J169" s="109" t="s">
        <v>327</v>
      </c>
      <c r="K169" s="109" t="s">
        <v>387</v>
      </c>
      <c r="L169" s="109" t="s">
        <v>523</v>
      </c>
      <c r="M169" s="109" t="s">
        <v>384</v>
      </c>
      <c r="N169" s="109" t="s">
        <v>43</v>
      </c>
      <c r="O169" s="109" t="s">
        <v>386</v>
      </c>
      <c r="P169" s="109" t="s">
        <v>827</v>
      </c>
      <c r="Q169" s="109" t="s">
        <v>840</v>
      </c>
      <c r="R169" s="109" t="s">
        <v>57</v>
      </c>
      <c r="S169" s="83" t="str">
        <f t="shared" si="17"/>
        <v>B1844H</v>
      </c>
      <c r="T169" s="83" t="str">
        <f t="shared" si="14"/>
        <v>ASTRID</v>
      </c>
      <c r="Y169" s="60">
        <f t="shared" si="18"/>
        <v>31</v>
      </c>
      <c r="Z169" s="49">
        <f t="shared" si="19"/>
        <v>190</v>
      </c>
      <c r="AA169" s="60">
        <f t="shared" si="20"/>
        <v>31190</v>
      </c>
    </row>
    <row r="170" spans="1:27">
      <c r="A170" s="83" t="str">
        <f t="shared" si="15"/>
        <v>B964black.white</v>
      </c>
      <c r="B170" s="83" t="str">
        <f t="shared" si="16"/>
        <v>31-053-48</v>
      </c>
      <c r="C170" s="109" t="s">
        <v>1438</v>
      </c>
      <c r="D170" s="109" t="s">
        <v>1439</v>
      </c>
      <c r="E170" s="109" t="s">
        <v>793</v>
      </c>
      <c r="F170" s="110">
        <v>0</v>
      </c>
      <c r="G170" s="109" t="s">
        <v>1208</v>
      </c>
      <c r="H170" s="109" t="s">
        <v>293</v>
      </c>
      <c r="I170" s="109" t="s">
        <v>787</v>
      </c>
      <c r="J170" s="109" t="s">
        <v>360</v>
      </c>
      <c r="K170" s="109" t="s">
        <v>387</v>
      </c>
      <c r="L170" s="109" t="s">
        <v>523</v>
      </c>
      <c r="M170" s="109" t="s">
        <v>384</v>
      </c>
      <c r="N170" s="109" t="s">
        <v>43</v>
      </c>
      <c r="O170" s="109" t="s">
        <v>386</v>
      </c>
      <c r="P170" s="109" t="s">
        <v>827</v>
      </c>
      <c r="Q170" s="109" t="s">
        <v>866</v>
      </c>
      <c r="R170" s="109" t="s">
        <v>53</v>
      </c>
      <c r="S170" s="83" t="str">
        <f t="shared" si="17"/>
        <v>B964</v>
      </c>
      <c r="T170" s="83" t="str">
        <f t="shared" si="14"/>
        <v>FACE FRAMER</v>
      </c>
      <c r="Y170" s="60">
        <f t="shared" si="18"/>
        <v>31</v>
      </c>
      <c r="Z170" s="49">
        <f t="shared" si="19"/>
        <v>53</v>
      </c>
      <c r="AA170" s="60">
        <f t="shared" si="20"/>
        <v>31053</v>
      </c>
    </row>
    <row r="171" spans="1:27">
      <c r="A171" s="83" t="str">
        <f t="shared" si="15"/>
        <v>B124black</v>
      </c>
      <c r="B171" s="83" t="str">
        <f t="shared" si="16"/>
        <v>31-056-09</v>
      </c>
      <c r="C171" s="109" t="s">
        <v>1440</v>
      </c>
      <c r="D171" s="109" t="s">
        <v>1441</v>
      </c>
      <c r="E171" s="109" t="s">
        <v>793</v>
      </c>
      <c r="F171" s="110">
        <v>0</v>
      </c>
      <c r="G171" s="109" t="s">
        <v>1442</v>
      </c>
      <c r="H171" s="109" t="s">
        <v>53</v>
      </c>
      <c r="I171" s="109" t="s">
        <v>792</v>
      </c>
      <c r="J171" s="109" t="s">
        <v>351</v>
      </c>
      <c r="K171" s="109" t="s">
        <v>387</v>
      </c>
      <c r="L171" s="109" t="s">
        <v>523</v>
      </c>
      <c r="M171" s="109" t="s">
        <v>384</v>
      </c>
      <c r="N171" s="109" t="s">
        <v>35</v>
      </c>
      <c r="O171" s="109" t="s">
        <v>386</v>
      </c>
      <c r="P171" s="109" t="s">
        <v>827</v>
      </c>
      <c r="Q171" s="109" t="s">
        <v>831</v>
      </c>
      <c r="R171" s="109" t="s">
        <v>53</v>
      </c>
      <c r="S171" s="83" t="str">
        <f t="shared" si="17"/>
        <v>B124</v>
      </c>
      <c r="T171" s="83" t="str">
        <f t="shared" si="14"/>
        <v>Dunewood Visor</v>
      </c>
      <c r="Y171" s="60">
        <f t="shared" si="18"/>
        <v>31</v>
      </c>
      <c r="Z171" s="49">
        <f t="shared" si="19"/>
        <v>56</v>
      </c>
      <c r="AA171" s="60">
        <f t="shared" si="20"/>
        <v>31056</v>
      </c>
    </row>
    <row r="172" spans="1:27">
      <c r="A172" s="83" t="str">
        <f t="shared" si="15"/>
        <v>B1915Hwhite</v>
      </c>
      <c r="B172" s="83" t="str">
        <f t="shared" si="16"/>
        <v>31-247-17</v>
      </c>
      <c r="C172" s="109" t="s">
        <v>1443</v>
      </c>
      <c r="D172" s="109" t="s">
        <v>1444</v>
      </c>
      <c r="E172" s="109" t="s">
        <v>793</v>
      </c>
      <c r="F172" s="110">
        <v>0</v>
      </c>
      <c r="G172" s="109" t="s">
        <v>1417</v>
      </c>
      <c r="H172" s="109" t="s">
        <v>57</v>
      </c>
      <c r="I172" s="109" t="s">
        <v>1418</v>
      </c>
      <c r="J172" s="109" t="s">
        <v>325</v>
      </c>
      <c r="K172" s="109" t="s">
        <v>387</v>
      </c>
      <c r="L172" s="109" t="s">
        <v>523</v>
      </c>
      <c r="M172" s="109" t="s">
        <v>384</v>
      </c>
      <c r="N172" s="109" t="s">
        <v>43</v>
      </c>
      <c r="O172" s="109" t="s">
        <v>386</v>
      </c>
      <c r="P172" s="109" t="s">
        <v>827</v>
      </c>
      <c r="Q172" s="109" t="s">
        <v>840</v>
      </c>
      <c r="R172" s="109" t="s">
        <v>57</v>
      </c>
      <c r="S172" s="83" t="str">
        <f t="shared" si="17"/>
        <v>B1915H</v>
      </c>
      <c r="T172" s="83" t="str">
        <f t="shared" si="14"/>
        <v>REVERSIBLE ROLL UP</v>
      </c>
      <c r="Y172" s="60">
        <f t="shared" si="18"/>
        <v>31</v>
      </c>
      <c r="Z172" s="49">
        <f t="shared" si="19"/>
        <v>247</v>
      </c>
      <c r="AA172" s="60">
        <f t="shared" si="20"/>
        <v>31247</v>
      </c>
    </row>
    <row r="173" spans="1:27">
      <c r="A173" s="83" t="str">
        <f t="shared" si="15"/>
        <v>B166black multi</v>
      </c>
      <c r="B173" s="83" t="str">
        <f t="shared" si="16"/>
        <v>31-083-08</v>
      </c>
      <c r="C173" s="109" t="s">
        <v>1445</v>
      </c>
      <c r="D173" s="109" t="s">
        <v>1446</v>
      </c>
      <c r="E173" s="109" t="s">
        <v>793</v>
      </c>
      <c r="F173" s="110">
        <v>0</v>
      </c>
      <c r="G173" s="109" t="s">
        <v>965</v>
      </c>
      <c r="H173" s="109" t="s">
        <v>83</v>
      </c>
      <c r="I173" s="109" t="s">
        <v>887</v>
      </c>
      <c r="J173" s="109" t="s">
        <v>323</v>
      </c>
      <c r="K173" s="109" t="s">
        <v>387</v>
      </c>
      <c r="L173" s="109" t="s">
        <v>523</v>
      </c>
      <c r="M173" s="109" t="s">
        <v>384</v>
      </c>
      <c r="N173" s="109" t="s">
        <v>36</v>
      </c>
      <c r="O173" s="109" t="s">
        <v>386</v>
      </c>
      <c r="P173" s="109" t="s">
        <v>827</v>
      </c>
      <c r="Q173" s="109" t="s">
        <v>881</v>
      </c>
      <c r="R173" s="109" t="s">
        <v>83</v>
      </c>
      <c r="S173" s="83" t="str">
        <f t="shared" si="17"/>
        <v>B166</v>
      </c>
      <c r="T173" s="83" t="str">
        <f t="shared" si="14"/>
        <v>CLASSIC ROLL UP</v>
      </c>
      <c r="Y173" s="60">
        <f t="shared" si="18"/>
        <v>31</v>
      </c>
      <c r="Z173" s="49">
        <f t="shared" si="19"/>
        <v>83</v>
      </c>
      <c r="AA173" s="60">
        <f t="shared" si="20"/>
        <v>31083</v>
      </c>
    </row>
    <row r="174" spans="1:27">
      <c r="A174" s="83" t="str">
        <f t="shared" si="15"/>
        <v>B166denim multi</v>
      </c>
      <c r="B174" s="83" t="str">
        <f t="shared" si="16"/>
        <v>31-083-29</v>
      </c>
      <c r="C174" s="109" t="s">
        <v>1447</v>
      </c>
      <c r="D174" s="109" t="s">
        <v>1448</v>
      </c>
      <c r="E174" s="109" t="s">
        <v>793</v>
      </c>
      <c r="F174" s="110">
        <v>0</v>
      </c>
      <c r="G174" s="109" t="s">
        <v>965</v>
      </c>
      <c r="H174" s="109" t="s">
        <v>233</v>
      </c>
      <c r="I174" s="109" t="s">
        <v>887</v>
      </c>
      <c r="J174" s="109" t="s">
        <v>323</v>
      </c>
      <c r="K174" s="109" t="s">
        <v>387</v>
      </c>
      <c r="L174" s="109" t="s">
        <v>523</v>
      </c>
      <c r="M174" s="109" t="s">
        <v>384</v>
      </c>
      <c r="N174" s="109" t="s">
        <v>36</v>
      </c>
      <c r="O174" s="109" t="s">
        <v>386</v>
      </c>
      <c r="P174" s="109" t="s">
        <v>827</v>
      </c>
      <c r="Q174" s="109" t="s">
        <v>1364</v>
      </c>
      <c r="R174" s="109" t="s">
        <v>71</v>
      </c>
      <c r="S174" s="83" t="str">
        <f t="shared" si="17"/>
        <v>B166</v>
      </c>
      <c r="T174" s="83" t="str">
        <f t="shared" si="14"/>
        <v>CLASSIC ROLL UP</v>
      </c>
      <c r="Y174" s="60">
        <f t="shared" si="18"/>
        <v>31</v>
      </c>
      <c r="Z174" s="49">
        <f t="shared" si="19"/>
        <v>83</v>
      </c>
      <c r="AA174" s="60">
        <f t="shared" si="20"/>
        <v>31083</v>
      </c>
    </row>
    <row r="175" spans="1:27">
      <c r="A175" s="83" t="str">
        <f t="shared" si="15"/>
        <v>B176auburn sand</v>
      </c>
      <c r="B175" s="83" t="str">
        <f t="shared" si="16"/>
        <v>31-084-91</v>
      </c>
      <c r="C175" s="109" t="s">
        <v>1449</v>
      </c>
      <c r="D175" s="109" t="s">
        <v>1450</v>
      </c>
      <c r="E175" s="109" t="s">
        <v>793</v>
      </c>
      <c r="F175" s="110">
        <v>0</v>
      </c>
      <c r="G175" s="109" t="s">
        <v>1007</v>
      </c>
      <c r="H175" s="109" t="s">
        <v>178</v>
      </c>
      <c r="I175" s="109" t="s">
        <v>887</v>
      </c>
      <c r="J175" s="109" t="s">
        <v>357</v>
      </c>
      <c r="K175" s="109" t="s">
        <v>387</v>
      </c>
      <c r="L175" s="109" t="s">
        <v>523</v>
      </c>
      <c r="M175" s="109" t="s">
        <v>384</v>
      </c>
      <c r="N175" s="109" t="s">
        <v>36</v>
      </c>
      <c r="O175" s="109" t="s">
        <v>386</v>
      </c>
      <c r="P175" s="109" t="s">
        <v>827</v>
      </c>
      <c r="Q175" s="109" t="s">
        <v>941</v>
      </c>
      <c r="R175" s="109" t="s">
        <v>86</v>
      </c>
      <c r="S175" s="83" t="str">
        <f t="shared" si="17"/>
        <v>B176</v>
      </c>
      <c r="T175" s="83" t="str">
        <f t="shared" si="14"/>
        <v>GOSSAMER</v>
      </c>
      <c r="Y175" s="60">
        <f t="shared" si="18"/>
        <v>31</v>
      </c>
      <c r="Z175" s="49">
        <f t="shared" si="19"/>
        <v>84</v>
      </c>
      <c r="AA175" s="60">
        <f t="shared" si="20"/>
        <v>31084</v>
      </c>
    </row>
    <row r="176" spans="1:27">
      <c r="A176" s="83" t="str">
        <f t="shared" si="15"/>
        <v>B176confetti</v>
      </c>
      <c r="B176" s="83" t="str">
        <f t="shared" si="16"/>
        <v>31-084-00</v>
      </c>
      <c r="C176" s="109" t="s">
        <v>1451</v>
      </c>
      <c r="D176" s="109" t="s">
        <v>1452</v>
      </c>
      <c r="E176" s="109" t="s">
        <v>793</v>
      </c>
      <c r="F176" s="110">
        <v>0</v>
      </c>
      <c r="G176" s="109" t="s">
        <v>1007</v>
      </c>
      <c r="H176" s="109" t="s">
        <v>104</v>
      </c>
      <c r="I176" s="109" t="s">
        <v>887</v>
      </c>
      <c r="J176" s="109" t="s">
        <v>357</v>
      </c>
      <c r="K176" s="109" t="s">
        <v>387</v>
      </c>
      <c r="L176" s="109" t="s">
        <v>523</v>
      </c>
      <c r="M176" s="109" t="s">
        <v>384</v>
      </c>
      <c r="N176" s="109" t="s">
        <v>36</v>
      </c>
      <c r="O176" s="109" t="s">
        <v>386</v>
      </c>
      <c r="P176" s="109" t="s">
        <v>827</v>
      </c>
      <c r="Q176" s="109" t="s">
        <v>1453</v>
      </c>
      <c r="R176" s="109" t="s">
        <v>57</v>
      </c>
      <c r="S176" s="83" t="str">
        <f t="shared" si="17"/>
        <v>B176</v>
      </c>
      <c r="T176" s="83" t="str">
        <f t="shared" si="14"/>
        <v>GOSSAMER</v>
      </c>
      <c r="Y176" s="60">
        <f t="shared" si="18"/>
        <v>31</v>
      </c>
      <c r="Z176" s="49">
        <f t="shared" si="19"/>
        <v>84</v>
      </c>
      <c r="AA176" s="60">
        <f t="shared" si="20"/>
        <v>31084</v>
      </c>
    </row>
    <row r="177" spans="1:27">
      <c r="A177" s="83" t="str">
        <f t="shared" si="15"/>
        <v>B176rattlesnake</v>
      </c>
      <c r="B177" s="83" t="str">
        <f t="shared" si="16"/>
        <v>31-084-14</v>
      </c>
      <c r="C177" s="109" t="s">
        <v>1454</v>
      </c>
      <c r="D177" s="109" t="s">
        <v>1455</v>
      </c>
      <c r="E177" s="109" t="s">
        <v>793</v>
      </c>
      <c r="F177" s="110">
        <v>0</v>
      </c>
      <c r="G177" s="109" t="s">
        <v>1007</v>
      </c>
      <c r="H177" s="109" t="s">
        <v>86</v>
      </c>
      <c r="I177" s="109" t="s">
        <v>887</v>
      </c>
      <c r="J177" s="109" t="s">
        <v>357</v>
      </c>
      <c r="K177" s="109" t="s">
        <v>387</v>
      </c>
      <c r="L177" s="109" t="s">
        <v>523</v>
      </c>
      <c r="M177" s="109" t="s">
        <v>384</v>
      </c>
      <c r="N177" s="109" t="s">
        <v>36</v>
      </c>
      <c r="O177" s="109" t="s">
        <v>386</v>
      </c>
      <c r="P177" s="109" t="s">
        <v>827</v>
      </c>
      <c r="Q177" s="109" t="s">
        <v>938</v>
      </c>
      <c r="R177" s="109" t="s">
        <v>86</v>
      </c>
      <c r="S177" s="83" t="str">
        <f t="shared" si="17"/>
        <v>B176</v>
      </c>
      <c r="T177" s="83" t="str">
        <f t="shared" si="14"/>
        <v>GOSSAMER</v>
      </c>
      <c r="Y177" s="60">
        <f t="shared" si="18"/>
        <v>31</v>
      </c>
      <c r="Z177" s="49">
        <f t="shared" si="19"/>
        <v>84</v>
      </c>
      <c r="AA177" s="60">
        <f t="shared" si="20"/>
        <v>31084</v>
      </c>
    </row>
    <row r="178" spans="1:27">
      <c r="A178" s="83" t="str">
        <f t="shared" si="15"/>
        <v>B1841Hpoppy</v>
      </c>
      <c r="B178" s="83" t="str">
        <f t="shared" si="16"/>
        <v>31-217-18</v>
      </c>
      <c r="C178" s="109" t="s">
        <v>1456</v>
      </c>
      <c r="D178" s="109" t="s">
        <v>1457</v>
      </c>
      <c r="E178" s="109" t="s">
        <v>793</v>
      </c>
      <c r="F178" s="110">
        <v>0</v>
      </c>
      <c r="G178" s="109" t="s">
        <v>1053</v>
      </c>
      <c r="H178" s="109" t="s">
        <v>78</v>
      </c>
      <c r="I178" s="109" t="s">
        <v>794</v>
      </c>
      <c r="J178" s="109" t="s">
        <v>323</v>
      </c>
      <c r="K178" s="109" t="s">
        <v>387</v>
      </c>
      <c r="L178" s="109" t="s">
        <v>523</v>
      </c>
      <c r="M178" s="109" t="s">
        <v>384</v>
      </c>
      <c r="O178" s="109" t="s">
        <v>386</v>
      </c>
      <c r="P178" s="109" t="s">
        <v>827</v>
      </c>
      <c r="Q178" s="109" t="s">
        <v>996</v>
      </c>
      <c r="R178" s="109" t="s">
        <v>78</v>
      </c>
      <c r="S178" s="83" t="str">
        <f t="shared" si="17"/>
        <v>B1841H</v>
      </c>
      <c r="T178" s="83" t="str">
        <f t="shared" si="14"/>
        <v>MALTA</v>
      </c>
      <c r="Y178" s="60">
        <f t="shared" si="18"/>
        <v>31</v>
      </c>
      <c r="Z178" s="49">
        <f t="shared" si="19"/>
        <v>217</v>
      </c>
      <c r="AA178" s="60">
        <f t="shared" si="20"/>
        <v>31217</v>
      </c>
    </row>
    <row r="179" spans="1:27">
      <c r="A179" s="83" t="str">
        <f t="shared" si="15"/>
        <v>B1899Hauburn sand</v>
      </c>
      <c r="B179" s="83" t="str">
        <f t="shared" si="16"/>
        <v>31-237-91</v>
      </c>
      <c r="C179" s="109" t="s">
        <v>1458</v>
      </c>
      <c r="D179" s="109" t="s">
        <v>1459</v>
      </c>
      <c r="E179" s="109" t="s">
        <v>793</v>
      </c>
      <c r="F179" s="110">
        <v>0</v>
      </c>
      <c r="G179" s="109" t="s">
        <v>1386</v>
      </c>
      <c r="H179" s="109" t="s">
        <v>178</v>
      </c>
      <c r="I179" s="109" t="s">
        <v>966</v>
      </c>
      <c r="J179" s="109" t="s">
        <v>357</v>
      </c>
      <c r="K179" s="109" t="s">
        <v>387</v>
      </c>
      <c r="L179" s="109" t="s">
        <v>523</v>
      </c>
      <c r="M179" s="109" t="s">
        <v>384</v>
      </c>
      <c r="N179" s="109" t="s">
        <v>36</v>
      </c>
      <c r="O179" s="109" t="s">
        <v>386</v>
      </c>
      <c r="P179" s="109" t="s">
        <v>827</v>
      </c>
      <c r="Q179" s="109" t="s">
        <v>941</v>
      </c>
      <c r="R179" s="109" t="s">
        <v>86</v>
      </c>
      <c r="S179" s="83" t="str">
        <f t="shared" si="17"/>
        <v>B1899H</v>
      </c>
      <c r="T179" s="83" t="str">
        <f t="shared" si="14"/>
        <v>GOSSAMER MINI</v>
      </c>
      <c r="Y179" s="60">
        <f t="shared" si="18"/>
        <v>31</v>
      </c>
      <c r="Z179" s="49">
        <f t="shared" si="19"/>
        <v>237</v>
      </c>
      <c r="AA179" s="60">
        <f t="shared" si="20"/>
        <v>31237</v>
      </c>
    </row>
    <row r="180" spans="1:27">
      <c r="A180" s="83" t="str">
        <f t="shared" si="15"/>
        <v>B1899Hblack multi</v>
      </c>
      <c r="B180" s="83" t="str">
        <f t="shared" si="16"/>
        <v>31-237-48</v>
      </c>
      <c r="C180" s="109" t="s">
        <v>1460</v>
      </c>
      <c r="D180" s="109" t="s">
        <v>1461</v>
      </c>
      <c r="E180" s="109" t="s">
        <v>793</v>
      </c>
      <c r="F180" s="110">
        <v>0</v>
      </c>
      <c r="G180" s="109" t="s">
        <v>1386</v>
      </c>
      <c r="H180" s="109" t="s">
        <v>293</v>
      </c>
      <c r="I180" s="109" t="s">
        <v>887</v>
      </c>
      <c r="J180" s="109" t="s">
        <v>357</v>
      </c>
      <c r="K180" s="109" t="s">
        <v>387</v>
      </c>
      <c r="L180" s="109" t="s">
        <v>523</v>
      </c>
      <c r="M180" s="109" t="s">
        <v>384</v>
      </c>
      <c r="N180" s="109" t="s">
        <v>36</v>
      </c>
      <c r="O180" s="109" t="s">
        <v>386</v>
      </c>
      <c r="P180" s="109" t="s">
        <v>827</v>
      </c>
      <c r="Q180" s="109" t="s">
        <v>881</v>
      </c>
      <c r="R180" s="109" t="s">
        <v>53</v>
      </c>
      <c r="S180" s="83" t="str">
        <f t="shared" si="17"/>
        <v>B1899H</v>
      </c>
      <c r="T180" s="83" t="str">
        <f t="shared" si="14"/>
        <v>GOSSAMER MINI</v>
      </c>
      <c r="Y180" s="60">
        <f t="shared" si="18"/>
        <v>31</v>
      </c>
      <c r="Z180" s="49">
        <f t="shared" si="19"/>
        <v>237</v>
      </c>
      <c r="AA180" s="60">
        <f t="shared" si="20"/>
        <v>31237</v>
      </c>
    </row>
    <row r="181" spans="1:27">
      <c r="A181" s="83" t="str">
        <f t="shared" si="15"/>
        <v>B1899Hconfetti</v>
      </c>
      <c r="B181" s="83" t="str">
        <f t="shared" si="16"/>
        <v>31-237-00</v>
      </c>
      <c r="C181" s="109" t="s">
        <v>1462</v>
      </c>
      <c r="D181" s="109" t="s">
        <v>1463</v>
      </c>
      <c r="E181" s="109" t="s">
        <v>793</v>
      </c>
      <c r="F181" s="110">
        <v>0</v>
      </c>
      <c r="G181" s="109" t="s">
        <v>1386</v>
      </c>
      <c r="H181" s="109" t="s">
        <v>104</v>
      </c>
      <c r="I181" s="109" t="s">
        <v>966</v>
      </c>
      <c r="J181" s="109" t="s">
        <v>357</v>
      </c>
      <c r="K181" s="109" t="s">
        <v>387</v>
      </c>
      <c r="L181" s="109" t="s">
        <v>523</v>
      </c>
      <c r="M181" s="109" t="s">
        <v>384</v>
      </c>
      <c r="N181" s="109" t="s">
        <v>36</v>
      </c>
      <c r="O181" s="109" t="s">
        <v>386</v>
      </c>
      <c r="P181" s="109" t="s">
        <v>827</v>
      </c>
      <c r="Q181" s="109" t="s">
        <v>1453</v>
      </c>
      <c r="R181" s="109" t="s">
        <v>57</v>
      </c>
      <c r="S181" s="83" t="str">
        <f t="shared" si="17"/>
        <v>B1899H</v>
      </c>
      <c r="T181" s="83" t="str">
        <f t="shared" si="14"/>
        <v>GOSSAMER MINI</v>
      </c>
      <c r="Y181" s="60">
        <f t="shared" si="18"/>
        <v>31</v>
      </c>
      <c r="Z181" s="49">
        <f t="shared" si="19"/>
        <v>237</v>
      </c>
      <c r="AA181" s="60">
        <f t="shared" si="20"/>
        <v>31237</v>
      </c>
    </row>
    <row r="182" spans="1:27">
      <c r="A182" s="83" t="str">
        <f t="shared" si="15"/>
        <v>B1899Hdenim multi</v>
      </c>
      <c r="B182" s="83" t="str">
        <f t="shared" si="16"/>
        <v>31-237-19</v>
      </c>
      <c r="C182" s="109" t="s">
        <v>1464</v>
      </c>
      <c r="D182" s="109" t="s">
        <v>1465</v>
      </c>
      <c r="E182" s="109" t="s">
        <v>793</v>
      </c>
      <c r="F182" s="110">
        <v>0</v>
      </c>
      <c r="G182" s="109" t="s">
        <v>1386</v>
      </c>
      <c r="H182" s="109" t="s">
        <v>91</v>
      </c>
      <c r="I182" s="109" t="s">
        <v>966</v>
      </c>
      <c r="J182" s="109" t="s">
        <v>357</v>
      </c>
      <c r="K182" s="109" t="s">
        <v>387</v>
      </c>
      <c r="L182" s="109" t="s">
        <v>523</v>
      </c>
      <c r="M182" s="109" t="s">
        <v>384</v>
      </c>
      <c r="N182" s="109" t="s">
        <v>36</v>
      </c>
      <c r="O182" s="109" t="s">
        <v>386</v>
      </c>
      <c r="P182" s="109" t="s">
        <v>827</v>
      </c>
      <c r="Q182" s="109" t="s">
        <v>1364</v>
      </c>
      <c r="R182" s="109" t="s">
        <v>91</v>
      </c>
      <c r="S182" s="83" t="str">
        <f t="shared" si="17"/>
        <v>B1899H</v>
      </c>
      <c r="T182" s="83" t="str">
        <f t="shared" si="14"/>
        <v>GOSSAMER MINI</v>
      </c>
      <c r="Y182" s="60">
        <f t="shared" si="18"/>
        <v>31</v>
      </c>
      <c r="Z182" s="49">
        <f t="shared" si="19"/>
        <v>237</v>
      </c>
      <c r="AA182" s="60">
        <f t="shared" si="20"/>
        <v>31237</v>
      </c>
    </row>
    <row r="183" spans="1:27">
      <c r="A183" s="83" t="str">
        <f t="shared" si="15"/>
        <v>B1899Hnatural</v>
      </c>
      <c r="B183" s="83" t="str">
        <f t="shared" si="16"/>
        <v>31-237-02</v>
      </c>
      <c r="C183" s="109" t="s">
        <v>1466</v>
      </c>
      <c r="D183" s="109" t="s">
        <v>1467</v>
      </c>
      <c r="E183" s="109" t="s">
        <v>793</v>
      </c>
      <c r="F183" s="110">
        <v>0</v>
      </c>
      <c r="G183" s="109" t="s">
        <v>1386</v>
      </c>
      <c r="H183" s="109" t="s">
        <v>63</v>
      </c>
      <c r="I183" s="109" t="s">
        <v>966</v>
      </c>
      <c r="J183" s="109" t="s">
        <v>357</v>
      </c>
      <c r="K183" s="109" t="s">
        <v>387</v>
      </c>
      <c r="L183" s="109" t="s">
        <v>523</v>
      </c>
      <c r="M183" s="109" t="s">
        <v>384</v>
      </c>
      <c r="N183" s="109" t="s">
        <v>36</v>
      </c>
      <c r="O183" s="109" t="s">
        <v>386</v>
      </c>
      <c r="P183" s="109" t="s">
        <v>827</v>
      </c>
      <c r="Q183" s="109" t="s">
        <v>844</v>
      </c>
      <c r="R183" s="109" t="s">
        <v>63</v>
      </c>
      <c r="S183" s="83" t="str">
        <f t="shared" si="17"/>
        <v>B1899H</v>
      </c>
      <c r="T183" s="83" t="str">
        <f t="shared" si="14"/>
        <v>GOSSAMER MINI</v>
      </c>
      <c r="Y183" s="60">
        <f t="shared" si="18"/>
        <v>31</v>
      </c>
      <c r="Z183" s="49">
        <f t="shared" si="19"/>
        <v>237</v>
      </c>
      <c r="AA183" s="60">
        <f t="shared" si="20"/>
        <v>31237</v>
      </c>
    </row>
    <row r="184" spans="1:27">
      <c r="A184" s="83" t="str">
        <f t="shared" si="15"/>
        <v>B1899Hwhite</v>
      </c>
      <c r="B184" s="83" t="str">
        <f t="shared" si="16"/>
        <v>31-237-17</v>
      </c>
      <c r="C184" s="109" t="s">
        <v>1468</v>
      </c>
      <c r="D184" s="109" t="s">
        <v>1469</v>
      </c>
      <c r="E184" s="109" t="s">
        <v>793</v>
      </c>
      <c r="F184" s="110">
        <v>0</v>
      </c>
      <c r="G184" s="109" t="s">
        <v>1386</v>
      </c>
      <c r="H184" s="109" t="s">
        <v>57</v>
      </c>
      <c r="I184" s="109" t="s">
        <v>966</v>
      </c>
      <c r="J184" s="109" t="s">
        <v>357</v>
      </c>
      <c r="K184" s="109" t="s">
        <v>387</v>
      </c>
      <c r="L184" s="109" t="s">
        <v>523</v>
      </c>
      <c r="M184" s="109" t="s">
        <v>384</v>
      </c>
      <c r="N184" s="109" t="s">
        <v>36</v>
      </c>
      <c r="O184" s="109" t="s">
        <v>386</v>
      </c>
      <c r="P184" s="109" t="s">
        <v>827</v>
      </c>
      <c r="Q184" s="109" t="s">
        <v>840</v>
      </c>
      <c r="R184" s="109" t="s">
        <v>57</v>
      </c>
      <c r="S184" s="83" t="str">
        <f t="shared" si="17"/>
        <v>B1899H</v>
      </c>
      <c r="T184" s="83" t="str">
        <f t="shared" si="14"/>
        <v>GOSSAMER MINI</v>
      </c>
      <c r="Y184" s="60">
        <f t="shared" si="18"/>
        <v>31</v>
      </c>
      <c r="Z184" s="49">
        <f t="shared" si="19"/>
        <v>237</v>
      </c>
      <c r="AA184" s="60">
        <f t="shared" si="20"/>
        <v>31237</v>
      </c>
    </row>
    <row r="185" spans="1:27">
      <c r="A185" s="83" t="str">
        <f t="shared" si="15"/>
        <v>B1900Hauburn sand</v>
      </c>
      <c r="B185" s="83" t="str">
        <f t="shared" si="16"/>
        <v>31-238-91</v>
      </c>
      <c r="C185" s="109" t="s">
        <v>1470</v>
      </c>
      <c r="D185" s="109" t="s">
        <v>1471</v>
      </c>
      <c r="E185" s="109" t="s">
        <v>793</v>
      </c>
      <c r="F185" s="110">
        <v>0</v>
      </c>
      <c r="G185" s="109" t="s">
        <v>1389</v>
      </c>
      <c r="H185" s="109" t="s">
        <v>178</v>
      </c>
      <c r="I185" s="109" t="s">
        <v>966</v>
      </c>
      <c r="J185" s="109" t="s">
        <v>323</v>
      </c>
      <c r="K185" s="109" t="s">
        <v>387</v>
      </c>
      <c r="L185" s="109" t="s">
        <v>523</v>
      </c>
      <c r="M185" s="109" t="s">
        <v>384</v>
      </c>
      <c r="N185" s="109" t="s">
        <v>36</v>
      </c>
      <c r="O185" s="109" t="s">
        <v>386</v>
      </c>
      <c r="P185" s="109" t="s">
        <v>827</v>
      </c>
      <c r="Q185" s="109" t="s">
        <v>941</v>
      </c>
      <c r="R185" s="109" t="s">
        <v>86</v>
      </c>
      <c r="S185" s="83" t="str">
        <f t="shared" si="17"/>
        <v>B1900H</v>
      </c>
      <c r="T185" s="83" t="str">
        <f t="shared" si="14"/>
        <v>BLANCHET</v>
      </c>
      <c r="Y185" s="60">
        <f t="shared" si="18"/>
        <v>31</v>
      </c>
      <c r="Z185" s="49">
        <f t="shared" si="19"/>
        <v>238</v>
      </c>
      <c r="AA185" s="60">
        <f t="shared" si="20"/>
        <v>31238</v>
      </c>
    </row>
    <row r="186" spans="1:27">
      <c r="A186" s="83" t="str">
        <f t="shared" si="15"/>
        <v>B1900Hdenim multi</v>
      </c>
      <c r="B186" s="83" t="str">
        <f t="shared" si="16"/>
        <v>31-238-19</v>
      </c>
      <c r="C186" s="109" t="s">
        <v>1472</v>
      </c>
      <c r="D186" s="109" t="s">
        <v>1473</v>
      </c>
      <c r="E186" s="109" t="s">
        <v>793</v>
      </c>
      <c r="F186" s="110">
        <v>0</v>
      </c>
      <c r="G186" s="109" t="s">
        <v>1389</v>
      </c>
      <c r="H186" s="109" t="s">
        <v>91</v>
      </c>
      <c r="I186" s="109" t="s">
        <v>966</v>
      </c>
      <c r="J186" s="109" t="s">
        <v>323</v>
      </c>
      <c r="K186" s="109" t="s">
        <v>387</v>
      </c>
      <c r="L186" s="109" t="s">
        <v>523</v>
      </c>
      <c r="M186" s="109" t="s">
        <v>384</v>
      </c>
      <c r="N186" s="109" t="s">
        <v>36</v>
      </c>
      <c r="O186" s="109" t="s">
        <v>386</v>
      </c>
      <c r="P186" s="109" t="s">
        <v>827</v>
      </c>
      <c r="Q186" s="109" t="s">
        <v>1364</v>
      </c>
      <c r="R186" s="109" t="s">
        <v>91</v>
      </c>
      <c r="S186" s="83" t="str">
        <f t="shared" si="17"/>
        <v>B1900H</v>
      </c>
      <c r="T186" s="83" t="str">
        <f t="shared" si="14"/>
        <v>BLANCHET</v>
      </c>
      <c r="Y186" s="60">
        <f t="shared" si="18"/>
        <v>31</v>
      </c>
      <c r="Z186" s="49">
        <f t="shared" si="19"/>
        <v>238</v>
      </c>
      <c r="AA186" s="60">
        <f t="shared" si="20"/>
        <v>31238</v>
      </c>
    </row>
    <row r="187" spans="1:27">
      <c r="A187" s="83" t="str">
        <f t="shared" si="15"/>
        <v>B1872Hsunset</v>
      </c>
      <c r="B187" s="83" t="str">
        <f t="shared" si="16"/>
        <v>31-219-13</v>
      </c>
      <c r="C187" s="109" t="s">
        <v>1474</v>
      </c>
      <c r="D187" s="109" t="s">
        <v>1475</v>
      </c>
      <c r="E187" s="109" t="s">
        <v>793</v>
      </c>
      <c r="F187" s="110">
        <v>0</v>
      </c>
      <c r="G187" s="109" t="s">
        <v>1061</v>
      </c>
      <c r="H187" s="109" t="s">
        <v>199</v>
      </c>
      <c r="I187" s="109" t="s">
        <v>863</v>
      </c>
      <c r="J187" s="109" t="s">
        <v>327</v>
      </c>
      <c r="K187" s="109" t="s">
        <v>387</v>
      </c>
      <c r="L187" s="109" t="s">
        <v>523</v>
      </c>
      <c r="M187" s="109" t="s">
        <v>388</v>
      </c>
      <c r="O187" s="109" t="s">
        <v>386</v>
      </c>
      <c r="P187" s="109" t="s">
        <v>827</v>
      </c>
      <c r="Q187" s="109" t="s">
        <v>862</v>
      </c>
      <c r="R187" s="109" t="s">
        <v>199</v>
      </c>
      <c r="S187" s="83" t="str">
        <f t="shared" si="17"/>
        <v>B1872H</v>
      </c>
      <c r="T187" s="83" t="str">
        <f t="shared" si="14"/>
        <v>QUILTED RAIN CAP</v>
      </c>
      <c r="Y187" s="60">
        <f t="shared" si="18"/>
        <v>31</v>
      </c>
      <c r="Z187" s="49">
        <f t="shared" si="19"/>
        <v>219</v>
      </c>
      <c r="AA187" s="60">
        <f t="shared" si="20"/>
        <v>31219</v>
      </c>
    </row>
    <row r="188" spans="1:27">
      <c r="A188" s="83" t="str">
        <f t="shared" si="15"/>
        <v>B1943Hnavy</v>
      </c>
      <c r="B188" s="83" t="str">
        <f t="shared" si="16"/>
        <v>31-248-16</v>
      </c>
      <c r="C188" s="109" t="s">
        <v>1476</v>
      </c>
      <c r="D188" s="109" t="s">
        <v>1477</v>
      </c>
      <c r="E188" s="109" t="s">
        <v>793</v>
      </c>
      <c r="F188" s="110">
        <v>0</v>
      </c>
      <c r="G188" s="109" t="s">
        <v>1478</v>
      </c>
      <c r="H188" s="109" t="s">
        <v>55</v>
      </c>
      <c r="I188" s="109" t="s">
        <v>794</v>
      </c>
      <c r="J188" s="109" t="s">
        <v>327</v>
      </c>
      <c r="K188" s="109" t="s">
        <v>387</v>
      </c>
      <c r="L188" s="109" t="s">
        <v>523</v>
      </c>
      <c r="M188" s="109" t="s">
        <v>388</v>
      </c>
      <c r="O188" s="109" t="s">
        <v>386</v>
      </c>
      <c r="P188" s="109" t="s">
        <v>827</v>
      </c>
      <c r="Q188" s="109" t="s">
        <v>829</v>
      </c>
      <c r="R188" s="109" t="s">
        <v>71</v>
      </c>
      <c r="S188" s="83" t="str">
        <f t="shared" si="17"/>
        <v>B1943H</v>
      </c>
      <c r="T188" s="83" t="str">
        <f t="shared" si="14"/>
        <v>PATTERN BASEBALL CAP</v>
      </c>
      <c r="Y188" s="60">
        <f t="shared" si="18"/>
        <v>31</v>
      </c>
      <c r="Z188" s="49">
        <f t="shared" si="19"/>
        <v>248</v>
      </c>
      <c r="AA188" s="60">
        <f t="shared" si="20"/>
        <v>31248</v>
      </c>
    </row>
    <row r="189" spans="1:27">
      <c r="A189" s="83" t="str">
        <f t="shared" si="15"/>
        <v>B1933Hraisin</v>
      </c>
      <c r="B189" s="83" t="str">
        <f t="shared" si="16"/>
        <v>31-251-13</v>
      </c>
      <c r="C189" s="109" t="s">
        <v>1479</v>
      </c>
      <c r="D189" s="109" t="s">
        <v>1480</v>
      </c>
      <c r="E189" s="109" t="s">
        <v>793</v>
      </c>
      <c r="F189" s="110">
        <v>0</v>
      </c>
      <c r="G189" s="109" t="s">
        <v>1481</v>
      </c>
      <c r="H189" s="109" t="s">
        <v>160</v>
      </c>
      <c r="I189" s="109" t="s">
        <v>1482</v>
      </c>
      <c r="J189" s="109" t="s">
        <v>334</v>
      </c>
      <c r="K189" s="109" t="s">
        <v>387</v>
      </c>
      <c r="L189" s="109" t="s">
        <v>523</v>
      </c>
      <c r="M189" s="109" t="s">
        <v>388</v>
      </c>
      <c r="N189" s="109" t="s">
        <v>43</v>
      </c>
      <c r="O189" s="109" t="s">
        <v>386</v>
      </c>
      <c r="P189" s="109" t="s">
        <v>827</v>
      </c>
      <c r="Q189" s="109" t="s">
        <v>1483</v>
      </c>
      <c r="R189" s="109" t="s">
        <v>86</v>
      </c>
      <c r="S189" s="83" t="str">
        <f t="shared" si="17"/>
        <v>B1933H</v>
      </c>
      <c r="T189" s="83" t="str">
        <f t="shared" si="14"/>
        <v>LIZA</v>
      </c>
      <c r="Y189" s="60">
        <f t="shared" si="18"/>
        <v>31</v>
      </c>
      <c r="Z189" s="49">
        <f t="shared" si="19"/>
        <v>251</v>
      </c>
      <c r="AA189" s="60">
        <f t="shared" si="20"/>
        <v>31251</v>
      </c>
    </row>
    <row r="190" spans="1:27">
      <c r="A190" s="83" t="str">
        <f t="shared" si="15"/>
        <v>B515silver birch</v>
      </c>
      <c r="B190" s="83" t="str">
        <f t="shared" si="16"/>
        <v>31-034-01</v>
      </c>
      <c r="C190" s="109" t="s">
        <v>1484</v>
      </c>
      <c r="D190" s="109" t="s">
        <v>1485</v>
      </c>
      <c r="E190" s="109" t="s">
        <v>793</v>
      </c>
      <c r="F190" s="110">
        <v>0</v>
      </c>
      <c r="G190" s="109" t="s">
        <v>1076</v>
      </c>
      <c r="H190" s="109" t="s">
        <v>231</v>
      </c>
      <c r="I190" s="109" t="s">
        <v>796</v>
      </c>
      <c r="J190" s="109" t="s">
        <v>334</v>
      </c>
      <c r="K190" s="109" t="s">
        <v>387</v>
      </c>
      <c r="L190" s="109" t="s">
        <v>523</v>
      </c>
      <c r="M190" s="109" t="s">
        <v>388</v>
      </c>
      <c r="N190" s="109" t="s">
        <v>44</v>
      </c>
      <c r="O190" s="109" t="s">
        <v>386</v>
      </c>
      <c r="P190" s="109" t="s">
        <v>827</v>
      </c>
      <c r="Q190" s="109" t="s">
        <v>1486</v>
      </c>
      <c r="R190" s="109" t="s">
        <v>83</v>
      </c>
      <c r="S190" s="83" t="str">
        <f t="shared" si="17"/>
        <v>B515</v>
      </c>
      <c r="T190" s="83" t="str">
        <f t="shared" si="14"/>
        <v>FLOWER BERET</v>
      </c>
      <c r="Y190" s="60">
        <f t="shared" si="18"/>
        <v>31</v>
      </c>
      <c r="Z190" s="49">
        <f t="shared" si="19"/>
        <v>34</v>
      </c>
      <c r="AA190" s="60">
        <f t="shared" si="20"/>
        <v>31034</v>
      </c>
    </row>
    <row r="191" spans="1:27">
      <c r="A191" s="83" t="str">
        <f t="shared" si="15"/>
        <v>B008Hivy heather</v>
      </c>
      <c r="B191" s="83" t="str">
        <f t="shared" si="16"/>
        <v>31-001-11</v>
      </c>
      <c r="C191" s="109" t="s">
        <v>1487</v>
      </c>
      <c r="D191" s="109" t="s">
        <v>1488</v>
      </c>
      <c r="E191" s="109" t="s">
        <v>793</v>
      </c>
      <c r="F191" s="110">
        <v>0</v>
      </c>
      <c r="G191" s="109" t="s">
        <v>1489</v>
      </c>
      <c r="H191" s="109" t="s">
        <v>60</v>
      </c>
      <c r="I191" s="109" t="s">
        <v>1111</v>
      </c>
      <c r="J191" s="109" t="s">
        <v>348</v>
      </c>
      <c r="K191" s="109" t="s">
        <v>387</v>
      </c>
      <c r="L191" s="109" t="s">
        <v>523</v>
      </c>
      <c r="M191" s="109" t="s">
        <v>388</v>
      </c>
      <c r="N191" s="109" t="s">
        <v>44</v>
      </c>
      <c r="O191" s="109" t="s">
        <v>386</v>
      </c>
      <c r="P191" s="109" t="s">
        <v>827</v>
      </c>
      <c r="Q191" s="109" t="s">
        <v>1490</v>
      </c>
      <c r="R191" s="109" t="s">
        <v>60</v>
      </c>
      <c r="S191" s="83" t="str">
        <f t="shared" si="17"/>
        <v>B008H</v>
      </c>
      <c r="T191" s="83" t="str">
        <f t="shared" si="14"/>
        <v>LYDIA</v>
      </c>
      <c r="Y191" s="60">
        <f t="shared" si="18"/>
        <v>31</v>
      </c>
      <c r="Z191" s="49">
        <f t="shared" si="19"/>
        <v>1</v>
      </c>
      <c r="AA191" s="60">
        <f t="shared" si="20"/>
        <v>31001</v>
      </c>
    </row>
    <row r="192" spans="1:27">
      <c r="A192" s="83" t="str">
        <f t="shared" si="15"/>
        <v>B011Hblack marl</v>
      </c>
      <c r="B192" s="83" t="str">
        <f t="shared" si="16"/>
        <v>31-002-99</v>
      </c>
      <c r="C192" s="109" t="s">
        <v>1491</v>
      </c>
      <c r="D192" s="109" t="s">
        <v>1492</v>
      </c>
      <c r="E192" s="109" t="s">
        <v>793</v>
      </c>
      <c r="F192" s="110">
        <v>0</v>
      </c>
      <c r="G192" s="109" t="s">
        <v>1080</v>
      </c>
      <c r="H192" s="109" t="s">
        <v>53</v>
      </c>
      <c r="I192" s="109" t="s">
        <v>853</v>
      </c>
      <c r="J192" s="109" t="s">
        <v>348</v>
      </c>
      <c r="K192" s="109" t="s">
        <v>387</v>
      </c>
      <c r="L192" s="109" t="s">
        <v>523</v>
      </c>
      <c r="M192" s="109" t="s">
        <v>388</v>
      </c>
      <c r="N192" s="109" t="s">
        <v>44</v>
      </c>
      <c r="O192" s="109" t="s">
        <v>386</v>
      </c>
      <c r="P192" s="109" t="s">
        <v>827</v>
      </c>
      <c r="Q192" s="109" t="s">
        <v>1493</v>
      </c>
      <c r="R192" s="109" t="s">
        <v>53</v>
      </c>
      <c r="S192" s="83" t="str">
        <f t="shared" si="17"/>
        <v>B011H</v>
      </c>
      <c r="T192" s="83" t="str">
        <f t="shared" si="14"/>
        <v>ADELE</v>
      </c>
      <c r="Y192" s="60">
        <f t="shared" si="18"/>
        <v>31</v>
      </c>
      <c r="Z192" s="49">
        <f t="shared" si="19"/>
        <v>2</v>
      </c>
      <c r="AA192" s="60">
        <f t="shared" si="20"/>
        <v>31002</v>
      </c>
    </row>
    <row r="193" spans="1:27">
      <c r="A193" s="83" t="str">
        <f t="shared" si="15"/>
        <v>B1794Hsepia</v>
      </c>
      <c r="B193" s="83" t="str">
        <f t="shared" si="16"/>
        <v>31-188-02</v>
      </c>
      <c r="C193" s="109" t="s">
        <v>1494</v>
      </c>
      <c r="D193" s="109" t="s">
        <v>1495</v>
      </c>
      <c r="E193" s="109" t="s">
        <v>793</v>
      </c>
      <c r="F193" s="110">
        <v>0</v>
      </c>
      <c r="G193" s="109" t="s">
        <v>1084</v>
      </c>
      <c r="H193" s="109" t="s">
        <v>86</v>
      </c>
      <c r="I193" s="109" t="s">
        <v>796</v>
      </c>
      <c r="J193" s="109" t="s">
        <v>348</v>
      </c>
      <c r="K193" s="109" t="s">
        <v>387</v>
      </c>
      <c r="L193" s="109" t="s">
        <v>523</v>
      </c>
      <c r="M193" s="109" t="s">
        <v>388</v>
      </c>
      <c r="N193" s="109" t="s">
        <v>44</v>
      </c>
      <c r="O193" s="109" t="s">
        <v>386</v>
      </c>
      <c r="P193" s="109" t="s">
        <v>827</v>
      </c>
      <c r="Q193" s="109" t="s">
        <v>892</v>
      </c>
      <c r="R193" s="109" t="s">
        <v>86</v>
      </c>
      <c r="S193" s="83" t="str">
        <f t="shared" si="17"/>
        <v>B1794H</v>
      </c>
      <c r="T193" s="83" t="str">
        <f t="shared" si="14"/>
        <v>CRYSTAL CAP</v>
      </c>
      <c r="Y193" s="60">
        <f t="shared" si="18"/>
        <v>31</v>
      </c>
      <c r="Z193" s="49">
        <f t="shared" si="19"/>
        <v>188</v>
      </c>
      <c r="AA193" s="60">
        <f t="shared" si="20"/>
        <v>31188</v>
      </c>
    </row>
    <row r="194" spans="1:27">
      <c r="A194" s="83" t="str">
        <f t="shared" si="15"/>
        <v>B1873Hroot</v>
      </c>
      <c r="B194" s="83" t="str">
        <f t="shared" si="16"/>
        <v>31-224-91</v>
      </c>
      <c r="C194" s="109" t="s">
        <v>1496</v>
      </c>
      <c r="D194" s="109" t="s">
        <v>1497</v>
      </c>
      <c r="E194" s="109" t="s">
        <v>793</v>
      </c>
      <c r="F194" s="110">
        <v>0</v>
      </c>
      <c r="G194" s="109" t="s">
        <v>1090</v>
      </c>
      <c r="H194" s="109" t="s">
        <v>271</v>
      </c>
      <c r="I194" s="109" t="s">
        <v>794</v>
      </c>
      <c r="J194" s="109" t="s">
        <v>348</v>
      </c>
      <c r="K194" s="109" t="s">
        <v>387</v>
      </c>
      <c r="L194" s="109" t="s">
        <v>523</v>
      </c>
      <c r="M194" s="109" t="s">
        <v>388</v>
      </c>
      <c r="O194" s="109" t="s">
        <v>386</v>
      </c>
      <c r="P194" s="109" t="s">
        <v>827</v>
      </c>
      <c r="Q194" s="109" t="s">
        <v>1498</v>
      </c>
      <c r="R194" s="109" t="s">
        <v>86</v>
      </c>
      <c r="S194" s="83" t="str">
        <f t="shared" si="17"/>
        <v>B1873H</v>
      </c>
      <c r="T194" s="83" t="str">
        <f t="shared" ref="T194:T257" si="21">IF(A194&lt;&gt;"",IF(FIND(" ",G194)&gt;=1,MID(G194,FIND(" ",G194)+1,LEN(G194)),""),"")</f>
        <v>LIEUTENANT CAP</v>
      </c>
      <c r="Y194" s="60">
        <f t="shared" si="18"/>
        <v>31</v>
      </c>
      <c r="Z194" s="49">
        <f t="shared" si="19"/>
        <v>224</v>
      </c>
      <c r="AA194" s="60">
        <f t="shared" si="20"/>
        <v>31224</v>
      </c>
    </row>
    <row r="195" spans="1:27">
      <c r="A195" s="83" t="str">
        <f t="shared" ref="A195:A258" si="22">IF(G195&amp;Q195&lt;&gt;"",S195&amp;Q195,"")</f>
        <v>B1891Hroot</v>
      </c>
      <c r="B195" s="83" t="str">
        <f t="shared" ref="B195:B258" si="23">IF(C195&lt;&gt;"",LEFT(C195,9),"")</f>
        <v>31-225-91</v>
      </c>
      <c r="C195" s="109" t="s">
        <v>1499</v>
      </c>
      <c r="D195" s="109" t="s">
        <v>1500</v>
      </c>
      <c r="E195" s="109" t="s">
        <v>793</v>
      </c>
      <c r="F195" s="110">
        <v>0</v>
      </c>
      <c r="G195" s="109" t="s">
        <v>1093</v>
      </c>
      <c r="H195" s="109" t="s">
        <v>199</v>
      </c>
      <c r="I195" s="109" t="s">
        <v>863</v>
      </c>
      <c r="J195" s="109" t="s">
        <v>348</v>
      </c>
      <c r="K195" s="109" t="s">
        <v>387</v>
      </c>
      <c r="L195" s="109" t="s">
        <v>523</v>
      </c>
      <c r="M195" s="109" t="s">
        <v>388</v>
      </c>
      <c r="O195" s="109" t="s">
        <v>386</v>
      </c>
      <c r="P195" s="109" t="s">
        <v>827</v>
      </c>
      <c r="Q195" s="109" t="s">
        <v>1498</v>
      </c>
      <c r="R195" s="109" t="s">
        <v>199</v>
      </c>
      <c r="S195" s="83" t="str">
        <f t="shared" ref="S195:S258" si="24">IF(G195&lt;&gt;"",IF(FIND(" ",G195)&gt;=1,MID(G195,1,FIND(" ",G195)-1),G195),"")</f>
        <v>B1891H</v>
      </c>
      <c r="T195" s="83" t="str">
        <f t="shared" si="21"/>
        <v>LIEUTENANT RAIN CAP</v>
      </c>
      <c r="Y195" s="60">
        <f t="shared" ref="Y195:Y258" si="25">IFERROR(VALUE(MID($C195,1,2)),0)</f>
        <v>31</v>
      </c>
      <c r="Z195" s="49">
        <f t="shared" ref="Z195:Z258" si="26">IFERROR(VALUE(MID($C195,4,3)),0)</f>
        <v>225</v>
      </c>
      <c r="AA195" s="60">
        <f t="shared" ref="AA195:AA258" si="27">VALUE(RIGHT("00"&amp;Y195,2)&amp;RIGHT("000"&amp;Z195,3))</f>
        <v>31225</v>
      </c>
    </row>
    <row r="196" spans="1:27">
      <c r="A196" s="83" t="str">
        <f t="shared" si="22"/>
        <v>B1934Hraisin</v>
      </c>
      <c r="B196" s="83" t="str">
        <f t="shared" si="23"/>
        <v>31-252-96</v>
      </c>
      <c r="C196" s="109" t="s">
        <v>1501</v>
      </c>
      <c r="D196" s="109" t="s">
        <v>1502</v>
      </c>
      <c r="E196" s="109" t="s">
        <v>793</v>
      </c>
      <c r="F196" s="110">
        <v>0</v>
      </c>
      <c r="G196" s="109" t="s">
        <v>1503</v>
      </c>
      <c r="H196" s="109" t="s">
        <v>177</v>
      </c>
      <c r="I196" s="109" t="s">
        <v>1504</v>
      </c>
      <c r="J196" s="109" t="s">
        <v>348</v>
      </c>
      <c r="K196" s="109" t="s">
        <v>387</v>
      </c>
      <c r="L196" s="109" t="s">
        <v>523</v>
      </c>
      <c r="M196" s="109" t="s">
        <v>388</v>
      </c>
      <c r="N196" s="109" t="s">
        <v>43</v>
      </c>
      <c r="O196" s="109" t="s">
        <v>386</v>
      </c>
      <c r="P196" s="109" t="s">
        <v>827</v>
      </c>
      <c r="Q196" s="109" t="s">
        <v>1483</v>
      </c>
      <c r="R196" s="109" t="s">
        <v>86</v>
      </c>
      <c r="S196" s="83" t="str">
        <f t="shared" si="24"/>
        <v>B1934H</v>
      </c>
      <c r="T196" s="83" t="str">
        <f t="shared" si="21"/>
        <v>CLARA</v>
      </c>
      <c r="Y196" s="60">
        <f t="shared" si="25"/>
        <v>31</v>
      </c>
      <c r="Z196" s="49">
        <f t="shared" si="26"/>
        <v>252</v>
      </c>
      <c r="AA196" s="60">
        <f t="shared" si="27"/>
        <v>31252</v>
      </c>
    </row>
    <row r="197" spans="1:27">
      <c r="A197" s="83" t="str">
        <f t="shared" si="22"/>
        <v>B521navy</v>
      </c>
      <c r="B197" s="83" t="str">
        <f t="shared" si="23"/>
        <v>31-035-16</v>
      </c>
      <c r="C197" s="109" t="s">
        <v>1505</v>
      </c>
      <c r="D197" s="109" t="s">
        <v>1506</v>
      </c>
      <c r="E197" s="109" t="s">
        <v>793</v>
      </c>
      <c r="F197" s="110">
        <v>0</v>
      </c>
      <c r="G197" s="109" t="s">
        <v>1096</v>
      </c>
      <c r="H197" s="109" t="s">
        <v>55</v>
      </c>
      <c r="I197" s="109" t="s">
        <v>796</v>
      </c>
      <c r="J197" s="109" t="s">
        <v>348</v>
      </c>
      <c r="K197" s="109" t="s">
        <v>387</v>
      </c>
      <c r="L197" s="109" t="s">
        <v>523</v>
      </c>
      <c r="M197" s="109" t="s">
        <v>388</v>
      </c>
      <c r="N197" s="109" t="s">
        <v>44</v>
      </c>
      <c r="O197" s="109" t="s">
        <v>386</v>
      </c>
      <c r="P197" s="109" t="s">
        <v>827</v>
      </c>
      <c r="Q197" s="109" t="s">
        <v>829</v>
      </c>
      <c r="R197" s="109" t="s">
        <v>71</v>
      </c>
      <c r="S197" s="83" t="str">
        <f t="shared" si="24"/>
        <v>B521</v>
      </c>
      <c r="T197" s="83" t="str">
        <f t="shared" si="21"/>
        <v>RHINESTONE CAP</v>
      </c>
      <c r="Y197" s="60">
        <f t="shared" si="25"/>
        <v>31</v>
      </c>
      <c r="Z197" s="49">
        <f t="shared" si="26"/>
        <v>35</v>
      </c>
      <c r="AA197" s="60">
        <f t="shared" si="27"/>
        <v>31035</v>
      </c>
    </row>
    <row r="198" spans="1:27">
      <c r="A198" s="83" t="str">
        <f t="shared" si="22"/>
        <v>B612Hivy</v>
      </c>
      <c r="B198" s="83" t="str">
        <f t="shared" si="23"/>
        <v>31-039-11</v>
      </c>
      <c r="C198" s="109" t="s">
        <v>1507</v>
      </c>
      <c r="D198" s="109" t="s">
        <v>1508</v>
      </c>
      <c r="E198" s="109" t="s">
        <v>793</v>
      </c>
      <c r="F198" s="110">
        <v>0</v>
      </c>
      <c r="G198" s="109" t="s">
        <v>1345</v>
      </c>
      <c r="H198" s="109" t="s">
        <v>60</v>
      </c>
      <c r="I198" s="109" t="s">
        <v>863</v>
      </c>
      <c r="J198" s="109" t="s">
        <v>348</v>
      </c>
      <c r="K198" s="109" t="s">
        <v>387</v>
      </c>
      <c r="L198" s="109" t="s">
        <v>523</v>
      </c>
      <c r="M198" s="109" t="s">
        <v>388</v>
      </c>
      <c r="O198" s="109" t="s">
        <v>386</v>
      </c>
      <c r="P198" s="109" t="s">
        <v>827</v>
      </c>
      <c r="Q198" s="109" t="s">
        <v>1509</v>
      </c>
      <c r="R198" s="109" t="s">
        <v>60</v>
      </c>
      <c r="S198" s="83" t="str">
        <f t="shared" si="24"/>
        <v>B612H</v>
      </c>
      <c r="T198" s="83" t="str">
        <f t="shared" si="21"/>
        <v>FERN</v>
      </c>
      <c r="Y198" s="60">
        <f t="shared" si="25"/>
        <v>31</v>
      </c>
      <c r="Z198" s="49">
        <f t="shared" si="26"/>
        <v>39</v>
      </c>
      <c r="AA198" s="60">
        <f t="shared" si="27"/>
        <v>31039</v>
      </c>
    </row>
    <row r="199" spans="1:27">
      <c r="A199" s="83" t="str">
        <f t="shared" si="22"/>
        <v>B1936Hivy</v>
      </c>
      <c r="B199" s="83" t="str">
        <f t="shared" si="23"/>
        <v>31-253-17</v>
      </c>
      <c r="C199" s="109" t="s">
        <v>1510</v>
      </c>
      <c r="D199" s="109" t="s">
        <v>1511</v>
      </c>
      <c r="E199" s="109" t="s">
        <v>793</v>
      </c>
      <c r="F199" s="110">
        <v>0</v>
      </c>
      <c r="G199" s="109" t="s">
        <v>1512</v>
      </c>
      <c r="H199" s="109" t="s">
        <v>57</v>
      </c>
      <c r="I199" s="109" t="s">
        <v>1513</v>
      </c>
      <c r="J199" s="109" t="s">
        <v>325</v>
      </c>
      <c r="K199" s="109" t="s">
        <v>387</v>
      </c>
      <c r="L199" s="109" t="s">
        <v>523</v>
      </c>
      <c r="M199" s="109" t="s">
        <v>388</v>
      </c>
      <c r="O199" s="109" t="s">
        <v>386</v>
      </c>
      <c r="P199" s="109" t="s">
        <v>827</v>
      </c>
      <c r="Q199" s="109" t="s">
        <v>1509</v>
      </c>
      <c r="R199" s="109" t="s">
        <v>57</v>
      </c>
      <c r="S199" s="83" t="str">
        <f t="shared" si="24"/>
        <v>B1936H</v>
      </c>
      <c r="T199" s="83" t="str">
        <f t="shared" si="21"/>
        <v>RACHEL</v>
      </c>
      <c r="Y199" s="60">
        <f t="shared" si="25"/>
        <v>31</v>
      </c>
      <c r="Z199" s="49">
        <f t="shared" si="26"/>
        <v>253</v>
      </c>
      <c r="AA199" s="60">
        <f t="shared" si="27"/>
        <v>31253</v>
      </c>
    </row>
    <row r="200" spans="1:27">
      <c r="A200" s="83" t="str">
        <f t="shared" si="22"/>
        <v>B1249Hroot</v>
      </c>
      <c r="B200" s="83" t="str">
        <f t="shared" si="23"/>
        <v>31-008-91</v>
      </c>
      <c r="C200" s="109" t="s">
        <v>1514</v>
      </c>
      <c r="D200" s="109" t="s">
        <v>1515</v>
      </c>
      <c r="E200" s="109" t="s">
        <v>793</v>
      </c>
      <c r="F200" s="110">
        <v>0</v>
      </c>
      <c r="G200" s="109" t="s">
        <v>1104</v>
      </c>
      <c r="H200" s="109" t="s">
        <v>271</v>
      </c>
      <c r="I200" s="109" t="s">
        <v>789</v>
      </c>
      <c r="J200" s="109" t="s">
        <v>330</v>
      </c>
      <c r="K200" s="109" t="s">
        <v>387</v>
      </c>
      <c r="L200" s="109" t="s">
        <v>523</v>
      </c>
      <c r="M200" s="109" t="s">
        <v>388</v>
      </c>
      <c r="N200" s="109" t="s">
        <v>30</v>
      </c>
      <c r="O200" s="109" t="s">
        <v>386</v>
      </c>
      <c r="P200" s="109" t="s">
        <v>827</v>
      </c>
      <c r="Q200" s="109" t="s">
        <v>1498</v>
      </c>
      <c r="R200" s="109" t="s">
        <v>86</v>
      </c>
      <c r="S200" s="83" t="str">
        <f t="shared" si="24"/>
        <v>B1249H</v>
      </c>
      <c r="T200" s="83" t="str">
        <f t="shared" si="21"/>
        <v>DARCY</v>
      </c>
      <c r="Y200" s="60">
        <f t="shared" si="25"/>
        <v>31</v>
      </c>
      <c r="Z200" s="49">
        <f t="shared" si="26"/>
        <v>8</v>
      </c>
      <c r="AA200" s="60">
        <f t="shared" si="27"/>
        <v>31008</v>
      </c>
    </row>
    <row r="201" spans="1:27">
      <c r="A201" s="83" t="str">
        <f t="shared" si="22"/>
        <v>B1624Hdark plum</v>
      </c>
      <c r="B201" s="83" t="str">
        <f t="shared" si="23"/>
        <v>31-261-12</v>
      </c>
      <c r="C201" s="109" t="s">
        <v>1516</v>
      </c>
      <c r="D201" s="109" t="s">
        <v>1517</v>
      </c>
      <c r="E201" s="109" t="s">
        <v>793</v>
      </c>
      <c r="F201" s="110">
        <v>0</v>
      </c>
      <c r="G201" s="109" t="s">
        <v>1518</v>
      </c>
      <c r="H201" s="109" t="s">
        <v>121</v>
      </c>
      <c r="I201" s="109" t="s">
        <v>863</v>
      </c>
      <c r="J201" s="109" t="s">
        <v>357</v>
      </c>
      <c r="K201" s="109" t="s">
        <v>387</v>
      </c>
      <c r="L201" s="109" t="s">
        <v>523</v>
      </c>
      <c r="M201" s="109" t="s">
        <v>388</v>
      </c>
      <c r="O201" s="109" t="s">
        <v>386</v>
      </c>
      <c r="P201" s="109" t="s">
        <v>827</v>
      </c>
      <c r="Q201" s="109" t="s">
        <v>1519</v>
      </c>
      <c r="R201" s="109" t="s">
        <v>121</v>
      </c>
      <c r="S201" s="83" t="str">
        <f t="shared" si="24"/>
        <v>B1624H</v>
      </c>
      <c r="T201" s="83" t="str">
        <f t="shared" si="21"/>
        <v>MAGGIE</v>
      </c>
      <c r="Y201" s="60">
        <f t="shared" si="25"/>
        <v>31</v>
      </c>
      <c r="Z201" s="49">
        <f t="shared" si="26"/>
        <v>261</v>
      </c>
      <c r="AA201" s="60">
        <f t="shared" si="27"/>
        <v>31261</v>
      </c>
    </row>
    <row r="202" spans="1:27">
      <c r="A202" s="83" t="str">
        <f t="shared" si="22"/>
        <v>B1639Hnavy heather</v>
      </c>
      <c r="B202" s="83" t="str">
        <f t="shared" si="23"/>
        <v>31-119-16</v>
      </c>
      <c r="C202" s="109" t="s">
        <v>1520</v>
      </c>
      <c r="D202" s="109" t="s">
        <v>1521</v>
      </c>
      <c r="E202" s="109" t="s">
        <v>793</v>
      </c>
      <c r="F202" s="110">
        <v>0</v>
      </c>
      <c r="G202" s="109" t="s">
        <v>1522</v>
      </c>
      <c r="H202" s="109" t="s">
        <v>55</v>
      </c>
      <c r="I202" s="109" t="s">
        <v>785</v>
      </c>
      <c r="J202" s="109" t="s">
        <v>357</v>
      </c>
      <c r="K202" s="109" t="s">
        <v>387</v>
      </c>
      <c r="L202" s="109" t="s">
        <v>523</v>
      </c>
      <c r="M202" s="109" t="s">
        <v>388</v>
      </c>
      <c r="N202" s="109" t="s">
        <v>30</v>
      </c>
      <c r="O202" s="109" t="s">
        <v>386</v>
      </c>
      <c r="P202" s="109" t="s">
        <v>827</v>
      </c>
      <c r="Q202" s="109" t="s">
        <v>867</v>
      </c>
      <c r="R202" s="109" t="s">
        <v>71</v>
      </c>
      <c r="S202" s="83" t="str">
        <f t="shared" si="24"/>
        <v>B1639H</v>
      </c>
      <c r="T202" s="83" t="str">
        <f t="shared" si="21"/>
        <v>EMMA</v>
      </c>
      <c r="Y202" s="60">
        <f t="shared" si="25"/>
        <v>31</v>
      </c>
      <c r="Z202" s="49">
        <f t="shared" si="26"/>
        <v>119</v>
      </c>
      <c r="AA202" s="60">
        <f t="shared" si="27"/>
        <v>31119</v>
      </c>
    </row>
    <row r="203" spans="1:27">
      <c r="A203" s="83" t="str">
        <f t="shared" si="22"/>
        <v>B1646Hlight grey</v>
      </c>
      <c r="B203" s="83" t="str">
        <f t="shared" si="23"/>
        <v>31-120-01</v>
      </c>
      <c r="C203" s="109" t="s">
        <v>1523</v>
      </c>
      <c r="D203" s="109" t="s">
        <v>1524</v>
      </c>
      <c r="E203" s="109" t="s">
        <v>793</v>
      </c>
      <c r="F203" s="110">
        <v>0</v>
      </c>
      <c r="G203" s="109" t="s">
        <v>1525</v>
      </c>
      <c r="H203" s="109" t="s">
        <v>231</v>
      </c>
      <c r="I203" s="109" t="s">
        <v>785</v>
      </c>
      <c r="J203" s="109" t="s">
        <v>323</v>
      </c>
      <c r="K203" s="109" t="s">
        <v>387</v>
      </c>
      <c r="L203" s="109" t="s">
        <v>523</v>
      </c>
      <c r="M203" s="109" t="s">
        <v>388</v>
      </c>
      <c r="N203" s="109" t="s">
        <v>30</v>
      </c>
      <c r="O203" s="109" t="s">
        <v>386</v>
      </c>
      <c r="P203" s="109" t="s">
        <v>827</v>
      </c>
      <c r="Q203" s="109" t="s">
        <v>837</v>
      </c>
      <c r="R203" s="109" t="s">
        <v>83</v>
      </c>
      <c r="S203" s="83" t="str">
        <f t="shared" si="24"/>
        <v>B1646H</v>
      </c>
      <c r="T203" s="83" t="str">
        <f t="shared" si="21"/>
        <v>HAYDEN</v>
      </c>
      <c r="Y203" s="60">
        <f t="shared" si="25"/>
        <v>31</v>
      </c>
      <c r="Z203" s="49">
        <f t="shared" si="26"/>
        <v>120</v>
      </c>
      <c r="AA203" s="60">
        <f t="shared" si="27"/>
        <v>31120</v>
      </c>
    </row>
    <row r="204" spans="1:27">
      <c r="A204" s="83" t="str">
        <f t="shared" si="22"/>
        <v>B1677Hdark plum</v>
      </c>
      <c r="B204" s="83" t="str">
        <f t="shared" si="23"/>
        <v>31-145-12</v>
      </c>
      <c r="C204" s="109" t="s">
        <v>1526</v>
      </c>
      <c r="D204" s="109" t="s">
        <v>1527</v>
      </c>
      <c r="E204" s="109" t="s">
        <v>798</v>
      </c>
      <c r="F204" s="110">
        <v>56</v>
      </c>
      <c r="G204" s="109" t="s">
        <v>1528</v>
      </c>
      <c r="H204" s="109" t="s">
        <v>121</v>
      </c>
      <c r="I204" s="109" t="s">
        <v>785</v>
      </c>
      <c r="J204" s="109" t="s">
        <v>323</v>
      </c>
      <c r="K204" s="109" t="s">
        <v>387</v>
      </c>
      <c r="L204" s="109" t="s">
        <v>523</v>
      </c>
      <c r="M204" s="109" t="s">
        <v>388</v>
      </c>
      <c r="N204" s="109" t="s">
        <v>30</v>
      </c>
      <c r="O204" s="109" t="s">
        <v>445</v>
      </c>
      <c r="P204" s="109" t="s">
        <v>827</v>
      </c>
      <c r="Q204" s="109" t="s">
        <v>1519</v>
      </c>
      <c r="R204" s="109" t="s">
        <v>121</v>
      </c>
      <c r="S204" s="83" t="str">
        <f t="shared" si="24"/>
        <v>B1677H</v>
      </c>
      <c r="T204" s="83" t="str">
        <f t="shared" si="21"/>
        <v>HANNAH</v>
      </c>
      <c r="Y204" s="60">
        <f t="shared" si="25"/>
        <v>31</v>
      </c>
      <c r="Z204" s="49">
        <f t="shared" si="26"/>
        <v>145</v>
      </c>
      <c r="AA204" s="60">
        <f t="shared" si="27"/>
        <v>31145</v>
      </c>
    </row>
    <row r="205" spans="1:27">
      <c r="A205" s="83" t="str">
        <f t="shared" si="22"/>
        <v>B1677Hdark plum</v>
      </c>
      <c r="B205" s="83" t="str">
        <f t="shared" si="23"/>
        <v>31-145-12</v>
      </c>
      <c r="C205" s="109" t="s">
        <v>1529</v>
      </c>
      <c r="D205" s="109" t="s">
        <v>1527</v>
      </c>
      <c r="E205" s="109" t="s">
        <v>791</v>
      </c>
      <c r="F205" s="110">
        <v>58</v>
      </c>
      <c r="G205" s="109" t="s">
        <v>1528</v>
      </c>
      <c r="H205" s="109" t="s">
        <v>121</v>
      </c>
      <c r="I205" s="109" t="s">
        <v>785</v>
      </c>
      <c r="J205" s="109" t="s">
        <v>323</v>
      </c>
      <c r="K205" s="109" t="s">
        <v>387</v>
      </c>
      <c r="L205" s="109" t="s">
        <v>523</v>
      </c>
      <c r="M205" s="109" t="s">
        <v>388</v>
      </c>
      <c r="N205" s="109" t="s">
        <v>30</v>
      </c>
      <c r="O205" s="109" t="s">
        <v>445</v>
      </c>
      <c r="P205" s="109" t="s">
        <v>827</v>
      </c>
      <c r="Q205" s="109" t="s">
        <v>1519</v>
      </c>
      <c r="R205" s="109" t="s">
        <v>121</v>
      </c>
      <c r="S205" s="83" t="str">
        <f t="shared" si="24"/>
        <v>B1677H</v>
      </c>
      <c r="T205" s="83" t="str">
        <f t="shared" si="21"/>
        <v>HANNAH</v>
      </c>
      <c r="Y205" s="60">
        <f t="shared" si="25"/>
        <v>31</v>
      </c>
      <c r="Z205" s="49">
        <f t="shared" si="26"/>
        <v>145</v>
      </c>
      <c r="AA205" s="60">
        <f t="shared" si="27"/>
        <v>31145</v>
      </c>
    </row>
    <row r="206" spans="1:27">
      <c r="A206" s="83" t="str">
        <f t="shared" si="22"/>
        <v>B1758sepia</v>
      </c>
      <c r="B206" s="83" t="str">
        <f t="shared" si="23"/>
        <v>31-176-02</v>
      </c>
      <c r="C206" s="109" t="s">
        <v>1530</v>
      </c>
      <c r="D206" s="109" t="s">
        <v>1531</v>
      </c>
      <c r="E206" s="109" t="s">
        <v>793</v>
      </c>
      <c r="F206" s="110">
        <v>0</v>
      </c>
      <c r="G206" s="109" t="s">
        <v>1532</v>
      </c>
      <c r="H206" s="109" t="s">
        <v>63</v>
      </c>
      <c r="I206" s="109" t="s">
        <v>785</v>
      </c>
      <c r="J206" s="109" t="s">
        <v>323</v>
      </c>
      <c r="K206" s="109" t="s">
        <v>387</v>
      </c>
      <c r="L206" s="109" t="s">
        <v>523</v>
      </c>
      <c r="M206" s="109" t="s">
        <v>388</v>
      </c>
      <c r="N206" s="109" t="s">
        <v>30</v>
      </c>
      <c r="O206" s="109" t="s">
        <v>386</v>
      </c>
      <c r="P206" s="109" t="s">
        <v>827</v>
      </c>
      <c r="Q206" s="109" t="s">
        <v>892</v>
      </c>
      <c r="R206" s="109" t="s">
        <v>63</v>
      </c>
      <c r="S206" s="83" t="str">
        <f t="shared" si="24"/>
        <v>B1758</v>
      </c>
      <c r="T206" s="83" t="str">
        <f t="shared" si="21"/>
        <v>WHARTON</v>
      </c>
      <c r="Y206" s="60">
        <f t="shared" si="25"/>
        <v>31</v>
      </c>
      <c r="Z206" s="49">
        <f t="shared" si="26"/>
        <v>176</v>
      </c>
      <c r="AA206" s="60">
        <f t="shared" si="27"/>
        <v>31176</v>
      </c>
    </row>
    <row r="207" spans="1:27">
      <c r="A207" s="83" t="str">
        <f t="shared" si="22"/>
        <v>B1798Hsepia</v>
      </c>
      <c r="B207" s="83" t="str">
        <f t="shared" si="23"/>
        <v>31-185-02</v>
      </c>
      <c r="C207" s="109" t="s">
        <v>1533</v>
      </c>
      <c r="D207" s="109" t="s">
        <v>1534</v>
      </c>
      <c r="E207" s="109" t="s">
        <v>791</v>
      </c>
      <c r="F207" s="110">
        <v>58</v>
      </c>
      <c r="G207" s="109" t="s">
        <v>1128</v>
      </c>
      <c r="H207" s="109" t="s">
        <v>63</v>
      </c>
      <c r="I207" s="109" t="s">
        <v>785</v>
      </c>
      <c r="J207" s="109" t="s">
        <v>357</v>
      </c>
      <c r="K207" s="109" t="s">
        <v>387</v>
      </c>
      <c r="L207" s="109" t="s">
        <v>523</v>
      </c>
      <c r="M207" s="109" t="s">
        <v>388</v>
      </c>
      <c r="N207" s="109" t="s">
        <v>30</v>
      </c>
      <c r="O207" s="109" t="s">
        <v>445</v>
      </c>
      <c r="P207" s="109" t="s">
        <v>827</v>
      </c>
      <c r="Q207" s="109" t="s">
        <v>892</v>
      </c>
      <c r="R207" s="109" t="s">
        <v>63</v>
      </c>
      <c r="S207" s="83" t="str">
        <f t="shared" si="24"/>
        <v>B1798H</v>
      </c>
      <c r="T207" s="83" t="str">
        <f t="shared" si="21"/>
        <v>CASSAT</v>
      </c>
      <c r="Y207" s="60">
        <f t="shared" si="25"/>
        <v>31</v>
      </c>
      <c r="Z207" s="49">
        <f t="shared" si="26"/>
        <v>185</v>
      </c>
      <c r="AA207" s="60">
        <f t="shared" si="27"/>
        <v>31185</v>
      </c>
    </row>
    <row r="208" spans="1:27">
      <c r="A208" s="83" t="str">
        <f t="shared" si="22"/>
        <v>B1799Hsepia</v>
      </c>
      <c r="B208" s="83" t="str">
        <f t="shared" si="23"/>
        <v>31-178-02</v>
      </c>
      <c r="C208" s="109" t="s">
        <v>1535</v>
      </c>
      <c r="D208" s="109" t="s">
        <v>1536</v>
      </c>
      <c r="E208" s="109" t="s">
        <v>793</v>
      </c>
      <c r="F208" s="110">
        <v>0</v>
      </c>
      <c r="G208" s="109" t="s">
        <v>1132</v>
      </c>
      <c r="H208" s="109" t="s">
        <v>63</v>
      </c>
      <c r="I208" s="109" t="s">
        <v>785</v>
      </c>
      <c r="J208" s="109" t="s">
        <v>323</v>
      </c>
      <c r="K208" s="109" t="s">
        <v>387</v>
      </c>
      <c r="L208" s="109" t="s">
        <v>523</v>
      </c>
      <c r="M208" s="109" t="s">
        <v>388</v>
      </c>
      <c r="N208" s="109" t="s">
        <v>30</v>
      </c>
      <c r="O208" s="109" t="s">
        <v>386</v>
      </c>
      <c r="P208" s="109" t="s">
        <v>827</v>
      </c>
      <c r="Q208" s="109" t="s">
        <v>892</v>
      </c>
      <c r="R208" s="109" t="s">
        <v>63</v>
      </c>
      <c r="S208" s="83" t="str">
        <f t="shared" si="24"/>
        <v>B1799H</v>
      </c>
      <c r="T208" s="83" t="str">
        <f t="shared" si="21"/>
        <v>MULLINS</v>
      </c>
      <c r="Y208" s="60">
        <f t="shared" si="25"/>
        <v>31</v>
      </c>
      <c r="Z208" s="49">
        <f t="shared" si="26"/>
        <v>178</v>
      </c>
      <c r="AA208" s="60">
        <f t="shared" si="27"/>
        <v>31178</v>
      </c>
    </row>
    <row r="209" spans="1:27">
      <c r="A209" s="83" t="str">
        <f t="shared" si="22"/>
        <v>B1863Hlight camel</v>
      </c>
      <c r="B209" s="83" t="str">
        <f t="shared" si="23"/>
        <v>31-227-02</v>
      </c>
      <c r="C209" s="109" t="s">
        <v>1537</v>
      </c>
      <c r="D209" s="109" t="s">
        <v>1538</v>
      </c>
      <c r="E209" s="109" t="s">
        <v>793</v>
      </c>
      <c r="F209" s="110">
        <v>0</v>
      </c>
      <c r="G209" s="109" t="s">
        <v>1135</v>
      </c>
      <c r="H209" s="109" t="s">
        <v>63</v>
      </c>
      <c r="I209" s="109" t="s">
        <v>1136</v>
      </c>
      <c r="J209" s="109" t="s">
        <v>357</v>
      </c>
      <c r="K209" s="109" t="s">
        <v>387</v>
      </c>
      <c r="L209" s="109" t="s">
        <v>523</v>
      </c>
      <c r="M209" s="109" t="s">
        <v>388</v>
      </c>
      <c r="N209" s="109" t="s">
        <v>44</v>
      </c>
      <c r="O209" s="109" t="s">
        <v>386</v>
      </c>
      <c r="P209" s="109" t="s">
        <v>827</v>
      </c>
      <c r="Q209" s="109" t="s">
        <v>1539</v>
      </c>
      <c r="R209" s="109" t="s">
        <v>63</v>
      </c>
      <c r="S209" s="83" t="str">
        <f t="shared" si="24"/>
        <v>B1863H</v>
      </c>
      <c r="T209" s="83" t="str">
        <f t="shared" si="21"/>
        <v>SOPHIYA</v>
      </c>
      <c r="Y209" s="60">
        <f t="shared" si="25"/>
        <v>31</v>
      </c>
      <c r="Z209" s="49">
        <f t="shared" si="26"/>
        <v>227</v>
      </c>
      <c r="AA209" s="60">
        <f t="shared" si="27"/>
        <v>31227</v>
      </c>
    </row>
    <row r="210" spans="1:27">
      <c r="A210" s="83" t="str">
        <f t="shared" si="22"/>
        <v>B1883Hslate</v>
      </c>
      <c r="B210" s="83" t="str">
        <f t="shared" si="23"/>
        <v>31-233-05</v>
      </c>
      <c r="C210" s="109" t="s">
        <v>1540</v>
      </c>
      <c r="D210" s="109" t="s">
        <v>1541</v>
      </c>
      <c r="E210" s="109" t="s">
        <v>798</v>
      </c>
      <c r="F210" s="110">
        <v>56</v>
      </c>
      <c r="G210" s="109" t="s">
        <v>1158</v>
      </c>
      <c r="H210" s="109" t="s">
        <v>277</v>
      </c>
      <c r="I210" s="109" t="s">
        <v>785</v>
      </c>
      <c r="J210" s="109" t="s">
        <v>330</v>
      </c>
      <c r="K210" s="109" t="s">
        <v>387</v>
      </c>
      <c r="L210" s="109" t="s">
        <v>523</v>
      </c>
      <c r="M210" s="109" t="s">
        <v>388</v>
      </c>
      <c r="N210" s="109" t="s">
        <v>30</v>
      </c>
      <c r="O210" s="109" t="s">
        <v>445</v>
      </c>
      <c r="P210" s="109" t="s">
        <v>827</v>
      </c>
      <c r="Q210" s="109" t="s">
        <v>883</v>
      </c>
      <c r="R210" s="109" t="s">
        <v>83</v>
      </c>
      <c r="S210" s="83" t="str">
        <f t="shared" si="24"/>
        <v>B1883H</v>
      </c>
      <c r="T210" s="83" t="str">
        <f t="shared" si="21"/>
        <v>ASHLAND</v>
      </c>
      <c r="Y210" s="60">
        <f t="shared" si="25"/>
        <v>31</v>
      </c>
      <c r="Z210" s="49">
        <f t="shared" si="26"/>
        <v>233</v>
      </c>
      <c r="AA210" s="60">
        <f t="shared" si="27"/>
        <v>31233</v>
      </c>
    </row>
    <row r="211" spans="1:27">
      <c r="A211" s="83" t="str">
        <f t="shared" si="22"/>
        <v>B1883Hslate</v>
      </c>
      <c r="B211" s="83" t="str">
        <f t="shared" si="23"/>
        <v>31-233-05</v>
      </c>
      <c r="C211" s="109" t="s">
        <v>1542</v>
      </c>
      <c r="D211" s="109" t="s">
        <v>1541</v>
      </c>
      <c r="E211" s="109" t="s">
        <v>791</v>
      </c>
      <c r="F211" s="110">
        <v>58</v>
      </c>
      <c r="G211" s="109" t="s">
        <v>1158</v>
      </c>
      <c r="H211" s="109" t="s">
        <v>277</v>
      </c>
      <c r="I211" s="109" t="s">
        <v>785</v>
      </c>
      <c r="J211" s="109" t="s">
        <v>330</v>
      </c>
      <c r="K211" s="109" t="s">
        <v>387</v>
      </c>
      <c r="L211" s="109" t="s">
        <v>523</v>
      </c>
      <c r="M211" s="109" t="s">
        <v>388</v>
      </c>
      <c r="N211" s="109" t="s">
        <v>30</v>
      </c>
      <c r="O211" s="109" t="s">
        <v>445</v>
      </c>
      <c r="P211" s="109" t="s">
        <v>827</v>
      </c>
      <c r="Q211" s="109" t="s">
        <v>883</v>
      </c>
      <c r="R211" s="109" t="s">
        <v>83</v>
      </c>
      <c r="S211" s="83" t="str">
        <f t="shared" si="24"/>
        <v>B1883H</v>
      </c>
      <c r="T211" s="83" t="str">
        <f t="shared" si="21"/>
        <v>ASHLAND</v>
      </c>
      <c r="Y211" s="60">
        <f t="shared" si="25"/>
        <v>31</v>
      </c>
      <c r="Z211" s="49">
        <f t="shared" si="26"/>
        <v>233</v>
      </c>
      <c r="AA211" s="60">
        <f t="shared" si="27"/>
        <v>31233</v>
      </c>
    </row>
    <row r="212" spans="1:27">
      <c r="A212" s="83" t="str">
        <f t="shared" si="22"/>
        <v>B1923Hscarlet</v>
      </c>
      <c r="B212" s="83" t="str">
        <f t="shared" si="23"/>
        <v>31-255-00</v>
      </c>
      <c r="C212" s="109" t="s">
        <v>1543</v>
      </c>
      <c r="D212" s="109" t="s">
        <v>1544</v>
      </c>
      <c r="E212" s="109" t="s">
        <v>793</v>
      </c>
      <c r="F212" s="110">
        <v>0</v>
      </c>
      <c r="G212" s="109" t="s">
        <v>1545</v>
      </c>
      <c r="H212" s="109" t="s">
        <v>185</v>
      </c>
      <c r="I212" s="109" t="s">
        <v>1546</v>
      </c>
      <c r="J212" s="109" t="s">
        <v>357</v>
      </c>
      <c r="K212" s="109" t="s">
        <v>387</v>
      </c>
      <c r="L212" s="109" t="s">
        <v>523</v>
      </c>
      <c r="M212" s="109" t="s">
        <v>388</v>
      </c>
      <c r="N212" s="109" t="s">
        <v>44</v>
      </c>
      <c r="O212" s="109" t="s">
        <v>386</v>
      </c>
      <c r="P212" s="109" t="s">
        <v>827</v>
      </c>
      <c r="Q212" s="109" t="s">
        <v>896</v>
      </c>
      <c r="R212" s="109" t="s">
        <v>78</v>
      </c>
      <c r="S212" s="83" t="str">
        <f t="shared" si="24"/>
        <v>B1923H</v>
      </c>
      <c r="T212" s="83" t="str">
        <f t="shared" si="21"/>
        <v>COLETTE</v>
      </c>
      <c r="Y212" s="60">
        <f t="shared" si="25"/>
        <v>31</v>
      </c>
      <c r="Z212" s="49">
        <f t="shared" si="26"/>
        <v>255</v>
      </c>
      <c r="AA212" s="60">
        <f t="shared" si="27"/>
        <v>31255</v>
      </c>
    </row>
    <row r="213" spans="1:27">
      <c r="A213" s="83" t="str">
        <f t="shared" si="22"/>
        <v>B1924Hblack</v>
      </c>
      <c r="B213" s="83" t="str">
        <f t="shared" si="23"/>
        <v>31-259-09</v>
      </c>
      <c r="C213" s="109" t="s">
        <v>1547</v>
      </c>
      <c r="D213" s="109" t="s">
        <v>1548</v>
      </c>
      <c r="E213" s="109" t="s">
        <v>793</v>
      </c>
      <c r="F213" s="110">
        <v>0</v>
      </c>
      <c r="G213" s="109" t="s">
        <v>1549</v>
      </c>
      <c r="H213" s="109" t="s">
        <v>53</v>
      </c>
      <c r="I213" s="109" t="s">
        <v>785</v>
      </c>
      <c r="J213" s="109" t="s">
        <v>321</v>
      </c>
      <c r="K213" s="109" t="s">
        <v>387</v>
      </c>
      <c r="L213" s="109" t="s">
        <v>523</v>
      </c>
      <c r="M213" s="109" t="s">
        <v>388</v>
      </c>
      <c r="N213" s="109" t="s">
        <v>30</v>
      </c>
      <c r="O213" s="109" t="s">
        <v>386</v>
      </c>
      <c r="P213" s="109" t="s">
        <v>827</v>
      </c>
      <c r="Q213" s="109" t="s">
        <v>831</v>
      </c>
      <c r="R213" s="109" t="s">
        <v>53</v>
      </c>
      <c r="S213" s="83" t="str">
        <f t="shared" si="24"/>
        <v>B1924H</v>
      </c>
      <c r="T213" s="83" t="str">
        <f t="shared" si="21"/>
        <v>ELEANORE</v>
      </c>
      <c r="Y213" s="60">
        <f t="shared" si="25"/>
        <v>31</v>
      </c>
      <c r="Z213" s="49">
        <f t="shared" si="26"/>
        <v>259</v>
      </c>
      <c r="AA213" s="60">
        <f t="shared" si="27"/>
        <v>31259</v>
      </c>
    </row>
    <row r="214" spans="1:27">
      <c r="A214" s="83" t="str">
        <f t="shared" si="22"/>
        <v>B1925Hdark green</v>
      </c>
      <c r="B214" s="83" t="str">
        <f t="shared" si="23"/>
        <v>31-250-07</v>
      </c>
      <c r="C214" s="109" t="s">
        <v>1550</v>
      </c>
      <c r="D214" s="109" t="s">
        <v>1551</v>
      </c>
      <c r="E214" s="109" t="s">
        <v>793</v>
      </c>
      <c r="F214" s="110">
        <v>0</v>
      </c>
      <c r="G214" s="109" t="s">
        <v>1552</v>
      </c>
      <c r="H214" s="109" t="s">
        <v>269</v>
      </c>
      <c r="I214" s="109" t="s">
        <v>785</v>
      </c>
      <c r="J214" s="109" t="s">
        <v>357</v>
      </c>
      <c r="K214" s="109" t="s">
        <v>387</v>
      </c>
      <c r="L214" s="109" t="s">
        <v>523</v>
      </c>
      <c r="M214" s="109" t="s">
        <v>388</v>
      </c>
      <c r="N214" s="109" t="s">
        <v>30</v>
      </c>
      <c r="O214" s="109" t="s">
        <v>386</v>
      </c>
      <c r="P214" s="109" t="s">
        <v>827</v>
      </c>
      <c r="Q214" s="109" t="s">
        <v>897</v>
      </c>
      <c r="R214" s="109" t="s">
        <v>60</v>
      </c>
      <c r="S214" s="83" t="str">
        <f t="shared" si="24"/>
        <v>B1925H</v>
      </c>
      <c r="T214" s="83" t="str">
        <f t="shared" si="21"/>
        <v>FRANCESCA</v>
      </c>
      <c r="Y214" s="60">
        <f t="shared" si="25"/>
        <v>31</v>
      </c>
      <c r="Z214" s="49">
        <f t="shared" si="26"/>
        <v>250</v>
      </c>
      <c r="AA214" s="60">
        <f t="shared" si="27"/>
        <v>31250</v>
      </c>
    </row>
    <row r="215" spans="1:27">
      <c r="A215" s="83" t="str">
        <f t="shared" si="22"/>
        <v>B1928Hdark plum</v>
      </c>
      <c r="B215" s="83" t="str">
        <f t="shared" si="23"/>
        <v>31-254-12</v>
      </c>
      <c r="C215" s="109" t="s">
        <v>1553</v>
      </c>
      <c r="D215" s="109" t="s">
        <v>1554</v>
      </c>
      <c r="E215" s="109" t="s">
        <v>793</v>
      </c>
      <c r="F215" s="110">
        <v>0</v>
      </c>
      <c r="G215" s="109" t="s">
        <v>1555</v>
      </c>
      <c r="H215" s="109" t="s">
        <v>121</v>
      </c>
      <c r="I215" s="109" t="s">
        <v>785</v>
      </c>
      <c r="J215" s="109" t="s">
        <v>357</v>
      </c>
      <c r="K215" s="109" t="s">
        <v>387</v>
      </c>
      <c r="L215" s="109" t="s">
        <v>523</v>
      </c>
      <c r="M215" s="109" t="s">
        <v>388</v>
      </c>
      <c r="N215" s="109" t="s">
        <v>30</v>
      </c>
      <c r="O215" s="109" t="s">
        <v>386</v>
      </c>
      <c r="P215" s="109" t="s">
        <v>827</v>
      </c>
      <c r="Q215" s="109" t="s">
        <v>1519</v>
      </c>
      <c r="R215" s="109" t="s">
        <v>121</v>
      </c>
      <c r="S215" s="83" t="str">
        <f t="shared" si="24"/>
        <v>B1928H</v>
      </c>
      <c r="T215" s="83" t="str">
        <f t="shared" si="21"/>
        <v>KATE</v>
      </c>
      <c r="Y215" s="60">
        <f t="shared" si="25"/>
        <v>31</v>
      </c>
      <c r="Z215" s="49">
        <f t="shared" si="26"/>
        <v>254</v>
      </c>
      <c r="AA215" s="60">
        <f t="shared" si="27"/>
        <v>31254</v>
      </c>
    </row>
    <row r="216" spans="1:27">
      <c r="A216" s="83" t="str">
        <f t="shared" si="22"/>
        <v>B1929Hsilver birch</v>
      </c>
      <c r="B216" s="83" t="str">
        <f t="shared" si="23"/>
        <v>31-258-01</v>
      </c>
      <c r="C216" s="109" t="s">
        <v>1556</v>
      </c>
      <c r="D216" s="109" t="s">
        <v>1557</v>
      </c>
      <c r="E216" s="109" t="s">
        <v>793</v>
      </c>
      <c r="F216" s="110">
        <v>0</v>
      </c>
      <c r="G216" s="109" t="s">
        <v>1558</v>
      </c>
      <c r="H216" s="109" t="s">
        <v>231</v>
      </c>
      <c r="I216" s="109" t="s">
        <v>785</v>
      </c>
      <c r="J216" s="109" t="s">
        <v>323</v>
      </c>
      <c r="K216" s="109" t="s">
        <v>387</v>
      </c>
      <c r="L216" s="109" t="s">
        <v>523</v>
      </c>
      <c r="M216" s="109" t="s">
        <v>388</v>
      </c>
      <c r="N216" s="109" t="s">
        <v>30</v>
      </c>
      <c r="O216" s="109" t="s">
        <v>386</v>
      </c>
      <c r="P216" s="109" t="s">
        <v>827</v>
      </c>
      <c r="Q216" s="109" t="s">
        <v>1486</v>
      </c>
      <c r="R216" s="109" t="s">
        <v>83</v>
      </c>
      <c r="S216" s="83" t="str">
        <f t="shared" si="24"/>
        <v>B1929H</v>
      </c>
      <c r="T216" s="83" t="str">
        <f t="shared" si="21"/>
        <v>VICTORIA</v>
      </c>
      <c r="Y216" s="60">
        <f t="shared" si="25"/>
        <v>31</v>
      </c>
      <c r="Z216" s="49">
        <f t="shared" si="26"/>
        <v>258</v>
      </c>
      <c r="AA216" s="60">
        <f t="shared" si="27"/>
        <v>31258</v>
      </c>
    </row>
    <row r="217" spans="1:27">
      <c r="A217" s="83" t="str">
        <f t="shared" si="22"/>
        <v>B1930Hblack</v>
      </c>
      <c r="B217" s="83" t="str">
        <f t="shared" si="23"/>
        <v>31-260-09</v>
      </c>
      <c r="C217" s="109" t="s">
        <v>1559</v>
      </c>
      <c r="D217" s="109" t="s">
        <v>1560</v>
      </c>
      <c r="E217" s="109" t="s">
        <v>793</v>
      </c>
      <c r="F217" s="110">
        <v>0</v>
      </c>
      <c r="G217" s="109" t="s">
        <v>1561</v>
      </c>
      <c r="H217" s="109" t="s">
        <v>53</v>
      </c>
      <c r="I217" s="109" t="s">
        <v>785</v>
      </c>
      <c r="J217" s="109" t="s">
        <v>330</v>
      </c>
      <c r="K217" s="109" t="s">
        <v>387</v>
      </c>
      <c r="L217" s="109" t="s">
        <v>523</v>
      </c>
      <c r="M217" s="109" t="s">
        <v>388</v>
      </c>
      <c r="N217" s="109" t="s">
        <v>30</v>
      </c>
      <c r="O217" s="109" t="s">
        <v>386</v>
      </c>
      <c r="P217" s="109" t="s">
        <v>827</v>
      </c>
      <c r="Q217" s="109" t="s">
        <v>831</v>
      </c>
      <c r="R217" s="109" t="s">
        <v>53</v>
      </c>
      <c r="S217" s="83" t="str">
        <f t="shared" si="24"/>
        <v>B1930H</v>
      </c>
      <c r="T217" s="83" t="str">
        <f t="shared" si="21"/>
        <v>INEZ</v>
      </c>
      <c r="Y217" s="60">
        <f t="shared" si="25"/>
        <v>31</v>
      </c>
      <c r="Z217" s="49">
        <f t="shared" si="26"/>
        <v>260</v>
      </c>
      <c r="AA217" s="60">
        <f t="shared" si="27"/>
        <v>31260</v>
      </c>
    </row>
    <row r="218" spans="1:27">
      <c r="A218" s="83" t="str">
        <f t="shared" si="22"/>
        <v>B1937Hdk.blue</v>
      </c>
      <c r="B218" s="83" t="str">
        <f>IF(C218&lt;&gt;"",LEFT(C218,9),"")</f>
        <v>31-256-16</v>
      </c>
      <c r="C218" s="109" t="s">
        <v>1562</v>
      </c>
      <c r="D218" s="109" t="s">
        <v>1563</v>
      </c>
      <c r="E218" s="109" t="s">
        <v>793</v>
      </c>
      <c r="F218" s="110">
        <v>0</v>
      </c>
      <c r="G218" s="109" t="s">
        <v>1564</v>
      </c>
      <c r="H218" s="109" t="s">
        <v>55</v>
      </c>
      <c r="I218" s="109" t="s">
        <v>1565</v>
      </c>
      <c r="J218" s="109" t="s">
        <v>321</v>
      </c>
      <c r="K218" s="109" t="s">
        <v>387</v>
      </c>
      <c r="L218" s="109" t="s">
        <v>523</v>
      </c>
      <c r="M218" s="109" t="s">
        <v>388</v>
      </c>
      <c r="O218" s="109" t="s">
        <v>386</v>
      </c>
      <c r="P218" s="109" t="s">
        <v>827</v>
      </c>
      <c r="Q218" s="109" t="s">
        <v>872</v>
      </c>
      <c r="R218" s="109" t="s">
        <v>71</v>
      </c>
      <c r="S218" s="83" t="str">
        <f t="shared" si="24"/>
        <v>B1937H</v>
      </c>
      <c r="T218" s="83" t="str">
        <f t="shared" si="21"/>
        <v>AUDREY</v>
      </c>
      <c r="Y218" s="60">
        <f t="shared" si="25"/>
        <v>31</v>
      </c>
      <c r="Z218" s="49">
        <f t="shared" si="26"/>
        <v>256</v>
      </c>
      <c r="AA218" s="60">
        <f t="shared" si="27"/>
        <v>31256</v>
      </c>
    </row>
    <row r="219" spans="1:27">
      <c r="A219" s="83" t="str">
        <f t="shared" si="22"/>
        <v>B1938Hsilver birch</v>
      </c>
      <c r="B219" s="83" t="str">
        <f t="shared" si="23"/>
        <v>31-249-01</v>
      </c>
      <c r="C219" s="109" t="s">
        <v>1566</v>
      </c>
      <c r="D219" s="109" t="s">
        <v>1567</v>
      </c>
      <c r="E219" s="109" t="s">
        <v>793</v>
      </c>
      <c r="F219" s="110">
        <v>0</v>
      </c>
      <c r="G219" s="109" t="s">
        <v>1568</v>
      </c>
      <c r="H219" s="109" t="s">
        <v>231</v>
      </c>
      <c r="I219" s="109" t="s">
        <v>794</v>
      </c>
      <c r="J219" s="109" t="s">
        <v>357</v>
      </c>
      <c r="K219" s="109" t="s">
        <v>387</v>
      </c>
      <c r="L219" s="109" t="s">
        <v>523</v>
      </c>
      <c r="M219" s="109" t="s">
        <v>388</v>
      </c>
      <c r="O219" s="109" t="s">
        <v>386</v>
      </c>
      <c r="P219" s="109" t="s">
        <v>827</v>
      </c>
      <c r="Q219" s="109" t="s">
        <v>1486</v>
      </c>
      <c r="R219" s="109" t="s">
        <v>83</v>
      </c>
      <c r="S219" s="83" t="str">
        <f t="shared" si="24"/>
        <v>B1938H</v>
      </c>
      <c r="T219" s="83" t="str">
        <f t="shared" si="21"/>
        <v>SUZETTE</v>
      </c>
      <c r="Y219" s="60">
        <f t="shared" si="25"/>
        <v>31</v>
      </c>
      <c r="Z219" s="49">
        <f t="shared" si="26"/>
        <v>249</v>
      </c>
      <c r="AA219" s="60">
        <f t="shared" si="27"/>
        <v>31249</v>
      </c>
    </row>
    <row r="220" spans="1:27">
      <c r="A220" s="83" t="str">
        <f t="shared" si="22"/>
        <v>B1942Hslate</v>
      </c>
      <c r="B220" s="83" t="str">
        <f t="shared" si="23"/>
        <v>31-257-05</v>
      </c>
      <c r="C220" s="109" t="s">
        <v>1569</v>
      </c>
      <c r="D220" s="109" t="s">
        <v>1570</v>
      </c>
      <c r="E220" s="109" t="s">
        <v>791</v>
      </c>
      <c r="F220" s="110">
        <v>58</v>
      </c>
      <c r="G220" s="109" t="s">
        <v>1571</v>
      </c>
      <c r="H220" s="109" t="s">
        <v>277</v>
      </c>
      <c r="I220" s="109" t="s">
        <v>785</v>
      </c>
      <c r="J220" s="109" t="s">
        <v>357</v>
      </c>
      <c r="K220" s="109" t="s">
        <v>387</v>
      </c>
      <c r="L220" s="109" t="s">
        <v>523</v>
      </c>
      <c r="M220" s="109" t="s">
        <v>388</v>
      </c>
      <c r="N220" s="109" t="s">
        <v>30</v>
      </c>
      <c r="O220" s="109" t="s">
        <v>445</v>
      </c>
      <c r="P220" s="109" t="s">
        <v>827</v>
      </c>
      <c r="Q220" s="109" t="s">
        <v>883</v>
      </c>
      <c r="R220" s="109" t="s">
        <v>83</v>
      </c>
      <c r="S220" s="83" t="str">
        <f t="shared" si="24"/>
        <v>B1942H</v>
      </c>
      <c r="T220" s="83" t="str">
        <f t="shared" si="21"/>
        <v>VANESSA</v>
      </c>
      <c r="Y220" s="60">
        <f t="shared" si="25"/>
        <v>31</v>
      </c>
      <c r="Z220" s="49">
        <f t="shared" si="26"/>
        <v>257</v>
      </c>
      <c r="AA220" s="60">
        <f t="shared" si="27"/>
        <v>31257</v>
      </c>
    </row>
    <row r="221" spans="1:27">
      <c r="A221" s="83" t="str">
        <f t="shared" si="22"/>
        <v>B434Hteal</v>
      </c>
      <c r="B221" s="83" t="str">
        <f t="shared" si="23"/>
        <v>31-032-65</v>
      </c>
      <c r="C221" s="109" t="s">
        <v>1572</v>
      </c>
      <c r="D221" s="109" t="s">
        <v>1573</v>
      </c>
      <c r="E221" s="109" t="s">
        <v>793</v>
      </c>
      <c r="F221" s="110">
        <v>0</v>
      </c>
      <c r="G221" s="109" t="s">
        <v>1174</v>
      </c>
      <c r="H221" s="109" t="s">
        <v>782</v>
      </c>
      <c r="I221" s="109" t="s">
        <v>1154</v>
      </c>
      <c r="J221" s="109" t="s">
        <v>357</v>
      </c>
      <c r="K221" s="109" t="s">
        <v>387</v>
      </c>
      <c r="L221" s="109" t="s">
        <v>523</v>
      </c>
      <c r="M221" s="109" t="s">
        <v>388</v>
      </c>
      <c r="O221" s="109" t="s">
        <v>386</v>
      </c>
      <c r="P221" s="109" t="s">
        <v>827</v>
      </c>
      <c r="Q221" s="109" t="s">
        <v>1574</v>
      </c>
      <c r="R221" s="109" t="s">
        <v>91</v>
      </c>
      <c r="S221" s="83" t="str">
        <f t="shared" si="24"/>
        <v>B434H</v>
      </c>
      <c r="T221" s="83" t="str">
        <f t="shared" si="21"/>
        <v>WILLOW</v>
      </c>
      <c r="Y221" s="60">
        <f t="shared" si="25"/>
        <v>31</v>
      </c>
      <c r="Z221" s="49">
        <f t="shared" si="26"/>
        <v>32</v>
      </c>
      <c r="AA221" s="60">
        <f t="shared" si="27"/>
        <v>31032</v>
      </c>
    </row>
    <row r="222" spans="1:27">
      <c r="A222" s="83" t="str">
        <f t="shared" si="22"/>
        <v>B545Hsepia</v>
      </c>
      <c r="B222" s="83" t="str">
        <f t="shared" si="23"/>
        <v>31-037-14</v>
      </c>
      <c r="C222" s="109" t="s">
        <v>1575</v>
      </c>
      <c r="D222" s="109" t="s">
        <v>1576</v>
      </c>
      <c r="E222" s="109" t="s">
        <v>793</v>
      </c>
      <c r="F222" s="110">
        <v>0</v>
      </c>
      <c r="G222" s="109" t="s">
        <v>1178</v>
      </c>
      <c r="H222" s="109" t="s">
        <v>86</v>
      </c>
      <c r="I222" s="109" t="s">
        <v>785</v>
      </c>
      <c r="J222" s="109" t="s">
        <v>357</v>
      </c>
      <c r="K222" s="109" t="s">
        <v>387</v>
      </c>
      <c r="L222" s="109" t="s">
        <v>523</v>
      </c>
      <c r="M222" s="109" t="s">
        <v>388</v>
      </c>
      <c r="N222" s="109" t="s">
        <v>30</v>
      </c>
      <c r="O222" s="109" t="s">
        <v>386</v>
      </c>
      <c r="P222" s="109" t="s">
        <v>827</v>
      </c>
      <c r="Q222" s="109" t="s">
        <v>892</v>
      </c>
      <c r="R222" s="109" t="s">
        <v>86</v>
      </c>
      <c r="S222" s="83" t="str">
        <f t="shared" si="24"/>
        <v>B545H</v>
      </c>
      <c r="T222" s="83" t="str">
        <f t="shared" si="21"/>
        <v>ALEXANDRITE</v>
      </c>
      <c r="Y222" s="60">
        <f t="shared" si="25"/>
        <v>31</v>
      </c>
      <c r="Z222" s="49">
        <f t="shared" si="26"/>
        <v>37</v>
      </c>
      <c r="AA222" s="60">
        <f t="shared" si="27"/>
        <v>31037</v>
      </c>
    </row>
    <row r="223" spans="1:27">
      <c r="A223" s="83" t="str">
        <f t="shared" si="22"/>
        <v>B745sunset</v>
      </c>
      <c r="B223" s="83" t="str">
        <f t="shared" si="23"/>
        <v>31-041-13</v>
      </c>
      <c r="C223" s="109" t="s">
        <v>1577</v>
      </c>
      <c r="D223" s="109" t="s">
        <v>1578</v>
      </c>
      <c r="E223" s="109" t="s">
        <v>793</v>
      </c>
      <c r="F223" s="110">
        <v>0</v>
      </c>
      <c r="G223" s="109" t="s">
        <v>1579</v>
      </c>
      <c r="H223" s="109" t="s">
        <v>199</v>
      </c>
      <c r="I223" s="109" t="s">
        <v>863</v>
      </c>
      <c r="J223" s="109" t="s">
        <v>357</v>
      </c>
      <c r="K223" s="109" t="s">
        <v>387</v>
      </c>
      <c r="L223" s="109" t="s">
        <v>523</v>
      </c>
      <c r="M223" s="109" t="s">
        <v>388</v>
      </c>
      <c r="O223" s="109" t="s">
        <v>386</v>
      </c>
      <c r="P223" s="109" t="s">
        <v>827</v>
      </c>
      <c r="Q223" s="109" t="s">
        <v>862</v>
      </c>
      <c r="R223" s="109" t="s">
        <v>199</v>
      </c>
      <c r="S223" s="83" t="str">
        <f t="shared" si="24"/>
        <v>B745</v>
      </c>
      <c r="T223" s="83" t="str">
        <f t="shared" si="21"/>
        <v>QUILTED BUCKET</v>
      </c>
      <c r="Y223" s="60">
        <f t="shared" si="25"/>
        <v>31</v>
      </c>
      <c r="Z223" s="49">
        <f t="shared" si="26"/>
        <v>41</v>
      </c>
      <c r="AA223" s="60">
        <f t="shared" si="27"/>
        <v>31041</v>
      </c>
    </row>
    <row r="224" spans="1:27">
      <c r="A224" s="83" t="str">
        <f t="shared" si="22"/>
        <v>B1708Hskyway</v>
      </c>
      <c r="B224" s="83" t="str">
        <f t="shared" si="23"/>
        <v>31-155-19</v>
      </c>
      <c r="C224" s="109" t="s">
        <v>1580</v>
      </c>
      <c r="D224" s="109" t="s">
        <v>1581</v>
      </c>
      <c r="E224" s="109" t="s">
        <v>793</v>
      </c>
      <c r="F224" s="110">
        <v>0</v>
      </c>
      <c r="G224" s="109" t="s">
        <v>992</v>
      </c>
      <c r="H224" s="109" t="s">
        <v>91</v>
      </c>
      <c r="I224" s="109" t="s">
        <v>787</v>
      </c>
      <c r="J224" s="109" t="s">
        <v>348</v>
      </c>
      <c r="K224" s="109" t="s">
        <v>387</v>
      </c>
      <c r="L224" s="109" t="s">
        <v>523</v>
      </c>
      <c r="M224" s="109" t="s">
        <v>384</v>
      </c>
      <c r="N224" s="109" t="s">
        <v>43</v>
      </c>
      <c r="O224" s="109" t="s">
        <v>386</v>
      </c>
      <c r="P224" s="109" t="s">
        <v>827</v>
      </c>
      <c r="Q224" s="109" t="s">
        <v>1582</v>
      </c>
      <c r="R224" s="109" t="s">
        <v>91</v>
      </c>
      <c r="S224" s="83" t="str">
        <f t="shared" si="24"/>
        <v>B1708H</v>
      </c>
      <c r="T224" s="83" t="str">
        <f t="shared" si="21"/>
        <v>FISHERMAN CAP</v>
      </c>
      <c r="Y224" s="60">
        <f t="shared" si="25"/>
        <v>31</v>
      </c>
      <c r="Z224" s="49">
        <f t="shared" si="26"/>
        <v>155</v>
      </c>
      <c r="AA224" s="60">
        <f t="shared" si="27"/>
        <v>31155</v>
      </c>
    </row>
    <row r="225" spans="1:27">
      <c r="A225" s="83" t="str">
        <f t="shared" si="22"/>
        <v>B1952Htide blue</v>
      </c>
      <c r="B225" s="83" t="str">
        <f t="shared" si="23"/>
        <v>31-261-19</v>
      </c>
      <c r="C225" s="109" t="s">
        <v>1583</v>
      </c>
      <c r="D225" s="109" t="s">
        <v>1584</v>
      </c>
      <c r="E225" s="109" t="s">
        <v>793</v>
      </c>
      <c r="F225" s="110">
        <v>0</v>
      </c>
      <c r="G225" s="109" t="s">
        <v>1585</v>
      </c>
      <c r="H225" s="109" t="s">
        <v>91</v>
      </c>
      <c r="I225" s="109" t="s">
        <v>787</v>
      </c>
      <c r="J225" s="109" t="s">
        <v>351</v>
      </c>
      <c r="K225" s="109" t="s">
        <v>387</v>
      </c>
      <c r="L225" s="109" t="s">
        <v>523</v>
      </c>
      <c r="M225" s="109" t="s">
        <v>388</v>
      </c>
      <c r="N225" s="109" t="s">
        <v>43</v>
      </c>
      <c r="O225" s="109" t="s">
        <v>386</v>
      </c>
      <c r="P225" s="109" t="s">
        <v>827</v>
      </c>
      <c r="Q225" s="109" t="s">
        <v>1586</v>
      </c>
      <c r="R225" s="109" t="s">
        <v>91</v>
      </c>
      <c r="S225" s="83" t="str">
        <f t="shared" si="24"/>
        <v>B1952H</v>
      </c>
      <c r="T225" s="83" t="str">
        <f t="shared" si="21"/>
        <v>CHRISTIANE</v>
      </c>
      <c r="Y225" s="60">
        <f t="shared" si="25"/>
        <v>31</v>
      </c>
      <c r="Z225" s="49">
        <f t="shared" si="26"/>
        <v>261</v>
      </c>
      <c r="AA225" s="60">
        <f t="shared" si="27"/>
        <v>31261</v>
      </c>
    </row>
    <row r="226" spans="1:27">
      <c r="A226" s="83" t="str">
        <f t="shared" si="22"/>
        <v>B1955Hred floral</v>
      </c>
      <c r="B226" s="83" t="str">
        <f t="shared" si="23"/>
        <v>31-262-18</v>
      </c>
      <c r="C226" s="109" t="s">
        <v>1587</v>
      </c>
      <c r="D226" s="109" t="s">
        <v>1588</v>
      </c>
      <c r="E226" s="109" t="s">
        <v>793</v>
      </c>
      <c r="F226" s="110">
        <v>0</v>
      </c>
      <c r="G226" s="109" t="s">
        <v>1589</v>
      </c>
      <c r="H226" s="109" t="s">
        <v>78</v>
      </c>
      <c r="I226" s="109" t="s">
        <v>787</v>
      </c>
      <c r="J226" s="109" t="s">
        <v>327</v>
      </c>
      <c r="K226" s="109" t="s">
        <v>387</v>
      </c>
      <c r="L226" s="109" t="s">
        <v>523</v>
      </c>
      <c r="M226" s="109" t="s">
        <v>384</v>
      </c>
      <c r="N226" s="109" t="s">
        <v>43</v>
      </c>
      <c r="O226" s="109" t="s">
        <v>386</v>
      </c>
      <c r="P226" s="109" t="s">
        <v>827</v>
      </c>
      <c r="Q226" s="109" t="s">
        <v>1590</v>
      </c>
      <c r="R226" s="109" t="s">
        <v>78</v>
      </c>
      <c r="S226" s="83" t="str">
        <f t="shared" si="24"/>
        <v>B1955H</v>
      </c>
      <c r="T226" s="83" t="str">
        <f t="shared" si="21"/>
        <v>SYLVIANE</v>
      </c>
      <c r="Y226" s="60">
        <f t="shared" si="25"/>
        <v>31</v>
      </c>
      <c r="Z226" s="49">
        <f t="shared" si="26"/>
        <v>262</v>
      </c>
      <c r="AA226" s="60">
        <f t="shared" si="27"/>
        <v>31262</v>
      </c>
    </row>
    <row r="227" spans="1:27">
      <c r="A227" s="83" t="str">
        <f t="shared" si="22"/>
        <v>B962red</v>
      </c>
      <c r="B227" s="83" t="str">
        <f t="shared" si="23"/>
        <v>31-090-34</v>
      </c>
      <c r="C227" s="109" t="s">
        <v>1591</v>
      </c>
      <c r="D227" s="109" t="s">
        <v>1592</v>
      </c>
      <c r="E227" s="109" t="s">
        <v>793</v>
      </c>
      <c r="F227" s="110">
        <v>0</v>
      </c>
      <c r="G227" s="109" t="s">
        <v>1224</v>
      </c>
      <c r="H227" s="109" t="s">
        <v>68</v>
      </c>
      <c r="I227" s="109" t="s">
        <v>787</v>
      </c>
      <c r="J227" s="109" t="s">
        <v>325</v>
      </c>
      <c r="K227" s="109" t="s">
        <v>387</v>
      </c>
      <c r="L227" s="109" t="s">
        <v>523</v>
      </c>
      <c r="M227" s="109" t="s">
        <v>384</v>
      </c>
      <c r="N227" s="109" t="s">
        <v>43</v>
      </c>
      <c r="O227" s="109" t="s">
        <v>386</v>
      </c>
      <c r="P227" s="109" t="s">
        <v>827</v>
      </c>
      <c r="Q227" s="109" t="s">
        <v>875</v>
      </c>
      <c r="R227" s="109" t="s">
        <v>68</v>
      </c>
      <c r="S227" s="83" t="str">
        <f t="shared" si="24"/>
        <v>B962</v>
      </c>
      <c r="T227" s="83" t="str">
        <f t="shared" si="21"/>
        <v>KNOTTED CLOCHE</v>
      </c>
      <c r="Y227" s="60">
        <f t="shared" si="25"/>
        <v>31</v>
      </c>
      <c r="Z227" s="49">
        <f t="shared" si="26"/>
        <v>90</v>
      </c>
      <c r="AA227" s="60">
        <f t="shared" si="27"/>
        <v>31090</v>
      </c>
    </row>
    <row r="228" spans="1:27">
      <c r="A228" s="83" t="str">
        <f t="shared" si="22"/>
        <v>B964navy daisy</v>
      </c>
      <c r="B228" s="83" t="str">
        <f t="shared" si="23"/>
        <v>31-053-01</v>
      </c>
      <c r="C228" s="109" t="s">
        <v>1593</v>
      </c>
      <c r="D228" s="109" t="s">
        <v>1594</v>
      </c>
      <c r="E228" s="109" t="s">
        <v>793</v>
      </c>
      <c r="F228" s="110">
        <v>0</v>
      </c>
      <c r="G228" s="109" t="s">
        <v>1208</v>
      </c>
      <c r="H228" s="109" t="s">
        <v>231</v>
      </c>
      <c r="I228" s="109" t="s">
        <v>787</v>
      </c>
      <c r="J228" s="109" t="s">
        <v>360</v>
      </c>
      <c r="K228" s="109" t="s">
        <v>387</v>
      </c>
      <c r="L228" s="109" t="s">
        <v>523</v>
      </c>
      <c r="M228" s="109" t="s">
        <v>388</v>
      </c>
      <c r="N228" s="109" t="s">
        <v>43</v>
      </c>
      <c r="O228" s="109" t="s">
        <v>386</v>
      </c>
      <c r="P228" s="109" t="s">
        <v>827</v>
      </c>
      <c r="Q228" s="109" t="s">
        <v>1595</v>
      </c>
      <c r="R228" s="109" t="s">
        <v>83</v>
      </c>
      <c r="S228" s="83" t="str">
        <f t="shared" si="24"/>
        <v>B964</v>
      </c>
      <c r="T228" s="83" t="str">
        <f t="shared" si="21"/>
        <v>FACE FRAMER</v>
      </c>
      <c r="Y228" s="60">
        <f t="shared" si="25"/>
        <v>31</v>
      </c>
      <c r="Z228" s="49">
        <f t="shared" si="26"/>
        <v>53</v>
      </c>
      <c r="AA228" s="60">
        <f t="shared" si="27"/>
        <v>31053</v>
      </c>
    </row>
    <row r="229" spans="1:27">
      <c r="A229" s="83" t="str">
        <f t="shared" si="22"/>
        <v>B1949Hblack/white mix</v>
      </c>
      <c r="B229" s="83" t="str">
        <f t="shared" si="23"/>
        <v>31-263-48</v>
      </c>
      <c r="C229" s="109" t="s">
        <v>1596</v>
      </c>
      <c r="D229" s="109" t="s">
        <v>1597</v>
      </c>
      <c r="E229" s="109" t="s">
        <v>793</v>
      </c>
      <c r="F229" s="110">
        <v>0</v>
      </c>
      <c r="G229" s="109" t="s">
        <v>1598</v>
      </c>
      <c r="H229" s="109" t="s">
        <v>119</v>
      </c>
      <c r="I229" s="109" t="s">
        <v>790</v>
      </c>
      <c r="J229" s="109" t="s">
        <v>323</v>
      </c>
      <c r="K229" s="109" t="s">
        <v>387</v>
      </c>
      <c r="L229" s="109" t="s">
        <v>523</v>
      </c>
      <c r="M229" s="109" t="s">
        <v>384</v>
      </c>
      <c r="N229" s="109" t="s">
        <v>36</v>
      </c>
      <c r="O229" s="109" t="s">
        <v>386</v>
      </c>
      <c r="P229" s="109" t="s">
        <v>827</v>
      </c>
      <c r="Q229" s="109" t="s">
        <v>1599</v>
      </c>
      <c r="R229" s="109" t="s">
        <v>57</v>
      </c>
      <c r="S229" s="83" t="str">
        <f t="shared" si="24"/>
        <v>B1949H</v>
      </c>
      <c r="T229" s="83" t="str">
        <f t="shared" si="21"/>
        <v>NADINE</v>
      </c>
      <c r="Y229" s="60">
        <f t="shared" si="25"/>
        <v>31</v>
      </c>
      <c r="Z229" s="49">
        <f t="shared" si="26"/>
        <v>263</v>
      </c>
      <c r="AA229" s="60">
        <f t="shared" si="27"/>
        <v>31263</v>
      </c>
    </row>
    <row r="230" spans="1:27">
      <c r="A230" s="83" t="str">
        <f t="shared" si="22"/>
        <v>B1953Hnavy floral</v>
      </c>
      <c r="B230" s="83" t="str">
        <f t="shared" si="23"/>
        <v>31-264-06</v>
      </c>
      <c r="C230" s="109" t="s">
        <v>1600</v>
      </c>
      <c r="D230" s="109" t="s">
        <v>1601</v>
      </c>
      <c r="E230" s="109" t="s">
        <v>793</v>
      </c>
      <c r="F230" s="110">
        <v>0</v>
      </c>
      <c r="G230" s="109" t="s">
        <v>1602</v>
      </c>
      <c r="H230" s="109" t="s">
        <v>71</v>
      </c>
      <c r="I230" s="109" t="s">
        <v>794</v>
      </c>
      <c r="J230" s="109" t="s">
        <v>325</v>
      </c>
      <c r="K230" s="109" t="s">
        <v>387</v>
      </c>
      <c r="L230" s="109" t="s">
        <v>523</v>
      </c>
      <c r="M230" s="109" t="s">
        <v>388</v>
      </c>
      <c r="O230" s="109" t="s">
        <v>386</v>
      </c>
      <c r="P230" s="109" t="s">
        <v>827</v>
      </c>
      <c r="Q230" s="109" t="s">
        <v>1603</v>
      </c>
      <c r="R230" s="109" t="s">
        <v>71</v>
      </c>
      <c r="S230" s="83" t="str">
        <f t="shared" si="24"/>
        <v>B1953H</v>
      </c>
      <c r="T230" s="83" t="str">
        <f t="shared" si="21"/>
        <v>FLORENCE</v>
      </c>
      <c r="Y230" s="60">
        <f t="shared" si="25"/>
        <v>31</v>
      </c>
      <c r="Z230" s="49">
        <f t="shared" si="26"/>
        <v>264</v>
      </c>
      <c r="AA230" s="60">
        <f t="shared" si="27"/>
        <v>31264</v>
      </c>
    </row>
    <row r="231" spans="1:27">
      <c r="A231" s="83" t="str">
        <f t="shared" si="22"/>
        <v>B1950Hburgundy multi</v>
      </c>
      <c r="B231" s="83" t="str">
        <f t="shared" si="23"/>
        <v>31-265-12</v>
      </c>
      <c r="C231" s="109" t="s">
        <v>1604</v>
      </c>
      <c r="D231" s="109" t="s">
        <v>1605</v>
      </c>
      <c r="E231" s="109" t="s">
        <v>793</v>
      </c>
      <c r="F231" s="110">
        <v>0</v>
      </c>
      <c r="G231" s="109" t="s">
        <v>1606</v>
      </c>
      <c r="H231" s="109" t="s">
        <v>121</v>
      </c>
      <c r="I231" s="109" t="s">
        <v>1607</v>
      </c>
      <c r="J231" s="109" t="s">
        <v>323</v>
      </c>
      <c r="K231" s="109" t="s">
        <v>387</v>
      </c>
      <c r="L231" s="109" t="s">
        <v>523</v>
      </c>
      <c r="M231" s="109" t="s">
        <v>384</v>
      </c>
      <c r="N231" s="109" t="s">
        <v>36</v>
      </c>
      <c r="O231" s="109" t="s">
        <v>386</v>
      </c>
      <c r="P231" s="109" t="s">
        <v>827</v>
      </c>
      <c r="Q231" s="109" t="s">
        <v>1608</v>
      </c>
      <c r="R231" s="109" t="s">
        <v>121</v>
      </c>
      <c r="S231" s="83" t="str">
        <f t="shared" si="24"/>
        <v>B1950H</v>
      </c>
      <c r="T231" s="83" t="str">
        <f t="shared" si="21"/>
        <v>BEATRICE</v>
      </c>
      <c r="Y231" s="60">
        <f t="shared" si="25"/>
        <v>31</v>
      </c>
      <c r="Z231" s="49">
        <f t="shared" si="26"/>
        <v>265</v>
      </c>
      <c r="AA231" s="60">
        <f t="shared" si="27"/>
        <v>31265</v>
      </c>
    </row>
    <row r="232" spans="1:27">
      <c r="A232" s="83" t="str">
        <f t="shared" si="22"/>
        <v>B166desert/natural</v>
      </c>
      <c r="B232" s="83" t="str">
        <f t="shared" si="23"/>
        <v>31-083-75</v>
      </c>
      <c r="C232" s="109" t="s">
        <v>1609</v>
      </c>
      <c r="D232" s="109" t="s">
        <v>1610</v>
      </c>
      <c r="E232" s="109" t="s">
        <v>793</v>
      </c>
      <c r="F232" s="110">
        <v>0</v>
      </c>
      <c r="G232" s="109" t="s">
        <v>965</v>
      </c>
      <c r="H232" s="109" t="s">
        <v>221</v>
      </c>
      <c r="I232" s="109" t="s">
        <v>966</v>
      </c>
      <c r="J232" s="109" t="s">
        <v>323</v>
      </c>
      <c r="K232" s="109" t="s">
        <v>387</v>
      </c>
      <c r="L232" s="109" t="s">
        <v>523</v>
      </c>
      <c r="M232" s="109" t="s">
        <v>384</v>
      </c>
      <c r="N232" s="109" t="s">
        <v>36</v>
      </c>
      <c r="O232" s="109" t="s">
        <v>386</v>
      </c>
      <c r="P232" s="109" t="s">
        <v>827</v>
      </c>
      <c r="Q232" s="109" t="s">
        <v>933</v>
      </c>
      <c r="R232" s="109" t="s">
        <v>63</v>
      </c>
      <c r="S232" s="83" t="str">
        <f t="shared" si="24"/>
        <v>B166</v>
      </c>
      <c r="T232" s="83" t="str">
        <f t="shared" si="21"/>
        <v>CLASSIC ROLL UP</v>
      </c>
      <c r="Y232" s="60">
        <f t="shared" si="25"/>
        <v>31</v>
      </c>
      <c r="Z232" s="49">
        <f t="shared" si="26"/>
        <v>83</v>
      </c>
      <c r="AA232" s="60">
        <f t="shared" si="27"/>
        <v>31083</v>
      </c>
    </row>
    <row r="233" spans="1:27">
      <c r="A233" s="83" t="str">
        <f t="shared" si="22"/>
        <v>B1899Hlemon</v>
      </c>
      <c r="B233" s="83" t="str">
        <f t="shared" si="23"/>
        <v>31-237-20</v>
      </c>
      <c r="C233" s="109" t="s">
        <v>1611</v>
      </c>
      <c r="D233" s="109" t="s">
        <v>1612</v>
      </c>
      <c r="E233" s="109" t="s">
        <v>793</v>
      </c>
      <c r="F233" s="110">
        <v>0</v>
      </c>
      <c r="G233" s="109" t="s">
        <v>1386</v>
      </c>
      <c r="H233" s="109" t="s">
        <v>750</v>
      </c>
      <c r="I233" s="109" t="s">
        <v>966</v>
      </c>
      <c r="J233" s="109" t="s">
        <v>357</v>
      </c>
      <c r="K233" s="109" t="s">
        <v>387</v>
      </c>
      <c r="L233" s="109" t="s">
        <v>523</v>
      </c>
      <c r="M233" s="109" t="s">
        <v>384</v>
      </c>
      <c r="N233" s="109" t="s">
        <v>36</v>
      </c>
      <c r="O233" s="109" t="s">
        <v>386</v>
      </c>
      <c r="P233" s="109" t="s">
        <v>827</v>
      </c>
      <c r="Q233" s="109" t="s">
        <v>940</v>
      </c>
      <c r="R233" s="109" t="s">
        <v>65</v>
      </c>
      <c r="S233" s="83" t="str">
        <f t="shared" si="24"/>
        <v>B1899H</v>
      </c>
      <c r="T233" s="83" t="str">
        <f t="shared" si="21"/>
        <v>GOSSAMER MINI</v>
      </c>
      <c r="Y233" s="60">
        <f t="shared" si="25"/>
        <v>31</v>
      </c>
      <c r="Z233" s="49">
        <f t="shared" si="26"/>
        <v>237</v>
      </c>
      <c r="AA233" s="60">
        <f t="shared" si="27"/>
        <v>31237</v>
      </c>
    </row>
    <row r="234" spans="1:27">
      <c r="A234" s="83" t="str">
        <f t="shared" si="22"/>
        <v>B1944Hpink multi</v>
      </c>
      <c r="B234" s="83" t="str">
        <f t="shared" si="23"/>
        <v>31-266-00</v>
      </c>
      <c r="C234" s="109" t="s">
        <v>1613</v>
      </c>
      <c r="D234" s="109" t="s">
        <v>1614</v>
      </c>
      <c r="E234" s="109" t="s">
        <v>793</v>
      </c>
      <c r="F234" s="110">
        <v>0</v>
      </c>
      <c r="G234" s="109" t="s">
        <v>1615</v>
      </c>
      <c r="H234" s="109" t="s">
        <v>210</v>
      </c>
      <c r="I234" s="109" t="s">
        <v>1255</v>
      </c>
      <c r="J234" s="109" t="s">
        <v>357</v>
      </c>
      <c r="K234" s="109" t="s">
        <v>387</v>
      </c>
      <c r="L234" s="109" t="s">
        <v>523</v>
      </c>
      <c r="M234" s="109" t="s">
        <v>384</v>
      </c>
      <c r="N234" s="109" t="s">
        <v>36</v>
      </c>
      <c r="O234" s="109" t="s">
        <v>386</v>
      </c>
      <c r="P234" s="109" t="s">
        <v>827</v>
      </c>
      <c r="Q234" s="109" t="s">
        <v>1616</v>
      </c>
      <c r="R234" s="109" t="s">
        <v>68</v>
      </c>
      <c r="S234" s="83" t="str">
        <f t="shared" si="24"/>
        <v>B1944H</v>
      </c>
      <c r="T234" s="83" t="str">
        <f t="shared" si="21"/>
        <v>CATHERINE</v>
      </c>
      <c r="Y234" s="60">
        <f t="shared" si="25"/>
        <v>31</v>
      </c>
      <c r="Z234" s="49">
        <f t="shared" si="26"/>
        <v>266</v>
      </c>
      <c r="AA234" s="60">
        <f t="shared" si="27"/>
        <v>31266</v>
      </c>
    </row>
    <row r="235" spans="1:27">
      <c r="A235" s="83" t="str">
        <f t="shared" si="22"/>
        <v>B176lavender charcoal</v>
      </c>
      <c r="B235" s="83" t="str">
        <f t="shared" si="23"/>
        <v>31-084-31</v>
      </c>
      <c r="C235" s="109" t="s">
        <v>1617</v>
      </c>
      <c r="D235" s="109" t="s">
        <v>1618</v>
      </c>
      <c r="E235" s="109" t="s">
        <v>793</v>
      </c>
      <c r="F235" s="110">
        <v>0</v>
      </c>
      <c r="G235" s="109" t="s">
        <v>1007</v>
      </c>
      <c r="H235" s="109" t="s">
        <v>261</v>
      </c>
      <c r="I235" s="109" t="s">
        <v>887</v>
      </c>
      <c r="J235" s="109" t="s">
        <v>357</v>
      </c>
      <c r="K235" s="109" t="s">
        <v>387</v>
      </c>
      <c r="L235" s="109" t="s">
        <v>523</v>
      </c>
      <c r="M235" s="109" t="s">
        <v>384</v>
      </c>
      <c r="N235" s="109" t="s">
        <v>36</v>
      </c>
      <c r="O235" s="109" t="s">
        <v>386</v>
      </c>
      <c r="P235" s="109" t="s">
        <v>827</v>
      </c>
      <c r="Q235" s="109" t="s">
        <v>937</v>
      </c>
      <c r="R235" s="109" t="s">
        <v>286</v>
      </c>
      <c r="S235" s="83" t="str">
        <f t="shared" si="24"/>
        <v>B176</v>
      </c>
      <c r="T235" s="83" t="str">
        <f t="shared" si="21"/>
        <v>GOSSAMER</v>
      </c>
      <c r="Y235" s="60">
        <f t="shared" si="25"/>
        <v>31</v>
      </c>
      <c r="Z235" s="49">
        <f t="shared" si="26"/>
        <v>84</v>
      </c>
      <c r="AA235" s="60">
        <f t="shared" si="27"/>
        <v>31084</v>
      </c>
    </row>
    <row r="236" spans="1:27">
      <c r="A236" s="83" t="str">
        <f t="shared" si="22"/>
        <v>B1948Hblack/gold</v>
      </c>
      <c r="B236" s="83" t="str">
        <f t="shared" si="23"/>
        <v>31-267-08</v>
      </c>
      <c r="C236" s="109" t="s">
        <v>1619</v>
      </c>
      <c r="D236" s="109" t="s">
        <v>1620</v>
      </c>
      <c r="E236" s="109" t="s">
        <v>793</v>
      </c>
      <c r="F236" s="110">
        <v>0</v>
      </c>
      <c r="G236" s="109" t="s">
        <v>1621</v>
      </c>
      <c r="H236" s="109" t="s">
        <v>83</v>
      </c>
      <c r="I236" s="109" t="s">
        <v>1622</v>
      </c>
      <c r="J236" s="109" t="s">
        <v>357</v>
      </c>
      <c r="K236" s="109" t="s">
        <v>387</v>
      </c>
      <c r="L236" s="109" t="s">
        <v>523</v>
      </c>
      <c r="M236" s="109" t="s">
        <v>384</v>
      </c>
      <c r="N236" s="109" t="s">
        <v>36</v>
      </c>
      <c r="O236" s="109" t="s">
        <v>386</v>
      </c>
      <c r="P236" s="109" t="s">
        <v>827</v>
      </c>
      <c r="Q236" s="109" t="s">
        <v>1623</v>
      </c>
      <c r="R236" s="109" t="s">
        <v>83</v>
      </c>
      <c r="S236" s="83" t="str">
        <f t="shared" si="24"/>
        <v>B1948H</v>
      </c>
      <c r="T236" s="83" t="str">
        <f t="shared" si="21"/>
        <v>FRANOISE</v>
      </c>
      <c r="Y236" s="60">
        <f t="shared" si="25"/>
        <v>31</v>
      </c>
      <c r="Z236" s="49">
        <f t="shared" si="26"/>
        <v>267</v>
      </c>
      <c r="AA236" s="60">
        <f t="shared" si="27"/>
        <v>31267</v>
      </c>
    </row>
    <row r="237" spans="1:27">
      <c r="A237" s="83" t="str">
        <f t="shared" si="22"/>
        <v>B1947Hnavy/lt. grey</v>
      </c>
      <c r="B237" s="83" t="str">
        <f t="shared" si="23"/>
        <v>31-268-16</v>
      </c>
      <c r="C237" s="109" t="s">
        <v>1624</v>
      </c>
      <c r="D237" s="109" t="s">
        <v>1625</v>
      </c>
      <c r="E237" s="109" t="s">
        <v>793</v>
      </c>
      <c r="F237" s="110">
        <v>0</v>
      </c>
      <c r="G237" s="109" t="s">
        <v>1626</v>
      </c>
      <c r="H237" s="109" t="s">
        <v>781</v>
      </c>
      <c r="I237" s="109" t="s">
        <v>1627</v>
      </c>
      <c r="J237" s="109" t="s">
        <v>357</v>
      </c>
      <c r="K237" s="109" t="s">
        <v>387</v>
      </c>
      <c r="L237" s="109" t="s">
        <v>523</v>
      </c>
      <c r="M237" s="109" t="s">
        <v>384</v>
      </c>
      <c r="N237" s="109" t="s">
        <v>36</v>
      </c>
      <c r="O237" s="109" t="s">
        <v>386</v>
      </c>
      <c r="P237" s="109" t="s">
        <v>827</v>
      </c>
      <c r="Q237" s="109" t="s">
        <v>1628</v>
      </c>
      <c r="R237" s="109" t="s">
        <v>71</v>
      </c>
      <c r="S237" s="83" t="str">
        <f t="shared" si="24"/>
        <v>B1947H</v>
      </c>
      <c r="T237" s="83" t="str">
        <f t="shared" si="21"/>
        <v>MARTINE</v>
      </c>
      <c r="Y237" s="60">
        <f t="shared" si="25"/>
        <v>31</v>
      </c>
      <c r="Z237" s="49">
        <f t="shared" si="26"/>
        <v>268</v>
      </c>
      <c r="AA237" s="60">
        <f t="shared" si="27"/>
        <v>31268</v>
      </c>
    </row>
    <row r="238" spans="1:27">
      <c r="A238" s="83" t="str">
        <f t="shared" si="22"/>
        <v>B1954Hblack/white</v>
      </c>
      <c r="B238" s="83" t="str">
        <f t="shared" si="23"/>
        <v>31-269-08</v>
      </c>
      <c r="C238" s="109" t="s">
        <v>1629</v>
      </c>
      <c r="D238" s="109" t="s">
        <v>1630</v>
      </c>
      <c r="E238" s="109" t="s">
        <v>793</v>
      </c>
      <c r="F238" s="110">
        <v>0</v>
      </c>
      <c r="G238" s="109" t="s">
        <v>1631</v>
      </c>
      <c r="H238" s="109" t="s">
        <v>83</v>
      </c>
      <c r="I238" s="109" t="s">
        <v>1632</v>
      </c>
      <c r="J238" s="109" t="s">
        <v>348</v>
      </c>
      <c r="K238" s="109" t="s">
        <v>387</v>
      </c>
      <c r="L238" s="109" t="s">
        <v>523</v>
      </c>
      <c r="M238" s="109" t="s">
        <v>388</v>
      </c>
      <c r="O238" s="109" t="s">
        <v>386</v>
      </c>
      <c r="P238" s="109" t="s">
        <v>827</v>
      </c>
      <c r="Q238" s="109" t="s">
        <v>900</v>
      </c>
      <c r="R238" s="109" t="s">
        <v>83</v>
      </c>
      <c r="S238" s="83" t="str">
        <f t="shared" si="24"/>
        <v>B1954H</v>
      </c>
      <c r="T238" s="83" t="str">
        <f t="shared" si="21"/>
        <v>JOCELYN</v>
      </c>
      <c r="Y238" s="60">
        <f t="shared" si="25"/>
        <v>31</v>
      </c>
      <c r="Z238" s="49">
        <f t="shared" si="26"/>
        <v>269</v>
      </c>
      <c r="AA238" s="60">
        <f t="shared" si="27"/>
        <v>31269</v>
      </c>
    </row>
    <row r="239" spans="1:27">
      <c r="A239" s="83" t="str">
        <f t="shared" si="22"/>
        <v>B1945Htan</v>
      </c>
      <c r="B239" s="83" t="str">
        <f t="shared" si="23"/>
        <v>31-270-14</v>
      </c>
      <c r="C239" s="109" t="s">
        <v>1633</v>
      </c>
      <c r="D239" s="109" t="s">
        <v>1634</v>
      </c>
      <c r="E239" s="109" t="s">
        <v>793</v>
      </c>
      <c r="F239" s="110">
        <v>0</v>
      </c>
      <c r="G239" s="109" t="s">
        <v>1635</v>
      </c>
      <c r="H239" s="109" t="s">
        <v>86</v>
      </c>
      <c r="I239" s="109" t="s">
        <v>1636</v>
      </c>
      <c r="J239" s="109" t="s">
        <v>323</v>
      </c>
      <c r="K239" s="109" t="s">
        <v>387</v>
      </c>
      <c r="L239" s="109" t="s">
        <v>523</v>
      </c>
      <c r="M239" s="109" t="s">
        <v>384</v>
      </c>
      <c r="N239" s="109" t="s">
        <v>36</v>
      </c>
      <c r="O239" s="109" t="s">
        <v>386</v>
      </c>
      <c r="P239" s="109" t="s">
        <v>827</v>
      </c>
      <c r="Q239" s="109" t="s">
        <v>845</v>
      </c>
      <c r="R239" s="109" t="s">
        <v>86</v>
      </c>
      <c r="S239" s="83" t="str">
        <f t="shared" si="24"/>
        <v>B1945H</v>
      </c>
      <c r="T239" s="83" t="str">
        <f t="shared" si="21"/>
        <v>MARIE</v>
      </c>
      <c r="Y239" s="60">
        <f t="shared" si="25"/>
        <v>31</v>
      </c>
      <c r="Z239" s="49">
        <f t="shared" si="26"/>
        <v>270</v>
      </c>
      <c r="AA239" s="60">
        <f t="shared" si="27"/>
        <v>31270</v>
      </c>
    </row>
    <row r="240" spans="1:27">
      <c r="A240" s="83" t="str">
        <f t="shared" si="22"/>
        <v>B1552Hcharcoal/sky</v>
      </c>
      <c r="B240" s="83" t="str">
        <f t="shared" si="23"/>
        <v>31-136-08</v>
      </c>
      <c r="C240" s="109" t="s">
        <v>1637</v>
      </c>
      <c r="D240" s="109" t="s">
        <v>1638</v>
      </c>
      <c r="E240" s="109" t="s">
        <v>793</v>
      </c>
      <c r="F240" s="110">
        <v>0</v>
      </c>
      <c r="G240" s="109" t="s">
        <v>1639</v>
      </c>
      <c r="H240" s="109" t="s">
        <v>83</v>
      </c>
      <c r="I240" s="109" t="s">
        <v>891</v>
      </c>
      <c r="J240" s="109" t="s">
        <v>323</v>
      </c>
      <c r="K240" s="109" t="s">
        <v>387</v>
      </c>
      <c r="L240" s="109" t="s">
        <v>523</v>
      </c>
      <c r="M240" s="109" t="s">
        <v>384</v>
      </c>
      <c r="N240" s="109" t="s">
        <v>36</v>
      </c>
      <c r="O240" s="109" t="s">
        <v>386</v>
      </c>
      <c r="P240" s="109" t="s">
        <v>827</v>
      </c>
      <c r="Q240" s="109" t="s">
        <v>1640</v>
      </c>
      <c r="R240" s="109" t="s">
        <v>83</v>
      </c>
      <c r="S240" s="83" t="str">
        <f t="shared" si="24"/>
        <v>B1552H</v>
      </c>
      <c r="T240" s="83" t="str">
        <f t="shared" si="21"/>
        <v>JASMINE</v>
      </c>
      <c r="Y240" s="60">
        <f t="shared" si="25"/>
        <v>31</v>
      </c>
      <c r="Z240" s="49">
        <f t="shared" si="26"/>
        <v>136</v>
      </c>
      <c r="AA240" s="60">
        <f t="shared" si="27"/>
        <v>31136</v>
      </c>
    </row>
    <row r="241" spans="1:27">
      <c r="A241" s="83" t="str">
        <f t="shared" si="22"/>
        <v>B1951Hblack</v>
      </c>
      <c r="B241" s="83" t="str">
        <f t="shared" si="23"/>
        <v>31-271-09</v>
      </c>
      <c r="C241" s="109" t="s">
        <v>1641</v>
      </c>
      <c r="D241" s="109" t="s">
        <v>1642</v>
      </c>
      <c r="E241" s="109" t="s">
        <v>793</v>
      </c>
      <c r="F241" s="110">
        <v>0</v>
      </c>
      <c r="G241" s="109" t="s">
        <v>1643</v>
      </c>
      <c r="H241" s="109" t="s">
        <v>53</v>
      </c>
      <c r="I241" s="109" t="s">
        <v>1644</v>
      </c>
      <c r="J241" s="109" t="s">
        <v>323</v>
      </c>
      <c r="K241" s="109" t="s">
        <v>387</v>
      </c>
      <c r="L241" s="109" t="s">
        <v>523</v>
      </c>
      <c r="M241" s="109" t="s">
        <v>384</v>
      </c>
      <c r="N241" s="109" t="s">
        <v>36</v>
      </c>
      <c r="O241" s="109" t="s">
        <v>386</v>
      </c>
      <c r="P241" s="109" t="s">
        <v>827</v>
      </c>
      <c r="Q241" s="109" t="s">
        <v>831</v>
      </c>
      <c r="R241" s="109" t="s">
        <v>53</v>
      </c>
      <c r="S241" s="83" t="str">
        <f t="shared" si="24"/>
        <v>B1951H</v>
      </c>
      <c r="T241" s="83" t="str">
        <f t="shared" si="21"/>
        <v>CLAUDINE</v>
      </c>
      <c r="Y241" s="60">
        <f t="shared" si="25"/>
        <v>31</v>
      </c>
      <c r="Z241" s="49">
        <f t="shared" si="26"/>
        <v>271</v>
      </c>
      <c r="AA241" s="60">
        <f t="shared" si="27"/>
        <v>31271</v>
      </c>
    </row>
    <row r="242" spans="1:27">
      <c r="A242" s="83" t="str">
        <f t="shared" si="22"/>
        <v>B1134Hlight grey multi</v>
      </c>
      <c r="B242" s="83" t="str">
        <f t="shared" si="23"/>
        <v>31-064-01</v>
      </c>
      <c r="C242" s="109" t="s">
        <v>1645</v>
      </c>
      <c r="D242" s="109" t="s">
        <v>1646</v>
      </c>
      <c r="E242" s="109" t="s">
        <v>793</v>
      </c>
      <c r="F242" s="110">
        <v>0</v>
      </c>
      <c r="G242" s="109" t="s">
        <v>944</v>
      </c>
      <c r="H242" s="109" t="s">
        <v>231</v>
      </c>
      <c r="I242" s="109" t="s">
        <v>945</v>
      </c>
      <c r="J242" s="109" t="s">
        <v>323</v>
      </c>
      <c r="K242" s="109" t="s">
        <v>387</v>
      </c>
      <c r="L242" s="109" t="s">
        <v>523</v>
      </c>
      <c r="M242" s="109" t="s">
        <v>384</v>
      </c>
      <c r="N242" s="109" t="s">
        <v>36</v>
      </c>
      <c r="O242" s="109" t="s">
        <v>386</v>
      </c>
      <c r="P242" s="109" t="s">
        <v>827</v>
      </c>
      <c r="Q242" s="109" t="s">
        <v>926</v>
      </c>
      <c r="R242" s="109" t="s">
        <v>83</v>
      </c>
      <c r="S242" s="83" t="str">
        <f t="shared" si="24"/>
        <v>B1134H</v>
      </c>
      <c r="T242" s="83" t="str">
        <f t="shared" si="21"/>
        <v>RAMONA</v>
      </c>
      <c r="Y242" s="60">
        <f t="shared" si="25"/>
        <v>31</v>
      </c>
      <c r="Z242" s="49">
        <f t="shared" si="26"/>
        <v>64</v>
      </c>
      <c r="AA242" s="60">
        <f t="shared" si="27"/>
        <v>31064</v>
      </c>
    </row>
    <row r="243" spans="1:27">
      <c r="A243" s="83" t="str">
        <f t="shared" si="22"/>
        <v>B1946Hblack/sand</v>
      </c>
      <c r="B243" s="83" t="str">
        <f t="shared" si="23"/>
        <v>31-272-53</v>
      </c>
      <c r="C243" s="109" t="s">
        <v>1647</v>
      </c>
      <c r="D243" s="109" t="s">
        <v>1648</v>
      </c>
      <c r="E243" s="109" t="s">
        <v>791</v>
      </c>
      <c r="F243" s="110">
        <v>58</v>
      </c>
      <c r="G243" s="109" t="s">
        <v>1649</v>
      </c>
      <c r="H243" s="109" t="s">
        <v>101</v>
      </c>
      <c r="I243" s="109" t="s">
        <v>1650</v>
      </c>
      <c r="J243" s="109" t="s">
        <v>334</v>
      </c>
      <c r="K243" s="109" t="s">
        <v>387</v>
      </c>
      <c r="L243" s="109" t="s">
        <v>523</v>
      </c>
      <c r="M243" s="109" t="s">
        <v>384</v>
      </c>
      <c r="N243" s="109" t="s">
        <v>36</v>
      </c>
      <c r="O243" s="109" t="s">
        <v>386</v>
      </c>
      <c r="P243" s="109" t="s">
        <v>827</v>
      </c>
      <c r="Q243" s="109" t="s">
        <v>1651</v>
      </c>
      <c r="R243" s="109" t="s">
        <v>63</v>
      </c>
      <c r="S243" s="83" t="str">
        <f t="shared" si="24"/>
        <v>B1946H</v>
      </c>
      <c r="T243" s="83" t="str">
        <f t="shared" si="21"/>
        <v>CHRISTINE</v>
      </c>
      <c r="Y243" s="60">
        <f t="shared" si="25"/>
        <v>31</v>
      </c>
      <c r="Z243" s="49">
        <f t="shared" si="26"/>
        <v>272</v>
      </c>
      <c r="AA243" s="60">
        <f t="shared" si="27"/>
        <v>31272</v>
      </c>
    </row>
    <row r="244" spans="1:27">
      <c r="A244" s="83" t="str">
        <f t="shared" si="22"/>
        <v>B1872Hplum</v>
      </c>
      <c r="B244" s="83" t="str">
        <f t="shared" si="23"/>
        <v>31-219-12</v>
      </c>
      <c r="C244" s="109" t="s">
        <v>1652</v>
      </c>
      <c r="D244" s="109" t="s">
        <v>1653</v>
      </c>
      <c r="E244" s="109" t="s">
        <v>793</v>
      </c>
      <c r="F244" s="110">
        <v>0</v>
      </c>
      <c r="G244" s="109" t="s">
        <v>1061</v>
      </c>
      <c r="H244" s="109" t="s">
        <v>121</v>
      </c>
      <c r="I244" s="109" t="s">
        <v>863</v>
      </c>
      <c r="J244" s="109" t="s">
        <v>327</v>
      </c>
      <c r="K244" s="109" t="s">
        <v>387</v>
      </c>
      <c r="L244" s="109" t="s">
        <v>523</v>
      </c>
      <c r="M244" s="109" t="s">
        <v>388</v>
      </c>
      <c r="O244" s="109" t="s">
        <v>386</v>
      </c>
      <c r="P244" s="109" t="s">
        <v>827</v>
      </c>
      <c r="Q244" s="109" t="s">
        <v>1163</v>
      </c>
      <c r="R244" s="109" t="s">
        <v>121</v>
      </c>
      <c r="S244" s="83" t="str">
        <f t="shared" si="24"/>
        <v>B1872H</v>
      </c>
      <c r="T244" s="83" t="str">
        <f t="shared" si="21"/>
        <v>QUILTED RAIN CAP</v>
      </c>
      <c r="Y244" s="60">
        <f t="shared" si="25"/>
        <v>31</v>
      </c>
      <c r="Z244" s="49">
        <f t="shared" si="26"/>
        <v>219</v>
      </c>
      <c r="AA244" s="60">
        <f t="shared" si="27"/>
        <v>31219</v>
      </c>
    </row>
    <row r="245" spans="1:27">
      <c r="A245" s="83" t="str">
        <f t="shared" si="22"/>
        <v>B1933Hblack</v>
      </c>
      <c r="B245" s="83" t="str">
        <f t="shared" si="23"/>
        <v>31-251-09</v>
      </c>
      <c r="C245" s="109" t="s">
        <v>1654</v>
      </c>
      <c r="D245" s="109" t="s">
        <v>1655</v>
      </c>
      <c r="E245" s="109" t="s">
        <v>793</v>
      </c>
      <c r="F245" s="110">
        <v>0</v>
      </c>
      <c r="G245" s="109" t="s">
        <v>1481</v>
      </c>
      <c r="H245" s="109" t="s">
        <v>53</v>
      </c>
      <c r="I245" s="109" t="s">
        <v>1482</v>
      </c>
      <c r="J245" s="109" t="s">
        <v>334</v>
      </c>
      <c r="K245" s="109" t="s">
        <v>387</v>
      </c>
      <c r="L245" s="109" t="s">
        <v>523</v>
      </c>
      <c r="M245" s="109" t="s">
        <v>389</v>
      </c>
      <c r="O245" s="109" t="s">
        <v>386</v>
      </c>
      <c r="P245" s="109" t="s">
        <v>827</v>
      </c>
      <c r="Q245" s="109" t="s">
        <v>831</v>
      </c>
      <c r="R245" s="109" t="s">
        <v>53</v>
      </c>
      <c r="S245" s="83" t="str">
        <f t="shared" si="24"/>
        <v>B1933H</v>
      </c>
      <c r="T245" s="83" t="str">
        <f t="shared" si="21"/>
        <v>LIZA</v>
      </c>
      <c r="Y245" s="60">
        <f t="shared" si="25"/>
        <v>31</v>
      </c>
      <c r="Z245" s="49">
        <f t="shared" si="26"/>
        <v>251</v>
      </c>
      <c r="AA245" s="60">
        <f t="shared" si="27"/>
        <v>31251</v>
      </c>
    </row>
    <row r="246" spans="1:27">
      <c r="A246" s="83" t="str">
        <f t="shared" si="22"/>
        <v>B1934Hblack</v>
      </c>
      <c r="B246" s="83" t="str">
        <f t="shared" si="23"/>
        <v>31-252-09</v>
      </c>
      <c r="C246" s="109" t="s">
        <v>1656</v>
      </c>
      <c r="D246" s="109" t="s">
        <v>1657</v>
      </c>
      <c r="E246" s="109" t="s">
        <v>793</v>
      </c>
      <c r="F246" s="110">
        <v>0</v>
      </c>
      <c r="G246" s="109" t="s">
        <v>1503</v>
      </c>
      <c r="H246" s="109" t="s">
        <v>53</v>
      </c>
      <c r="I246" s="109" t="s">
        <v>1504</v>
      </c>
      <c r="J246" s="109" t="s">
        <v>348</v>
      </c>
      <c r="K246" s="109" t="s">
        <v>387</v>
      </c>
      <c r="L246" s="109" t="s">
        <v>523</v>
      </c>
      <c r="M246" s="109" t="s">
        <v>388</v>
      </c>
      <c r="N246" s="109" t="s">
        <v>43</v>
      </c>
      <c r="O246" s="109" t="s">
        <v>386</v>
      </c>
      <c r="P246" s="109" t="s">
        <v>827</v>
      </c>
      <c r="Q246" s="109" t="s">
        <v>831</v>
      </c>
      <c r="R246" s="109" t="s">
        <v>53</v>
      </c>
      <c r="S246" s="83" t="str">
        <f t="shared" si="24"/>
        <v>B1934H</v>
      </c>
      <c r="T246" s="83" t="str">
        <f t="shared" si="21"/>
        <v>CLARA</v>
      </c>
      <c r="Y246" s="60">
        <f t="shared" si="25"/>
        <v>31</v>
      </c>
      <c r="Z246" s="49">
        <f t="shared" si="26"/>
        <v>252</v>
      </c>
      <c r="AA246" s="60">
        <f t="shared" si="27"/>
        <v>31252</v>
      </c>
    </row>
    <row r="247" spans="1:27">
      <c r="A247" s="83" t="str">
        <f t="shared" si="22"/>
        <v>B1249Hplum</v>
      </c>
      <c r="B247" s="83" t="str">
        <f t="shared" si="23"/>
        <v>31-008-41</v>
      </c>
      <c r="C247" s="109" t="s">
        <v>1658</v>
      </c>
      <c r="D247" s="109" t="s">
        <v>1659</v>
      </c>
      <c r="E247" s="109" t="s">
        <v>793</v>
      </c>
      <c r="F247" s="110">
        <v>0</v>
      </c>
      <c r="G247" s="109" t="s">
        <v>1104</v>
      </c>
      <c r="H247" s="109" t="s">
        <v>286</v>
      </c>
      <c r="I247" s="109" t="s">
        <v>785</v>
      </c>
      <c r="J247" s="109" t="s">
        <v>330</v>
      </c>
      <c r="K247" s="109" t="s">
        <v>387</v>
      </c>
      <c r="L247" s="109" t="s">
        <v>523</v>
      </c>
      <c r="M247" s="109" t="s">
        <v>388</v>
      </c>
      <c r="N247" s="109" t="s">
        <v>30</v>
      </c>
      <c r="O247" s="109" t="s">
        <v>386</v>
      </c>
      <c r="P247" s="109" t="s">
        <v>827</v>
      </c>
      <c r="Q247" s="109" t="s">
        <v>1163</v>
      </c>
      <c r="R247" s="109" t="s">
        <v>286</v>
      </c>
      <c r="S247" s="83" t="str">
        <f t="shared" si="24"/>
        <v>B1249H</v>
      </c>
      <c r="T247" s="83" t="str">
        <f t="shared" si="21"/>
        <v>DARCY</v>
      </c>
      <c r="Y247" s="60">
        <f t="shared" si="25"/>
        <v>31</v>
      </c>
      <c r="Z247" s="49">
        <f t="shared" si="26"/>
        <v>8</v>
      </c>
      <c r="AA247" s="60">
        <f t="shared" si="27"/>
        <v>31008</v>
      </c>
    </row>
    <row r="248" spans="1:27">
      <c r="A248" s="83" t="str">
        <f t="shared" si="22"/>
        <v>B1868Hblack</v>
      </c>
      <c r="B248" s="83" t="str">
        <f t="shared" si="23"/>
        <v>31-229-09</v>
      </c>
      <c r="C248" s="109" t="s">
        <v>1660</v>
      </c>
      <c r="D248" s="109" t="s">
        <v>1661</v>
      </c>
      <c r="E248" s="109" t="s">
        <v>793</v>
      </c>
      <c r="F248" s="110">
        <v>0</v>
      </c>
      <c r="G248" s="109" t="s">
        <v>1142</v>
      </c>
      <c r="H248" s="109" t="s">
        <v>53</v>
      </c>
      <c r="I248" s="109" t="s">
        <v>785</v>
      </c>
      <c r="J248" s="109" t="s">
        <v>330</v>
      </c>
      <c r="K248" s="109" t="s">
        <v>387</v>
      </c>
      <c r="L248" s="109" t="s">
        <v>523</v>
      </c>
      <c r="M248" s="109" t="s">
        <v>388</v>
      </c>
      <c r="N248" s="109" t="s">
        <v>30</v>
      </c>
      <c r="O248" s="109" t="s">
        <v>386</v>
      </c>
      <c r="P248" s="109" t="s">
        <v>827</v>
      </c>
      <c r="Q248" s="109" t="s">
        <v>831</v>
      </c>
      <c r="R248" s="109" t="s">
        <v>53</v>
      </c>
      <c r="S248" s="83" t="str">
        <f t="shared" si="24"/>
        <v>B1868H</v>
      </c>
      <c r="T248" s="83" t="str">
        <f t="shared" si="21"/>
        <v>BARDOT</v>
      </c>
      <c r="Y248" s="60">
        <f t="shared" si="25"/>
        <v>31</v>
      </c>
      <c r="Z248" s="49">
        <f t="shared" si="26"/>
        <v>229</v>
      </c>
      <c r="AA248" s="60">
        <f t="shared" si="27"/>
        <v>31229</v>
      </c>
    </row>
    <row r="249" spans="1:27">
      <c r="A249" s="83" t="str">
        <f t="shared" si="22"/>
        <v>B1883Hblack</v>
      </c>
      <c r="B249" s="83" t="str">
        <f t="shared" si="23"/>
        <v>31-233-09</v>
      </c>
      <c r="C249" s="109" t="s">
        <v>1662</v>
      </c>
      <c r="D249" s="109" t="s">
        <v>1663</v>
      </c>
      <c r="E249" s="109" t="s">
        <v>798</v>
      </c>
      <c r="F249" s="110">
        <v>56</v>
      </c>
      <c r="G249" s="109" t="s">
        <v>1158</v>
      </c>
      <c r="H249" s="109" t="s">
        <v>53</v>
      </c>
      <c r="I249" s="109" t="s">
        <v>785</v>
      </c>
      <c r="J249" s="109" t="s">
        <v>330</v>
      </c>
      <c r="K249" s="109" t="s">
        <v>387</v>
      </c>
      <c r="L249" s="109" t="s">
        <v>523</v>
      </c>
      <c r="M249" s="109" t="s">
        <v>388</v>
      </c>
      <c r="N249" s="109" t="s">
        <v>30</v>
      </c>
      <c r="O249" s="109" t="s">
        <v>445</v>
      </c>
      <c r="P249" s="109" t="s">
        <v>827</v>
      </c>
      <c r="Q249" s="109" t="s">
        <v>831</v>
      </c>
      <c r="R249" s="109" t="s">
        <v>53</v>
      </c>
      <c r="S249" s="83" t="str">
        <f t="shared" si="24"/>
        <v>B1883H</v>
      </c>
      <c r="T249" s="83" t="str">
        <f t="shared" si="21"/>
        <v>ASHLAND</v>
      </c>
      <c r="Y249" s="60">
        <f t="shared" si="25"/>
        <v>31</v>
      </c>
      <c r="Z249" s="49">
        <f t="shared" si="26"/>
        <v>233</v>
      </c>
      <c r="AA249" s="60">
        <f t="shared" si="27"/>
        <v>31233</v>
      </c>
    </row>
    <row r="250" spans="1:27">
      <c r="A250" s="83" t="str">
        <f t="shared" si="22"/>
        <v>B1883Hblack</v>
      </c>
      <c r="B250" s="83" t="str">
        <f t="shared" si="23"/>
        <v>31-233-09</v>
      </c>
      <c r="C250" s="109" t="s">
        <v>1664</v>
      </c>
      <c r="D250" s="109" t="s">
        <v>1663</v>
      </c>
      <c r="E250" s="109" t="s">
        <v>791</v>
      </c>
      <c r="F250" s="110">
        <v>58</v>
      </c>
      <c r="G250" s="109" t="s">
        <v>1158</v>
      </c>
      <c r="H250" s="109" t="s">
        <v>53</v>
      </c>
      <c r="I250" s="109" t="s">
        <v>785</v>
      </c>
      <c r="J250" s="109" t="s">
        <v>330</v>
      </c>
      <c r="K250" s="109" t="s">
        <v>387</v>
      </c>
      <c r="L250" s="109" t="s">
        <v>523</v>
      </c>
      <c r="M250" s="109" t="s">
        <v>388</v>
      </c>
      <c r="N250" s="109" t="s">
        <v>30</v>
      </c>
      <c r="O250" s="109" t="s">
        <v>445</v>
      </c>
      <c r="P250" s="109" t="s">
        <v>827</v>
      </c>
      <c r="Q250" s="109" t="s">
        <v>831</v>
      </c>
      <c r="R250" s="109" t="s">
        <v>53</v>
      </c>
      <c r="S250" s="83" t="str">
        <f t="shared" si="24"/>
        <v>B1883H</v>
      </c>
      <c r="T250" s="83" t="str">
        <f t="shared" si="21"/>
        <v>ASHLAND</v>
      </c>
      <c r="Y250" s="60">
        <f t="shared" si="25"/>
        <v>31</v>
      </c>
      <c r="Z250" s="49">
        <f t="shared" si="26"/>
        <v>233</v>
      </c>
      <c r="AA250" s="60">
        <f t="shared" si="27"/>
        <v>31233</v>
      </c>
    </row>
    <row r="251" spans="1:27">
      <c r="A251" s="83" t="str">
        <f t="shared" si="22"/>
        <v>B1929Hroot</v>
      </c>
      <c r="B251" s="83" t="str">
        <f t="shared" si="23"/>
        <v>31-258-91</v>
      </c>
      <c r="C251" s="109" t="s">
        <v>1665</v>
      </c>
      <c r="D251" s="109" t="s">
        <v>1666</v>
      </c>
      <c r="E251" s="109" t="s">
        <v>793</v>
      </c>
      <c r="F251" s="110">
        <v>0</v>
      </c>
      <c r="G251" s="109" t="s">
        <v>1558</v>
      </c>
      <c r="H251" s="109" t="s">
        <v>271</v>
      </c>
      <c r="I251" s="109" t="s">
        <v>785</v>
      </c>
      <c r="J251" s="109" t="s">
        <v>323</v>
      </c>
      <c r="K251" s="109" t="s">
        <v>387</v>
      </c>
      <c r="L251" s="109" t="s">
        <v>523</v>
      </c>
      <c r="M251" s="109" t="s">
        <v>388</v>
      </c>
      <c r="N251" s="109" t="s">
        <v>30</v>
      </c>
      <c r="O251" s="109" t="s">
        <v>386</v>
      </c>
      <c r="P251" s="109" t="s">
        <v>827</v>
      </c>
      <c r="Q251" s="109" t="s">
        <v>1498</v>
      </c>
      <c r="R251" s="109" t="s">
        <v>86</v>
      </c>
      <c r="S251" s="83" t="str">
        <f t="shared" si="24"/>
        <v>B1929H</v>
      </c>
      <c r="T251" s="83" t="str">
        <f t="shared" si="21"/>
        <v>VICTORIA</v>
      </c>
      <c r="Y251" s="60">
        <f t="shared" si="25"/>
        <v>31</v>
      </c>
      <c r="Z251" s="49">
        <f t="shared" si="26"/>
        <v>258</v>
      </c>
      <c r="AA251" s="60">
        <f t="shared" si="27"/>
        <v>31258</v>
      </c>
    </row>
    <row r="252" spans="1:27">
      <c r="A252" s="83" t="str">
        <f t="shared" si="22"/>
        <v>B1938Hblack</v>
      </c>
      <c r="B252" s="83" t="str">
        <f t="shared" si="23"/>
        <v>31-249-09</v>
      </c>
      <c r="C252" s="109" t="s">
        <v>1667</v>
      </c>
      <c r="D252" s="109" t="s">
        <v>1668</v>
      </c>
      <c r="E252" s="109" t="s">
        <v>793</v>
      </c>
      <c r="F252" s="110">
        <v>0</v>
      </c>
      <c r="G252" s="109" t="s">
        <v>1568</v>
      </c>
      <c r="H252" s="109" t="s">
        <v>53</v>
      </c>
      <c r="I252" s="109" t="s">
        <v>794</v>
      </c>
      <c r="J252" s="109" t="s">
        <v>357</v>
      </c>
      <c r="K252" s="109" t="s">
        <v>387</v>
      </c>
      <c r="L252" s="109" t="s">
        <v>523</v>
      </c>
      <c r="M252" s="109" t="s">
        <v>388</v>
      </c>
      <c r="O252" s="109" t="s">
        <v>386</v>
      </c>
      <c r="P252" s="109" t="s">
        <v>827</v>
      </c>
      <c r="Q252" s="109" t="s">
        <v>831</v>
      </c>
      <c r="R252" s="109" t="s">
        <v>53</v>
      </c>
      <c r="S252" s="83" t="str">
        <f t="shared" si="24"/>
        <v>B1938H</v>
      </c>
      <c r="T252" s="83" t="str">
        <f t="shared" si="21"/>
        <v>SUZETTE</v>
      </c>
      <c r="Y252" s="60">
        <f t="shared" si="25"/>
        <v>31</v>
      </c>
      <c r="Z252" s="49">
        <f t="shared" si="26"/>
        <v>249</v>
      </c>
      <c r="AA252" s="60">
        <f t="shared" si="27"/>
        <v>31249</v>
      </c>
    </row>
    <row r="253" spans="1:27">
      <c r="A253" s="83" t="str">
        <f t="shared" si="22"/>
        <v>B176desert natural</v>
      </c>
      <c r="B253" s="83" t="str">
        <f t="shared" si="23"/>
        <v>31-084-59</v>
      </c>
      <c r="C253" s="109" t="s">
        <v>1669</v>
      </c>
      <c r="D253" s="109" t="s">
        <v>1670</v>
      </c>
      <c r="E253" s="109" t="s">
        <v>793</v>
      </c>
      <c r="F253" s="110">
        <v>0</v>
      </c>
      <c r="G253" s="109" t="s">
        <v>1007</v>
      </c>
      <c r="H253" s="109" t="s">
        <v>265</v>
      </c>
      <c r="I253" s="109" t="s">
        <v>887</v>
      </c>
      <c r="J253" s="109" t="s">
        <v>357</v>
      </c>
      <c r="K253" s="109" t="s">
        <v>387</v>
      </c>
      <c r="L253" s="109" t="s">
        <v>523</v>
      </c>
      <c r="M253" s="109" t="s">
        <v>384</v>
      </c>
      <c r="N253" s="109" t="s">
        <v>36</v>
      </c>
      <c r="O253" s="109" t="s">
        <v>386</v>
      </c>
      <c r="P253" s="109" t="s">
        <v>827</v>
      </c>
      <c r="Q253" s="109" t="s">
        <v>935</v>
      </c>
      <c r="R253" s="109" t="s">
        <v>63</v>
      </c>
      <c r="S253" s="83" t="str">
        <f t="shared" si="24"/>
        <v>B176</v>
      </c>
      <c r="T253" s="83" t="str">
        <f t="shared" si="21"/>
        <v>GOSSAMER</v>
      </c>
      <c r="Y253" s="60">
        <f t="shared" si="25"/>
        <v>31</v>
      </c>
      <c r="Z253" s="49">
        <f t="shared" si="26"/>
        <v>84</v>
      </c>
      <c r="AA253" s="60">
        <f t="shared" si="27"/>
        <v>31084</v>
      </c>
    </row>
    <row r="254" spans="1:27">
      <c r="A254" s="83" t="str">
        <f t="shared" si="22"/>
        <v>B176lemon</v>
      </c>
      <c r="B254" s="83" t="str">
        <f t="shared" si="23"/>
        <v>31-084-74</v>
      </c>
      <c r="C254" s="109" t="s">
        <v>1671</v>
      </c>
      <c r="D254" s="109" t="s">
        <v>1672</v>
      </c>
      <c r="E254" s="109" t="s">
        <v>793</v>
      </c>
      <c r="F254" s="110">
        <v>0</v>
      </c>
      <c r="G254" s="109" t="s">
        <v>1007</v>
      </c>
      <c r="H254" s="109" t="s">
        <v>750</v>
      </c>
      <c r="I254" s="109" t="s">
        <v>887</v>
      </c>
      <c r="J254" s="109" t="s">
        <v>357</v>
      </c>
      <c r="K254" s="109" t="s">
        <v>387</v>
      </c>
      <c r="L254" s="109" t="s">
        <v>523</v>
      </c>
      <c r="M254" s="109" t="s">
        <v>384</v>
      </c>
      <c r="N254" s="109" t="s">
        <v>36</v>
      </c>
      <c r="O254" s="109" t="s">
        <v>386</v>
      </c>
      <c r="P254" s="109" t="s">
        <v>827</v>
      </c>
      <c r="Q254" s="109" t="s">
        <v>940</v>
      </c>
      <c r="R254" s="109" t="s">
        <v>65</v>
      </c>
      <c r="S254" s="83" t="str">
        <f t="shared" si="24"/>
        <v>B176</v>
      </c>
      <c r="T254" s="83" t="str">
        <f t="shared" si="21"/>
        <v>GOSSAMER</v>
      </c>
      <c r="Y254" s="60">
        <f t="shared" si="25"/>
        <v>31</v>
      </c>
      <c r="Z254" s="49">
        <f t="shared" si="26"/>
        <v>84</v>
      </c>
      <c r="AA254" s="60">
        <f t="shared" si="27"/>
        <v>31084</v>
      </c>
    </row>
    <row r="255" spans="1:27">
      <c r="A255" s="83" t="str">
        <f t="shared" si="22"/>
        <v>B1899Hblack</v>
      </c>
      <c r="B255" s="83" t="str">
        <f t="shared" si="23"/>
        <v>31-237-09</v>
      </c>
      <c r="C255" s="109" t="s">
        <v>1673</v>
      </c>
      <c r="D255" s="109" t="s">
        <v>1674</v>
      </c>
      <c r="E255" s="109" t="s">
        <v>793</v>
      </c>
      <c r="F255" s="110">
        <v>0</v>
      </c>
      <c r="G255" s="109" t="s">
        <v>1386</v>
      </c>
      <c r="H255" s="109" t="s">
        <v>53</v>
      </c>
      <c r="I255" s="109" t="s">
        <v>966</v>
      </c>
      <c r="J255" s="109" t="s">
        <v>357</v>
      </c>
      <c r="K255" s="109" t="s">
        <v>387</v>
      </c>
      <c r="L255" s="109" t="s">
        <v>523</v>
      </c>
      <c r="M255" s="109" t="s">
        <v>384</v>
      </c>
      <c r="N255" s="109" t="s">
        <v>36</v>
      </c>
      <c r="O255" s="109" t="s">
        <v>386</v>
      </c>
      <c r="P255" s="109" t="s">
        <v>827</v>
      </c>
      <c r="Q255" s="109" t="s">
        <v>831</v>
      </c>
      <c r="R255" s="109" t="s">
        <v>53</v>
      </c>
      <c r="S255" s="83" t="str">
        <f t="shared" si="24"/>
        <v>B1899H</v>
      </c>
      <c r="T255" s="83" t="str">
        <f t="shared" si="21"/>
        <v>GOSSAMER MINI</v>
      </c>
      <c r="Y255" s="60">
        <f t="shared" si="25"/>
        <v>31</v>
      </c>
      <c r="Z255" s="49">
        <f t="shared" si="26"/>
        <v>237</v>
      </c>
      <c r="AA255" s="60">
        <f t="shared" si="27"/>
        <v>31237</v>
      </c>
    </row>
    <row r="256" spans="1:27">
      <c r="A256" s="83" t="str">
        <f t="shared" si="22"/>
        <v>B1899Hdesert/natural</v>
      </c>
      <c r="B256" s="83" t="str">
        <f t="shared" si="23"/>
        <v>31-237-36</v>
      </c>
      <c r="C256" s="109" t="s">
        <v>1675</v>
      </c>
      <c r="D256" s="109" t="s">
        <v>1676</v>
      </c>
      <c r="E256" s="109" t="s">
        <v>793</v>
      </c>
      <c r="F256" s="110">
        <v>0</v>
      </c>
      <c r="G256" s="109" t="s">
        <v>1386</v>
      </c>
      <c r="H256" s="109" t="s">
        <v>187</v>
      </c>
      <c r="I256" s="109" t="s">
        <v>966</v>
      </c>
      <c r="J256" s="109" t="s">
        <v>357</v>
      </c>
      <c r="K256" s="109" t="s">
        <v>387</v>
      </c>
      <c r="L256" s="109" t="s">
        <v>523</v>
      </c>
      <c r="M256" s="109" t="s">
        <v>384</v>
      </c>
      <c r="N256" s="109" t="s">
        <v>36</v>
      </c>
      <c r="O256" s="109" t="s">
        <v>386</v>
      </c>
      <c r="P256" s="109" t="s">
        <v>827</v>
      </c>
      <c r="Q256" s="109" t="s">
        <v>933</v>
      </c>
      <c r="R256" s="109" t="s">
        <v>63</v>
      </c>
      <c r="S256" s="83" t="str">
        <f t="shared" si="24"/>
        <v>B1899H</v>
      </c>
      <c r="T256" s="83" t="str">
        <f t="shared" si="21"/>
        <v>GOSSAMER MINI</v>
      </c>
      <c r="Y256" s="60">
        <f t="shared" si="25"/>
        <v>31</v>
      </c>
      <c r="Z256" s="49">
        <f t="shared" si="26"/>
        <v>237</v>
      </c>
      <c r="AA256" s="60">
        <f t="shared" si="27"/>
        <v>31237</v>
      </c>
    </row>
    <row r="257" spans="1:27">
      <c r="A257" s="83" t="str">
        <f t="shared" si="22"/>
        <v>B1948Hnatural/gold</v>
      </c>
      <c r="B257" s="83" t="str">
        <f t="shared" si="23"/>
        <v>31-267-02</v>
      </c>
      <c r="C257" s="109" t="s">
        <v>1677</v>
      </c>
      <c r="D257" s="109" t="s">
        <v>1678</v>
      </c>
      <c r="E257" s="109" t="s">
        <v>793</v>
      </c>
      <c r="F257" s="110">
        <v>0</v>
      </c>
      <c r="G257" s="109" t="s">
        <v>1621</v>
      </c>
      <c r="H257" s="109" t="s">
        <v>63</v>
      </c>
      <c r="I257" s="109" t="s">
        <v>1622</v>
      </c>
      <c r="J257" s="109" t="s">
        <v>357</v>
      </c>
      <c r="K257" s="109" t="s">
        <v>387</v>
      </c>
      <c r="L257" s="109" t="s">
        <v>523</v>
      </c>
      <c r="M257" s="109" t="s">
        <v>384</v>
      </c>
      <c r="N257" s="109" t="s">
        <v>36</v>
      </c>
      <c r="O257" s="109" t="s">
        <v>386</v>
      </c>
      <c r="P257" s="109" t="s">
        <v>827</v>
      </c>
      <c r="Q257" s="109" t="s">
        <v>1679</v>
      </c>
      <c r="R257" s="109" t="s">
        <v>63</v>
      </c>
      <c r="S257" s="83" t="str">
        <f t="shared" si="24"/>
        <v>B1948H</v>
      </c>
      <c r="T257" s="83" t="str">
        <f t="shared" si="21"/>
        <v>FRANOISE</v>
      </c>
      <c r="Y257" s="60">
        <f t="shared" si="25"/>
        <v>31</v>
      </c>
      <c r="Z257" s="49">
        <f t="shared" si="26"/>
        <v>267</v>
      </c>
      <c r="AA257" s="60">
        <f t="shared" si="27"/>
        <v>31267</v>
      </c>
    </row>
    <row r="258" spans="1:27">
      <c r="A258" s="83" t="str">
        <f t="shared" si="22"/>
        <v>B1950Hrattlesnake multi</v>
      </c>
      <c r="B258" s="83" t="str">
        <f t="shared" si="23"/>
        <v>31-265-08</v>
      </c>
      <c r="C258" s="109" t="s">
        <v>1680</v>
      </c>
      <c r="D258" s="109" t="s">
        <v>1681</v>
      </c>
      <c r="E258" s="109" t="s">
        <v>793</v>
      </c>
      <c r="F258" s="110">
        <v>0</v>
      </c>
      <c r="G258" s="109" t="s">
        <v>1606</v>
      </c>
      <c r="H258" s="109" t="s">
        <v>83</v>
      </c>
      <c r="I258" s="109" t="s">
        <v>1607</v>
      </c>
      <c r="J258" s="109" t="s">
        <v>323</v>
      </c>
      <c r="K258" s="109" t="s">
        <v>387</v>
      </c>
      <c r="L258" s="109" t="s">
        <v>523</v>
      </c>
      <c r="M258" s="109" t="s">
        <v>384</v>
      </c>
      <c r="N258" s="109" t="s">
        <v>36</v>
      </c>
      <c r="O258" s="109" t="s">
        <v>386</v>
      </c>
      <c r="P258" s="109" t="s">
        <v>827</v>
      </c>
      <c r="Q258" s="109" t="s">
        <v>1682</v>
      </c>
      <c r="R258" s="109" t="s">
        <v>83</v>
      </c>
      <c r="S258" s="83" t="str">
        <f t="shared" si="24"/>
        <v>B1950H</v>
      </c>
      <c r="T258" s="83" t="str">
        <f t="shared" ref="T258:T321" si="28">IF(A258&lt;&gt;"",IF(FIND(" ",G258)&gt;=1,MID(G258,FIND(" ",G258)+1,LEN(G258)),""),"")</f>
        <v>BEATRICE</v>
      </c>
      <c r="Y258" s="60">
        <f t="shared" si="25"/>
        <v>31</v>
      </c>
      <c r="Z258" s="49">
        <f t="shared" si="26"/>
        <v>265</v>
      </c>
      <c r="AA258" s="60">
        <f t="shared" si="27"/>
        <v>31265</v>
      </c>
    </row>
    <row r="259" spans="1:27">
      <c r="A259" s="83" t="str">
        <f t="shared" ref="A259:A322" si="29">IF(G259&amp;Q259&lt;&gt;"",S259&amp;Q259,"")</f>
        <v>B1951Hnatural</v>
      </c>
      <c r="B259" s="83" t="str">
        <f t="shared" ref="B259:B322" si="30">IF(C259&lt;&gt;"",LEFT(C259,9),"")</f>
        <v>31-271-02</v>
      </c>
      <c r="C259" s="109" t="s">
        <v>1683</v>
      </c>
      <c r="D259" s="109" t="s">
        <v>1684</v>
      </c>
      <c r="E259" s="109" t="s">
        <v>793</v>
      </c>
      <c r="F259" s="110">
        <v>0</v>
      </c>
      <c r="G259" s="109" t="s">
        <v>1643</v>
      </c>
      <c r="H259" s="109" t="s">
        <v>63</v>
      </c>
      <c r="I259" s="109" t="s">
        <v>1644</v>
      </c>
      <c r="J259" s="109" t="s">
        <v>323</v>
      </c>
      <c r="K259" s="109" t="s">
        <v>387</v>
      </c>
      <c r="L259" s="109" t="s">
        <v>523</v>
      </c>
      <c r="M259" s="109" t="s">
        <v>384</v>
      </c>
      <c r="N259" s="109" t="s">
        <v>36</v>
      </c>
      <c r="O259" s="109" t="s">
        <v>386</v>
      </c>
      <c r="P259" s="109" t="s">
        <v>827</v>
      </c>
      <c r="Q259" s="109" t="s">
        <v>844</v>
      </c>
      <c r="R259" s="109" t="s">
        <v>63</v>
      </c>
      <c r="S259" s="83" t="str">
        <f t="shared" ref="S259:S322" si="31">IF(G259&lt;&gt;"",IF(FIND(" ",G259)&gt;=1,MID(G259,1,FIND(" ",G259)-1),G259),"")</f>
        <v>B1951H</v>
      </c>
      <c r="T259" s="83" t="str">
        <f t="shared" si="28"/>
        <v>CLAUDINE</v>
      </c>
      <c r="Y259" s="60">
        <f t="shared" ref="Y259:Y322" si="32">IFERROR(VALUE(MID($C259,1,2)),0)</f>
        <v>31</v>
      </c>
      <c r="Z259" s="49">
        <f t="shared" ref="Z259:Z322" si="33">IFERROR(VALUE(MID($C259,4,3)),0)</f>
        <v>271</v>
      </c>
      <c r="AA259" s="60">
        <f t="shared" ref="AA259:AA322" si="34">VALUE(RIGHT("00"&amp;Y259,2)&amp;RIGHT("000"&amp;Z259,3))</f>
        <v>31271</v>
      </c>
    </row>
    <row r="260" spans="1:27">
      <c r="A260" s="83" t="str">
        <f t="shared" si="29"/>
        <v>B1952Hnatural</v>
      </c>
      <c r="B260" s="83" t="str">
        <f t="shared" si="30"/>
        <v>31-261-02</v>
      </c>
      <c r="C260" s="109" t="s">
        <v>1685</v>
      </c>
      <c r="D260" s="109" t="s">
        <v>1686</v>
      </c>
      <c r="E260" s="109" t="s">
        <v>793</v>
      </c>
      <c r="F260" s="110">
        <v>0</v>
      </c>
      <c r="G260" s="109" t="s">
        <v>1585</v>
      </c>
      <c r="H260" s="109" t="s">
        <v>63</v>
      </c>
      <c r="I260" s="109" t="s">
        <v>787</v>
      </c>
      <c r="J260" s="109" t="s">
        <v>351</v>
      </c>
      <c r="K260" s="109" t="s">
        <v>387</v>
      </c>
      <c r="L260" s="109" t="s">
        <v>523</v>
      </c>
      <c r="M260" s="109" t="s">
        <v>388</v>
      </c>
      <c r="N260" s="109" t="s">
        <v>43</v>
      </c>
      <c r="O260" s="109" t="s">
        <v>386</v>
      </c>
      <c r="P260" s="109" t="s">
        <v>827</v>
      </c>
      <c r="Q260" s="109" t="s">
        <v>844</v>
      </c>
      <c r="R260" s="109" t="s">
        <v>63</v>
      </c>
      <c r="S260" s="83" t="str">
        <f t="shared" si="31"/>
        <v>B1952H</v>
      </c>
      <c r="T260" s="83" t="str">
        <f t="shared" si="28"/>
        <v>CHRISTIANE</v>
      </c>
      <c r="Y260" s="60">
        <f t="shared" si="32"/>
        <v>31</v>
      </c>
      <c r="Z260" s="49">
        <f t="shared" si="33"/>
        <v>261</v>
      </c>
      <c r="AA260" s="60">
        <f t="shared" si="34"/>
        <v>31261</v>
      </c>
    </row>
    <row r="261" spans="1:27">
      <c r="A261" s="83" t="str">
        <f t="shared" si="29"/>
        <v>B1953Hcitrus floral</v>
      </c>
      <c r="B261" s="83" t="str">
        <f t="shared" si="30"/>
        <v>31-264-20</v>
      </c>
      <c r="C261" s="109" t="s">
        <v>1687</v>
      </c>
      <c r="D261" s="109" t="s">
        <v>1688</v>
      </c>
      <c r="E261" s="109" t="s">
        <v>793</v>
      </c>
      <c r="F261" s="110">
        <v>0</v>
      </c>
      <c r="G261" s="109" t="s">
        <v>1602</v>
      </c>
      <c r="H261" s="109" t="s">
        <v>750</v>
      </c>
      <c r="I261" s="109" t="s">
        <v>794</v>
      </c>
      <c r="J261" s="109" t="s">
        <v>325</v>
      </c>
      <c r="K261" s="109" t="s">
        <v>387</v>
      </c>
      <c r="L261" s="109" t="s">
        <v>523</v>
      </c>
      <c r="M261" s="109" t="s">
        <v>388</v>
      </c>
      <c r="O261" s="109" t="s">
        <v>386</v>
      </c>
      <c r="P261" s="109" t="s">
        <v>827</v>
      </c>
      <c r="Q261" s="109" t="s">
        <v>1689</v>
      </c>
      <c r="R261" s="109" t="s">
        <v>65</v>
      </c>
      <c r="S261" s="83" t="str">
        <f t="shared" si="31"/>
        <v>B1953H</v>
      </c>
      <c r="T261" s="83" t="str">
        <f t="shared" si="28"/>
        <v>FLORENCE</v>
      </c>
      <c r="Y261" s="60">
        <f t="shared" si="32"/>
        <v>31</v>
      </c>
      <c r="Z261" s="49">
        <f t="shared" si="33"/>
        <v>264</v>
      </c>
      <c r="AA261" s="60">
        <f t="shared" si="34"/>
        <v>31264</v>
      </c>
    </row>
    <row r="262" spans="1:27">
      <c r="A262" s="83" t="str">
        <f t="shared" si="29"/>
        <v>B1953Hwhite floral</v>
      </c>
      <c r="B262" s="83" t="str">
        <f t="shared" si="30"/>
        <v>31-264-17</v>
      </c>
      <c r="C262" s="109" t="s">
        <v>1690</v>
      </c>
      <c r="D262" s="109" t="s">
        <v>1691</v>
      </c>
      <c r="E262" s="109" t="s">
        <v>793</v>
      </c>
      <c r="F262" s="110">
        <v>0</v>
      </c>
      <c r="G262" s="109" t="s">
        <v>1602</v>
      </c>
      <c r="H262" s="109" t="s">
        <v>57</v>
      </c>
      <c r="I262" s="109" t="s">
        <v>794</v>
      </c>
      <c r="J262" s="109" t="s">
        <v>325</v>
      </c>
      <c r="K262" s="109" t="s">
        <v>387</v>
      </c>
      <c r="L262" s="109" t="s">
        <v>523</v>
      </c>
      <c r="M262" s="109" t="s">
        <v>388</v>
      </c>
      <c r="O262" s="109" t="s">
        <v>386</v>
      </c>
      <c r="P262" s="109" t="s">
        <v>827</v>
      </c>
      <c r="Q262" s="109" t="s">
        <v>1692</v>
      </c>
      <c r="R262" s="109" t="s">
        <v>57</v>
      </c>
      <c r="S262" s="83" t="str">
        <f t="shared" si="31"/>
        <v>B1953H</v>
      </c>
      <c r="T262" s="83" t="str">
        <f t="shared" si="28"/>
        <v>FLORENCE</v>
      </c>
      <c r="Y262" s="60">
        <f t="shared" si="32"/>
        <v>31</v>
      </c>
      <c r="Z262" s="49">
        <f t="shared" si="33"/>
        <v>264</v>
      </c>
      <c r="AA262" s="60">
        <f t="shared" si="34"/>
        <v>31264</v>
      </c>
    </row>
    <row r="263" spans="1:27">
      <c r="A263" s="83" t="str">
        <f t="shared" si="29"/>
        <v>B008Hfrench navy</v>
      </c>
      <c r="B263" s="83" t="str">
        <f t="shared" si="30"/>
        <v>31-001-16</v>
      </c>
      <c r="C263" s="109" t="s">
        <v>1693</v>
      </c>
      <c r="D263" s="109" t="s">
        <v>1694</v>
      </c>
      <c r="E263" s="109" t="s">
        <v>793</v>
      </c>
      <c r="F263" s="110">
        <v>0</v>
      </c>
      <c r="G263" s="109" t="s">
        <v>1489</v>
      </c>
      <c r="H263" s="109" t="s">
        <v>55</v>
      </c>
      <c r="I263" s="109" t="s">
        <v>1111</v>
      </c>
      <c r="J263" s="109" t="s">
        <v>348</v>
      </c>
      <c r="K263" s="109" t="s">
        <v>387</v>
      </c>
      <c r="L263" s="109" t="s">
        <v>523</v>
      </c>
      <c r="M263" s="109" t="s">
        <v>388</v>
      </c>
      <c r="N263" s="109" t="s">
        <v>44</v>
      </c>
      <c r="O263" s="109" t="s">
        <v>386</v>
      </c>
      <c r="P263" s="109" t="s">
        <v>827</v>
      </c>
      <c r="Q263" s="109" t="s">
        <v>1695</v>
      </c>
      <c r="R263" s="109" t="s">
        <v>71</v>
      </c>
      <c r="S263" s="83" t="str">
        <f t="shared" si="31"/>
        <v>B008H</v>
      </c>
      <c r="T263" s="83" t="str">
        <f t="shared" si="28"/>
        <v>LYDIA</v>
      </c>
      <c r="Y263" s="60">
        <f t="shared" si="32"/>
        <v>31</v>
      </c>
      <c r="Z263" s="49">
        <f t="shared" si="33"/>
        <v>1</v>
      </c>
      <c r="AA263" s="60">
        <f t="shared" si="34"/>
        <v>31001</v>
      </c>
    </row>
    <row r="264" spans="1:27">
      <c r="A264" s="83" t="str">
        <f t="shared" si="29"/>
        <v>B011Hplum multi</v>
      </c>
      <c r="B264" s="83" t="str">
        <f t="shared" si="30"/>
        <v>31-002-41</v>
      </c>
      <c r="C264" s="109" t="s">
        <v>1696</v>
      </c>
      <c r="D264" s="109" t="s">
        <v>1697</v>
      </c>
      <c r="E264" s="109" t="s">
        <v>793</v>
      </c>
      <c r="F264" s="110">
        <v>0</v>
      </c>
      <c r="G264" s="109" t="s">
        <v>1080</v>
      </c>
      <c r="H264" s="109" t="s">
        <v>286</v>
      </c>
      <c r="I264" s="109" t="s">
        <v>853</v>
      </c>
      <c r="J264" s="109" t="s">
        <v>348</v>
      </c>
      <c r="K264" s="109" t="s">
        <v>387</v>
      </c>
      <c r="L264" s="109" t="s">
        <v>523</v>
      </c>
      <c r="M264" s="109" t="s">
        <v>388</v>
      </c>
      <c r="N264" s="109" t="s">
        <v>44</v>
      </c>
      <c r="O264" s="109" t="s">
        <v>386</v>
      </c>
      <c r="P264" s="109" t="s">
        <v>827</v>
      </c>
      <c r="Q264" s="109" t="s">
        <v>1698</v>
      </c>
      <c r="R264" s="109" t="s">
        <v>286</v>
      </c>
      <c r="S264" s="83" t="str">
        <f t="shared" si="31"/>
        <v>B011H</v>
      </c>
      <c r="T264" s="83" t="str">
        <f t="shared" si="28"/>
        <v>ADELE</v>
      </c>
      <c r="Y264" s="60">
        <f t="shared" si="32"/>
        <v>31</v>
      </c>
      <c r="Z264" s="49">
        <f t="shared" si="33"/>
        <v>2</v>
      </c>
      <c r="AA264" s="60">
        <f t="shared" si="34"/>
        <v>31002</v>
      </c>
    </row>
    <row r="265" spans="1:27">
      <c r="A265" s="83" t="str">
        <f t="shared" si="29"/>
        <v>B1249Hredwood</v>
      </c>
      <c r="B265" s="83" t="str">
        <f t="shared" si="30"/>
        <v>31-008-13</v>
      </c>
      <c r="C265" s="109" t="s">
        <v>1699</v>
      </c>
      <c r="D265" s="109" t="s">
        <v>1700</v>
      </c>
      <c r="E265" s="109" t="s">
        <v>793</v>
      </c>
      <c r="F265" s="110">
        <v>0</v>
      </c>
      <c r="G265" s="109" t="s">
        <v>1104</v>
      </c>
      <c r="H265" s="109" t="s">
        <v>217</v>
      </c>
      <c r="I265" s="109" t="s">
        <v>785</v>
      </c>
      <c r="J265" s="109" t="s">
        <v>330</v>
      </c>
      <c r="K265" s="109" t="s">
        <v>387</v>
      </c>
      <c r="L265" s="109" t="s">
        <v>523</v>
      </c>
      <c r="M265" s="109" t="s">
        <v>388</v>
      </c>
      <c r="N265" s="109" t="s">
        <v>30</v>
      </c>
      <c r="O265" s="109" t="s">
        <v>386</v>
      </c>
      <c r="P265" s="109" t="s">
        <v>827</v>
      </c>
      <c r="Q265" s="109" t="s">
        <v>1701</v>
      </c>
      <c r="R265" s="109" t="s">
        <v>199</v>
      </c>
      <c r="S265" s="83" t="str">
        <f t="shared" si="31"/>
        <v>B1249H</v>
      </c>
      <c r="T265" s="83" t="str">
        <f t="shared" si="28"/>
        <v>DARCY</v>
      </c>
      <c r="Y265" s="60">
        <f t="shared" si="32"/>
        <v>31</v>
      </c>
      <c r="Z265" s="49">
        <f t="shared" si="33"/>
        <v>8</v>
      </c>
      <c r="AA265" s="60">
        <f t="shared" si="34"/>
        <v>31008</v>
      </c>
    </row>
    <row r="266" spans="1:27">
      <c r="A266" s="83" t="str">
        <f t="shared" si="29"/>
        <v>B1639Hblack.black</v>
      </c>
      <c r="B266" s="83" t="str">
        <f t="shared" si="30"/>
        <v>31-119-99</v>
      </c>
      <c r="C266" s="109" t="s">
        <v>1702</v>
      </c>
      <c r="D266" s="109" t="s">
        <v>1703</v>
      </c>
      <c r="E266" s="109" t="s">
        <v>793</v>
      </c>
      <c r="F266" s="110">
        <v>0</v>
      </c>
      <c r="G266" s="109" t="s">
        <v>1522</v>
      </c>
      <c r="H266" s="109" t="s">
        <v>53</v>
      </c>
      <c r="I266" s="109" t="s">
        <v>785</v>
      </c>
      <c r="J266" s="109" t="s">
        <v>357</v>
      </c>
      <c r="K266" s="109" t="s">
        <v>387</v>
      </c>
      <c r="L266" s="109" t="s">
        <v>523</v>
      </c>
      <c r="M266" s="109" t="s">
        <v>388</v>
      </c>
      <c r="N266" s="109" t="s">
        <v>30</v>
      </c>
      <c r="O266" s="109" t="s">
        <v>386</v>
      </c>
      <c r="P266" s="109" t="s">
        <v>827</v>
      </c>
      <c r="Q266" s="109" t="s">
        <v>1704</v>
      </c>
      <c r="R266" s="109" t="s">
        <v>53</v>
      </c>
      <c r="S266" s="83" t="str">
        <f t="shared" si="31"/>
        <v>B1639H</v>
      </c>
      <c r="T266" s="83" t="str">
        <f t="shared" si="28"/>
        <v>EMMA</v>
      </c>
      <c r="Y266" s="60">
        <f t="shared" si="32"/>
        <v>31</v>
      </c>
      <c r="Z266" s="49">
        <f t="shared" si="33"/>
        <v>119</v>
      </c>
      <c r="AA266" s="60">
        <f t="shared" si="34"/>
        <v>31119</v>
      </c>
    </row>
    <row r="267" spans="1:27">
      <c r="A267" s="83" t="str">
        <f t="shared" si="29"/>
        <v>B1688Hstrawberry</v>
      </c>
      <c r="B267" s="83" t="str">
        <f t="shared" si="30"/>
        <v>31-127-34</v>
      </c>
      <c r="C267" s="109" t="s">
        <v>1705</v>
      </c>
      <c r="D267" s="109" t="s">
        <v>1706</v>
      </c>
      <c r="E267" s="109" t="s">
        <v>793</v>
      </c>
      <c r="F267" s="110">
        <v>0</v>
      </c>
      <c r="G267" s="109" t="s">
        <v>1707</v>
      </c>
      <c r="H267" s="109" t="s">
        <v>276</v>
      </c>
      <c r="I267" s="109" t="s">
        <v>785</v>
      </c>
      <c r="J267" s="109" t="s">
        <v>323</v>
      </c>
      <c r="K267" s="109" t="s">
        <v>387</v>
      </c>
      <c r="L267" s="109" t="s">
        <v>523</v>
      </c>
      <c r="M267" s="109" t="s">
        <v>388</v>
      </c>
      <c r="N267" s="109" t="s">
        <v>30</v>
      </c>
      <c r="O267" s="109" t="s">
        <v>386</v>
      </c>
      <c r="P267" s="109" t="s">
        <v>827</v>
      </c>
      <c r="Q267" s="109" t="s">
        <v>1708</v>
      </c>
      <c r="R267" s="109" t="s">
        <v>68</v>
      </c>
      <c r="S267" s="83" t="str">
        <f t="shared" si="31"/>
        <v>B1688H</v>
      </c>
      <c r="T267" s="83" t="str">
        <f t="shared" si="28"/>
        <v>MARSIELLE</v>
      </c>
      <c r="Y267" s="60">
        <f t="shared" si="32"/>
        <v>31</v>
      </c>
      <c r="Z267" s="49">
        <f t="shared" si="33"/>
        <v>127</v>
      </c>
      <c r="AA267" s="60">
        <f t="shared" si="34"/>
        <v>31127</v>
      </c>
    </row>
    <row r="268" spans="1:27">
      <c r="A268" s="83" t="str">
        <f t="shared" si="29"/>
        <v>B1794Hfrench navy</v>
      </c>
      <c r="B268" s="83" t="str">
        <f t="shared" si="30"/>
        <v>31-188-16</v>
      </c>
      <c r="C268" s="109" t="s">
        <v>1709</v>
      </c>
      <c r="D268" s="109" t="s">
        <v>1710</v>
      </c>
      <c r="E268" s="109" t="s">
        <v>793</v>
      </c>
      <c r="F268" s="110">
        <v>0</v>
      </c>
      <c r="G268" s="109" t="s">
        <v>1084</v>
      </c>
      <c r="H268" s="109" t="s">
        <v>55</v>
      </c>
      <c r="I268" s="109" t="s">
        <v>796</v>
      </c>
      <c r="J268" s="109" t="s">
        <v>348</v>
      </c>
      <c r="K268" s="109" t="s">
        <v>387</v>
      </c>
      <c r="L268" s="109" t="s">
        <v>523</v>
      </c>
      <c r="M268" s="109" t="s">
        <v>388</v>
      </c>
      <c r="N268" s="109" t="s">
        <v>44</v>
      </c>
      <c r="O268" s="109" t="s">
        <v>386</v>
      </c>
      <c r="P268" s="109" t="s">
        <v>827</v>
      </c>
      <c r="Q268" s="109" t="s">
        <v>1695</v>
      </c>
      <c r="R268" s="109" t="s">
        <v>71</v>
      </c>
      <c r="S268" s="83" t="str">
        <f t="shared" si="31"/>
        <v>B1794H</v>
      </c>
      <c r="T268" s="83" t="str">
        <f t="shared" si="28"/>
        <v>CRYSTAL CAP</v>
      </c>
      <c r="Y268" s="60">
        <f t="shared" si="32"/>
        <v>31</v>
      </c>
      <c r="Z268" s="49">
        <f t="shared" si="33"/>
        <v>188</v>
      </c>
      <c r="AA268" s="60">
        <f t="shared" si="34"/>
        <v>31188</v>
      </c>
    </row>
    <row r="269" spans="1:27">
      <c r="A269" s="83" t="str">
        <f t="shared" si="29"/>
        <v>B1872Hteal</v>
      </c>
      <c r="B269" s="83" t="str">
        <f t="shared" si="30"/>
        <v>31-219-19</v>
      </c>
      <c r="C269" s="109" t="s">
        <v>1711</v>
      </c>
      <c r="D269" s="109" t="s">
        <v>1712</v>
      </c>
      <c r="E269" s="109" t="s">
        <v>793</v>
      </c>
      <c r="F269" s="110">
        <v>0</v>
      </c>
      <c r="G269" s="109" t="s">
        <v>1061</v>
      </c>
      <c r="H269" s="109" t="s">
        <v>91</v>
      </c>
      <c r="I269" s="109" t="s">
        <v>863</v>
      </c>
      <c r="J269" s="109" t="s">
        <v>327</v>
      </c>
      <c r="K269" s="109" t="s">
        <v>387</v>
      </c>
      <c r="L269" s="109" t="s">
        <v>523</v>
      </c>
      <c r="M269" s="109" t="s">
        <v>388</v>
      </c>
      <c r="O269" s="109" t="s">
        <v>386</v>
      </c>
      <c r="P269" s="109" t="s">
        <v>827</v>
      </c>
      <c r="Q269" s="109" t="s">
        <v>1574</v>
      </c>
      <c r="R269" s="109" t="s">
        <v>91</v>
      </c>
      <c r="S269" s="83" t="str">
        <f t="shared" si="31"/>
        <v>B1872H</v>
      </c>
      <c r="T269" s="83" t="str">
        <f t="shared" si="28"/>
        <v>QUILTED RAIN CAP</v>
      </c>
      <c r="Y269" s="60">
        <f t="shared" si="32"/>
        <v>31</v>
      </c>
      <c r="Z269" s="49">
        <f t="shared" si="33"/>
        <v>219</v>
      </c>
      <c r="AA269" s="60">
        <f t="shared" si="34"/>
        <v>31219</v>
      </c>
    </row>
    <row r="270" spans="1:27">
      <c r="A270" s="83" t="str">
        <f t="shared" si="29"/>
        <v>B1873Hsulfur</v>
      </c>
      <c r="B270" s="83" t="str">
        <f t="shared" si="30"/>
        <v>31-224-20</v>
      </c>
      <c r="C270" s="109" t="s">
        <v>1713</v>
      </c>
      <c r="D270" s="109" t="s">
        <v>1714</v>
      </c>
      <c r="E270" s="109" t="s">
        <v>793</v>
      </c>
      <c r="F270" s="110">
        <v>0</v>
      </c>
      <c r="G270" s="109" t="s">
        <v>1090</v>
      </c>
      <c r="H270" s="109" t="s">
        <v>142</v>
      </c>
      <c r="I270" s="109" t="s">
        <v>794</v>
      </c>
      <c r="J270" s="109" t="s">
        <v>348</v>
      </c>
      <c r="K270" s="109" t="s">
        <v>387</v>
      </c>
      <c r="L270" s="109" t="s">
        <v>523</v>
      </c>
      <c r="M270" s="109" t="s">
        <v>388</v>
      </c>
      <c r="O270" s="109" t="s">
        <v>386</v>
      </c>
      <c r="P270" s="109" t="s">
        <v>827</v>
      </c>
      <c r="Q270" s="109" t="s">
        <v>894</v>
      </c>
      <c r="R270" s="109" t="s">
        <v>65</v>
      </c>
      <c r="S270" s="83" t="str">
        <f t="shared" si="31"/>
        <v>B1873H</v>
      </c>
      <c r="T270" s="83" t="str">
        <f t="shared" si="28"/>
        <v>LIEUTENANT CAP</v>
      </c>
      <c r="Y270" s="60">
        <f t="shared" si="32"/>
        <v>31</v>
      </c>
      <c r="Z270" s="49">
        <f t="shared" si="33"/>
        <v>224</v>
      </c>
      <c r="AA270" s="60">
        <f t="shared" si="34"/>
        <v>31224</v>
      </c>
    </row>
    <row r="271" spans="1:27">
      <c r="A271" s="83" t="str">
        <f t="shared" si="29"/>
        <v>B1929Hfrench navy heather</v>
      </c>
      <c r="B271" s="83" t="str">
        <f t="shared" si="30"/>
        <v>31-258-16</v>
      </c>
      <c r="C271" s="109" t="s">
        <v>1715</v>
      </c>
      <c r="D271" s="109" t="s">
        <v>1716</v>
      </c>
      <c r="E271" s="109" t="s">
        <v>793</v>
      </c>
      <c r="F271" s="110">
        <v>0</v>
      </c>
      <c r="G271" s="109" t="s">
        <v>1558</v>
      </c>
      <c r="H271" s="109" t="s">
        <v>55</v>
      </c>
      <c r="I271" s="109" t="s">
        <v>785</v>
      </c>
      <c r="J271" s="109" t="s">
        <v>323</v>
      </c>
      <c r="K271" s="109" t="s">
        <v>387</v>
      </c>
      <c r="L271" s="109" t="s">
        <v>523</v>
      </c>
      <c r="M271" s="109" t="s">
        <v>388</v>
      </c>
      <c r="N271" s="109" t="s">
        <v>30</v>
      </c>
      <c r="O271" s="109" t="s">
        <v>386</v>
      </c>
      <c r="P271" s="109" t="s">
        <v>827</v>
      </c>
      <c r="Q271" s="109" t="s">
        <v>1717</v>
      </c>
      <c r="R271" s="109" t="s">
        <v>71</v>
      </c>
      <c r="S271" s="83" t="str">
        <f t="shared" si="31"/>
        <v>B1929H</v>
      </c>
      <c r="T271" s="83" t="str">
        <f t="shared" si="28"/>
        <v>VICTORIA</v>
      </c>
      <c r="Y271" s="60">
        <f t="shared" si="32"/>
        <v>31</v>
      </c>
      <c r="Z271" s="49">
        <f t="shared" si="33"/>
        <v>258</v>
      </c>
      <c r="AA271" s="60">
        <f t="shared" si="34"/>
        <v>31258</v>
      </c>
    </row>
    <row r="272" spans="1:27">
      <c r="A272" s="83" t="str">
        <f t="shared" si="29"/>
        <v>B1943Hblack/white</v>
      </c>
      <c r="B272" s="83" t="str">
        <f t="shared" si="30"/>
        <v>31-248-72</v>
      </c>
      <c r="C272" s="109" t="s">
        <v>1718</v>
      </c>
      <c r="D272" s="109" t="s">
        <v>1719</v>
      </c>
      <c r="E272" s="109" t="s">
        <v>793</v>
      </c>
      <c r="F272" s="110">
        <v>0</v>
      </c>
      <c r="G272" s="109" t="s">
        <v>1478</v>
      </c>
      <c r="H272" s="109" t="s">
        <v>293</v>
      </c>
      <c r="I272" s="109" t="s">
        <v>794</v>
      </c>
      <c r="J272" s="109" t="s">
        <v>327</v>
      </c>
      <c r="K272" s="109" t="s">
        <v>387</v>
      </c>
      <c r="L272" s="109" t="s">
        <v>523</v>
      </c>
      <c r="M272" s="109" t="s">
        <v>388</v>
      </c>
      <c r="O272" s="109" t="s">
        <v>386</v>
      </c>
      <c r="P272" s="109" t="s">
        <v>827</v>
      </c>
      <c r="Q272" s="109" t="s">
        <v>900</v>
      </c>
      <c r="R272" s="109" t="s">
        <v>53</v>
      </c>
      <c r="S272" s="83" t="str">
        <f t="shared" si="31"/>
        <v>B1943H</v>
      </c>
      <c r="T272" s="83" t="str">
        <f t="shared" si="28"/>
        <v>PATTERN BASEBALL CAP</v>
      </c>
      <c r="Y272" s="60">
        <f t="shared" si="32"/>
        <v>31</v>
      </c>
      <c r="Z272" s="49">
        <f t="shared" si="33"/>
        <v>248</v>
      </c>
      <c r="AA272" s="60">
        <f t="shared" si="34"/>
        <v>31248</v>
      </c>
    </row>
    <row r="273" spans="1:27">
      <c r="A273" s="83" t="str">
        <f t="shared" si="29"/>
        <v>B1957Hgrey heather</v>
      </c>
      <c r="B273" s="83" t="str">
        <f t="shared" si="30"/>
        <v>31-273-08</v>
      </c>
      <c r="C273" s="109" t="s">
        <v>1720</v>
      </c>
      <c r="D273" s="109" t="s">
        <v>1721</v>
      </c>
      <c r="E273" s="109" t="s">
        <v>793</v>
      </c>
      <c r="F273" s="110">
        <v>0</v>
      </c>
      <c r="G273" s="109" t="s">
        <v>1722</v>
      </c>
      <c r="H273" s="109" t="s">
        <v>83</v>
      </c>
      <c r="I273" s="109" t="s">
        <v>785</v>
      </c>
      <c r="J273" s="109" t="s">
        <v>357</v>
      </c>
      <c r="K273" s="109" t="s">
        <v>387</v>
      </c>
      <c r="L273" s="109" t="s">
        <v>523</v>
      </c>
      <c r="M273" s="109" t="s">
        <v>388</v>
      </c>
      <c r="N273" s="109" t="s">
        <v>30</v>
      </c>
      <c r="O273" s="109" t="s">
        <v>386</v>
      </c>
      <c r="P273" s="109" t="s">
        <v>827</v>
      </c>
      <c r="Q273" s="109" t="s">
        <v>1723</v>
      </c>
      <c r="R273" s="109" t="s">
        <v>83</v>
      </c>
      <c r="S273" s="83" t="str">
        <f t="shared" si="31"/>
        <v>B1957H</v>
      </c>
      <c r="T273" s="83" t="str">
        <f t="shared" si="28"/>
        <v>VALERIE</v>
      </c>
      <c r="Y273" s="60">
        <f t="shared" si="32"/>
        <v>31</v>
      </c>
      <c r="Z273" s="49">
        <f t="shared" si="33"/>
        <v>273</v>
      </c>
      <c r="AA273" s="60">
        <f t="shared" si="34"/>
        <v>31273</v>
      </c>
    </row>
    <row r="274" spans="1:27">
      <c r="A274" s="83" t="str">
        <f t="shared" si="29"/>
        <v>B1958Hlight grey heather</v>
      </c>
      <c r="B274" s="83" t="str">
        <f t="shared" si="30"/>
        <v>31-274-01</v>
      </c>
      <c r="C274" s="109" t="s">
        <v>1724</v>
      </c>
      <c r="D274" s="109" t="s">
        <v>1725</v>
      </c>
      <c r="E274" s="109" t="s">
        <v>793</v>
      </c>
      <c r="F274" s="110">
        <v>0</v>
      </c>
      <c r="G274" s="109" t="s">
        <v>1726</v>
      </c>
      <c r="H274" s="109" t="s">
        <v>231</v>
      </c>
      <c r="I274" s="109" t="s">
        <v>785</v>
      </c>
      <c r="J274" s="109" t="s">
        <v>321</v>
      </c>
      <c r="K274" s="109" t="s">
        <v>387</v>
      </c>
      <c r="L274" s="109" t="s">
        <v>523</v>
      </c>
      <c r="M274" s="109" t="s">
        <v>388</v>
      </c>
      <c r="N274" s="109" t="s">
        <v>30</v>
      </c>
      <c r="O274" s="109" t="s">
        <v>386</v>
      </c>
      <c r="P274" s="109" t="s">
        <v>827</v>
      </c>
      <c r="Q274" s="109" t="s">
        <v>1727</v>
      </c>
      <c r="R274" s="109" t="s">
        <v>83</v>
      </c>
      <c r="S274" s="83" t="str">
        <f t="shared" si="31"/>
        <v>B1958H</v>
      </c>
      <c r="T274" s="83" t="str">
        <f t="shared" si="28"/>
        <v>JOSETTE</v>
      </c>
      <c r="Y274" s="60">
        <f t="shared" si="32"/>
        <v>31</v>
      </c>
      <c r="Z274" s="49">
        <f t="shared" si="33"/>
        <v>274</v>
      </c>
      <c r="AA274" s="60">
        <f t="shared" si="34"/>
        <v>31274</v>
      </c>
    </row>
    <row r="275" spans="1:27">
      <c r="A275" s="83" t="str">
        <f t="shared" si="29"/>
        <v>B1959Hblack</v>
      </c>
      <c r="B275" s="83" t="str">
        <f t="shared" si="30"/>
        <v>31-275-09</v>
      </c>
      <c r="C275" s="109" t="s">
        <v>1728</v>
      </c>
      <c r="D275" s="109" t="s">
        <v>1729</v>
      </c>
      <c r="E275" s="109" t="s">
        <v>793</v>
      </c>
      <c r="F275" s="110">
        <v>0</v>
      </c>
      <c r="G275" s="109" t="s">
        <v>1730</v>
      </c>
      <c r="H275" s="109" t="s">
        <v>53</v>
      </c>
      <c r="I275" s="109" t="s">
        <v>785</v>
      </c>
      <c r="J275" s="109" t="s">
        <v>357</v>
      </c>
      <c r="K275" s="109" t="s">
        <v>387</v>
      </c>
      <c r="L275" s="109" t="s">
        <v>523</v>
      </c>
      <c r="M275" s="109" t="s">
        <v>388</v>
      </c>
      <c r="N275" s="109" t="s">
        <v>30</v>
      </c>
      <c r="O275" s="109" t="s">
        <v>386</v>
      </c>
      <c r="P275" s="109" t="s">
        <v>827</v>
      </c>
      <c r="Q275" s="109" t="s">
        <v>831</v>
      </c>
      <c r="R275" s="109" t="s">
        <v>53</v>
      </c>
      <c r="S275" s="83" t="str">
        <f t="shared" si="31"/>
        <v>B1959H</v>
      </c>
      <c r="T275" s="83" t="str">
        <f t="shared" si="28"/>
        <v>YVETTE</v>
      </c>
      <c r="Y275" s="60">
        <f t="shared" si="32"/>
        <v>31</v>
      </c>
      <c r="Z275" s="49">
        <f t="shared" si="33"/>
        <v>275</v>
      </c>
      <c r="AA275" s="60">
        <f t="shared" si="34"/>
        <v>31275</v>
      </c>
    </row>
    <row r="276" spans="1:27">
      <c r="A276" s="83" t="str">
        <f t="shared" si="29"/>
        <v>B1960Hblack</v>
      </c>
      <c r="B276" s="83" t="str">
        <f t="shared" si="30"/>
        <v>31-276-09</v>
      </c>
      <c r="C276" s="109" t="s">
        <v>1731</v>
      </c>
      <c r="D276" s="109" t="s">
        <v>1732</v>
      </c>
      <c r="E276" s="109" t="s">
        <v>793</v>
      </c>
      <c r="F276" s="110">
        <v>0</v>
      </c>
      <c r="G276" s="109" t="s">
        <v>1733</v>
      </c>
      <c r="H276" s="109" t="s">
        <v>53</v>
      </c>
      <c r="I276" s="109" t="s">
        <v>785</v>
      </c>
      <c r="J276" s="109" t="s">
        <v>323</v>
      </c>
      <c r="K276" s="109" t="s">
        <v>387</v>
      </c>
      <c r="L276" s="109" t="s">
        <v>523</v>
      </c>
      <c r="M276" s="109" t="s">
        <v>388</v>
      </c>
      <c r="N276" s="109" t="s">
        <v>30</v>
      </c>
      <c r="O276" s="109" t="s">
        <v>386</v>
      </c>
      <c r="P276" s="109" t="s">
        <v>827</v>
      </c>
      <c r="Q276" s="109" t="s">
        <v>831</v>
      </c>
      <c r="R276" s="109" t="s">
        <v>53</v>
      </c>
      <c r="S276" s="83" t="str">
        <f t="shared" si="31"/>
        <v>B1960H</v>
      </c>
      <c r="T276" s="83" t="str">
        <f t="shared" si="28"/>
        <v>MURIEL</v>
      </c>
      <c r="Y276" s="60">
        <f t="shared" si="32"/>
        <v>31</v>
      </c>
      <c r="Z276" s="49">
        <f t="shared" si="33"/>
        <v>276</v>
      </c>
      <c r="AA276" s="60">
        <f t="shared" si="34"/>
        <v>31276</v>
      </c>
    </row>
    <row r="277" spans="1:27">
      <c r="A277" s="83" t="str">
        <f t="shared" si="29"/>
        <v>B1961Hitalian plum</v>
      </c>
      <c r="B277" s="83" t="str">
        <f t="shared" si="30"/>
        <v>31-277-41</v>
      </c>
      <c r="C277" s="109" t="s">
        <v>1734</v>
      </c>
      <c r="D277" s="109" t="s">
        <v>1735</v>
      </c>
      <c r="E277" s="109" t="s">
        <v>793</v>
      </c>
      <c r="F277" s="110">
        <v>0</v>
      </c>
      <c r="G277" s="109" t="s">
        <v>1736</v>
      </c>
      <c r="H277" s="109" t="s">
        <v>286</v>
      </c>
      <c r="I277" s="109" t="s">
        <v>863</v>
      </c>
      <c r="J277" s="109" t="s">
        <v>348</v>
      </c>
      <c r="K277" s="109" t="s">
        <v>387</v>
      </c>
      <c r="L277" s="109" t="s">
        <v>523</v>
      </c>
      <c r="M277" s="109" t="s">
        <v>388</v>
      </c>
      <c r="O277" s="109" t="s">
        <v>386</v>
      </c>
      <c r="P277" s="109" t="s">
        <v>827</v>
      </c>
      <c r="Q277" s="109" t="s">
        <v>1737</v>
      </c>
      <c r="R277" s="109" t="s">
        <v>286</v>
      </c>
      <c r="S277" s="83" t="str">
        <f t="shared" si="31"/>
        <v>B1961H</v>
      </c>
      <c r="T277" s="83" t="str">
        <f t="shared" si="28"/>
        <v>ANNICK</v>
      </c>
      <c r="Y277" s="60">
        <f t="shared" si="32"/>
        <v>31</v>
      </c>
      <c r="Z277" s="49">
        <f t="shared" si="33"/>
        <v>277</v>
      </c>
      <c r="AA277" s="60">
        <f t="shared" si="34"/>
        <v>31277</v>
      </c>
    </row>
    <row r="278" spans="1:27">
      <c r="A278" s="83" t="str">
        <f t="shared" si="29"/>
        <v>B1962Hblack</v>
      </c>
      <c r="B278" s="83" t="str">
        <f t="shared" si="30"/>
        <v>31-278-09</v>
      </c>
      <c r="C278" s="109" t="s">
        <v>1738</v>
      </c>
      <c r="D278" s="109" t="s">
        <v>1739</v>
      </c>
      <c r="E278" s="109" t="s">
        <v>793</v>
      </c>
      <c r="F278" s="110">
        <v>0</v>
      </c>
      <c r="G278" s="109" t="s">
        <v>1740</v>
      </c>
      <c r="H278" s="109" t="s">
        <v>53</v>
      </c>
      <c r="I278" s="109" t="s">
        <v>794</v>
      </c>
      <c r="J278" s="109" t="s">
        <v>348</v>
      </c>
      <c r="K278" s="109" t="s">
        <v>387</v>
      </c>
      <c r="L278" s="109" t="s">
        <v>523</v>
      </c>
      <c r="M278" s="109" t="s">
        <v>388</v>
      </c>
      <c r="O278" s="109" t="s">
        <v>386</v>
      </c>
      <c r="P278" s="109" t="s">
        <v>827</v>
      </c>
      <c r="Q278" s="109" t="s">
        <v>831</v>
      </c>
      <c r="R278" s="109" t="s">
        <v>53</v>
      </c>
      <c r="S278" s="83" t="str">
        <f t="shared" si="31"/>
        <v>B1962H</v>
      </c>
      <c r="T278" s="83" t="str">
        <f t="shared" si="28"/>
        <v>LYDIE</v>
      </c>
      <c r="Y278" s="60">
        <f t="shared" si="32"/>
        <v>31</v>
      </c>
      <c r="Z278" s="49">
        <f t="shared" si="33"/>
        <v>278</v>
      </c>
      <c r="AA278" s="60">
        <f t="shared" si="34"/>
        <v>31278</v>
      </c>
    </row>
    <row r="279" spans="1:27">
      <c r="A279" s="83" t="str">
        <f t="shared" si="29"/>
        <v>B1963Hblack</v>
      </c>
      <c r="B279" s="83" t="str">
        <f t="shared" si="30"/>
        <v>31-279-09</v>
      </c>
      <c r="C279" s="109" t="s">
        <v>1741</v>
      </c>
      <c r="D279" s="109" t="s">
        <v>1742</v>
      </c>
      <c r="E279" s="109" t="s">
        <v>793</v>
      </c>
      <c r="F279" s="110">
        <v>0</v>
      </c>
      <c r="G279" s="109" t="s">
        <v>1743</v>
      </c>
      <c r="H279" s="109" t="s">
        <v>53</v>
      </c>
      <c r="I279" s="109" t="s">
        <v>794</v>
      </c>
      <c r="J279" s="109" t="s">
        <v>348</v>
      </c>
      <c r="K279" s="109" t="s">
        <v>387</v>
      </c>
      <c r="L279" s="109" t="s">
        <v>523</v>
      </c>
      <c r="M279" s="109" t="s">
        <v>388</v>
      </c>
      <c r="O279" s="109" t="s">
        <v>386</v>
      </c>
      <c r="P279" s="109" t="s">
        <v>827</v>
      </c>
      <c r="Q279" s="109" t="s">
        <v>831</v>
      </c>
      <c r="R279" s="109" t="s">
        <v>53</v>
      </c>
      <c r="S279" s="83" t="str">
        <f t="shared" si="31"/>
        <v>B1963H</v>
      </c>
      <c r="T279" s="83" t="str">
        <f t="shared" si="28"/>
        <v>VIVIANE</v>
      </c>
      <c r="Y279" s="60">
        <f t="shared" si="32"/>
        <v>31</v>
      </c>
      <c r="Z279" s="49">
        <f t="shared" si="33"/>
        <v>279</v>
      </c>
      <c r="AA279" s="60">
        <f t="shared" si="34"/>
        <v>31279</v>
      </c>
    </row>
    <row r="280" spans="1:27">
      <c r="A280" s="83" t="str">
        <f t="shared" si="29"/>
        <v>B1964Hred multi</v>
      </c>
      <c r="B280" s="83" t="str">
        <f t="shared" si="30"/>
        <v>31-280-12</v>
      </c>
      <c r="C280" s="109" t="s">
        <v>1744</v>
      </c>
      <c r="D280" s="109" t="s">
        <v>1745</v>
      </c>
      <c r="E280" s="109" t="s">
        <v>793</v>
      </c>
      <c r="F280" s="110">
        <v>0</v>
      </c>
      <c r="G280" s="109" t="s">
        <v>1746</v>
      </c>
      <c r="H280" s="109" t="s">
        <v>121</v>
      </c>
      <c r="I280" s="109" t="s">
        <v>794</v>
      </c>
      <c r="J280" s="109" t="s">
        <v>348</v>
      </c>
      <c r="K280" s="109" t="s">
        <v>387</v>
      </c>
      <c r="L280" s="109" t="s">
        <v>523</v>
      </c>
      <c r="M280" s="109" t="s">
        <v>388</v>
      </c>
      <c r="O280" s="109" t="s">
        <v>386</v>
      </c>
      <c r="P280" s="109" t="s">
        <v>827</v>
      </c>
      <c r="Q280" s="109" t="s">
        <v>876</v>
      </c>
      <c r="R280" s="109" t="s">
        <v>121</v>
      </c>
      <c r="S280" s="83" t="str">
        <f t="shared" si="31"/>
        <v>B1964H</v>
      </c>
      <c r="T280" s="83" t="str">
        <f t="shared" si="28"/>
        <v>JOSIANE</v>
      </c>
      <c r="Y280" s="60">
        <f t="shared" si="32"/>
        <v>31</v>
      </c>
      <c r="Z280" s="49">
        <f t="shared" si="33"/>
        <v>280</v>
      </c>
      <c r="AA280" s="60">
        <f t="shared" si="34"/>
        <v>31280</v>
      </c>
    </row>
    <row r="281" spans="1:27">
      <c r="A281" s="83" t="str">
        <f t="shared" si="29"/>
        <v>B1965Hfrench navy</v>
      </c>
      <c r="B281" s="83" t="str">
        <f t="shared" si="30"/>
        <v>31-281-16</v>
      </c>
      <c r="C281" s="109" t="s">
        <v>1747</v>
      </c>
      <c r="D281" s="109" t="s">
        <v>1748</v>
      </c>
      <c r="E281" s="109" t="s">
        <v>793</v>
      </c>
      <c r="F281" s="110">
        <v>0</v>
      </c>
      <c r="G281" s="109" t="s">
        <v>1749</v>
      </c>
      <c r="H281" s="109" t="s">
        <v>55</v>
      </c>
      <c r="I281" s="109" t="s">
        <v>1750</v>
      </c>
      <c r="J281" s="109" t="s">
        <v>357</v>
      </c>
      <c r="K281" s="109" t="s">
        <v>387</v>
      </c>
      <c r="L281" s="109" t="s">
        <v>523</v>
      </c>
      <c r="M281" s="109" t="s">
        <v>388</v>
      </c>
      <c r="O281" s="109" t="s">
        <v>386</v>
      </c>
      <c r="P281" s="109" t="s">
        <v>827</v>
      </c>
      <c r="Q281" s="109" t="s">
        <v>1695</v>
      </c>
      <c r="R281" s="109" t="s">
        <v>71</v>
      </c>
      <c r="S281" s="83" t="str">
        <f t="shared" si="31"/>
        <v>B1965H</v>
      </c>
      <c r="T281" s="83" t="str">
        <f t="shared" si="28"/>
        <v>LILIANE</v>
      </c>
      <c r="Y281" s="60">
        <f t="shared" si="32"/>
        <v>31</v>
      </c>
      <c r="Z281" s="49">
        <f t="shared" si="33"/>
        <v>281</v>
      </c>
      <c r="AA281" s="60">
        <f t="shared" si="34"/>
        <v>31281</v>
      </c>
    </row>
    <row r="282" spans="1:27">
      <c r="A282" s="83" t="str">
        <f t="shared" si="29"/>
        <v>B1966Hredwood heather</v>
      </c>
      <c r="B282" s="83" t="str">
        <f t="shared" si="30"/>
        <v>31-282-34</v>
      </c>
      <c r="C282" s="109" t="s">
        <v>1751</v>
      </c>
      <c r="D282" s="109" t="s">
        <v>1752</v>
      </c>
      <c r="E282" s="109" t="s">
        <v>793</v>
      </c>
      <c r="F282" s="110">
        <v>0</v>
      </c>
      <c r="G282" s="109" t="s">
        <v>1753</v>
      </c>
      <c r="H282" s="109" t="s">
        <v>68</v>
      </c>
      <c r="I282" s="109" t="s">
        <v>1754</v>
      </c>
      <c r="J282" s="109" t="s">
        <v>357</v>
      </c>
      <c r="K282" s="109" t="s">
        <v>387</v>
      </c>
      <c r="L282" s="109" t="s">
        <v>523</v>
      </c>
      <c r="M282" s="109" t="s">
        <v>388</v>
      </c>
      <c r="O282" s="109" t="s">
        <v>386</v>
      </c>
      <c r="P282" s="109" t="s">
        <v>827</v>
      </c>
      <c r="Q282" s="109" t="s">
        <v>1755</v>
      </c>
      <c r="R282" s="109" t="s">
        <v>68</v>
      </c>
      <c r="S282" s="83" t="str">
        <f t="shared" si="31"/>
        <v>B1966H</v>
      </c>
      <c r="T282" s="83" t="str">
        <f t="shared" si="28"/>
        <v>DANIELE</v>
      </c>
      <c r="Y282" s="60">
        <f t="shared" si="32"/>
        <v>31</v>
      </c>
      <c r="Z282" s="49">
        <f t="shared" si="33"/>
        <v>282</v>
      </c>
      <c r="AA282" s="60">
        <f t="shared" si="34"/>
        <v>31282</v>
      </c>
    </row>
    <row r="283" spans="1:27">
      <c r="A283" s="83" t="str">
        <f t="shared" si="29"/>
        <v>B1967Hblack/white</v>
      </c>
      <c r="B283" s="83" t="str">
        <f t="shared" si="30"/>
        <v>31-283-48</v>
      </c>
      <c r="C283" s="109" t="s">
        <v>1756</v>
      </c>
      <c r="D283" s="109" t="s">
        <v>1757</v>
      </c>
      <c r="E283" s="109" t="s">
        <v>793</v>
      </c>
      <c r="F283" s="110">
        <v>0</v>
      </c>
      <c r="G283" s="109" t="s">
        <v>1758</v>
      </c>
      <c r="H283" s="109" t="s">
        <v>293</v>
      </c>
      <c r="I283" s="109" t="s">
        <v>1754</v>
      </c>
      <c r="J283" s="109" t="s">
        <v>330</v>
      </c>
      <c r="K283" s="109" t="s">
        <v>387</v>
      </c>
      <c r="L283" s="109" t="s">
        <v>523</v>
      </c>
      <c r="M283" s="109" t="s">
        <v>388</v>
      </c>
      <c r="O283" s="109" t="s">
        <v>386</v>
      </c>
      <c r="P283" s="109" t="s">
        <v>827</v>
      </c>
      <c r="Q283" s="109" t="s">
        <v>900</v>
      </c>
      <c r="R283" s="109" t="s">
        <v>53</v>
      </c>
      <c r="S283" s="83" t="str">
        <f t="shared" si="31"/>
        <v>B1967H</v>
      </c>
      <c r="T283" s="83" t="str">
        <f t="shared" si="28"/>
        <v>FRANCINE</v>
      </c>
      <c r="Y283" s="60">
        <f t="shared" si="32"/>
        <v>31</v>
      </c>
      <c r="Z283" s="49">
        <f t="shared" si="33"/>
        <v>283</v>
      </c>
      <c r="AA283" s="60">
        <f t="shared" si="34"/>
        <v>31283</v>
      </c>
    </row>
    <row r="284" spans="1:27">
      <c r="A284" s="83" t="str">
        <f t="shared" si="29"/>
        <v>B434Hsulfur</v>
      </c>
      <c r="B284" s="83" t="str">
        <f t="shared" si="30"/>
        <v>31-032-13</v>
      </c>
      <c r="C284" s="109" t="s">
        <v>1759</v>
      </c>
      <c r="D284" s="109" t="s">
        <v>1760</v>
      </c>
      <c r="E284" s="109" t="s">
        <v>793</v>
      </c>
      <c r="F284" s="110">
        <v>0</v>
      </c>
      <c r="G284" s="109" t="s">
        <v>1174</v>
      </c>
      <c r="H284" s="109" t="s">
        <v>142</v>
      </c>
      <c r="I284" s="109" t="s">
        <v>1154</v>
      </c>
      <c r="J284" s="109" t="s">
        <v>357</v>
      </c>
      <c r="K284" s="109" t="s">
        <v>387</v>
      </c>
      <c r="L284" s="109" t="s">
        <v>523</v>
      </c>
      <c r="M284" s="109" t="s">
        <v>388</v>
      </c>
      <c r="O284" s="109" t="s">
        <v>386</v>
      </c>
      <c r="P284" s="109" t="s">
        <v>827</v>
      </c>
      <c r="Q284" s="109" t="s">
        <v>894</v>
      </c>
      <c r="R284" s="109" t="s">
        <v>65</v>
      </c>
      <c r="S284" s="83" t="str">
        <f t="shared" si="31"/>
        <v>B434H</v>
      </c>
      <c r="T284" s="83" t="str">
        <f t="shared" si="28"/>
        <v>WILLOW</v>
      </c>
      <c r="Y284" s="60">
        <f t="shared" si="32"/>
        <v>31</v>
      </c>
      <c r="Z284" s="49">
        <f t="shared" si="33"/>
        <v>32</v>
      </c>
      <c r="AA284" s="60">
        <f t="shared" si="34"/>
        <v>31032</v>
      </c>
    </row>
    <row r="285" spans="1:27">
      <c r="A285" s="83" t="str">
        <f t="shared" si="29"/>
        <v>B515mint</v>
      </c>
      <c r="B285" s="83" t="str">
        <f t="shared" si="30"/>
        <v>31-034-71</v>
      </c>
      <c r="C285" s="109" t="s">
        <v>1761</v>
      </c>
      <c r="D285" s="109" t="s">
        <v>1762</v>
      </c>
      <c r="E285" s="109" t="s">
        <v>793</v>
      </c>
      <c r="F285" s="110">
        <v>0</v>
      </c>
      <c r="G285" s="109" t="s">
        <v>1076</v>
      </c>
      <c r="H285" s="109" t="s">
        <v>717</v>
      </c>
      <c r="I285" s="109" t="s">
        <v>796</v>
      </c>
      <c r="J285" s="109" t="s">
        <v>334</v>
      </c>
      <c r="K285" s="109" t="s">
        <v>387</v>
      </c>
      <c r="L285" s="109" t="s">
        <v>523</v>
      </c>
      <c r="M285" s="109" t="s">
        <v>388</v>
      </c>
      <c r="N285" s="109" t="s">
        <v>44</v>
      </c>
      <c r="O285" s="109" t="s">
        <v>386</v>
      </c>
      <c r="P285" s="109" t="s">
        <v>827</v>
      </c>
      <c r="Q285" s="109" t="s">
        <v>893</v>
      </c>
      <c r="R285" s="109" t="s">
        <v>60</v>
      </c>
      <c r="S285" s="83" t="str">
        <f t="shared" si="31"/>
        <v>B515</v>
      </c>
      <c r="T285" s="83" t="str">
        <f t="shared" si="28"/>
        <v>FLOWER BERET</v>
      </c>
      <c r="Y285" s="60">
        <f t="shared" si="32"/>
        <v>31</v>
      </c>
      <c r="Z285" s="49">
        <f t="shared" si="33"/>
        <v>34</v>
      </c>
      <c r="AA285" s="60">
        <f t="shared" si="34"/>
        <v>31034</v>
      </c>
    </row>
    <row r="286" spans="1:27">
      <c r="A286" s="83" t="str">
        <f t="shared" si="29"/>
        <v>B521truffle</v>
      </c>
      <c r="B286" s="83" t="str">
        <f t="shared" si="30"/>
        <v>31-035-05</v>
      </c>
      <c r="C286" s="109" t="s">
        <v>1763</v>
      </c>
      <c r="D286" s="109" t="s">
        <v>1764</v>
      </c>
      <c r="E286" s="109" t="s">
        <v>793</v>
      </c>
      <c r="F286" s="110">
        <v>0</v>
      </c>
      <c r="G286" s="109" t="s">
        <v>1096</v>
      </c>
      <c r="H286" s="109" t="s">
        <v>277</v>
      </c>
      <c r="I286" s="109" t="s">
        <v>796</v>
      </c>
      <c r="J286" s="109" t="s">
        <v>348</v>
      </c>
      <c r="K286" s="109" t="s">
        <v>387</v>
      </c>
      <c r="L286" s="109" t="s">
        <v>523</v>
      </c>
      <c r="M286" s="109" t="s">
        <v>388</v>
      </c>
      <c r="N286" s="109" t="s">
        <v>44</v>
      </c>
      <c r="O286" s="109" t="s">
        <v>386</v>
      </c>
      <c r="P286" s="109" t="s">
        <v>827</v>
      </c>
      <c r="Q286" s="109" t="s">
        <v>1765</v>
      </c>
      <c r="R286" s="109" t="s">
        <v>83</v>
      </c>
      <c r="S286" s="83" t="str">
        <f t="shared" si="31"/>
        <v>B521</v>
      </c>
      <c r="T286" s="83" t="str">
        <f t="shared" si="28"/>
        <v>RHINESTONE CAP</v>
      </c>
      <c r="Y286" s="60">
        <f t="shared" si="32"/>
        <v>31</v>
      </c>
      <c r="Z286" s="49">
        <f t="shared" si="33"/>
        <v>35</v>
      </c>
      <c r="AA286" s="60">
        <f t="shared" si="34"/>
        <v>31035</v>
      </c>
    </row>
    <row r="287" spans="1:27">
      <c r="A287" s="83" t="str">
        <f t="shared" si="29"/>
        <v>B545Hitalian plum</v>
      </c>
      <c r="B287" s="83" t="str">
        <f t="shared" si="30"/>
        <v>31-037-41</v>
      </c>
      <c r="C287" s="109" t="s">
        <v>1766</v>
      </c>
      <c r="D287" s="109" t="s">
        <v>1767</v>
      </c>
      <c r="E287" s="109" t="s">
        <v>793</v>
      </c>
      <c r="F287" s="110">
        <v>0</v>
      </c>
      <c r="G287" s="109" t="s">
        <v>1178</v>
      </c>
      <c r="H287" s="109" t="s">
        <v>286</v>
      </c>
      <c r="I287" s="109" t="s">
        <v>785</v>
      </c>
      <c r="J287" s="109" t="s">
        <v>357</v>
      </c>
      <c r="K287" s="109" t="s">
        <v>387</v>
      </c>
      <c r="L287" s="109" t="s">
        <v>523</v>
      </c>
      <c r="M287" s="109" t="s">
        <v>388</v>
      </c>
      <c r="N287" s="109" t="s">
        <v>30</v>
      </c>
      <c r="O287" s="109" t="s">
        <v>386</v>
      </c>
      <c r="P287" s="109" t="s">
        <v>827</v>
      </c>
      <c r="Q287" s="109" t="s">
        <v>1737</v>
      </c>
      <c r="R287" s="109" t="s">
        <v>286</v>
      </c>
      <c r="S287" s="83" t="str">
        <f t="shared" si="31"/>
        <v>B545H</v>
      </c>
      <c r="T287" s="83" t="str">
        <f t="shared" si="28"/>
        <v>ALEXANDRITE</v>
      </c>
      <c r="Y287" s="60">
        <f t="shared" si="32"/>
        <v>31</v>
      </c>
      <c r="Z287" s="49">
        <f t="shared" si="33"/>
        <v>37</v>
      </c>
      <c r="AA287" s="60">
        <f t="shared" si="34"/>
        <v>31037</v>
      </c>
    </row>
    <row r="288" spans="1:27">
      <c r="A288" s="83" t="str">
        <f t="shared" si="29"/>
        <v>B612Hitalian plum</v>
      </c>
      <c r="B288" s="83" t="str">
        <f t="shared" si="30"/>
        <v>31-039-41</v>
      </c>
      <c r="C288" s="109" t="s">
        <v>1768</v>
      </c>
      <c r="D288" s="109" t="s">
        <v>1769</v>
      </c>
      <c r="E288" s="109" t="s">
        <v>793</v>
      </c>
      <c r="F288" s="110">
        <v>0</v>
      </c>
      <c r="G288" s="109" t="s">
        <v>1345</v>
      </c>
      <c r="H288" s="109" t="s">
        <v>286</v>
      </c>
      <c r="I288" s="109" t="s">
        <v>863</v>
      </c>
      <c r="J288" s="109" t="s">
        <v>348</v>
      </c>
      <c r="K288" s="109" t="s">
        <v>387</v>
      </c>
      <c r="L288" s="109" t="s">
        <v>523</v>
      </c>
      <c r="M288" s="109" t="s">
        <v>388</v>
      </c>
      <c r="O288" s="109" t="s">
        <v>386</v>
      </c>
      <c r="P288" s="109" t="s">
        <v>827</v>
      </c>
      <c r="Q288" s="109" t="s">
        <v>1737</v>
      </c>
      <c r="R288" s="109" t="s">
        <v>286</v>
      </c>
      <c r="S288" s="83" t="str">
        <f t="shared" si="31"/>
        <v>B612H</v>
      </c>
      <c r="T288" s="83" t="str">
        <f t="shared" si="28"/>
        <v>FERN</v>
      </c>
      <c r="Y288" s="60">
        <f t="shared" si="32"/>
        <v>31</v>
      </c>
      <c r="Z288" s="49">
        <f t="shared" si="33"/>
        <v>39</v>
      </c>
      <c r="AA288" s="60">
        <f t="shared" si="34"/>
        <v>31039</v>
      </c>
    </row>
    <row r="289" spans="1:27">
      <c r="A289" s="83" t="str">
        <f t="shared" si="29"/>
        <v>B745redwood</v>
      </c>
      <c r="B289" s="83" t="str">
        <f t="shared" si="30"/>
        <v>31-041-91</v>
      </c>
      <c r="C289" s="109" t="s">
        <v>1770</v>
      </c>
      <c r="D289" s="109" t="s">
        <v>1771</v>
      </c>
      <c r="E289" s="109" t="s">
        <v>793</v>
      </c>
      <c r="F289" s="110">
        <v>0</v>
      </c>
      <c r="G289" s="109" t="s">
        <v>1579</v>
      </c>
      <c r="H289" s="109" t="s">
        <v>217</v>
      </c>
      <c r="I289" s="109" t="s">
        <v>1772</v>
      </c>
      <c r="J289" s="109" t="s">
        <v>357</v>
      </c>
      <c r="K289" s="109" t="s">
        <v>387</v>
      </c>
      <c r="L289" s="109" t="s">
        <v>523</v>
      </c>
      <c r="M289" s="109" t="s">
        <v>388</v>
      </c>
      <c r="O289" s="109" t="s">
        <v>386</v>
      </c>
      <c r="P289" s="109" t="s">
        <v>827</v>
      </c>
      <c r="Q289" s="109" t="s">
        <v>1701</v>
      </c>
      <c r="R289" s="109" t="s">
        <v>199</v>
      </c>
      <c r="S289" s="83" t="str">
        <f t="shared" si="31"/>
        <v>B745</v>
      </c>
      <c r="T289" s="83" t="str">
        <f t="shared" si="28"/>
        <v>QUILTED BUCKET</v>
      </c>
      <c r="Y289" s="60">
        <f t="shared" si="32"/>
        <v>31</v>
      </c>
      <c r="Z289" s="49">
        <f t="shared" si="33"/>
        <v>41</v>
      </c>
      <c r="AA289" s="60">
        <f t="shared" si="34"/>
        <v>31041</v>
      </c>
    </row>
    <row r="290" spans="1:27">
      <c r="A290" s="83" t="str">
        <f t="shared" si="29"/>
        <v>B026Hcharcoal multi</v>
      </c>
      <c r="B290" s="83" t="str">
        <f t="shared" si="30"/>
        <v>31-003-05</v>
      </c>
      <c r="C290" s="109" t="s">
        <v>1773</v>
      </c>
      <c r="D290" s="109" t="s">
        <v>1774</v>
      </c>
      <c r="E290" s="109" t="s">
        <v>793</v>
      </c>
      <c r="F290" s="110">
        <v>0</v>
      </c>
      <c r="G290" s="109" t="s">
        <v>1775</v>
      </c>
      <c r="H290" s="109" t="s">
        <v>277</v>
      </c>
      <c r="I290" s="109" t="s">
        <v>1776</v>
      </c>
      <c r="J290" s="109" t="s">
        <v>357</v>
      </c>
      <c r="K290" s="109" t="s">
        <v>387</v>
      </c>
      <c r="L290" s="109" t="s">
        <v>523</v>
      </c>
      <c r="M290" s="109" t="s">
        <v>388</v>
      </c>
      <c r="O290" s="109" t="s">
        <v>386</v>
      </c>
      <c r="P290" s="109" t="s">
        <v>827</v>
      </c>
      <c r="Q290" s="109" t="s">
        <v>874</v>
      </c>
      <c r="R290" s="109" t="s">
        <v>83</v>
      </c>
      <c r="S290" s="83" t="str">
        <f t="shared" si="31"/>
        <v>B026H</v>
      </c>
      <c r="T290" s="83" t="str">
        <f t="shared" si="28"/>
        <v>ELLA</v>
      </c>
      <c r="Y290" s="60">
        <f t="shared" si="32"/>
        <v>31</v>
      </c>
      <c r="Z290" s="49">
        <f t="shared" si="33"/>
        <v>3</v>
      </c>
      <c r="AA290" s="60">
        <f t="shared" si="34"/>
        <v>31003</v>
      </c>
    </row>
    <row r="291" spans="1:27">
      <c r="A291" s="83" t="str">
        <f t="shared" si="29"/>
        <v>B1900HSdenim multi</v>
      </c>
      <c r="B291" s="83" t="str">
        <f t="shared" si="30"/>
        <v>31-284-19</v>
      </c>
      <c r="C291" s="109" t="s">
        <v>1777</v>
      </c>
      <c r="D291" s="109" t="s">
        <v>1778</v>
      </c>
      <c r="E291" s="109" t="s">
        <v>793</v>
      </c>
      <c r="F291" s="110">
        <v>0</v>
      </c>
      <c r="G291" s="109" t="s">
        <v>1779</v>
      </c>
      <c r="H291" s="109" t="s">
        <v>91</v>
      </c>
      <c r="I291" s="109" t="s">
        <v>966</v>
      </c>
      <c r="J291" s="109" t="s">
        <v>330</v>
      </c>
      <c r="K291" s="109" t="s">
        <v>387</v>
      </c>
      <c r="L291" s="109" t="s">
        <v>523</v>
      </c>
      <c r="M291" s="109" t="s">
        <v>384</v>
      </c>
      <c r="N291" s="109" t="s">
        <v>36</v>
      </c>
      <c r="O291" s="109" t="s">
        <v>386</v>
      </c>
      <c r="P291" s="109" t="s">
        <v>827</v>
      </c>
      <c r="Q291" s="109" t="s">
        <v>1364</v>
      </c>
      <c r="R291" s="109" t="s">
        <v>91</v>
      </c>
      <c r="S291" s="83" t="str">
        <f t="shared" si="31"/>
        <v>B1900HS</v>
      </c>
      <c r="T291" s="83" t="str">
        <f t="shared" si="28"/>
        <v>BLANCHET NEW</v>
      </c>
      <c r="Y291" s="60">
        <f t="shared" si="32"/>
        <v>31</v>
      </c>
      <c r="Z291" s="49">
        <f t="shared" si="33"/>
        <v>284</v>
      </c>
      <c r="AA291" s="60">
        <f t="shared" si="34"/>
        <v>31284</v>
      </c>
    </row>
    <row r="292" spans="1:27">
      <c r="A292" s="83" t="str">
        <f t="shared" si="29"/>
        <v>B1969Hblack</v>
      </c>
      <c r="B292" s="83" t="str">
        <f t="shared" si="30"/>
        <v>31-285-09</v>
      </c>
      <c r="C292" s="109" t="s">
        <v>1780</v>
      </c>
      <c r="D292" s="109" t="s">
        <v>1781</v>
      </c>
      <c r="E292" s="109" t="s">
        <v>793</v>
      </c>
      <c r="F292" s="110">
        <v>0</v>
      </c>
      <c r="G292" s="109" t="s">
        <v>1782</v>
      </c>
      <c r="H292" s="109" t="s">
        <v>53</v>
      </c>
      <c r="I292" s="109" t="s">
        <v>1783</v>
      </c>
      <c r="J292" s="109" t="s">
        <v>360</v>
      </c>
      <c r="K292" s="109" t="s">
        <v>387</v>
      </c>
      <c r="L292" s="109" t="s">
        <v>523</v>
      </c>
      <c r="M292" s="109" t="s">
        <v>384</v>
      </c>
      <c r="N292" s="109" t="s">
        <v>36</v>
      </c>
      <c r="O292" s="109" t="s">
        <v>386</v>
      </c>
      <c r="P292" s="109" t="s">
        <v>827</v>
      </c>
      <c r="Q292" s="109" t="s">
        <v>831</v>
      </c>
      <c r="R292" s="109" t="s">
        <v>53</v>
      </c>
      <c r="S292" s="83" t="str">
        <f t="shared" si="31"/>
        <v>B1969H</v>
      </c>
      <c r="T292" s="83" t="str">
        <f t="shared" si="28"/>
        <v>HELENE</v>
      </c>
      <c r="Y292" s="60">
        <f t="shared" si="32"/>
        <v>31</v>
      </c>
      <c r="Z292" s="49">
        <f t="shared" si="33"/>
        <v>285</v>
      </c>
      <c r="AA292" s="60">
        <f t="shared" si="34"/>
        <v>31285</v>
      </c>
    </row>
    <row r="293" spans="1:27">
      <c r="A293" s="83" t="str">
        <f t="shared" si="29"/>
        <v>B1976Hbeige</v>
      </c>
      <c r="B293" s="83" t="str">
        <f t="shared" si="30"/>
        <v>31-286-02</v>
      </c>
      <c r="C293" s="109" t="s">
        <v>1784</v>
      </c>
      <c r="D293" s="109" t="s">
        <v>1785</v>
      </c>
      <c r="E293" s="109" t="s">
        <v>793</v>
      </c>
      <c r="F293" s="110">
        <v>0</v>
      </c>
      <c r="G293" s="109" t="s">
        <v>1786</v>
      </c>
      <c r="H293" s="109" t="s">
        <v>63</v>
      </c>
      <c r="I293" s="109" t="s">
        <v>794</v>
      </c>
      <c r="J293" s="109" t="s">
        <v>348</v>
      </c>
      <c r="K293" s="109" t="s">
        <v>387</v>
      </c>
      <c r="L293" s="109" t="s">
        <v>523</v>
      </c>
      <c r="M293" s="109" t="s">
        <v>384</v>
      </c>
      <c r="O293" s="109" t="s">
        <v>386</v>
      </c>
      <c r="P293" s="109" t="s">
        <v>827</v>
      </c>
      <c r="Q293" s="109" t="s">
        <v>864</v>
      </c>
      <c r="R293" s="109" t="s">
        <v>63</v>
      </c>
      <c r="S293" s="83" t="str">
        <f t="shared" si="31"/>
        <v>B1976H</v>
      </c>
      <c r="T293" s="83" t="str">
        <f t="shared" si="28"/>
        <v>ROXANE</v>
      </c>
      <c r="Y293" s="60">
        <f t="shared" si="32"/>
        <v>31</v>
      </c>
      <c r="Z293" s="49">
        <f t="shared" si="33"/>
        <v>286</v>
      </c>
      <c r="AA293" s="60">
        <f t="shared" si="34"/>
        <v>31286</v>
      </c>
    </row>
    <row r="294" spans="1:27">
      <c r="A294" s="83" t="str">
        <f t="shared" si="29"/>
        <v>B1915Hwhite.red</v>
      </c>
      <c r="B294" s="83" t="str">
        <f t="shared" si="30"/>
        <v>31-247-18</v>
      </c>
      <c r="C294" s="109" t="s">
        <v>1787</v>
      </c>
      <c r="D294" s="109" t="s">
        <v>1788</v>
      </c>
      <c r="E294" s="109" t="s">
        <v>793</v>
      </c>
      <c r="F294" s="110">
        <v>0</v>
      </c>
      <c r="G294" s="109" t="s">
        <v>1417</v>
      </c>
      <c r="H294" s="109" t="s">
        <v>111</v>
      </c>
      <c r="I294" s="109" t="s">
        <v>1789</v>
      </c>
      <c r="J294" s="109" t="s">
        <v>325</v>
      </c>
      <c r="K294" s="109" t="s">
        <v>387</v>
      </c>
      <c r="L294" s="109" t="s">
        <v>523</v>
      </c>
      <c r="M294" s="109" t="s">
        <v>384</v>
      </c>
      <c r="N294" s="109" t="s">
        <v>43</v>
      </c>
      <c r="O294" s="109" t="s">
        <v>386</v>
      </c>
      <c r="P294" s="109" t="s">
        <v>827</v>
      </c>
      <c r="Q294" s="109" t="s">
        <v>1790</v>
      </c>
      <c r="R294" s="109" t="s">
        <v>57</v>
      </c>
      <c r="S294" s="83" t="str">
        <f t="shared" si="31"/>
        <v>B1915H</v>
      </c>
      <c r="T294" s="83" t="str">
        <f t="shared" si="28"/>
        <v>REVERSIBLE ROLL UP</v>
      </c>
      <c r="Y294" s="60">
        <f t="shared" si="32"/>
        <v>31</v>
      </c>
      <c r="Z294" s="49">
        <f t="shared" si="33"/>
        <v>247</v>
      </c>
      <c r="AA294" s="60">
        <f t="shared" si="34"/>
        <v>31247</v>
      </c>
    </row>
    <row r="295" spans="1:27">
      <c r="A295" s="83" t="str">
        <f t="shared" si="29"/>
        <v>B1953Hyellow floral</v>
      </c>
      <c r="B295" s="83" t="str">
        <f t="shared" si="30"/>
        <v>31-264-74</v>
      </c>
      <c r="C295" s="109" t="s">
        <v>1791</v>
      </c>
      <c r="D295" s="109" t="s">
        <v>1792</v>
      </c>
      <c r="E295" s="109" t="s">
        <v>793</v>
      </c>
      <c r="F295" s="110">
        <v>0</v>
      </c>
      <c r="G295" s="109" t="s">
        <v>1602</v>
      </c>
      <c r="H295" s="109" t="s">
        <v>693</v>
      </c>
      <c r="I295" s="109" t="s">
        <v>787</v>
      </c>
      <c r="J295" s="109" t="s">
        <v>325</v>
      </c>
      <c r="K295" s="109" t="s">
        <v>387</v>
      </c>
      <c r="L295" s="109" t="s">
        <v>523</v>
      </c>
      <c r="M295" s="109" t="s">
        <v>384</v>
      </c>
      <c r="N295" s="109" t="s">
        <v>43</v>
      </c>
      <c r="O295" s="109" t="s">
        <v>386</v>
      </c>
      <c r="P295" s="109" t="s">
        <v>827</v>
      </c>
      <c r="Q295" s="109" t="s">
        <v>1793</v>
      </c>
      <c r="R295" s="109" t="s">
        <v>65</v>
      </c>
      <c r="S295" s="83" t="str">
        <f t="shared" si="31"/>
        <v>B1953H</v>
      </c>
      <c r="T295" s="83" t="str">
        <f t="shared" si="28"/>
        <v>FLORENCE</v>
      </c>
      <c r="Y295" s="60">
        <f t="shared" si="32"/>
        <v>31</v>
      </c>
      <c r="Z295" s="49">
        <f t="shared" si="33"/>
        <v>264</v>
      </c>
      <c r="AA295" s="60">
        <f t="shared" si="34"/>
        <v>31264</v>
      </c>
    </row>
    <row r="296" spans="1:27">
      <c r="A296" s="83" t="str">
        <f t="shared" si="29"/>
        <v>B1975Hlight grey</v>
      </c>
      <c r="B296" s="83" t="str">
        <f t="shared" si="30"/>
        <v>31-287-08</v>
      </c>
      <c r="C296" s="109" t="s">
        <v>1794</v>
      </c>
      <c r="D296" s="109" t="s">
        <v>1795</v>
      </c>
      <c r="E296" s="109" t="s">
        <v>793</v>
      </c>
      <c r="F296" s="110">
        <v>0</v>
      </c>
      <c r="G296" s="109" t="s">
        <v>1796</v>
      </c>
      <c r="H296" s="109" t="s">
        <v>83</v>
      </c>
      <c r="I296" s="109" t="s">
        <v>787</v>
      </c>
      <c r="J296" s="109" t="s">
        <v>325</v>
      </c>
      <c r="K296" s="109" t="s">
        <v>387</v>
      </c>
      <c r="L296" s="109" t="s">
        <v>523</v>
      </c>
      <c r="M296" s="109" t="s">
        <v>384</v>
      </c>
      <c r="N296" s="109" t="s">
        <v>43</v>
      </c>
      <c r="O296" s="109" t="s">
        <v>386</v>
      </c>
      <c r="P296" s="109" t="s">
        <v>827</v>
      </c>
      <c r="Q296" s="109" t="s">
        <v>837</v>
      </c>
      <c r="R296" s="109" t="s">
        <v>83</v>
      </c>
      <c r="S296" s="83" t="str">
        <f t="shared" si="31"/>
        <v>B1975H</v>
      </c>
      <c r="T296" s="83" t="str">
        <f t="shared" si="28"/>
        <v>BELL</v>
      </c>
      <c r="Y296" s="60">
        <f t="shared" si="32"/>
        <v>31</v>
      </c>
      <c r="Z296" s="49">
        <f t="shared" si="33"/>
        <v>287</v>
      </c>
      <c r="AA296" s="60">
        <f t="shared" si="34"/>
        <v>31287</v>
      </c>
    </row>
    <row r="297" spans="1:27">
      <c r="A297" s="83" t="str">
        <f t="shared" si="29"/>
        <v>B962navy floral</v>
      </c>
      <c r="B297" s="83" t="str">
        <f t="shared" si="30"/>
        <v>31-090-06</v>
      </c>
      <c r="C297" s="109" t="s">
        <v>1797</v>
      </c>
      <c r="D297" s="109" t="s">
        <v>1798</v>
      </c>
      <c r="E297" s="109" t="s">
        <v>793</v>
      </c>
      <c r="F297" s="110">
        <v>0</v>
      </c>
      <c r="G297" s="109" t="s">
        <v>1224</v>
      </c>
      <c r="H297" s="109" t="s">
        <v>209</v>
      </c>
      <c r="I297" s="109" t="s">
        <v>787</v>
      </c>
      <c r="J297" s="109" t="s">
        <v>325</v>
      </c>
      <c r="K297" s="109" t="s">
        <v>387</v>
      </c>
      <c r="L297" s="109" t="s">
        <v>523</v>
      </c>
      <c r="M297" s="109" t="s">
        <v>384</v>
      </c>
      <c r="N297" s="109" t="s">
        <v>43</v>
      </c>
      <c r="O297" s="109" t="s">
        <v>386</v>
      </c>
      <c r="P297" s="109" t="s">
        <v>827</v>
      </c>
      <c r="Q297" s="109" t="s">
        <v>1603</v>
      </c>
      <c r="R297" s="109" t="s">
        <v>209</v>
      </c>
      <c r="S297" s="83" t="str">
        <f t="shared" si="31"/>
        <v>B962</v>
      </c>
      <c r="T297" s="83" t="str">
        <f t="shared" si="28"/>
        <v>KNOTTED CLOCHE</v>
      </c>
      <c r="Y297" s="60">
        <f t="shared" si="32"/>
        <v>31</v>
      </c>
      <c r="Z297" s="49">
        <f t="shared" si="33"/>
        <v>90</v>
      </c>
      <c r="AA297" s="60">
        <f t="shared" si="34"/>
        <v>31090</v>
      </c>
    </row>
    <row r="298" spans="1:27">
      <c r="A298" s="83" t="str">
        <f t="shared" si="29"/>
        <v>B1431Hnatural.deepred</v>
      </c>
      <c r="B298" s="83" t="str">
        <f t="shared" si="30"/>
        <v>31-078-78</v>
      </c>
      <c r="C298" s="109" t="s">
        <v>1799</v>
      </c>
      <c r="D298" s="109" t="s">
        <v>1800</v>
      </c>
      <c r="E298" s="109" t="s">
        <v>793</v>
      </c>
      <c r="F298" s="110">
        <v>0</v>
      </c>
      <c r="G298" s="109" t="s">
        <v>948</v>
      </c>
      <c r="H298" s="109" t="s">
        <v>84</v>
      </c>
      <c r="I298" s="109" t="s">
        <v>945</v>
      </c>
      <c r="J298" s="109" t="s">
        <v>323</v>
      </c>
      <c r="K298" s="109" t="s">
        <v>387</v>
      </c>
      <c r="L298" s="109" t="s">
        <v>523</v>
      </c>
      <c r="M298" s="109" t="s">
        <v>384</v>
      </c>
      <c r="N298" s="109" t="s">
        <v>36</v>
      </c>
      <c r="O298" s="109" t="s">
        <v>386</v>
      </c>
      <c r="P298" s="109" t="s">
        <v>827</v>
      </c>
      <c r="Q298" s="109" t="s">
        <v>1801</v>
      </c>
      <c r="R298" s="109" t="s">
        <v>63</v>
      </c>
      <c r="S298" s="83" t="str">
        <f t="shared" si="31"/>
        <v>B1431H</v>
      </c>
      <c r="T298" s="83" t="str">
        <f t="shared" si="28"/>
        <v>DEMETRIA</v>
      </c>
      <c r="Y298" s="60">
        <f t="shared" si="32"/>
        <v>31</v>
      </c>
      <c r="Z298" s="49">
        <f t="shared" si="33"/>
        <v>78</v>
      </c>
      <c r="AA298" s="60">
        <f t="shared" si="34"/>
        <v>31078</v>
      </c>
    </row>
    <row r="299" spans="1:27">
      <c r="A299" s="83" t="str">
        <f t="shared" si="29"/>
        <v>B166plum mix</v>
      </c>
      <c r="B299" s="83" t="str">
        <f t="shared" si="30"/>
        <v>31-083-64</v>
      </c>
      <c r="C299" s="109" t="s">
        <v>1802</v>
      </c>
      <c r="D299" s="109" t="s">
        <v>1803</v>
      </c>
      <c r="E299" s="109" t="s">
        <v>793</v>
      </c>
      <c r="F299" s="110">
        <v>0</v>
      </c>
      <c r="G299" s="109" t="s">
        <v>965</v>
      </c>
      <c r="H299" s="109" t="s">
        <v>723</v>
      </c>
      <c r="I299" s="109" t="s">
        <v>966</v>
      </c>
      <c r="J299" s="109" t="s">
        <v>323</v>
      </c>
      <c r="K299" s="109" t="s">
        <v>387</v>
      </c>
      <c r="L299" s="109" t="s">
        <v>523</v>
      </c>
      <c r="M299" s="109" t="s">
        <v>384</v>
      </c>
      <c r="N299" s="109" t="s">
        <v>36</v>
      </c>
      <c r="O299" s="109" t="s">
        <v>386</v>
      </c>
      <c r="P299" s="109" t="s">
        <v>827</v>
      </c>
      <c r="Q299" s="109" t="s">
        <v>1804</v>
      </c>
      <c r="R299" s="109" t="s">
        <v>286</v>
      </c>
      <c r="S299" s="83" t="str">
        <f t="shared" si="31"/>
        <v>B166</v>
      </c>
      <c r="T299" s="83" t="str">
        <f t="shared" si="28"/>
        <v>CLASSIC ROLL UP</v>
      </c>
      <c r="Y299" s="60">
        <f t="shared" si="32"/>
        <v>31</v>
      </c>
      <c r="Z299" s="49">
        <f t="shared" si="33"/>
        <v>83</v>
      </c>
      <c r="AA299" s="60">
        <f t="shared" si="34"/>
        <v>31083</v>
      </c>
    </row>
    <row r="300" spans="1:27">
      <c r="A300" s="83" t="str">
        <f t="shared" si="29"/>
        <v>B176deep red</v>
      </c>
      <c r="B300" s="83" t="str">
        <f t="shared" si="30"/>
        <v>31-084-12</v>
      </c>
      <c r="C300" s="109" t="s">
        <v>1805</v>
      </c>
      <c r="D300" s="109" t="s">
        <v>1806</v>
      </c>
      <c r="E300" s="109" t="s">
        <v>793</v>
      </c>
      <c r="F300" s="110">
        <v>0</v>
      </c>
      <c r="G300" s="109" t="s">
        <v>1007</v>
      </c>
      <c r="H300" s="109" t="s">
        <v>121</v>
      </c>
      <c r="I300" s="109" t="s">
        <v>887</v>
      </c>
      <c r="J300" s="109" t="s">
        <v>357</v>
      </c>
      <c r="K300" s="109" t="s">
        <v>387</v>
      </c>
      <c r="L300" s="109" t="s">
        <v>523</v>
      </c>
      <c r="M300" s="109" t="s">
        <v>384</v>
      </c>
      <c r="N300" s="109" t="s">
        <v>36</v>
      </c>
      <c r="O300" s="109" t="s">
        <v>386</v>
      </c>
      <c r="P300" s="109" t="s">
        <v>827</v>
      </c>
      <c r="Q300" s="109" t="s">
        <v>885</v>
      </c>
      <c r="R300" s="109" t="s">
        <v>121</v>
      </c>
      <c r="S300" s="83" t="str">
        <f t="shared" si="31"/>
        <v>B176</v>
      </c>
      <c r="T300" s="83" t="str">
        <f t="shared" si="28"/>
        <v>GOSSAMER</v>
      </c>
      <c r="Y300" s="60">
        <f t="shared" si="32"/>
        <v>31</v>
      </c>
      <c r="Z300" s="49">
        <f t="shared" si="33"/>
        <v>84</v>
      </c>
      <c r="AA300" s="60">
        <f t="shared" si="34"/>
        <v>31084</v>
      </c>
    </row>
    <row r="301" spans="1:27">
      <c r="A301" s="83" t="str">
        <f t="shared" si="29"/>
        <v>B1899Heden green</v>
      </c>
      <c r="B301" s="83" t="str">
        <f t="shared" si="30"/>
        <v>31-237-03</v>
      </c>
      <c r="C301" s="109" t="s">
        <v>1807</v>
      </c>
      <c r="D301" s="109" t="s">
        <v>1808</v>
      </c>
      <c r="E301" s="109" t="s">
        <v>793</v>
      </c>
      <c r="F301" s="110">
        <v>0</v>
      </c>
      <c r="G301" s="109" t="s">
        <v>1386</v>
      </c>
      <c r="H301" s="109" t="s">
        <v>60</v>
      </c>
      <c r="I301" s="109" t="s">
        <v>887</v>
      </c>
      <c r="J301" s="109" t="s">
        <v>357</v>
      </c>
      <c r="K301" s="109" t="s">
        <v>387</v>
      </c>
      <c r="L301" s="109" t="s">
        <v>523</v>
      </c>
      <c r="M301" s="109" t="s">
        <v>384</v>
      </c>
      <c r="N301" s="109" t="s">
        <v>36</v>
      </c>
      <c r="O301" s="109" t="s">
        <v>386</v>
      </c>
      <c r="P301" s="109" t="s">
        <v>827</v>
      </c>
      <c r="Q301" s="109" t="s">
        <v>936</v>
      </c>
      <c r="R301" s="109" t="s">
        <v>60</v>
      </c>
      <c r="S301" s="83" t="str">
        <f t="shared" si="31"/>
        <v>B1899H</v>
      </c>
      <c r="T301" s="83" t="str">
        <f t="shared" si="28"/>
        <v>GOSSAMER MINI</v>
      </c>
      <c r="Y301" s="60">
        <f t="shared" si="32"/>
        <v>31</v>
      </c>
      <c r="Z301" s="49">
        <f t="shared" si="33"/>
        <v>237</v>
      </c>
      <c r="AA301" s="60">
        <f t="shared" si="34"/>
        <v>31237</v>
      </c>
    </row>
    <row r="302" spans="1:27">
      <c r="A302" s="83" t="str">
        <f t="shared" si="29"/>
        <v>B1900Htan multi</v>
      </c>
      <c r="B302" s="83" t="str">
        <f t="shared" si="30"/>
        <v>31-238-36</v>
      </c>
      <c r="C302" s="109" t="s">
        <v>1809</v>
      </c>
      <c r="D302" s="109" t="s">
        <v>1810</v>
      </c>
      <c r="E302" s="109" t="s">
        <v>793</v>
      </c>
      <c r="F302" s="110">
        <v>0</v>
      </c>
      <c r="G302" s="109" t="s">
        <v>1389</v>
      </c>
      <c r="H302" s="109" t="s">
        <v>187</v>
      </c>
      <c r="I302" s="109" t="s">
        <v>966</v>
      </c>
      <c r="J302" s="109" t="s">
        <v>323</v>
      </c>
      <c r="K302" s="109" t="s">
        <v>387</v>
      </c>
      <c r="L302" s="109" t="s">
        <v>523</v>
      </c>
      <c r="M302" s="109" t="s">
        <v>384</v>
      </c>
      <c r="N302" s="109" t="s">
        <v>36</v>
      </c>
      <c r="O302" s="109" t="s">
        <v>386</v>
      </c>
      <c r="P302" s="109" t="s">
        <v>827</v>
      </c>
      <c r="Q302" s="109" t="s">
        <v>1811</v>
      </c>
      <c r="R302" s="109" t="s">
        <v>63</v>
      </c>
      <c r="S302" s="83" t="str">
        <f t="shared" si="31"/>
        <v>B1900H</v>
      </c>
      <c r="T302" s="83" t="str">
        <f t="shared" si="28"/>
        <v>BLANCHET</v>
      </c>
      <c r="Y302" s="60">
        <f t="shared" si="32"/>
        <v>31</v>
      </c>
      <c r="Z302" s="49">
        <f t="shared" si="33"/>
        <v>238</v>
      </c>
      <c r="AA302" s="60">
        <f t="shared" si="34"/>
        <v>31238</v>
      </c>
    </row>
    <row r="303" spans="1:27">
      <c r="A303" s="83" t="str">
        <f t="shared" si="29"/>
        <v>B1944Hdeep red</v>
      </c>
      <c r="B303" s="83" t="str">
        <f t="shared" si="30"/>
        <v>31-266-02</v>
      </c>
      <c r="C303" s="109" t="s">
        <v>1812</v>
      </c>
      <c r="D303" s="109" t="s">
        <v>1813</v>
      </c>
      <c r="E303" s="109" t="s">
        <v>793</v>
      </c>
      <c r="F303" s="110">
        <v>0</v>
      </c>
      <c r="G303" s="109" t="s">
        <v>1615</v>
      </c>
      <c r="H303" s="109" t="s">
        <v>69</v>
      </c>
      <c r="I303" s="109" t="s">
        <v>1255</v>
      </c>
      <c r="J303" s="109" t="s">
        <v>357</v>
      </c>
      <c r="K303" s="109" t="s">
        <v>387</v>
      </c>
      <c r="L303" s="109" t="s">
        <v>523</v>
      </c>
      <c r="M303" s="109" t="s">
        <v>384</v>
      </c>
      <c r="N303" s="109" t="s">
        <v>36</v>
      </c>
      <c r="O303" s="109" t="s">
        <v>386</v>
      </c>
      <c r="P303" s="109" t="s">
        <v>827</v>
      </c>
      <c r="Q303" s="109" t="s">
        <v>885</v>
      </c>
      <c r="R303" s="109" t="s">
        <v>63</v>
      </c>
      <c r="S303" s="83" t="str">
        <f t="shared" si="31"/>
        <v>B1944H</v>
      </c>
      <c r="T303" s="83" t="str">
        <f t="shared" si="28"/>
        <v>CATHERINE</v>
      </c>
      <c r="Y303" s="60">
        <f t="shared" si="32"/>
        <v>31</v>
      </c>
      <c r="Z303" s="49">
        <f t="shared" si="33"/>
        <v>266</v>
      </c>
      <c r="AA303" s="60">
        <f t="shared" si="34"/>
        <v>31266</v>
      </c>
    </row>
    <row r="304" spans="1:27">
      <c r="A304" s="83" t="str">
        <f t="shared" si="29"/>
        <v>B1970Hblack</v>
      </c>
      <c r="B304" s="83" t="str">
        <f t="shared" si="30"/>
        <v>31-288-09</v>
      </c>
      <c r="C304" s="109" t="s">
        <v>1814</v>
      </c>
      <c r="D304" s="109" t="s">
        <v>1815</v>
      </c>
      <c r="E304" s="109" t="s">
        <v>786</v>
      </c>
      <c r="F304" s="110">
        <v>57</v>
      </c>
      <c r="G304" s="109" t="s">
        <v>1816</v>
      </c>
      <c r="H304" s="109" t="s">
        <v>53</v>
      </c>
      <c r="I304" s="109" t="s">
        <v>790</v>
      </c>
      <c r="J304" s="109" t="s">
        <v>323</v>
      </c>
      <c r="K304" s="109" t="s">
        <v>387</v>
      </c>
      <c r="L304" s="109" t="s">
        <v>523</v>
      </c>
      <c r="M304" s="109" t="s">
        <v>384</v>
      </c>
      <c r="N304" s="109" t="s">
        <v>36</v>
      </c>
      <c r="O304" s="109" t="s">
        <v>445</v>
      </c>
      <c r="P304" s="109" t="s">
        <v>827</v>
      </c>
      <c r="Q304" s="109" t="s">
        <v>831</v>
      </c>
      <c r="R304" s="109" t="s">
        <v>53</v>
      </c>
      <c r="S304" s="83" t="str">
        <f t="shared" si="31"/>
        <v>B1970H</v>
      </c>
      <c r="T304" s="83" t="str">
        <f t="shared" si="28"/>
        <v>CORETTA</v>
      </c>
      <c r="Y304" s="60">
        <f t="shared" si="32"/>
        <v>31</v>
      </c>
      <c r="Z304" s="49">
        <f t="shared" si="33"/>
        <v>288</v>
      </c>
      <c r="AA304" s="60">
        <f t="shared" si="34"/>
        <v>31288</v>
      </c>
    </row>
    <row r="305" spans="1:27">
      <c r="A305" s="83" t="str">
        <f t="shared" si="29"/>
        <v>B1971Hblack</v>
      </c>
      <c r="B305" s="83" t="str">
        <f t="shared" si="30"/>
        <v>31-289-09</v>
      </c>
      <c r="C305" s="109" t="s">
        <v>1817</v>
      </c>
      <c r="D305" s="109" t="s">
        <v>1818</v>
      </c>
      <c r="E305" s="109" t="s">
        <v>793</v>
      </c>
      <c r="F305" s="110">
        <v>0</v>
      </c>
      <c r="G305" s="109" t="s">
        <v>1819</v>
      </c>
      <c r="H305" s="109" t="s">
        <v>53</v>
      </c>
      <c r="I305" s="109" t="s">
        <v>794</v>
      </c>
      <c r="J305" s="109" t="s">
        <v>323</v>
      </c>
      <c r="K305" s="109" t="s">
        <v>387</v>
      </c>
      <c r="L305" s="109" t="s">
        <v>523</v>
      </c>
      <c r="M305" s="109" t="s">
        <v>384</v>
      </c>
      <c r="O305" s="109" t="s">
        <v>386</v>
      </c>
      <c r="P305" s="109" t="s">
        <v>827</v>
      </c>
      <c r="Q305" s="109" t="s">
        <v>831</v>
      </c>
      <c r="R305" s="109" t="s">
        <v>53</v>
      </c>
      <c r="S305" s="83" t="str">
        <f t="shared" si="31"/>
        <v>B1971H</v>
      </c>
      <c r="T305" s="83" t="str">
        <f t="shared" si="28"/>
        <v>EMMELINE</v>
      </c>
      <c r="Y305" s="60">
        <f t="shared" si="32"/>
        <v>31</v>
      </c>
      <c r="Z305" s="49">
        <f t="shared" si="33"/>
        <v>289</v>
      </c>
      <c r="AA305" s="60">
        <f t="shared" si="34"/>
        <v>31289</v>
      </c>
    </row>
    <row r="306" spans="1:27">
      <c r="A306" s="83" t="str">
        <f t="shared" si="29"/>
        <v>B1972Hyellow</v>
      </c>
      <c r="B306" s="83" t="str">
        <f t="shared" si="30"/>
        <v>31-290-20</v>
      </c>
      <c r="C306" s="109" t="s">
        <v>1820</v>
      </c>
      <c r="D306" s="109" t="s">
        <v>1821</v>
      </c>
      <c r="E306" s="109" t="s">
        <v>793</v>
      </c>
      <c r="F306" s="110">
        <v>0</v>
      </c>
      <c r="G306" s="109" t="s">
        <v>1822</v>
      </c>
      <c r="H306" s="109" t="s">
        <v>65</v>
      </c>
      <c r="I306" s="109" t="s">
        <v>1823</v>
      </c>
      <c r="J306" s="109" t="s">
        <v>323</v>
      </c>
      <c r="K306" s="109" t="s">
        <v>387</v>
      </c>
      <c r="L306" s="109" t="s">
        <v>523</v>
      </c>
      <c r="M306" s="109" t="s">
        <v>384</v>
      </c>
      <c r="N306" s="109" t="s">
        <v>36</v>
      </c>
      <c r="O306" s="109" t="s">
        <v>386</v>
      </c>
      <c r="P306" s="109" t="s">
        <v>827</v>
      </c>
      <c r="Q306" s="109" t="s">
        <v>1824</v>
      </c>
      <c r="R306" s="109" t="s">
        <v>65</v>
      </c>
      <c r="S306" s="83" t="str">
        <f t="shared" si="31"/>
        <v>B1972H</v>
      </c>
      <c r="T306" s="83" t="str">
        <f t="shared" si="28"/>
        <v>RUTH</v>
      </c>
      <c r="Y306" s="60">
        <f t="shared" si="32"/>
        <v>31</v>
      </c>
      <c r="Z306" s="49">
        <f t="shared" si="33"/>
        <v>290</v>
      </c>
      <c r="AA306" s="60">
        <f t="shared" si="34"/>
        <v>31290</v>
      </c>
    </row>
    <row r="307" spans="1:27">
      <c r="A307" s="83" t="str">
        <f t="shared" si="29"/>
        <v>B1973Hblack foral</v>
      </c>
      <c r="B307" s="83" t="str">
        <f t="shared" si="30"/>
        <v>31-291-53</v>
      </c>
      <c r="C307" s="109" t="s">
        <v>1825</v>
      </c>
      <c r="D307" s="109" t="s">
        <v>1826</v>
      </c>
      <c r="E307" s="109" t="s">
        <v>793</v>
      </c>
      <c r="F307" s="110">
        <v>0</v>
      </c>
      <c r="G307" s="109" t="s">
        <v>1827</v>
      </c>
      <c r="H307" s="109" t="s">
        <v>101</v>
      </c>
      <c r="I307" s="109" t="s">
        <v>1828</v>
      </c>
      <c r="J307" s="109" t="s">
        <v>323</v>
      </c>
      <c r="K307" s="109" t="s">
        <v>387</v>
      </c>
      <c r="L307" s="109" t="s">
        <v>523</v>
      </c>
      <c r="M307" s="109" t="s">
        <v>384</v>
      </c>
      <c r="N307" s="109" t="s">
        <v>36</v>
      </c>
      <c r="O307" s="109" t="s">
        <v>386</v>
      </c>
      <c r="P307" s="109" t="s">
        <v>827</v>
      </c>
      <c r="Q307" s="109" t="s">
        <v>1829</v>
      </c>
      <c r="R307" s="109" t="s">
        <v>63</v>
      </c>
      <c r="S307" s="83" t="str">
        <f t="shared" si="31"/>
        <v>B1973H</v>
      </c>
      <c r="T307" s="83" t="str">
        <f t="shared" si="28"/>
        <v>MAE</v>
      </c>
      <c r="Y307" s="60">
        <f t="shared" si="32"/>
        <v>31</v>
      </c>
      <c r="Z307" s="49">
        <f t="shared" si="33"/>
        <v>291</v>
      </c>
      <c r="AA307" s="60">
        <f t="shared" si="34"/>
        <v>31291</v>
      </c>
    </row>
    <row r="308" spans="1:27">
      <c r="A308" s="83" t="str">
        <f t="shared" si="29"/>
        <v>B1974Hivory</v>
      </c>
      <c r="B308" s="83" t="str">
        <f t="shared" si="30"/>
        <v>31-292-17</v>
      </c>
      <c r="C308" s="109" t="s">
        <v>1830</v>
      </c>
      <c r="D308" s="109" t="s">
        <v>1831</v>
      </c>
      <c r="E308" s="109" t="s">
        <v>793</v>
      </c>
      <c r="F308" s="110">
        <v>0</v>
      </c>
      <c r="G308" s="109" t="s">
        <v>1832</v>
      </c>
      <c r="H308" s="109" t="s">
        <v>57</v>
      </c>
      <c r="I308" s="109" t="s">
        <v>891</v>
      </c>
      <c r="J308" s="109" t="s">
        <v>323</v>
      </c>
      <c r="K308" s="109" t="s">
        <v>387</v>
      </c>
      <c r="L308" s="109" t="s">
        <v>523</v>
      </c>
      <c r="M308" s="109" t="s">
        <v>384</v>
      </c>
      <c r="O308" s="109" t="s">
        <v>386</v>
      </c>
      <c r="P308" s="109" t="s">
        <v>827</v>
      </c>
      <c r="Q308" s="109" t="s">
        <v>843</v>
      </c>
      <c r="R308" s="109" t="s">
        <v>57</v>
      </c>
      <c r="S308" s="83" t="str">
        <f t="shared" si="31"/>
        <v>B1974H</v>
      </c>
      <c r="T308" s="83" t="str">
        <f t="shared" si="28"/>
        <v>ZORA</v>
      </c>
      <c r="Y308" s="60">
        <f t="shared" si="32"/>
        <v>31</v>
      </c>
      <c r="Z308" s="49">
        <f t="shared" si="33"/>
        <v>292</v>
      </c>
      <c r="AA308" s="60">
        <f t="shared" si="34"/>
        <v>31292</v>
      </c>
    </row>
    <row r="309" spans="1:27">
      <c r="A309" s="83" t="str">
        <f t="shared" si="29"/>
        <v>B1977Hnectar</v>
      </c>
      <c r="B309" s="83" t="str">
        <f t="shared" si="30"/>
        <v>31-293-34</v>
      </c>
      <c r="C309" s="109" t="s">
        <v>1833</v>
      </c>
      <c r="D309" s="109" t="s">
        <v>1834</v>
      </c>
      <c r="E309" s="109" t="s">
        <v>793</v>
      </c>
      <c r="F309" s="110">
        <v>0</v>
      </c>
      <c r="G309" s="109" t="s">
        <v>1835</v>
      </c>
      <c r="H309" s="109" t="s">
        <v>68</v>
      </c>
      <c r="I309" s="109" t="s">
        <v>794</v>
      </c>
      <c r="J309" s="109" t="s">
        <v>357</v>
      </c>
      <c r="K309" s="109" t="s">
        <v>387</v>
      </c>
      <c r="L309" s="109" t="s">
        <v>523</v>
      </c>
      <c r="M309" s="109" t="s">
        <v>384</v>
      </c>
      <c r="O309" s="109" t="s">
        <v>386</v>
      </c>
      <c r="P309" s="109" t="s">
        <v>827</v>
      </c>
      <c r="Q309" s="109" t="s">
        <v>1836</v>
      </c>
      <c r="R309" s="109" t="s">
        <v>68</v>
      </c>
      <c r="S309" s="83" t="str">
        <f t="shared" si="31"/>
        <v>B1977H</v>
      </c>
      <c r="T309" s="83" t="str">
        <f t="shared" si="28"/>
        <v>HILLARY</v>
      </c>
      <c r="Y309" s="60">
        <f t="shared" si="32"/>
        <v>31</v>
      </c>
      <c r="Z309" s="49">
        <f t="shared" si="33"/>
        <v>293</v>
      </c>
      <c r="AA309" s="60">
        <f t="shared" si="34"/>
        <v>31293</v>
      </c>
    </row>
    <row r="310" spans="1:27">
      <c r="A310" s="83" t="str">
        <f t="shared" si="29"/>
        <v>B1980Hcharcoal.floral</v>
      </c>
      <c r="B310" s="83" t="str">
        <f t="shared" si="30"/>
        <v>31-294-08</v>
      </c>
      <c r="C310" s="109" t="s">
        <v>1837</v>
      </c>
      <c r="D310" s="109" t="s">
        <v>1838</v>
      </c>
      <c r="E310" s="109" t="s">
        <v>793</v>
      </c>
      <c r="F310" s="110">
        <v>0</v>
      </c>
      <c r="G310" s="109" t="s">
        <v>1839</v>
      </c>
      <c r="H310" s="109" t="s">
        <v>83</v>
      </c>
      <c r="I310" s="109" t="s">
        <v>1840</v>
      </c>
      <c r="J310" s="109" t="s">
        <v>323</v>
      </c>
      <c r="K310" s="109" t="s">
        <v>387</v>
      </c>
      <c r="L310" s="109" t="s">
        <v>523</v>
      </c>
      <c r="M310" s="109" t="s">
        <v>384</v>
      </c>
      <c r="N310" s="109" t="s">
        <v>36</v>
      </c>
      <c r="O310" s="109" t="s">
        <v>386</v>
      </c>
      <c r="P310" s="109" t="s">
        <v>827</v>
      </c>
      <c r="Q310" s="109" t="s">
        <v>1841</v>
      </c>
      <c r="R310" s="109" t="s">
        <v>83</v>
      </c>
      <c r="S310" s="83" t="str">
        <f t="shared" si="31"/>
        <v>B1980H</v>
      </c>
      <c r="T310" s="83" t="str">
        <f t="shared" si="28"/>
        <v>REGINE</v>
      </c>
      <c r="Y310" s="60">
        <f t="shared" si="32"/>
        <v>31</v>
      </c>
      <c r="Z310" s="49">
        <f t="shared" si="33"/>
        <v>294</v>
      </c>
      <c r="AA310" s="60">
        <f t="shared" si="34"/>
        <v>31294</v>
      </c>
    </row>
    <row r="311" spans="1:27">
      <c r="A311" s="83" t="str">
        <f t="shared" si="29"/>
        <v>B1981Hnatural multi</v>
      </c>
      <c r="B311" s="83" t="str">
        <f t="shared" si="30"/>
        <v>31-295-36</v>
      </c>
      <c r="C311" s="109" t="s">
        <v>1842</v>
      </c>
      <c r="D311" s="109" t="s">
        <v>1843</v>
      </c>
      <c r="E311" s="109" t="s">
        <v>793</v>
      </c>
      <c r="F311" s="110">
        <v>0</v>
      </c>
      <c r="G311" s="109" t="s">
        <v>1844</v>
      </c>
      <c r="H311" s="109" t="s">
        <v>187</v>
      </c>
      <c r="I311" s="109" t="s">
        <v>1845</v>
      </c>
      <c r="J311" s="109" t="s">
        <v>323</v>
      </c>
      <c r="K311" s="109" t="s">
        <v>387</v>
      </c>
      <c r="L311" s="109" t="s">
        <v>523</v>
      </c>
      <c r="M311" s="109" t="s">
        <v>384</v>
      </c>
      <c r="N311" s="109" t="s">
        <v>36</v>
      </c>
      <c r="O311" s="109" t="s">
        <v>386</v>
      </c>
      <c r="P311" s="109" t="s">
        <v>827</v>
      </c>
      <c r="Q311" s="109" t="s">
        <v>846</v>
      </c>
      <c r="R311" s="109" t="s">
        <v>63</v>
      </c>
      <c r="S311" s="83" t="str">
        <f t="shared" si="31"/>
        <v>B1981H</v>
      </c>
      <c r="T311" s="83" t="str">
        <f t="shared" si="28"/>
        <v>ALICE</v>
      </c>
      <c r="Y311" s="60">
        <f t="shared" si="32"/>
        <v>31</v>
      </c>
      <c r="Z311" s="49">
        <f t="shared" si="33"/>
        <v>295</v>
      </c>
      <c r="AA311" s="60">
        <f t="shared" si="34"/>
        <v>31295</v>
      </c>
    </row>
    <row r="312" spans="1:27">
      <c r="A312" s="83" t="str">
        <f t="shared" si="29"/>
        <v>B1982Hblack.frenchnavy</v>
      </c>
      <c r="B312" s="83" t="str">
        <f t="shared" si="30"/>
        <v>31-296-05</v>
      </c>
      <c r="C312" s="109" t="s">
        <v>1846</v>
      </c>
      <c r="D312" s="109" t="s">
        <v>1847</v>
      </c>
      <c r="E312" s="109" t="s">
        <v>793</v>
      </c>
      <c r="F312" s="110">
        <v>0</v>
      </c>
      <c r="G312" s="109" t="s">
        <v>1848</v>
      </c>
      <c r="H312" s="109" t="s">
        <v>277</v>
      </c>
      <c r="I312" s="109" t="s">
        <v>1849</v>
      </c>
      <c r="J312" s="109" t="s">
        <v>330</v>
      </c>
      <c r="K312" s="109" t="s">
        <v>387</v>
      </c>
      <c r="L312" s="109" t="s">
        <v>523</v>
      </c>
      <c r="M312" s="109" t="s">
        <v>384</v>
      </c>
      <c r="N312" s="109" t="s">
        <v>36</v>
      </c>
      <c r="O312" s="109" t="s">
        <v>386</v>
      </c>
      <c r="P312" s="109" t="s">
        <v>827</v>
      </c>
      <c r="Q312" s="109" t="s">
        <v>1850</v>
      </c>
      <c r="R312" s="109" t="s">
        <v>83</v>
      </c>
      <c r="S312" s="83" t="str">
        <f t="shared" si="31"/>
        <v>B1982H</v>
      </c>
      <c r="T312" s="83" t="str">
        <f t="shared" si="28"/>
        <v>MARLENE</v>
      </c>
      <c r="Y312" s="60">
        <f t="shared" si="32"/>
        <v>31</v>
      </c>
      <c r="Z312" s="49">
        <f t="shared" si="33"/>
        <v>296</v>
      </c>
      <c r="AA312" s="60">
        <f t="shared" si="34"/>
        <v>31296</v>
      </c>
    </row>
    <row r="313" spans="1:27">
      <c r="A313" s="83" t="str">
        <f t="shared" si="29"/>
        <v>B1983Hnatural.deepred</v>
      </c>
      <c r="B313" s="83" t="str">
        <f t="shared" si="30"/>
        <v>31-297-54</v>
      </c>
      <c r="C313" s="109" t="s">
        <v>1851</v>
      </c>
      <c r="D313" s="109" t="s">
        <v>1852</v>
      </c>
      <c r="E313" s="109" t="s">
        <v>793</v>
      </c>
      <c r="F313" s="110">
        <v>0</v>
      </c>
      <c r="G313" s="109" t="s">
        <v>1853</v>
      </c>
      <c r="H313" s="109" t="s">
        <v>84</v>
      </c>
      <c r="I313" s="109" t="s">
        <v>1854</v>
      </c>
      <c r="J313" s="109" t="s">
        <v>323</v>
      </c>
      <c r="K313" s="109" t="s">
        <v>387</v>
      </c>
      <c r="L313" s="109" t="s">
        <v>523</v>
      </c>
      <c r="M313" s="109" t="s">
        <v>384</v>
      </c>
      <c r="N313" s="109" t="s">
        <v>36</v>
      </c>
      <c r="O313" s="109" t="s">
        <v>386</v>
      </c>
      <c r="P313" s="109" t="s">
        <v>827</v>
      </c>
      <c r="Q313" s="109" t="s">
        <v>1801</v>
      </c>
      <c r="R313" s="109" t="s">
        <v>63</v>
      </c>
      <c r="S313" s="83" t="str">
        <f t="shared" si="31"/>
        <v>B1983H</v>
      </c>
      <c r="T313" s="83" t="str">
        <f t="shared" si="28"/>
        <v>ANGELA</v>
      </c>
      <c r="Y313" s="60">
        <f t="shared" si="32"/>
        <v>31</v>
      </c>
      <c r="Z313" s="49">
        <f t="shared" si="33"/>
        <v>297</v>
      </c>
      <c r="AA313" s="60">
        <f t="shared" si="34"/>
        <v>31297</v>
      </c>
    </row>
    <row r="314" spans="1:27">
      <c r="A314" s="83" t="str">
        <f t="shared" si="29"/>
        <v>B1984Hwhite multi</v>
      </c>
      <c r="B314" s="83" t="str">
        <f t="shared" si="30"/>
        <v>31-298-36</v>
      </c>
      <c r="C314" s="109" t="s">
        <v>1855</v>
      </c>
      <c r="D314" s="109" t="s">
        <v>1856</v>
      </c>
      <c r="E314" s="109" t="s">
        <v>793</v>
      </c>
      <c r="F314" s="110">
        <v>0</v>
      </c>
      <c r="G314" s="109" t="s">
        <v>1857</v>
      </c>
      <c r="H314" s="109" t="s">
        <v>187</v>
      </c>
      <c r="I314" s="109" t="s">
        <v>1858</v>
      </c>
      <c r="J314" s="109" t="s">
        <v>323</v>
      </c>
      <c r="K314" s="109" t="s">
        <v>387</v>
      </c>
      <c r="L314" s="109" t="s">
        <v>523</v>
      </c>
      <c r="M314" s="109" t="s">
        <v>384</v>
      </c>
      <c r="N314" s="109" t="s">
        <v>36</v>
      </c>
      <c r="O314" s="109" t="s">
        <v>386</v>
      </c>
      <c r="P314" s="109" t="s">
        <v>827</v>
      </c>
      <c r="Q314" s="109" t="s">
        <v>1859</v>
      </c>
      <c r="R314" s="109" t="s">
        <v>63</v>
      </c>
      <c r="S314" s="83" t="str">
        <f t="shared" si="31"/>
        <v>B1984H</v>
      </c>
      <c r="T314" s="83" t="str">
        <f t="shared" si="28"/>
        <v>MYRIAM</v>
      </c>
      <c r="Y314" s="60">
        <f t="shared" si="32"/>
        <v>31</v>
      </c>
      <c r="Z314" s="49">
        <f t="shared" si="33"/>
        <v>298</v>
      </c>
      <c r="AA314" s="60">
        <f t="shared" si="34"/>
        <v>31298</v>
      </c>
    </row>
    <row r="315" spans="1:27">
      <c r="A315" s="83" t="str">
        <f t="shared" si="29"/>
        <v>B1985Hnatural multi</v>
      </c>
      <c r="B315" s="83" t="str">
        <f t="shared" si="30"/>
        <v>31-299-36</v>
      </c>
      <c r="C315" s="109" t="s">
        <v>1860</v>
      </c>
      <c r="D315" s="109" t="s">
        <v>1861</v>
      </c>
      <c r="E315" s="109" t="s">
        <v>793</v>
      </c>
      <c r="F315" s="110">
        <v>0</v>
      </c>
      <c r="G315" s="109" t="s">
        <v>1862</v>
      </c>
      <c r="H315" s="109" t="s">
        <v>187</v>
      </c>
      <c r="I315" s="109" t="s">
        <v>1863</v>
      </c>
      <c r="J315" s="109" t="s">
        <v>357</v>
      </c>
      <c r="K315" s="109" t="s">
        <v>387</v>
      </c>
      <c r="L315" s="109" t="s">
        <v>523</v>
      </c>
      <c r="M315" s="109" t="s">
        <v>384</v>
      </c>
      <c r="O315" s="109" t="s">
        <v>386</v>
      </c>
      <c r="P315" s="109" t="s">
        <v>827</v>
      </c>
      <c r="Q315" s="109" t="s">
        <v>846</v>
      </c>
      <c r="R315" s="109" t="s">
        <v>63</v>
      </c>
      <c r="S315" s="83" t="str">
        <f t="shared" si="31"/>
        <v>B1985H</v>
      </c>
      <c r="T315" s="83" t="str">
        <f t="shared" si="28"/>
        <v>EDITH</v>
      </c>
      <c r="Y315" s="60">
        <f t="shared" si="32"/>
        <v>31</v>
      </c>
      <c r="Z315" s="49">
        <f t="shared" si="33"/>
        <v>299</v>
      </c>
      <c r="AA315" s="60">
        <f t="shared" si="34"/>
        <v>31299</v>
      </c>
    </row>
    <row r="316" spans="1:27">
      <c r="A316" s="83" t="str">
        <f t="shared" si="29"/>
        <v>B1986Hwhite multi</v>
      </c>
      <c r="B316" s="83" t="str">
        <f t="shared" si="30"/>
        <v>31-300-19</v>
      </c>
      <c r="C316" s="109" t="s">
        <v>1864</v>
      </c>
      <c r="D316" s="109" t="s">
        <v>1865</v>
      </c>
      <c r="E316" s="109" t="s">
        <v>793</v>
      </c>
      <c r="F316" s="110">
        <v>0</v>
      </c>
      <c r="G316" s="109" t="s">
        <v>1866</v>
      </c>
      <c r="H316" s="109" t="s">
        <v>91</v>
      </c>
      <c r="I316" s="109" t="s">
        <v>1255</v>
      </c>
      <c r="J316" s="109" t="s">
        <v>323</v>
      </c>
      <c r="K316" s="109" t="s">
        <v>387</v>
      </c>
      <c r="L316" s="109" t="s">
        <v>523</v>
      </c>
      <c r="M316" s="109" t="s">
        <v>384</v>
      </c>
      <c r="N316" s="109" t="s">
        <v>36</v>
      </c>
      <c r="O316" s="109" t="s">
        <v>386</v>
      </c>
      <c r="P316" s="109" t="s">
        <v>827</v>
      </c>
      <c r="Q316" s="109" t="s">
        <v>1859</v>
      </c>
      <c r="R316" s="109" t="s">
        <v>91</v>
      </c>
      <c r="S316" s="83" t="str">
        <f t="shared" si="31"/>
        <v>B1986H</v>
      </c>
      <c r="T316" s="83" t="str">
        <f t="shared" si="28"/>
        <v>GENEVIEVE</v>
      </c>
      <c r="Y316" s="60">
        <f t="shared" si="32"/>
        <v>31</v>
      </c>
      <c r="Z316" s="49">
        <f t="shared" si="33"/>
        <v>300</v>
      </c>
      <c r="AA316" s="60">
        <f t="shared" si="34"/>
        <v>31300</v>
      </c>
    </row>
    <row r="317" spans="1:27">
      <c r="A317" s="83" t="str">
        <f t="shared" si="29"/>
        <v>B1989Hblack</v>
      </c>
      <c r="B317" s="83" t="str">
        <f t="shared" si="30"/>
        <v>31-301-09</v>
      </c>
      <c r="C317" s="109" t="s">
        <v>1867</v>
      </c>
      <c r="D317" s="109" t="s">
        <v>1868</v>
      </c>
      <c r="E317" s="109" t="s">
        <v>793</v>
      </c>
      <c r="F317" s="110">
        <v>0</v>
      </c>
      <c r="G317" s="109" t="s">
        <v>1869</v>
      </c>
      <c r="H317" s="109" t="s">
        <v>53</v>
      </c>
      <c r="I317" s="109" t="s">
        <v>1870</v>
      </c>
      <c r="J317" s="109" t="s">
        <v>348</v>
      </c>
      <c r="K317" s="109" t="s">
        <v>387</v>
      </c>
      <c r="L317" s="109" t="s">
        <v>523</v>
      </c>
      <c r="M317" s="109" t="s">
        <v>388</v>
      </c>
      <c r="O317" s="109" t="s">
        <v>386</v>
      </c>
      <c r="P317" s="109" t="s">
        <v>827</v>
      </c>
      <c r="Q317" s="109" t="s">
        <v>831</v>
      </c>
      <c r="R317" s="109" t="s">
        <v>53</v>
      </c>
      <c r="S317" s="83" t="str">
        <f t="shared" si="31"/>
        <v>B1989H</v>
      </c>
      <c r="T317" s="83" t="str">
        <f t="shared" si="28"/>
        <v>ODILE</v>
      </c>
      <c r="Y317" s="60">
        <f t="shared" si="32"/>
        <v>31</v>
      </c>
      <c r="Z317" s="49">
        <f t="shared" si="33"/>
        <v>301</v>
      </c>
      <c r="AA317" s="60">
        <f t="shared" si="34"/>
        <v>31301</v>
      </c>
    </row>
    <row r="318" spans="1:27">
      <c r="A318" s="83" t="str">
        <f t="shared" si="29"/>
        <v>B1990Hwhisper white</v>
      </c>
      <c r="B318" s="83" t="str">
        <f t="shared" si="30"/>
        <v>31-302-17</v>
      </c>
      <c r="C318" s="109" t="s">
        <v>1871</v>
      </c>
      <c r="D318" s="109" t="s">
        <v>1872</v>
      </c>
      <c r="E318" s="109" t="s">
        <v>793</v>
      </c>
      <c r="F318" s="110">
        <v>0</v>
      </c>
      <c r="G318" s="109" t="s">
        <v>1873</v>
      </c>
      <c r="H318" s="109" t="s">
        <v>187</v>
      </c>
      <c r="I318" s="109" t="s">
        <v>1874</v>
      </c>
      <c r="J318" s="109" t="s">
        <v>318</v>
      </c>
      <c r="K318" s="109" t="s">
        <v>387</v>
      </c>
      <c r="L318" s="109" t="s">
        <v>523</v>
      </c>
      <c r="M318" s="109" t="s">
        <v>388</v>
      </c>
      <c r="O318" s="109" t="s">
        <v>386</v>
      </c>
      <c r="P318" s="109" t="s">
        <v>827</v>
      </c>
      <c r="Q318" s="109" t="s">
        <v>1875</v>
      </c>
      <c r="R318" s="109" t="s">
        <v>57</v>
      </c>
      <c r="S318" s="83" t="str">
        <f t="shared" si="31"/>
        <v>B1990H</v>
      </c>
      <c r="T318" s="83" t="str">
        <f t="shared" si="28"/>
        <v>FABIENNE</v>
      </c>
      <c r="Y318" s="60">
        <f t="shared" si="32"/>
        <v>31</v>
      </c>
      <c r="Z318" s="49">
        <f t="shared" si="33"/>
        <v>302</v>
      </c>
      <c r="AA318" s="60">
        <f t="shared" si="34"/>
        <v>31302</v>
      </c>
    </row>
    <row r="319" spans="1:27">
      <c r="A319" s="83" t="str">
        <f t="shared" si="29"/>
        <v>B1987Hdeep ocean</v>
      </c>
      <c r="B319" s="83" t="str">
        <f t="shared" si="30"/>
        <v>31-303-06</v>
      </c>
      <c r="C319" s="109" t="s">
        <v>1876</v>
      </c>
      <c r="D319" s="109" t="s">
        <v>1877</v>
      </c>
      <c r="E319" s="109" t="s">
        <v>793</v>
      </c>
      <c r="F319" s="110">
        <v>0</v>
      </c>
      <c r="G319" s="109" t="s">
        <v>1878</v>
      </c>
      <c r="H319" s="109" t="s">
        <v>120</v>
      </c>
      <c r="I319" s="109" t="s">
        <v>1879</v>
      </c>
      <c r="J319" s="109" t="s">
        <v>357</v>
      </c>
      <c r="K319" s="109" t="s">
        <v>387</v>
      </c>
      <c r="L319" s="109" t="s">
        <v>523</v>
      </c>
      <c r="M319" s="109" t="s">
        <v>388</v>
      </c>
      <c r="O319" s="109" t="s">
        <v>386</v>
      </c>
      <c r="P319" s="109" t="s">
        <v>827</v>
      </c>
      <c r="Q319" s="109" t="s">
        <v>1880</v>
      </c>
      <c r="R319" s="109" t="s">
        <v>71</v>
      </c>
      <c r="S319" s="83" t="str">
        <f t="shared" si="31"/>
        <v>B1987H</v>
      </c>
      <c r="T319" s="83" t="str">
        <f t="shared" si="28"/>
        <v>ELIANE</v>
      </c>
      <c r="Y319" s="60">
        <f t="shared" si="32"/>
        <v>31</v>
      </c>
      <c r="Z319" s="49">
        <f t="shared" si="33"/>
        <v>303</v>
      </c>
      <c r="AA319" s="60">
        <f t="shared" si="34"/>
        <v>31303</v>
      </c>
    </row>
    <row r="320" spans="1:27">
      <c r="A320" s="83" t="str">
        <f t="shared" si="29"/>
        <v>B1988Hwhisper white</v>
      </c>
      <c r="B320" s="83" t="str">
        <f t="shared" si="30"/>
        <v>31-304-17</v>
      </c>
      <c r="C320" s="109" t="s">
        <v>1881</v>
      </c>
      <c r="D320" s="109" t="s">
        <v>1882</v>
      </c>
      <c r="E320" s="109" t="s">
        <v>793</v>
      </c>
      <c r="F320" s="110">
        <v>0</v>
      </c>
      <c r="G320" s="109" t="s">
        <v>1883</v>
      </c>
      <c r="H320" s="109" t="s">
        <v>57</v>
      </c>
      <c r="I320" s="109" t="s">
        <v>794</v>
      </c>
      <c r="J320" s="109" t="s">
        <v>357</v>
      </c>
      <c r="K320" s="109" t="s">
        <v>387</v>
      </c>
      <c r="L320" s="109" t="s">
        <v>523</v>
      </c>
      <c r="M320" s="109" t="s">
        <v>388</v>
      </c>
      <c r="O320" s="109" t="s">
        <v>386</v>
      </c>
      <c r="P320" s="109" t="s">
        <v>827</v>
      </c>
      <c r="Q320" s="109" t="s">
        <v>1875</v>
      </c>
      <c r="R320" s="109" t="s">
        <v>57</v>
      </c>
      <c r="S320" s="83" t="str">
        <f t="shared" si="31"/>
        <v>B1988H</v>
      </c>
      <c r="T320" s="83" t="str">
        <f t="shared" si="28"/>
        <v>FREDERIQUE</v>
      </c>
      <c r="Y320" s="60">
        <f t="shared" si="32"/>
        <v>31</v>
      </c>
      <c r="Z320" s="49">
        <f t="shared" si="33"/>
        <v>304</v>
      </c>
      <c r="AA320" s="60">
        <f t="shared" si="34"/>
        <v>31304</v>
      </c>
    </row>
    <row r="321" spans="1:27">
      <c r="A321" s="83" t="str">
        <f t="shared" si="29"/>
        <v>B1991Hblack multi</v>
      </c>
      <c r="B321" s="83" t="str">
        <f t="shared" si="30"/>
        <v>31-305-09</v>
      </c>
      <c r="C321" s="109" t="s">
        <v>1884</v>
      </c>
      <c r="D321" s="109" t="s">
        <v>1885</v>
      </c>
      <c r="E321" s="109" t="s">
        <v>793</v>
      </c>
      <c r="F321" s="110">
        <v>0</v>
      </c>
      <c r="G321" s="109" t="s">
        <v>1886</v>
      </c>
      <c r="H321" s="109" t="s">
        <v>53</v>
      </c>
      <c r="I321" s="109" t="s">
        <v>1887</v>
      </c>
      <c r="J321" s="109" t="s">
        <v>357</v>
      </c>
      <c r="K321" s="109" t="s">
        <v>387</v>
      </c>
      <c r="L321" s="109" t="s">
        <v>523</v>
      </c>
      <c r="M321" s="109" t="s">
        <v>388</v>
      </c>
      <c r="O321" s="109" t="s">
        <v>386</v>
      </c>
      <c r="P321" s="109" t="s">
        <v>827</v>
      </c>
      <c r="Q321" s="109" t="s">
        <v>881</v>
      </c>
      <c r="R321" s="109" t="s">
        <v>53</v>
      </c>
      <c r="S321" s="83" t="str">
        <f t="shared" si="31"/>
        <v>B1991H</v>
      </c>
      <c r="T321" s="83" t="str">
        <f t="shared" si="28"/>
        <v>KARA</v>
      </c>
      <c r="Y321" s="60">
        <f t="shared" si="32"/>
        <v>31</v>
      </c>
      <c r="Z321" s="49">
        <f t="shared" si="33"/>
        <v>305</v>
      </c>
      <c r="AA321" s="60">
        <f t="shared" si="34"/>
        <v>31305</v>
      </c>
    </row>
    <row r="322" spans="1:27">
      <c r="A322" s="83" t="str">
        <f t="shared" si="29"/>
        <v>B1992Hbutterscotch multi</v>
      </c>
      <c r="B322" s="83" t="str">
        <f t="shared" si="30"/>
        <v>31-306-02</v>
      </c>
      <c r="C322" s="109" t="s">
        <v>1888</v>
      </c>
      <c r="D322" s="109" t="s">
        <v>1889</v>
      </c>
      <c r="E322" s="109" t="s">
        <v>793</v>
      </c>
      <c r="F322" s="110">
        <v>0</v>
      </c>
      <c r="G322" s="109" t="s">
        <v>1890</v>
      </c>
      <c r="H322" s="109" t="s">
        <v>63</v>
      </c>
      <c r="I322" s="109" t="s">
        <v>1891</v>
      </c>
      <c r="J322" s="109" t="s">
        <v>330</v>
      </c>
      <c r="K322" s="109" t="s">
        <v>387</v>
      </c>
      <c r="L322" s="109" t="s">
        <v>523</v>
      </c>
      <c r="M322" s="109" t="s">
        <v>388</v>
      </c>
      <c r="N322" s="109" t="s">
        <v>36</v>
      </c>
      <c r="O322" s="109" t="s">
        <v>386</v>
      </c>
      <c r="P322" s="109" t="s">
        <v>827</v>
      </c>
      <c r="Q322" s="109" t="s">
        <v>1892</v>
      </c>
      <c r="R322" s="109" t="s">
        <v>63</v>
      </c>
      <c r="S322" s="83" t="str">
        <f t="shared" si="31"/>
        <v>B1992H</v>
      </c>
      <c r="T322" s="83" t="str">
        <f t="shared" ref="T322:T385" si="35">IF(A322&lt;&gt;"",IF(FIND(" ",G322)&gt;=1,MID(G322,FIND(" ",G322)+1,LEN(G322)),""),"")</f>
        <v>JUDY</v>
      </c>
      <c r="Y322" s="60">
        <f t="shared" si="32"/>
        <v>31</v>
      </c>
      <c r="Z322" s="49">
        <f t="shared" si="33"/>
        <v>306</v>
      </c>
      <c r="AA322" s="60">
        <f t="shared" si="34"/>
        <v>31306</v>
      </c>
    </row>
    <row r="323" spans="1:27">
      <c r="A323" s="83" t="str">
        <f t="shared" ref="A323:A386" si="36">IF(G323&amp;Q323&lt;&gt;"",S323&amp;Q323,"")</f>
        <v>B1994Hkohle</v>
      </c>
      <c r="B323" s="83" t="str">
        <f t="shared" ref="B323:B386" si="37">IF(C323&lt;&gt;"",LEFT(C323,9),"")</f>
        <v>31-307-09</v>
      </c>
      <c r="C323" s="109" t="s">
        <v>1893</v>
      </c>
      <c r="D323" s="109" t="s">
        <v>1894</v>
      </c>
      <c r="E323" s="109" t="s">
        <v>798</v>
      </c>
      <c r="F323" s="110">
        <v>56</v>
      </c>
      <c r="G323" s="109" t="s">
        <v>1895</v>
      </c>
      <c r="H323" s="109" t="s">
        <v>53</v>
      </c>
      <c r="I323" s="109" t="s">
        <v>785</v>
      </c>
      <c r="J323" s="109" t="s">
        <v>330</v>
      </c>
      <c r="K323" s="109" t="s">
        <v>387</v>
      </c>
      <c r="L323" s="109" t="s">
        <v>523</v>
      </c>
      <c r="M323" s="109" t="s">
        <v>388</v>
      </c>
      <c r="N323" s="109" t="s">
        <v>30</v>
      </c>
      <c r="O323" s="109" t="s">
        <v>445</v>
      </c>
      <c r="P323" s="109" t="s">
        <v>827</v>
      </c>
      <c r="Q323" s="109" t="s">
        <v>879</v>
      </c>
      <c r="R323" s="109" t="s">
        <v>53</v>
      </c>
      <c r="S323" s="83" t="str">
        <f t="shared" ref="S323:S386" si="38">IF(G323&lt;&gt;"",IF(FIND(" ",G323)&gt;=1,MID(G323,1,FIND(" ",G323)-1),G323),"")</f>
        <v>B1994H</v>
      </c>
      <c r="T323" s="83" t="str">
        <f t="shared" si="35"/>
        <v>AGUSTA</v>
      </c>
      <c r="Y323" s="60">
        <f t="shared" ref="Y323:Y386" si="39">IFERROR(VALUE(MID($C323,1,2)),0)</f>
        <v>31</v>
      </c>
      <c r="Z323" s="49">
        <f t="shared" ref="Z323:Z386" si="40">IFERROR(VALUE(MID($C323,4,3)),0)</f>
        <v>307</v>
      </c>
      <c r="AA323" s="60">
        <f t="shared" ref="AA323:AA386" si="41">VALUE(RIGHT("00"&amp;Y323,2)&amp;RIGHT("000"&amp;Z323,3))</f>
        <v>31307</v>
      </c>
    </row>
    <row r="324" spans="1:27">
      <c r="A324" s="83" t="str">
        <f t="shared" si="36"/>
        <v>B1994Hkohle</v>
      </c>
      <c r="B324" s="83" t="str">
        <f t="shared" si="37"/>
        <v>31-307-09</v>
      </c>
      <c r="C324" s="109" t="s">
        <v>1896</v>
      </c>
      <c r="D324" s="109" t="s">
        <v>1894</v>
      </c>
      <c r="E324" s="109" t="s">
        <v>791</v>
      </c>
      <c r="F324" s="110">
        <v>59</v>
      </c>
      <c r="G324" s="109" t="s">
        <v>1895</v>
      </c>
      <c r="H324" s="109" t="s">
        <v>53</v>
      </c>
      <c r="I324" s="109" t="s">
        <v>785</v>
      </c>
      <c r="J324" s="109" t="s">
        <v>330</v>
      </c>
      <c r="K324" s="109" t="s">
        <v>387</v>
      </c>
      <c r="L324" s="109" t="s">
        <v>523</v>
      </c>
      <c r="M324" s="109" t="s">
        <v>388</v>
      </c>
      <c r="N324" s="109" t="s">
        <v>30</v>
      </c>
      <c r="O324" s="109" t="s">
        <v>445</v>
      </c>
      <c r="P324" s="109" t="s">
        <v>827</v>
      </c>
      <c r="Q324" s="109" t="s">
        <v>879</v>
      </c>
      <c r="R324" s="109" t="s">
        <v>53</v>
      </c>
      <c r="S324" s="83" t="str">
        <f t="shared" si="38"/>
        <v>B1994H</v>
      </c>
      <c r="T324" s="83" t="str">
        <f t="shared" si="35"/>
        <v>AGUSTA</v>
      </c>
      <c r="Y324" s="60">
        <f t="shared" si="39"/>
        <v>31</v>
      </c>
      <c r="Z324" s="49">
        <f t="shared" si="40"/>
        <v>307</v>
      </c>
      <c r="AA324" s="60">
        <f t="shared" si="41"/>
        <v>31307</v>
      </c>
    </row>
    <row r="325" spans="1:27">
      <c r="A325" s="83" t="str">
        <f t="shared" si="36"/>
        <v>B1995Hgraphite</v>
      </c>
      <c r="B325" s="83" t="str">
        <f t="shared" si="37"/>
        <v>31-308-08</v>
      </c>
      <c r="C325" s="109" t="s">
        <v>1897</v>
      </c>
      <c r="D325" s="109" t="s">
        <v>1898</v>
      </c>
      <c r="E325" s="109" t="s">
        <v>791</v>
      </c>
      <c r="F325" s="110">
        <v>58</v>
      </c>
      <c r="G325" s="109" t="s">
        <v>1899</v>
      </c>
      <c r="H325" s="109" t="s">
        <v>83</v>
      </c>
      <c r="I325" s="109" t="s">
        <v>785</v>
      </c>
      <c r="J325" s="109" t="s">
        <v>330</v>
      </c>
      <c r="K325" s="109" t="s">
        <v>387</v>
      </c>
      <c r="L325" s="109" t="s">
        <v>523</v>
      </c>
      <c r="M325" s="109" t="s">
        <v>388</v>
      </c>
      <c r="N325" s="109" t="s">
        <v>30</v>
      </c>
      <c r="O325" s="109" t="s">
        <v>445</v>
      </c>
      <c r="P325" s="109" t="s">
        <v>827</v>
      </c>
      <c r="Q325" s="109" t="s">
        <v>850</v>
      </c>
      <c r="R325" s="109" t="s">
        <v>83</v>
      </c>
      <c r="S325" s="83" t="str">
        <f t="shared" si="38"/>
        <v>B1995H</v>
      </c>
      <c r="T325" s="83" t="str">
        <f t="shared" si="35"/>
        <v>MIREILLE</v>
      </c>
      <c r="Y325" s="60">
        <f t="shared" si="39"/>
        <v>31</v>
      </c>
      <c r="Z325" s="49">
        <f t="shared" si="40"/>
        <v>308</v>
      </c>
      <c r="AA325" s="60">
        <f t="shared" si="41"/>
        <v>31308</v>
      </c>
    </row>
    <row r="326" spans="1:27">
      <c r="A326" s="83" t="str">
        <f t="shared" si="36"/>
        <v>B1995Hgraphite</v>
      </c>
      <c r="B326" s="83" t="str">
        <f t="shared" si="37"/>
        <v>31-308-08</v>
      </c>
      <c r="C326" s="109" t="s">
        <v>1900</v>
      </c>
      <c r="D326" s="109" t="s">
        <v>1898</v>
      </c>
      <c r="E326" s="109" t="s">
        <v>798</v>
      </c>
      <c r="F326" s="110">
        <v>56</v>
      </c>
      <c r="G326" s="109" t="s">
        <v>1899</v>
      </c>
      <c r="H326" s="109" t="s">
        <v>83</v>
      </c>
      <c r="I326" s="109" t="s">
        <v>785</v>
      </c>
      <c r="J326" s="109" t="s">
        <v>330</v>
      </c>
      <c r="K326" s="109" t="s">
        <v>387</v>
      </c>
      <c r="L326" s="109" t="s">
        <v>523</v>
      </c>
      <c r="M326" s="109" t="s">
        <v>388</v>
      </c>
      <c r="N326" s="109" t="s">
        <v>30</v>
      </c>
      <c r="O326" s="109" t="s">
        <v>445</v>
      </c>
      <c r="P326" s="109" t="s">
        <v>827</v>
      </c>
      <c r="Q326" s="109" t="s">
        <v>850</v>
      </c>
      <c r="R326" s="109" t="s">
        <v>83</v>
      </c>
      <c r="S326" s="83" t="str">
        <f t="shared" si="38"/>
        <v>B1995H</v>
      </c>
      <c r="T326" s="83" t="str">
        <f t="shared" si="35"/>
        <v>MIREILLE</v>
      </c>
      <c r="Y326" s="60">
        <f t="shared" si="39"/>
        <v>31</v>
      </c>
      <c r="Z326" s="49">
        <f t="shared" si="40"/>
        <v>308</v>
      </c>
      <c r="AA326" s="60">
        <f t="shared" si="41"/>
        <v>31308</v>
      </c>
    </row>
    <row r="327" spans="1:27">
      <c r="A327" s="83" t="str">
        <f t="shared" si="36"/>
        <v>B1996Hwhisper white</v>
      </c>
      <c r="B327" s="83" t="str">
        <f t="shared" si="37"/>
        <v>31-309-17</v>
      </c>
      <c r="C327" s="109" t="s">
        <v>1901</v>
      </c>
      <c r="D327" s="109" t="s">
        <v>1902</v>
      </c>
      <c r="E327" s="109" t="s">
        <v>798</v>
      </c>
      <c r="F327" s="110">
        <v>56</v>
      </c>
      <c r="G327" s="109" t="s">
        <v>1903</v>
      </c>
      <c r="H327" s="109" t="s">
        <v>57</v>
      </c>
      <c r="I327" s="109" t="s">
        <v>785</v>
      </c>
      <c r="J327" s="109" t="s">
        <v>330</v>
      </c>
      <c r="K327" s="109" t="s">
        <v>387</v>
      </c>
      <c r="L327" s="109" t="s">
        <v>523</v>
      </c>
      <c r="M327" s="109" t="s">
        <v>388</v>
      </c>
      <c r="N327" s="109" t="s">
        <v>30</v>
      </c>
      <c r="O327" s="109" t="s">
        <v>445</v>
      </c>
      <c r="P327" s="109" t="s">
        <v>827</v>
      </c>
      <c r="Q327" s="109" t="s">
        <v>1875</v>
      </c>
      <c r="R327" s="109" t="s">
        <v>57</v>
      </c>
      <c r="S327" s="83" t="str">
        <f t="shared" si="38"/>
        <v>B1996H</v>
      </c>
      <c r="T327" s="83" t="str">
        <f t="shared" si="35"/>
        <v>GEORGIA</v>
      </c>
      <c r="Y327" s="60">
        <f t="shared" si="39"/>
        <v>31</v>
      </c>
      <c r="Z327" s="49">
        <f t="shared" si="40"/>
        <v>309</v>
      </c>
      <c r="AA327" s="60">
        <f t="shared" si="41"/>
        <v>31309</v>
      </c>
    </row>
    <row r="328" spans="1:27">
      <c r="A328" s="83" t="str">
        <f t="shared" si="36"/>
        <v>B1996Hwhisper white</v>
      </c>
      <c r="B328" s="83" t="str">
        <f t="shared" si="37"/>
        <v>31-309-17</v>
      </c>
      <c r="C328" s="109" t="s">
        <v>1904</v>
      </c>
      <c r="D328" s="109" t="s">
        <v>1902</v>
      </c>
      <c r="E328" s="109" t="s">
        <v>791</v>
      </c>
      <c r="F328" s="110">
        <v>58</v>
      </c>
      <c r="G328" s="109" t="s">
        <v>1903</v>
      </c>
      <c r="H328" s="109" t="s">
        <v>57</v>
      </c>
      <c r="I328" s="109" t="s">
        <v>785</v>
      </c>
      <c r="J328" s="109" t="s">
        <v>330</v>
      </c>
      <c r="K328" s="109" t="s">
        <v>387</v>
      </c>
      <c r="L328" s="109" t="s">
        <v>523</v>
      </c>
      <c r="M328" s="109" t="s">
        <v>388</v>
      </c>
      <c r="N328" s="109" t="s">
        <v>30</v>
      </c>
      <c r="O328" s="109" t="s">
        <v>445</v>
      </c>
      <c r="P328" s="109" t="s">
        <v>827</v>
      </c>
      <c r="Q328" s="109" t="s">
        <v>1875</v>
      </c>
      <c r="R328" s="109" t="s">
        <v>57</v>
      </c>
      <c r="S328" s="83" t="str">
        <f t="shared" si="38"/>
        <v>B1996H</v>
      </c>
      <c r="T328" s="83" t="str">
        <f t="shared" si="35"/>
        <v>GEORGIA</v>
      </c>
      <c r="Y328" s="60">
        <f t="shared" si="39"/>
        <v>31</v>
      </c>
      <c r="Z328" s="49">
        <f t="shared" si="40"/>
        <v>309</v>
      </c>
      <c r="AA328" s="60">
        <f t="shared" si="41"/>
        <v>31309</v>
      </c>
    </row>
    <row r="329" spans="1:27">
      <c r="A329" s="83" t="str">
        <f t="shared" si="36"/>
        <v>B434Hcharcoal</v>
      </c>
      <c r="B329" s="83" t="str">
        <f t="shared" si="37"/>
        <v>31-032-08</v>
      </c>
      <c r="C329" s="109" t="s">
        <v>1905</v>
      </c>
      <c r="D329" s="109" t="s">
        <v>1906</v>
      </c>
      <c r="E329" s="109" t="s">
        <v>793</v>
      </c>
      <c r="F329" s="110">
        <v>0</v>
      </c>
      <c r="G329" s="109" t="s">
        <v>1174</v>
      </c>
      <c r="H329" s="109" t="s">
        <v>83</v>
      </c>
      <c r="I329" s="109" t="s">
        <v>1154</v>
      </c>
      <c r="J329" s="109" t="s">
        <v>357</v>
      </c>
      <c r="K329" s="109" t="s">
        <v>387</v>
      </c>
      <c r="L329" s="109" t="s">
        <v>523</v>
      </c>
      <c r="M329" s="109" t="s">
        <v>388</v>
      </c>
      <c r="O329" s="109" t="s">
        <v>386</v>
      </c>
      <c r="P329" s="109" t="s">
        <v>827</v>
      </c>
      <c r="Q329" s="109" t="s">
        <v>836</v>
      </c>
      <c r="R329" s="109" t="s">
        <v>83</v>
      </c>
      <c r="S329" s="83" t="str">
        <f t="shared" si="38"/>
        <v>B434H</v>
      </c>
      <c r="T329" s="83" t="str">
        <f t="shared" si="35"/>
        <v>WILLOW</v>
      </c>
      <c r="Y329" s="60">
        <f t="shared" si="39"/>
        <v>31</v>
      </c>
      <c r="Z329" s="49">
        <f t="shared" si="40"/>
        <v>32</v>
      </c>
      <c r="AA329" s="60">
        <f t="shared" si="41"/>
        <v>31032</v>
      </c>
    </row>
    <row r="330" spans="1:27">
      <c r="A330" s="83" t="str">
        <f t="shared" si="36"/>
        <v>B1134Hnatural multi</v>
      </c>
      <c r="B330" s="83" t="str">
        <f t="shared" si="37"/>
        <v>31-064-42</v>
      </c>
      <c r="C330" s="109" t="s">
        <v>1907</v>
      </c>
      <c r="D330" s="109" t="s">
        <v>1908</v>
      </c>
      <c r="E330" s="109" t="s">
        <v>793</v>
      </c>
      <c r="F330" s="110">
        <v>0</v>
      </c>
      <c r="G330" s="109" t="s">
        <v>944</v>
      </c>
      <c r="H330" s="109" t="s">
        <v>221</v>
      </c>
      <c r="I330" s="109" t="s">
        <v>945</v>
      </c>
      <c r="J330" s="109" t="s">
        <v>323</v>
      </c>
      <c r="K330" s="109" t="s">
        <v>387</v>
      </c>
      <c r="L330" s="109" t="s">
        <v>523</v>
      </c>
      <c r="M330" s="109" t="s">
        <v>384</v>
      </c>
      <c r="N330" s="109" t="s">
        <v>36</v>
      </c>
      <c r="O330" s="109" t="s">
        <v>386</v>
      </c>
      <c r="P330" s="109" t="s">
        <v>827</v>
      </c>
      <c r="Q330" s="109" t="s">
        <v>846</v>
      </c>
      <c r="R330" s="109" t="s">
        <v>63</v>
      </c>
      <c r="S330" s="83" t="str">
        <f t="shared" si="38"/>
        <v>B1134H</v>
      </c>
      <c r="T330" s="83" t="str">
        <f t="shared" si="35"/>
        <v>RAMONA</v>
      </c>
      <c r="Y330" s="60">
        <f t="shared" si="39"/>
        <v>31</v>
      </c>
      <c r="Z330" s="49">
        <f t="shared" si="40"/>
        <v>64</v>
      </c>
      <c r="AA330" s="60">
        <f t="shared" si="41"/>
        <v>31064</v>
      </c>
    </row>
    <row r="331" spans="1:27">
      <c r="A331" s="83" t="str">
        <f t="shared" si="36"/>
        <v>B176plum mix</v>
      </c>
      <c r="B331" s="83" t="str">
        <f t="shared" si="37"/>
        <v>31-084-61</v>
      </c>
      <c r="C331" s="109" t="s">
        <v>1909</v>
      </c>
      <c r="D331" s="109" t="s">
        <v>1910</v>
      </c>
      <c r="E331" s="109" t="s">
        <v>793</v>
      </c>
      <c r="F331" s="110">
        <v>0</v>
      </c>
      <c r="G331" s="109" t="s">
        <v>1007</v>
      </c>
      <c r="H331" s="109" t="s">
        <v>723</v>
      </c>
      <c r="I331" s="109" t="s">
        <v>966</v>
      </c>
      <c r="J331" s="109" t="s">
        <v>357</v>
      </c>
      <c r="K331" s="109" t="s">
        <v>387</v>
      </c>
      <c r="L331" s="109" t="s">
        <v>523</v>
      </c>
      <c r="M331" s="109" t="s">
        <v>384</v>
      </c>
      <c r="N331" s="109" t="s">
        <v>36</v>
      </c>
      <c r="O331" s="109" t="s">
        <v>386</v>
      </c>
      <c r="P331" s="109" t="s">
        <v>827</v>
      </c>
      <c r="Q331" s="109" t="s">
        <v>1804</v>
      </c>
      <c r="R331" s="109" t="s">
        <v>286</v>
      </c>
      <c r="S331" s="83" t="str">
        <f t="shared" si="38"/>
        <v>B176</v>
      </c>
      <c r="T331" s="83" t="str">
        <f t="shared" si="35"/>
        <v>GOSSAMER</v>
      </c>
      <c r="Y331" s="60">
        <f t="shared" si="39"/>
        <v>31</v>
      </c>
      <c r="Z331" s="49">
        <f t="shared" si="40"/>
        <v>84</v>
      </c>
      <c r="AA331" s="60">
        <f t="shared" si="41"/>
        <v>31084</v>
      </c>
    </row>
    <row r="332" spans="1:27">
      <c r="A332" s="83" t="str">
        <f t="shared" si="36"/>
        <v>B1910Hblack</v>
      </c>
      <c r="B332" s="83" t="str">
        <f t="shared" si="37"/>
        <v>31-243-09</v>
      </c>
      <c r="C332" s="109" t="s">
        <v>1911</v>
      </c>
      <c r="D332" s="109" t="s">
        <v>1912</v>
      </c>
      <c r="E332" s="109" t="s">
        <v>793</v>
      </c>
      <c r="F332" s="110">
        <v>0</v>
      </c>
      <c r="G332" s="109" t="s">
        <v>1404</v>
      </c>
      <c r="H332" s="109" t="s">
        <v>53</v>
      </c>
      <c r="I332" s="109" t="s">
        <v>792</v>
      </c>
      <c r="J332" s="109" t="s">
        <v>321</v>
      </c>
      <c r="K332" s="109" t="s">
        <v>387</v>
      </c>
      <c r="L332" s="109" t="s">
        <v>523</v>
      </c>
      <c r="M332" s="109" t="s">
        <v>384</v>
      </c>
      <c r="N332" s="109" t="s">
        <v>35</v>
      </c>
      <c r="O332" s="109" t="s">
        <v>386</v>
      </c>
      <c r="P332" s="109" t="s">
        <v>827</v>
      </c>
      <c r="Q332" s="109" t="s">
        <v>831</v>
      </c>
      <c r="R332" s="109" t="s">
        <v>53</v>
      </c>
      <c r="S332" s="83" t="str">
        <f t="shared" si="38"/>
        <v>B1910H</v>
      </c>
      <c r="T332" s="83" t="str">
        <f t="shared" si="35"/>
        <v>RIVERIA</v>
      </c>
      <c r="Y332" s="60">
        <f t="shared" si="39"/>
        <v>31</v>
      </c>
      <c r="Z332" s="49">
        <f t="shared" si="40"/>
        <v>243</v>
      </c>
      <c r="AA332" s="60">
        <f t="shared" si="41"/>
        <v>31243</v>
      </c>
    </row>
    <row r="333" spans="1:27">
      <c r="A333" s="83" t="str">
        <f t="shared" si="36"/>
        <v>B1986Hnatural multi</v>
      </c>
      <c r="B333" s="83" t="str">
        <f t="shared" si="37"/>
        <v>31-300-02</v>
      </c>
      <c r="C333" s="109" t="s">
        <v>1913</v>
      </c>
      <c r="D333" s="109" t="s">
        <v>1914</v>
      </c>
      <c r="E333" s="109" t="s">
        <v>793</v>
      </c>
      <c r="F333" s="110">
        <v>0</v>
      </c>
      <c r="G333" s="109" t="s">
        <v>1866</v>
      </c>
      <c r="H333" s="109" t="s">
        <v>63</v>
      </c>
      <c r="I333" s="109" t="s">
        <v>1255</v>
      </c>
      <c r="J333" s="109" t="s">
        <v>323</v>
      </c>
      <c r="K333" s="109" t="s">
        <v>387</v>
      </c>
      <c r="L333" s="109" t="s">
        <v>523</v>
      </c>
      <c r="M333" s="109" t="s">
        <v>384</v>
      </c>
      <c r="N333" s="109" t="s">
        <v>36</v>
      </c>
      <c r="O333" s="109" t="s">
        <v>386</v>
      </c>
      <c r="P333" s="109" t="s">
        <v>827</v>
      </c>
      <c r="Q333" s="109" t="s">
        <v>846</v>
      </c>
      <c r="R333" s="109" t="s">
        <v>63</v>
      </c>
      <c r="S333" s="83" t="str">
        <f t="shared" si="38"/>
        <v>B1986H</v>
      </c>
      <c r="T333" s="83" t="str">
        <f t="shared" si="35"/>
        <v>GENEVIEVE</v>
      </c>
      <c r="Y333" s="60">
        <f t="shared" si="39"/>
        <v>31</v>
      </c>
      <c r="Z333" s="49">
        <f t="shared" si="40"/>
        <v>300</v>
      </c>
      <c r="AA333" s="60">
        <f t="shared" si="41"/>
        <v>31300</v>
      </c>
    </row>
    <row r="334" spans="1:27">
      <c r="A334" s="83" t="str">
        <f t="shared" si="36"/>
        <v>B2007Hoffwhite</v>
      </c>
      <c r="B334" s="83" t="str">
        <f t="shared" si="37"/>
        <v>31-320-17</v>
      </c>
      <c r="C334" s="109" t="s">
        <v>1915</v>
      </c>
      <c r="D334" s="109" t="s">
        <v>1916</v>
      </c>
      <c r="E334" s="109" t="s">
        <v>791</v>
      </c>
      <c r="F334" s="110">
        <v>58</v>
      </c>
      <c r="G334" s="109" t="s">
        <v>1917</v>
      </c>
      <c r="H334" s="109" t="s">
        <v>57</v>
      </c>
      <c r="I334" s="109" t="s">
        <v>1918</v>
      </c>
      <c r="J334" s="109" t="s">
        <v>327</v>
      </c>
      <c r="K334" s="109" t="s">
        <v>387</v>
      </c>
      <c r="L334" s="109" t="s">
        <v>523</v>
      </c>
      <c r="M334" s="109" t="s">
        <v>384</v>
      </c>
      <c r="N334" s="109" t="s">
        <v>36</v>
      </c>
      <c r="O334" s="109" t="s">
        <v>386</v>
      </c>
      <c r="P334" s="109" t="s">
        <v>827</v>
      </c>
      <c r="Q334" s="109" t="s">
        <v>1919</v>
      </c>
      <c r="R334" s="109" t="s">
        <v>57</v>
      </c>
      <c r="S334" s="83" t="str">
        <f t="shared" si="38"/>
        <v>B2007H</v>
      </c>
      <c r="T334" s="83" t="str">
        <f t="shared" si="35"/>
        <v>DINA</v>
      </c>
      <c r="Y334" s="60">
        <f t="shared" si="39"/>
        <v>31</v>
      </c>
      <c r="Z334" s="49">
        <f t="shared" si="40"/>
        <v>320</v>
      </c>
      <c r="AA334" s="60">
        <f t="shared" si="41"/>
        <v>31320</v>
      </c>
    </row>
    <row r="335" spans="1:27">
      <c r="A335" s="83" t="str">
        <f t="shared" si="36"/>
        <v>B1999Hcharcoal</v>
      </c>
      <c r="B335" s="83" t="str">
        <f t="shared" si="37"/>
        <v>31-313-08</v>
      </c>
      <c r="C335" s="109" t="s">
        <v>1920</v>
      </c>
      <c r="D335" s="109" t="s">
        <v>1921</v>
      </c>
      <c r="E335" s="109" t="s">
        <v>793</v>
      </c>
      <c r="F335" s="110">
        <v>0</v>
      </c>
      <c r="G335" s="109" t="s">
        <v>1922</v>
      </c>
      <c r="H335" s="109" t="s">
        <v>83</v>
      </c>
      <c r="I335" s="109" t="s">
        <v>1644</v>
      </c>
      <c r="J335" s="109" t="s">
        <v>351</v>
      </c>
      <c r="K335" s="109" t="s">
        <v>387</v>
      </c>
      <c r="L335" s="109" t="s">
        <v>523</v>
      </c>
      <c r="M335" s="109" t="s">
        <v>384</v>
      </c>
      <c r="N335" s="109" t="s">
        <v>36</v>
      </c>
      <c r="O335" s="109" t="s">
        <v>386</v>
      </c>
      <c r="P335" s="109" t="s">
        <v>827</v>
      </c>
      <c r="Q335" s="109" t="s">
        <v>836</v>
      </c>
      <c r="R335" s="109" t="s">
        <v>83</v>
      </c>
      <c r="S335" s="83" t="str">
        <f t="shared" si="38"/>
        <v>B1999H</v>
      </c>
      <c r="T335" s="83" t="str">
        <f t="shared" si="35"/>
        <v>BESSIE</v>
      </c>
      <c r="Y335" s="60">
        <f t="shared" si="39"/>
        <v>31</v>
      </c>
      <c r="Z335" s="49">
        <f t="shared" si="40"/>
        <v>313</v>
      </c>
      <c r="AA335" s="60">
        <f t="shared" si="41"/>
        <v>31313</v>
      </c>
    </row>
    <row r="336" spans="1:27">
      <c r="A336" s="83" t="str">
        <f t="shared" si="36"/>
        <v>B2004Hnavy</v>
      </c>
      <c r="B336" s="83" t="str">
        <f t="shared" si="37"/>
        <v>31-317-16</v>
      </c>
      <c r="C336" s="109" t="s">
        <v>1923</v>
      </c>
      <c r="D336" s="109" t="s">
        <v>1924</v>
      </c>
      <c r="E336" s="109" t="s">
        <v>793</v>
      </c>
      <c r="F336" s="110">
        <v>0</v>
      </c>
      <c r="G336" s="109" t="s">
        <v>1925</v>
      </c>
      <c r="H336" s="109" t="s">
        <v>55</v>
      </c>
      <c r="I336" s="109" t="s">
        <v>1926</v>
      </c>
      <c r="J336" s="109" t="s">
        <v>325</v>
      </c>
      <c r="K336" s="109" t="s">
        <v>387</v>
      </c>
      <c r="L336" s="109" t="s">
        <v>523</v>
      </c>
      <c r="M336" s="109" t="s">
        <v>384</v>
      </c>
      <c r="O336" s="109" t="s">
        <v>386</v>
      </c>
      <c r="P336" s="109" t="s">
        <v>827</v>
      </c>
      <c r="Q336" s="109" t="s">
        <v>829</v>
      </c>
      <c r="R336" s="109" t="s">
        <v>71</v>
      </c>
      <c r="S336" s="83" t="str">
        <f t="shared" si="38"/>
        <v>B2004H</v>
      </c>
      <c r="T336" s="83" t="str">
        <f t="shared" si="35"/>
        <v>FLOSSIE</v>
      </c>
      <c r="Y336" s="60">
        <f t="shared" si="39"/>
        <v>31</v>
      </c>
      <c r="Z336" s="49">
        <f t="shared" si="40"/>
        <v>317</v>
      </c>
      <c r="AA336" s="60">
        <f t="shared" si="41"/>
        <v>31317</v>
      </c>
    </row>
    <row r="337" spans="1:27">
      <c r="A337" s="83" t="str">
        <f t="shared" si="36"/>
        <v>B2005Hginger snap</v>
      </c>
      <c r="B337" s="83" t="str">
        <f t="shared" si="37"/>
        <v>31-318-13</v>
      </c>
      <c r="C337" s="109" t="s">
        <v>1927</v>
      </c>
      <c r="D337" s="109" t="s">
        <v>1928</v>
      </c>
      <c r="E337" s="109" t="s">
        <v>793</v>
      </c>
      <c r="F337" s="110">
        <v>0</v>
      </c>
      <c r="G337" s="109" t="s">
        <v>1929</v>
      </c>
      <c r="H337" s="109" t="s">
        <v>217</v>
      </c>
      <c r="I337" s="109" t="s">
        <v>1930</v>
      </c>
      <c r="J337" s="109" t="s">
        <v>325</v>
      </c>
      <c r="K337" s="109" t="s">
        <v>387</v>
      </c>
      <c r="L337" s="109" t="s">
        <v>523</v>
      </c>
      <c r="M337" s="109" t="s">
        <v>384</v>
      </c>
      <c r="N337" s="109" t="s">
        <v>43</v>
      </c>
      <c r="O337" s="109" t="s">
        <v>386</v>
      </c>
      <c r="P337" s="109" t="s">
        <v>827</v>
      </c>
      <c r="Q337" s="109" t="s">
        <v>1931</v>
      </c>
      <c r="R337" s="109" t="s">
        <v>199</v>
      </c>
      <c r="S337" s="83" t="str">
        <f t="shared" si="38"/>
        <v>B2005H</v>
      </c>
      <c r="T337" s="83" t="str">
        <f t="shared" si="35"/>
        <v>ANIDA</v>
      </c>
      <c r="Y337" s="60">
        <f t="shared" si="39"/>
        <v>31</v>
      </c>
      <c r="Z337" s="49">
        <f t="shared" si="40"/>
        <v>318</v>
      </c>
      <c r="AA337" s="60">
        <f t="shared" si="41"/>
        <v>31318</v>
      </c>
    </row>
    <row r="338" spans="1:27">
      <c r="A338" s="83" t="str">
        <f t="shared" si="36"/>
        <v>B2006Hdeep green</v>
      </c>
      <c r="B338" s="83" t="str">
        <f t="shared" si="37"/>
        <v>31-319-11</v>
      </c>
      <c r="C338" s="109" t="s">
        <v>1932</v>
      </c>
      <c r="D338" s="109" t="s">
        <v>1933</v>
      </c>
      <c r="E338" s="109" t="s">
        <v>793</v>
      </c>
      <c r="F338" s="110">
        <v>0</v>
      </c>
      <c r="G338" s="109" t="s">
        <v>1934</v>
      </c>
      <c r="H338" s="109" t="s">
        <v>60</v>
      </c>
      <c r="I338" s="109" t="s">
        <v>1930</v>
      </c>
      <c r="J338" s="109" t="s">
        <v>325</v>
      </c>
      <c r="K338" s="109" t="s">
        <v>387</v>
      </c>
      <c r="L338" s="109" t="s">
        <v>523</v>
      </c>
      <c r="M338" s="109" t="s">
        <v>384</v>
      </c>
      <c r="N338" s="109" t="s">
        <v>43</v>
      </c>
      <c r="O338" s="109" t="s">
        <v>386</v>
      </c>
      <c r="P338" s="109" t="s">
        <v>827</v>
      </c>
      <c r="Q338" s="109" t="s">
        <v>1935</v>
      </c>
      <c r="R338" s="109" t="s">
        <v>60</v>
      </c>
      <c r="S338" s="83" t="str">
        <f t="shared" si="38"/>
        <v>B2006H</v>
      </c>
      <c r="T338" s="83" t="str">
        <f t="shared" si="35"/>
        <v>ZARINA</v>
      </c>
      <c r="Y338" s="60">
        <f t="shared" si="39"/>
        <v>31</v>
      </c>
      <c r="Z338" s="49">
        <f t="shared" si="40"/>
        <v>319</v>
      </c>
      <c r="AA338" s="60">
        <f t="shared" si="41"/>
        <v>31319</v>
      </c>
    </row>
    <row r="339" spans="1:27">
      <c r="A339" s="83" t="str">
        <f t="shared" si="36"/>
        <v>B1646Hlight camel</v>
      </c>
      <c r="B339" s="83" t="str">
        <f t="shared" si="37"/>
        <v>31-120-15</v>
      </c>
      <c r="C339" s="109" t="s">
        <v>1936</v>
      </c>
      <c r="D339" s="109" t="s">
        <v>1937</v>
      </c>
      <c r="E339" s="109" t="s">
        <v>793</v>
      </c>
      <c r="F339" s="110">
        <v>0</v>
      </c>
      <c r="G339" s="109" t="s">
        <v>1525</v>
      </c>
      <c r="H339" s="109" t="s">
        <v>226</v>
      </c>
      <c r="I339" s="109" t="s">
        <v>785</v>
      </c>
      <c r="J339" s="109" t="s">
        <v>330</v>
      </c>
      <c r="K339" s="109" t="s">
        <v>387</v>
      </c>
      <c r="L339" s="109" t="s">
        <v>523</v>
      </c>
      <c r="M339" s="109" t="s">
        <v>388</v>
      </c>
      <c r="N339" s="109" t="s">
        <v>30</v>
      </c>
      <c r="O339" s="109" t="s">
        <v>386</v>
      </c>
      <c r="P339" s="109" t="s">
        <v>827</v>
      </c>
      <c r="Q339" s="109" t="s">
        <v>1539</v>
      </c>
      <c r="R339" s="109" t="s">
        <v>86</v>
      </c>
      <c r="S339" s="83" t="str">
        <f t="shared" si="38"/>
        <v>B1646H</v>
      </c>
      <c r="T339" s="83" t="str">
        <f t="shared" si="35"/>
        <v>HAYDEN</v>
      </c>
      <c r="Y339" s="60">
        <f t="shared" si="39"/>
        <v>31</v>
      </c>
      <c r="Z339" s="49">
        <f t="shared" si="40"/>
        <v>120</v>
      </c>
      <c r="AA339" s="60">
        <f t="shared" si="41"/>
        <v>31120</v>
      </c>
    </row>
    <row r="340" spans="1:27">
      <c r="A340" s="83" t="str">
        <f t="shared" si="36"/>
        <v>B166celadon</v>
      </c>
      <c r="B340" s="83" t="str">
        <f t="shared" si="37"/>
        <v>31-083-83</v>
      </c>
      <c r="C340" s="109" t="s">
        <v>1938</v>
      </c>
      <c r="D340" s="109" t="s">
        <v>1939</v>
      </c>
      <c r="E340" s="109" t="s">
        <v>793</v>
      </c>
      <c r="F340" s="110">
        <v>0</v>
      </c>
      <c r="G340" s="109" t="s">
        <v>965</v>
      </c>
      <c r="H340" s="109" t="s">
        <v>224</v>
      </c>
      <c r="I340" s="109" t="s">
        <v>889</v>
      </c>
      <c r="J340" s="109" t="s">
        <v>323</v>
      </c>
      <c r="K340" s="109" t="s">
        <v>387</v>
      </c>
      <c r="L340" s="109" t="s">
        <v>523</v>
      </c>
      <c r="M340" s="109" t="s">
        <v>384</v>
      </c>
      <c r="N340" s="109" t="s">
        <v>36</v>
      </c>
      <c r="O340" s="109" t="s">
        <v>386</v>
      </c>
      <c r="P340" s="109" t="s">
        <v>827</v>
      </c>
      <c r="Q340" s="109" t="s">
        <v>1940</v>
      </c>
      <c r="R340" s="109" t="s">
        <v>60</v>
      </c>
      <c r="S340" s="83" t="str">
        <f t="shared" si="38"/>
        <v>B166</v>
      </c>
      <c r="T340" s="83" t="str">
        <f t="shared" si="35"/>
        <v>CLASSIC ROLL UP</v>
      </c>
      <c r="Y340" s="60">
        <f t="shared" si="39"/>
        <v>31</v>
      </c>
      <c r="Z340" s="49">
        <f t="shared" si="40"/>
        <v>83</v>
      </c>
      <c r="AA340" s="60">
        <f t="shared" si="41"/>
        <v>31083</v>
      </c>
    </row>
    <row r="341" spans="1:27">
      <c r="A341" s="83" t="str">
        <f t="shared" si="36"/>
        <v>B176violet chalk</v>
      </c>
      <c r="B341" s="83" t="str">
        <f t="shared" si="37"/>
        <v>31-084-41</v>
      </c>
      <c r="C341" s="109" t="s">
        <v>1941</v>
      </c>
      <c r="D341" s="109" t="s">
        <v>1942</v>
      </c>
      <c r="E341" s="109" t="s">
        <v>793</v>
      </c>
      <c r="F341" s="110">
        <v>0</v>
      </c>
      <c r="G341" s="109" t="s">
        <v>1007</v>
      </c>
      <c r="H341" s="109" t="s">
        <v>286</v>
      </c>
      <c r="I341" s="109" t="s">
        <v>966</v>
      </c>
      <c r="J341" s="109" t="s">
        <v>330</v>
      </c>
      <c r="K341" s="109" t="s">
        <v>387</v>
      </c>
      <c r="L341" s="109" t="s">
        <v>523</v>
      </c>
      <c r="M341" s="109" t="s">
        <v>384</v>
      </c>
      <c r="N341" s="109" t="s">
        <v>36</v>
      </c>
      <c r="O341" s="109" t="s">
        <v>386</v>
      </c>
      <c r="P341" s="109" t="s">
        <v>827</v>
      </c>
      <c r="Q341" s="109" t="s">
        <v>1943</v>
      </c>
      <c r="R341" s="109" t="s">
        <v>286</v>
      </c>
      <c r="S341" s="83" t="str">
        <f t="shared" si="38"/>
        <v>B176</v>
      </c>
      <c r="T341" s="83" t="str">
        <f t="shared" si="35"/>
        <v>GOSSAMER</v>
      </c>
      <c r="Y341" s="60">
        <f t="shared" si="39"/>
        <v>31</v>
      </c>
      <c r="Z341" s="49">
        <f t="shared" si="40"/>
        <v>84</v>
      </c>
      <c r="AA341" s="60">
        <f t="shared" si="41"/>
        <v>31084</v>
      </c>
    </row>
    <row r="342" spans="1:27">
      <c r="A342" s="83" t="str">
        <f t="shared" si="36"/>
        <v>B1899Hdaylight blue</v>
      </c>
      <c r="B342" s="83" t="str">
        <f t="shared" si="37"/>
        <v>31-237-06</v>
      </c>
      <c r="C342" s="109" t="s">
        <v>1944</v>
      </c>
      <c r="D342" s="109" t="s">
        <v>1945</v>
      </c>
      <c r="E342" s="109" t="s">
        <v>793</v>
      </c>
      <c r="F342" s="110">
        <v>0</v>
      </c>
      <c r="G342" s="109" t="s">
        <v>1386</v>
      </c>
      <c r="H342" s="109" t="s">
        <v>71</v>
      </c>
      <c r="I342" s="109" t="s">
        <v>966</v>
      </c>
      <c r="J342" s="109" t="s">
        <v>357</v>
      </c>
      <c r="K342" s="109" t="s">
        <v>387</v>
      </c>
      <c r="L342" s="109" t="s">
        <v>523</v>
      </c>
      <c r="M342" s="109" t="s">
        <v>384</v>
      </c>
      <c r="N342" s="109" t="s">
        <v>36</v>
      </c>
      <c r="O342" s="109" t="s">
        <v>386</v>
      </c>
      <c r="P342" s="109" t="s">
        <v>827</v>
      </c>
      <c r="Q342" s="109" t="s">
        <v>1946</v>
      </c>
      <c r="R342" s="109" t="s">
        <v>71</v>
      </c>
      <c r="S342" s="83" t="str">
        <f t="shared" si="38"/>
        <v>B1899H</v>
      </c>
      <c r="T342" s="83" t="str">
        <f t="shared" si="35"/>
        <v>GOSSAMER MINI</v>
      </c>
      <c r="Y342" s="60">
        <f t="shared" si="39"/>
        <v>31</v>
      </c>
      <c r="Z342" s="49">
        <f t="shared" si="40"/>
        <v>237</v>
      </c>
      <c r="AA342" s="60">
        <f t="shared" si="41"/>
        <v>31237</v>
      </c>
    </row>
    <row r="343" spans="1:27">
      <c r="A343" s="83" t="str">
        <f t="shared" si="36"/>
        <v>B1956Hblack</v>
      </c>
      <c r="B343" s="83" t="str">
        <f t="shared" si="37"/>
        <v>31-310-09</v>
      </c>
      <c r="C343" s="109" t="s">
        <v>1947</v>
      </c>
      <c r="D343" s="109" t="s">
        <v>1948</v>
      </c>
      <c r="E343" s="109" t="s">
        <v>798</v>
      </c>
      <c r="F343" s="110">
        <v>56</v>
      </c>
      <c r="G343" s="109" t="s">
        <v>1949</v>
      </c>
      <c r="H343" s="109" t="s">
        <v>53</v>
      </c>
      <c r="I343" s="109" t="s">
        <v>785</v>
      </c>
      <c r="J343" s="109" t="s">
        <v>330</v>
      </c>
      <c r="K343" s="109" t="s">
        <v>387</v>
      </c>
      <c r="L343" s="109" t="s">
        <v>523</v>
      </c>
      <c r="M343" s="109" t="s">
        <v>388</v>
      </c>
      <c r="N343" s="109" t="s">
        <v>30</v>
      </c>
      <c r="O343" s="109" t="s">
        <v>445</v>
      </c>
      <c r="P343" s="109" t="s">
        <v>827</v>
      </c>
      <c r="Q343" s="109" t="s">
        <v>831</v>
      </c>
      <c r="R343" s="109" t="s">
        <v>53</v>
      </c>
      <c r="S343" s="83" t="str">
        <f t="shared" si="38"/>
        <v>B1956H</v>
      </c>
      <c r="T343" s="83" t="str">
        <f t="shared" si="35"/>
        <v>MICHELE</v>
      </c>
      <c r="Y343" s="60">
        <f t="shared" si="39"/>
        <v>31</v>
      </c>
      <c r="Z343" s="49">
        <f t="shared" si="40"/>
        <v>310</v>
      </c>
      <c r="AA343" s="60">
        <f t="shared" si="41"/>
        <v>31310</v>
      </c>
    </row>
    <row r="344" spans="1:27">
      <c r="A344" s="83" t="str">
        <f t="shared" si="36"/>
        <v>B1956Hblack</v>
      </c>
      <c r="B344" s="83" t="str">
        <f t="shared" si="37"/>
        <v>31-310-09</v>
      </c>
      <c r="C344" s="109" t="s">
        <v>1950</v>
      </c>
      <c r="D344" s="109" t="s">
        <v>1948</v>
      </c>
      <c r="E344" s="109" t="s">
        <v>791</v>
      </c>
      <c r="F344" s="110">
        <v>58</v>
      </c>
      <c r="G344" s="109" t="s">
        <v>1949</v>
      </c>
      <c r="H344" s="109" t="s">
        <v>53</v>
      </c>
      <c r="I344" s="109" t="s">
        <v>785</v>
      </c>
      <c r="J344" s="109" t="s">
        <v>330</v>
      </c>
      <c r="K344" s="109" t="s">
        <v>387</v>
      </c>
      <c r="L344" s="109" t="s">
        <v>523</v>
      </c>
      <c r="M344" s="109" t="s">
        <v>388</v>
      </c>
      <c r="N344" s="109" t="s">
        <v>30</v>
      </c>
      <c r="O344" s="109" t="s">
        <v>445</v>
      </c>
      <c r="P344" s="109" t="s">
        <v>827</v>
      </c>
      <c r="Q344" s="109" t="s">
        <v>831</v>
      </c>
      <c r="R344" s="109" t="s">
        <v>53</v>
      </c>
      <c r="S344" s="83" t="str">
        <f t="shared" si="38"/>
        <v>B1956H</v>
      </c>
      <c r="T344" s="83" t="str">
        <f t="shared" si="35"/>
        <v>MICHELE</v>
      </c>
      <c r="Y344" s="60">
        <f t="shared" si="39"/>
        <v>31</v>
      </c>
      <c r="Z344" s="49">
        <f t="shared" si="40"/>
        <v>310</v>
      </c>
      <c r="AA344" s="60">
        <f t="shared" si="41"/>
        <v>31310</v>
      </c>
    </row>
    <row r="345" spans="1:27">
      <c r="A345" s="83" t="str">
        <f t="shared" si="36"/>
        <v>B1956Hitalian plum</v>
      </c>
      <c r="B345" s="83" t="str">
        <f t="shared" si="37"/>
        <v>31-310-41</v>
      </c>
      <c r="C345" s="109" t="s">
        <v>1951</v>
      </c>
      <c r="D345" s="109" t="s">
        <v>1952</v>
      </c>
      <c r="E345" s="109" t="s">
        <v>798</v>
      </c>
      <c r="F345" s="110">
        <v>56</v>
      </c>
      <c r="G345" s="109" t="s">
        <v>1949</v>
      </c>
      <c r="H345" s="109" t="s">
        <v>723</v>
      </c>
      <c r="I345" s="109" t="s">
        <v>785</v>
      </c>
      <c r="J345" s="109" t="s">
        <v>330</v>
      </c>
      <c r="K345" s="109" t="s">
        <v>387</v>
      </c>
      <c r="L345" s="109" t="s">
        <v>523</v>
      </c>
      <c r="M345" s="109" t="s">
        <v>388</v>
      </c>
      <c r="N345" s="109" t="s">
        <v>30</v>
      </c>
      <c r="O345" s="109" t="s">
        <v>445</v>
      </c>
      <c r="P345" s="109" t="s">
        <v>827</v>
      </c>
      <c r="Q345" s="109" t="s">
        <v>1737</v>
      </c>
      <c r="R345" s="109" t="s">
        <v>286</v>
      </c>
      <c r="S345" s="83" t="str">
        <f t="shared" si="38"/>
        <v>B1956H</v>
      </c>
      <c r="T345" s="83" t="str">
        <f t="shared" si="35"/>
        <v>MICHELE</v>
      </c>
      <c r="Y345" s="60">
        <f t="shared" si="39"/>
        <v>31</v>
      </c>
      <c r="Z345" s="49">
        <f t="shared" si="40"/>
        <v>310</v>
      </c>
      <c r="AA345" s="60">
        <f t="shared" si="41"/>
        <v>31310</v>
      </c>
    </row>
    <row r="346" spans="1:27">
      <c r="A346" s="83" t="str">
        <f t="shared" si="36"/>
        <v>B1956Hitalian plum</v>
      </c>
      <c r="B346" s="83" t="str">
        <f t="shared" si="37"/>
        <v>31-310-41</v>
      </c>
      <c r="C346" s="109" t="s">
        <v>1953</v>
      </c>
      <c r="D346" s="109" t="s">
        <v>1952</v>
      </c>
      <c r="E346" s="109" t="s">
        <v>791</v>
      </c>
      <c r="F346" s="110">
        <v>58</v>
      </c>
      <c r="G346" s="109" t="s">
        <v>1949</v>
      </c>
      <c r="H346" s="109" t="s">
        <v>723</v>
      </c>
      <c r="I346" s="109" t="s">
        <v>785</v>
      </c>
      <c r="J346" s="109" t="s">
        <v>330</v>
      </c>
      <c r="K346" s="109" t="s">
        <v>387</v>
      </c>
      <c r="L346" s="109" t="s">
        <v>523</v>
      </c>
      <c r="M346" s="109" t="s">
        <v>388</v>
      </c>
      <c r="N346" s="109" t="s">
        <v>30</v>
      </c>
      <c r="O346" s="109" t="s">
        <v>445</v>
      </c>
      <c r="P346" s="109" t="s">
        <v>827</v>
      </c>
      <c r="Q346" s="109" t="s">
        <v>1737</v>
      </c>
      <c r="R346" s="109" t="s">
        <v>286</v>
      </c>
      <c r="S346" s="83" t="str">
        <f t="shared" si="38"/>
        <v>B1956H</v>
      </c>
      <c r="T346" s="83" t="str">
        <f t="shared" si="35"/>
        <v>MICHELE</v>
      </c>
      <c r="Y346" s="60">
        <f t="shared" si="39"/>
        <v>31</v>
      </c>
      <c r="Z346" s="49">
        <f t="shared" si="40"/>
        <v>310</v>
      </c>
      <c r="AA346" s="60">
        <f t="shared" si="41"/>
        <v>31310</v>
      </c>
    </row>
    <row r="347" spans="1:27">
      <c r="A347" s="83" t="str">
        <f t="shared" si="36"/>
        <v>B1956Hredwood</v>
      </c>
      <c r="B347" s="83" t="str">
        <f t="shared" si="37"/>
        <v>31-310-14</v>
      </c>
      <c r="C347" s="109" t="s">
        <v>1954</v>
      </c>
      <c r="D347" s="109" t="s">
        <v>1955</v>
      </c>
      <c r="E347" s="109" t="s">
        <v>798</v>
      </c>
      <c r="F347" s="110">
        <v>56</v>
      </c>
      <c r="G347" s="109" t="s">
        <v>1949</v>
      </c>
      <c r="H347" s="109" t="s">
        <v>86</v>
      </c>
      <c r="I347" s="109" t="s">
        <v>785</v>
      </c>
      <c r="J347" s="109" t="s">
        <v>330</v>
      </c>
      <c r="K347" s="109" t="s">
        <v>387</v>
      </c>
      <c r="L347" s="109" t="s">
        <v>523</v>
      </c>
      <c r="M347" s="109" t="s">
        <v>388</v>
      </c>
      <c r="N347" s="109" t="s">
        <v>30</v>
      </c>
      <c r="O347" s="109" t="s">
        <v>445</v>
      </c>
      <c r="P347" s="109" t="s">
        <v>827</v>
      </c>
      <c r="Q347" s="109" t="s">
        <v>1701</v>
      </c>
      <c r="R347" s="109" t="s">
        <v>86</v>
      </c>
      <c r="S347" s="83" t="str">
        <f t="shared" si="38"/>
        <v>B1956H</v>
      </c>
      <c r="T347" s="83" t="str">
        <f t="shared" si="35"/>
        <v>MICHELE</v>
      </c>
      <c r="Y347" s="60">
        <f t="shared" si="39"/>
        <v>31</v>
      </c>
      <c r="Z347" s="49">
        <f t="shared" si="40"/>
        <v>310</v>
      </c>
      <c r="AA347" s="60">
        <f t="shared" si="41"/>
        <v>31310</v>
      </c>
    </row>
    <row r="348" spans="1:27">
      <c r="A348" s="83" t="str">
        <f t="shared" si="36"/>
        <v>B1956Hredwood</v>
      </c>
      <c r="B348" s="83" t="str">
        <f t="shared" si="37"/>
        <v>31-310-14</v>
      </c>
      <c r="C348" s="109" t="s">
        <v>1956</v>
      </c>
      <c r="D348" s="109" t="s">
        <v>1955</v>
      </c>
      <c r="E348" s="109" t="s">
        <v>791</v>
      </c>
      <c r="F348" s="110">
        <v>58</v>
      </c>
      <c r="G348" s="109" t="s">
        <v>1949</v>
      </c>
      <c r="H348" s="109" t="s">
        <v>86</v>
      </c>
      <c r="I348" s="109" t="s">
        <v>785</v>
      </c>
      <c r="J348" s="109" t="s">
        <v>330</v>
      </c>
      <c r="K348" s="109" t="s">
        <v>387</v>
      </c>
      <c r="L348" s="109" t="s">
        <v>523</v>
      </c>
      <c r="M348" s="109" t="s">
        <v>388</v>
      </c>
      <c r="N348" s="109" t="s">
        <v>30</v>
      </c>
      <c r="O348" s="109" t="s">
        <v>445</v>
      </c>
      <c r="P348" s="109" t="s">
        <v>827</v>
      </c>
      <c r="Q348" s="109" t="s">
        <v>1701</v>
      </c>
      <c r="R348" s="109" t="s">
        <v>86</v>
      </c>
      <c r="S348" s="83" t="str">
        <f t="shared" si="38"/>
        <v>B1956H</v>
      </c>
      <c r="T348" s="83" t="str">
        <f t="shared" si="35"/>
        <v>MICHELE</v>
      </c>
      <c r="Y348" s="60">
        <f t="shared" si="39"/>
        <v>31</v>
      </c>
      <c r="Z348" s="49">
        <f t="shared" si="40"/>
        <v>310</v>
      </c>
      <c r="AA348" s="60">
        <f t="shared" si="41"/>
        <v>31310</v>
      </c>
    </row>
    <row r="349" spans="1:27">
      <c r="A349" s="83" t="str">
        <f t="shared" si="36"/>
        <v>B1996Hbeige.camel swirl</v>
      </c>
      <c r="B349" s="83" t="str">
        <f t="shared" si="37"/>
        <v>31-309-02</v>
      </c>
      <c r="C349" s="109" t="s">
        <v>1957</v>
      </c>
      <c r="D349" s="109" t="s">
        <v>1958</v>
      </c>
      <c r="E349" s="109" t="s">
        <v>798</v>
      </c>
      <c r="F349" s="110">
        <v>56</v>
      </c>
      <c r="G349" s="109" t="s">
        <v>1903</v>
      </c>
      <c r="H349" s="109" t="s">
        <v>63</v>
      </c>
      <c r="I349" s="109" t="s">
        <v>785</v>
      </c>
      <c r="J349" s="109" t="s">
        <v>330</v>
      </c>
      <c r="K349" s="109" t="s">
        <v>387</v>
      </c>
      <c r="L349" s="109" t="s">
        <v>523</v>
      </c>
      <c r="M349" s="109" t="s">
        <v>388</v>
      </c>
      <c r="N349" s="109" t="s">
        <v>30</v>
      </c>
      <c r="O349" s="109" t="s">
        <v>445</v>
      </c>
      <c r="P349" s="109" t="s">
        <v>827</v>
      </c>
      <c r="Q349" s="109" t="s">
        <v>1959</v>
      </c>
      <c r="R349" s="109" t="s">
        <v>63</v>
      </c>
      <c r="S349" s="83" t="str">
        <f t="shared" si="38"/>
        <v>B1996H</v>
      </c>
      <c r="T349" s="83" t="str">
        <f t="shared" si="35"/>
        <v>GEORGIA</v>
      </c>
      <c r="Y349" s="60">
        <f t="shared" si="39"/>
        <v>31</v>
      </c>
      <c r="Z349" s="49">
        <f t="shared" si="40"/>
        <v>309</v>
      </c>
      <c r="AA349" s="60">
        <f t="shared" si="41"/>
        <v>31309</v>
      </c>
    </row>
    <row r="350" spans="1:27">
      <c r="A350" s="83" t="str">
        <f t="shared" si="36"/>
        <v>B1996Hbeige.camel swirl</v>
      </c>
      <c r="B350" s="83" t="str">
        <f t="shared" si="37"/>
        <v>31-309-02</v>
      </c>
      <c r="C350" s="109" t="s">
        <v>1960</v>
      </c>
      <c r="D350" s="109" t="s">
        <v>1958</v>
      </c>
      <c r="E350" s="109" t="s">
        <v>791</v>
      </c>
      <c r="F350" s="110">
        <v>58</v>
      </c>
      <c r="G350" s="109" t="s">
        <v>1903</v>
      </c>
      <c r="H350" s="109" t="s">
        <v>63</v>
      </c>
      <c r="I350" s="109" t="s">
        <v>785</v>
      </c>
      <c r="J350" s="109" t="s">
        <v>330</v>
      </c>
      <c r="K350" s="109" t="s">
        <v>387</v>
      </c>
      <c r="L350" s="109" t="s">
        <v>523</v>
      </c>
      <c r="M350" s="109" t="s">
        <v>388</v>
      </c>
      <c r="N350" s="109" t="s">
        <v>30</v>
      </c>
      <c r="O350" s="109" t="s">
        <v>445</v>
      </c>
      <c r="P350" s="109" t="s">
        <v>827</v>
      </c>
      <c r="Q350" s="109" t="s">
        <v>1959</v>
      </c>
      <c r="R350" s="109" t="s">
        <v>63</v>
      </c>
      <c r="S350" s="83" t="str">
        <f t="shared" si="38"/>
        <v>B1996H</v>
      </c>
      <c r="T350" s="83" t="str">
        <f t="shared" si="35"/>
        <v>GEORGIA</v>
      </c>
      <c r="Y350" s="60">
        <f t="shared" si="39"/>
        <v>31</v>
      </c>
      <c r="Z350" s="49">
        <f t="shared" si="40"/>
        <v>309</v>
      </c>
      <c r="AA350" s="60">
        <f t="shared" si="41"/>
        <v>31309</v>
      </c>
    </row>
    <row r="351" spans="1:27">
      <c r="A351" s="83" t="str">
        <f t="shared" si="36"/>
        <v>B1996Hlt.whiskey</v>
      </c>
      <c r="B351" s="83" t="str">
        <f t="shared" si="37"/>
        <v>31-309-00</v>
      </c>
      <c r="C351" s="109" t="s">
        <v>1961</v>
      </c>
      <c r="D351" s="109" t="s">
        <v>1962</v>
      </c>
      <c r="E351" s="109" t="s">
        <v>798</v>
      </c>
      <c r="F351" s="110">
        <v>56</v>
      </c>
      <c r="G351" s="109" t="s">
        <v>1903</v>
      </c>
      <c r="H351" s="109" t="s">
        <v>161</v>
      </c>
      <c r="I351" s="109" t="s">
        <v>785</v>
      </c>
      <c r="J351" s="109" t="s">
        <v>330</v>
      </c>
      <c r="K351" s="109" t="s">
        <v>387</v>
      </c>
      <c r="L351" s="109" t="s">
        <v>523</v>
      </c>
      <c r="M351" s="109" t="s">
        <v>388</v>
      </c>
      <c r="N351" s="109" t="s">
        <v>30</v>
      </c>
      <c r="O351" s="109" t="s">
        <v>445</v>
      </c>
      <c r="P351" s="109" t="s">
        <v>827</v>
      </c>
      <c r="Q351" s="109" t="s">
        <v>1963</v>
      </c>
      <c r="R351" s="109" t="s">
        <v>86</v>
      </c>
      <c r="S351" s="83" t="str">
        <f t="shared" si="38"/>
        <v>B1996H</v>
      </c>
      <c r="T351" s="83" t="str">
        <f t="shared" si="35"/>
        <v>GEORGIA</v>
      </c>
      <c r="Y351" s="60">
        <f t="shared" si="39"/>
        <v>31</v>
      </c>
      <c r="Z351" s="49">
        <f t="shared" si="40"/>
        <v>309</v>
      </c>
      <c r="AA351" s="60">
        <f t="shared" si="41"/>
        <v>31309</v>
      </c>
    </row>
    <row r="352" spans="1:27">
      <c r="A352" s="83" t="str">
        <f t="shared" si="36"/>
        <v>B1996Hlt.whiskey</v>
      </c>
      <c r="B352" s="83" t="str">
        <f t="shared" si="37"/>
        <v>31-309-00</v>
      </c>
      <c r="C352" s="109" t="s">
        <v>1964</v>
      </c>
      <c r="D352" s="109" t="s">
        <v>1962</v>
      </c>
      <c r="E352" s="109" t="s">
        <v>791</v>
      </c>
      <c r="F352" s="110">
        <v>58</v>
      </c>
      <c r="G352" s="109" t="s">
        <v>1903</v>
      </c>
      <c r="H352" s="109" t="s">
        <v>161</v>
      </c>
      <c r="I352" s="109" t="s">
        <v>785</v>
      </c>
      <c r="J352" s="109" t="s">
        <v>330</v>
      </c>
      <c r="K352" s="109" t="s">
        <v>387</v>
      </c>
      <c r="L352" s="109" t="s">
        <v>523</v>
      </c>
      <c r="M352" s="109" t="s">
        <v>388</v>
      </c>
      <c r="N352" s="109" t="s">
        <v>30</v>
      </c>
      <c r="O352" s="109" t="s">
        <v>445</v>
      </c>
      <c r="P352" s="109" t="s">
        <v>827</v>
      </c>
      <c r="Q352" s="109" t="s">
        <v>1963</v>
      </c>
      <c r="R352" s="109" t="s">
        <v>86</v>
      </c>
      <c r="S352" s="83" t="str">
        <f t="shared" si="38"/>
        <v>B1996H</v>
      </c>
      <c r="T352" s="83" t="str">
        <f t="shared" si="35"/>
        <v>GEORGIA</v>
      </c>
      <c r="Y352" s="60">
        <f t="shared" si="39"/>
        <v>31</v>
      </c>
      <c r="Z352" s="49">
        <f t="shared" si="40"/>
        <v>309</v>
      </c>
      <c r="AA352" s="60">
        <f t="shared" si="41"/>
        <v>31309</v>
      </c>
    </row>
    <row r="353" spans="1:27">
      <c r="A353" s="83" t="str">
        <f t="shared" si="36"/>
        <v>B1996Hrustic red</v>
      </c>
      <c r="B353" s="83" t="str">
        <f t="shared" si="37"/>
        <v>31-309-18</v>
      </c>
      <c r="C353" s="109" t="s">
        <v>1965</v>
      </c>
      <c r="D353" s="109" t="s">
        <v>1966</v>
      </c>
      <c r="E353" s="109" t="s">
        <v>798</v>
      </c>
      <c r="F353" s="110">
        <v>56</v>
      </c>
      <c r="G353" s="109" t="s">
        <v>1903</v>
      </c>
      <c r="H353" s="109" t="s">
        <v>78</v>
      </c>
      <c r="I353" s="109" t="s">
        <v>785</v>
      </c>
      <c r="J353" s="109" t="s">
        <v>330</v>
      </c>
      <c r="K353" s="109" t="s">
        <v>387</v>
      </c>
      <c r="L353" s="109" t="s">
        <v>523</v>
      </c>
      <c r="M353" s="109" t="s">
        <v>388</v>
      </c>
      <c r="N353" s="109" t="s">
        <v>30</v>
      </c>
      <c r="O353" s="109" t="s">
        <v>445</v>
      </c>
      <c r="P353" s="109" t="s">
        <v>827</v>
      </c>
      <c r="Q353" s="109" t="s">
        <v>842</v>
      </c>
      <c r="R353" s="109" t="s">
        <v>78</v>
      </c>
      <c r="S353" s="83" t="str">
        <f t="shared" si="38"/>
        <v>B1996H</v>
      </c>
      <c r="T353" s="83" t="str">
        <f t="shared" si="35"/>
        <v>GEORGIA</v>
      </c>
      <c r="Y353" s="60">
        <f t="shared" si="39"/>
        <v>31</v>
      </c>
      <c r="Z353" s="49">
        <f t="shared" si="40"/>
        <v>309</v>
      </c>
      <c r="AA353" s="60">
        <f t="shared" si="41"/>
        <v>31309</v>
      </c>
    </row>
    <row r="354" spans="1:27">
      <c r="A354" s="83" t="str">
        <f t="shared" si="36"/>
        <v>B1996Hrustic red</v>
      </c>
      <c r="B354" s="83" t="str">
        <f t="shared" si="37"/>
        <v>31-309-18</v>
      </c>
      <c r="C354" s="109" t="s">
        <v>1967</v>
      </c>
      <c r="D354" s="109" t="s">
        <v>1966</v>
      </c>
      <c r="E354" s="109" t="s">
        <v>791</v>
      </c>
      <c r="F354" s="110">
        <v>58</v>
      </c>
      <c r="G354" s="109" t="s">
        <v>1903</v>
      </c>
      <c r="H354" s="109" t="s">
        <v>78</v>
      </c>
      <c r="I354" s="109" t="s">
        <v>785</v>
      </c>
      <c r="J354" s="109" t="s">
        <v>330</v>
      </c>
      <c r="K354" s="109" t="s">
        <v>387</v>
      </c>
      <c r="L354" s="109" t="s">
        <v>523</v>
      </c>
      <c r="M354" s="109" t="s">
        <v>388</v>
      </c>
      <c r="N354" s="109" t="s">
        <v>30</v>
      </c>
      <c r="O354" s="109" t="s">
        <v>445</v>
      </c>
      <c r="P354" s="109" t="s">
        <v>827</v>
      </c>
      <c r="Q354" s="109" t="s">
        <v>842</v>
      </c>
      <c r="R354" s="109" t="s">
        <v>78</v>
      </c>
      <c r="S354" s="83" t="str">
        <f t="shared" si="38"/>
        <v>B1996H</v>
      </c>
      <c r="T354" s="83" t="str">
        <f t="shared" si="35"/>
        <v>GEORGIA</v>
      </c>
      <c r="Y354" s="60">
        <f t="shared" si="39"/>
        <v>31</v>
      </c>
      <c r="Z354" s="49">
        <f t="shared" si="40"/>
        <v>309</v>
      </c>
      <c r="AA354" s="60">
        <f t="shared" si="41"/>
        <v>31309</v>
      </c>
    </row>
    <row r="355" spans="1:27">
      <c r="A355" s="83" t="str">
        <f t="shared" si="36"/>
        <v>B1997Hnatural heather</v>
      </c>
      <c r="B355" s="83" t="str">
        <f t="shared" si="37"/>
        <v>31-311-02</v>
      </c>
      <c r="C355" s="109" t="s">
        <v>1968</v>
      </c>
      <c r="D355" s="109" t="s">
        <v>1969</v>
      </c>
      <c r="E355" s="109" t="s">
        <v>793</v>
      </c>
      <c r="F355" s="110">
        <v>0</v>
      </c>
      <c r="G355" s="109" t="s">
        <v>1970</v>
      </c>
      <c r="H355" s="109" t="s">
        <v>63</v>
      </c>
      <c r="I355" s="109" t="s">
        <v>1971</v>
      </c>
      <c r="J355" s="109" t="s">
        <v>323</v>
      </c>
      <c r="K355" s="109" t="s">
        <v>387</v>
      </c>
      <c r="L355" s="109" t="s">
        <v>523</v>
      </c>
      <c r="M355" s="109" t="s">
        <v>384</v>
      </c>
      <c r="N355" s="109" t="s">
        <v>36</v>
      </c>
      <c r="O355" s="109" t="s">
        <v>386</v>
      </c>
      <c r="P355" s="109" t="s">
        <v>827</v>
      </c>
      <c r="Q355" s="109" t="s">
        <v>1972</v>
      </c>
      <c r="R355" s="109" t="s">
        <v>63</v>
      </c>
      <c r="S355" s="83" t="str">
        <f t="shared" si="38"/>
        <v>B1997H</v>
      </c>
      <c r="T355" s="83" t="str">
        <f t="shared" si="35"/>
        <v>ELLEN</v>
      </c>
      <c r="Y355" s="60">
        <f t="shared" si="39"/>
        <v>31</v>
      </c>
      <c r="Z355" s="49">
        <f t="shared" si="40"/>
        <v>311</v>
      </c>
      <c r="AA355" s="60">
        <f t="shared" si="41"/>
        <v>31311</v>
      </c>
    </row>
    <row r="356" spans="1:27">
      <c r="A356" s="83" t="str">
        <f t="shared" si="36"/>
        <v>B1998Hdenim</v>
      </c>
      <c r="B356" s="83" t="str">
        <f t="shared" si="37"/>
        <v>31-312-06</v>
      </c>
      <c r="C356" s="109" t="s">
        <v>1973</v>
      </c>
      <c r="D356" s="109" t="s">
        <v>1974</v>
      </c>
      <c r="E356" s="109" t="s">
        <v>793</v>
      </c>
      <c r="F356" s="110">
        <v>0</v>
      </c>
      <c r="G356" s="109" t="s">
        <v>1975</v>
      </c>
      <c r="H356" s="109" t="s">
        <v>71</v>
      </c>
      <c r="I356" s="109" t="s">
        <v>1918</v>
      </c>
      <c r="J356" s="109" t="s">
        <v>323</v>
      </c>
      <c r="K356" s="109" t="s">
        <v>387</v>
      </c>
      <c r="L356" s="109" t="s">
        <v>523</v>
      </c>
      <c r="M356" s="109" t="s">
        <v>384</v>
      </c>
      <c r="N356" s="109" t="s">
        <v>36</v>
      </c>
      <c r="O356" s="109" t="s">
        <v>386</v>
      </c>
      <c r="P356" s="109" t="s">
        <v>827</v>
      </c>
      <c r="Q356" s="109" t="s">
        <v>860</v>
      </c>
      <c r="R356" s="109" t="s">
        <v>71</v>
      </c>
      <c r="S356" s="83" t="str">
        <f t="shared" si="38"/>
        <v>B1998H</v>
      </c>
      <c r="T356" s="83" t="str">
        <f t="shared" si="35"/>
        <v>MARINA</v>
      </c>
      <c r="Y356" s="60">
        <f t="shared" si="39"/>
        <v>31</v>
      </c>
      <c r="Z356" s="49">
        <f t="shared" si="40"/>
        <v>312</v>
      </c>
      <c r="AA356" s="60">
        <f t="shared" si="41"/>
        <v>31312</v>
      </c>
    </row>
    <row r="357" spans="1:27">
      <c r="A357" s="83" t="str">
        <f t="shared" si="36"/>
        <v>B2001Hceladon</v>
      </c>
      <c r="B357" s="83" t="str">
        <f t="shared" si="37"/>
        <v>31-314-03</v>
      </c>
      <c r="C357" s="109" t="s">
        <v>1976</v>
      </c>
      <c r="D357" s="109" t="s">
        <v>1977</v>
      </c>
      <c r="E357" s="109" t="s">
        <v>791</v>
      </c>
      <c r="F357" s="110">
        <v>58</v>
      </c>
      <c r="G357" s="109" t="s">
        <v>1978</v>
      </c>
      <c r="H357" s="109" t="s">
        <v>224</v>
      </c>
      <c r="I357" s="109" t="s">
        <v>790</v>
      </c>
      <c r="J357" s="109" t="s">
        <v>330</v>
      </c>
      <c r="K357" s="109" t="s">
        <v>387</v>
      </c>
      <c r="L357" s="109" t="s">
        <v>523</v>
      </c>
      <c r="M357" s="109" t="s">
        <v>384</v>
      </c>
      <c r="N357" s="109" t="s">
        <v>36</v>
      </c>
      <c r="O357" s="109" t="s">
        <v>445</v>
      </c>
      <c r="P357" s="109" t="s">
        <v>827</v>
      </c>
      <c r="Q357" s="109" t="s">
        <v>1940</v>
      </c>
      <c r="R357" s="109" t="s">
        <v>60</v>
      </c>
      <c r="S357" s="83" t="str">
        <f t="shared" si="38"/>
        <v>B2001H</v>
      </c>
      <c r="T357" s="83" t="str">
        <f t="shared" si="35"/>
        <v>GERALDINE</v>
      </c>
      <c r="Y357" s="60">
        <f t="shared" si="39"/>
        <v>31</v>
      </c>
      <c r="Z357" s="49">
        <f t="shared" si="40"/>
        <v>314</v>
      </c>
      <c r="AA357" s="60">
        <f t="shared" si="41"/>
        <v>31314</v>
      </c>
    </row>
    <row r="358" spans="1:27">
      <c r="A358" s="83" t="str">
        <f t="shared" si="36"/>
        <v>B2002Hwhite</v>
      </c>
      <c r="B358" s="83" t="str">
        <f t="shared" si="37"/>
        <v>31-315-17</v>
      </c>
      <c r="C358" s="109" t="s">
        <v>1979</v>
      </c>
      <c r="D358" s="109" t="s">
        <v>1980</v>
      </c>
      <c r="E358" s="109" t="s">
        <v>798</v>
      </c>
      <c r="F358" s="110">
        <v>56</v>
      </c>
      <c r="G358" s="109" t="s">
        <v>1981</v>
      </c>
      <c r="H358" s="109" t="s">
        <v>57</v>
      </c>
      <c r="I358" s="109" t="s">
        <v>790</v>
      </c>
      <c r="J358" s="109" t="s">
        <v>323</v>
      </c>
      <c r="K358" s="109" t="s">
        <v>387</v>
      </c>
      <c r="L358" s="109" t="s">
        <v>523</v>
      </c>
      <c r="M358" s="109" t="s">
        <v>384</v>
      </c>
      <c r="N358" s="109" t="s">
        <v>36</v>
      </c>
      <c r="O358" s="109" t="s">
        <v>445</v>
      </c>
      <c r="P358" s="109" t="s">
        <v>827</v>
      </c>
      <c r="Q358" s="109" t="s">
        <v>840</v>
      </c>
      <c r="R358" s="109" t="s">
        <v>57</v>
      </c>
      <c r="S358" s="83" t="str">
        <f t="shared" si="38"/>
        <v>B2002H</v>
      </c>
      <c r="T358" s="83" t="str">
        <f t="shared" si="35"/>
        <v>CLAUDE</v>
      </c>
      <c r="Y358" s="60">
        <f t="shared" si="39"/>
        <v>31</v>
      </c>
      <c r="Z358" s="49">
        <f t="shared" si="40"/>
        <v>315</v>
      </c>
      <c r="AA358" s="60">
        <f t="shared" si="41"/>
        <v>31315</v>
      </c>
    </row>
    <row r="359" spans="1:27">
      <c r="A359" s="83" t="str">
        <f t="shared" si="36"/>
        <v>B2003Hginger snap</v>
      </c>
      <c r="B359" s="83" t="str">
        <f t="shared" si="37"/>
        <v>31-316-13</v>
      </c>
      <c r="C359" s="109" t="s">
        <v>1982</v>
      </c>
      <c r="D359" s="109" t="s">
        <v>1983</v>
      </c>
      <c r="E359" s="109" t="s">
        <v>791</v>
      </c>
      <c r="F359" s="110">
        <v>58</v>
      </c>
      <c r="G359" s="109" t="s">
        <v>1984</v>
      </c>
      <c r="H359" s="109" t="s">
        <v>217</v>
      </c>
      <c r="I359" s="109" t="s">
        <v>790</v>
      </c>
      <c r="J359" s="109" t="s">
        <v>357</v>
      </c>
      <c r="K359" s="109" t="s">
        <v>387</v>
      </c>
      <c r="L359" s="109" t="s">
        <v>523</v>
      </c>
      <c r="M359" s="109" t="s">
        <v>384</v>
      </c>
      <c r="N359" s="109" t="s">
        <v>36</v>
      </c>
      <c r="O359" s="109" t="s">
        <v>445</v>
      </c>
      <c r="P359" s="109" t="s">
        <v>827</v>
      </c>
      <c r="Q359" s="109" t="s">
        <v>1931</v>
      </c>
      <c r="R359" s="109" t="s">
        <v>199</v>
      </c>
      <c r="S359" s="83" t="str">
        <f t="shared" si="38"/>
        <v>B2003H</v>
      </c>
      <c r="T359" s="83" t="str">
        <f t="shared" si="35"/>
        <v>ALETTA</v>
      </c>
      <c r="Y359" s="60">
        <f t="shared" si="39"/>
        <v>31</v>
      </c>
      <c r="Z359" s="49">
        <f t="shared" si="40"/>
        <v>316</v>
      </c>
      <c r="AA359" s="60">
        <f t="shared" si="41"/>
        <v>31316</v>
      </c>
    </row>
    <row r="360" spans="1:27">
      <c r="A360" s="83" t="str">
        <f t="shared" si="36"/>
        <v>B1417Hblack</v>
      </c>
      <c r="B360" s="83" t="str">
        <f t="shared" si="37"/>
        <v>31-077-09</v>
      </c>
      <c r="C360" s="109" t="s">
        <v>1985</v>
      </c>
      <c r="D360" s="109" t="s">
        <v>1986</v>
      </c>
      <c r="E360" s="109" t="s">
        <v>793</v>
      </c>
      <c r="F360" s="110">
        <v>0</v>
      </c>
      <c r="G360" s="109" t="s">
        <v>1987</v>
      </c>
      <c r="H360" s="109" t="s">
        <v>53</v>
      </c>
      <c r="I360" s="109" t="s">
        <v>848</v>
      </c>
      <c r="J360" s="109" t="s">
        <v>323</v>
      </c>
      <c r="K360" s="109" t="s">
        <v>387</v>
      </c>
      <c r="L360" s="109" t="s">
        <v>523</v>
      </c>
      <c r="M360" s="109" t="s">
        <v>384</v>
      </c>
      <c r="N360" s="109" t="s">
        <v>36</v>
      </c>
      <c r="O360" s="109" t="s">
        <v>386</v>
      </c>
      <c r="P360" s="109" t="s">
        <v>826</v>
      </c>
      <c r="Q360" s="109" t="s">
        <v>831</v>
      </c>
      <c r="R360" s="109" t="s">
        <v>53</v>
      </c>
      <c r="S360" s="83" t="str">
        <f t="shared" si="38"/>
        <v>B1417H</v>
      </c>
      <c r="T360" s="83" t="str">
        <f t="shared" si="35"/>
        <v>Kali</v>
      </c>
      <c r="Y360" s="60">
        <f t="shared" si="39"/>
        <v>31</v>
      </c>
      <c r="Z360" s="49">
        <f t="shared" si="40"/>
        <v>77</v>
      </c>
      <c r="AA360" s="60">
        <f t="shared" si="41"/>
        <v>31077</v>
      </c>
    </row>
    <row r="361" spans="1:27">
      <c r="A361" s="83" t="str">
        <f t="shared" si="36"/>
        <v>B176white</v>
      </c>
      <c r="B361" s="83" t="str">
        <f t="shared" si="37"/>
        <v>31-084-17</v>
      </c>
      <c r="C361" s="109" t="s">
        <v>1988</v>
      </c>
      <c r="D361" s="109" t="s">
        <v>1989</v>
      </c>
      <c r="E361" s="109" t="s">
        <v>793</v>
      </c>
      <c r="F361" s="110">
        <v>0</v>
      </c>
      <c r="G361" s="109" t="s">
        <v>1007</v>
      </c>
      <c r="H361" s="109" t="s">
        <v>57</v>
      </c>
      <c r="I361" s="109" t="s">
        <v>887</v>
      </c>
      <c r="J361" s="109" t="s">
        <v>357</v>
      </c>
      <c r="K361" s="109" t="s">
        <v>387</v>
      </c>
      <c r="L361" s="109" t="s">
        <v>523</v>
      </c>
      <c r="M361" s="109" t="s">
        <v>384</v>
      </c>
      <c r="N361" s="109" t="s">
        <v>36</v>
      </c>
      <c r="O361" s="109" t="s">
        <v>386</v>
      </c>
      <c r="P361" s="109" t="s">
        <v>827</v>
      </c>
      <c r="Q361" s="109" t="s">
        <v>840</v>
      </c>
      <c r="R361" s="109" t="s">
        <v>57</v>
      </c>
      <c r="S361" s="83" t="str">
        <f t="shared" si="38"/>
        <v>B176</v>
      </c>
      <c r="T361" s="83" t="str">
        <f t="shared" si="35"/>
        <v>GOSSAMER</v>
      </c>
      <c r="Y361" s="60">
        <f t="shared" si="39"/>
        <v>31</v>
      </c>
      <c r="Z361" s="49">
        <f t="shared" si="40"/>
        <v>84</v>
      </c>
      <c r="AA361" s="60">
        <f t="shared" si="41"/>
        <v>31084</v>
      </c>
    </row>
    <row r="362" spans="1:27">
      <c r="A362" s="83" t="str">
        <f t="shared" si="36"/>
        <v>B011Hhoundstooth</v>
      </c>
      <c r="B362" s="83" t="str">
        <f t="shared" si="37"/>
        <v>31-002-53</v>
      </c>
      <c r="C362" s="109" t="s">
        <v>1990</v>
      </c>
      <c r="D362" s="109" t="s">
        <v>1991</v>
      </c>
      <c r="E362" s="109" t="s">
        <v>793</v>
      </c>
      <c r="F362" s="110">
        <v>0</v>
      </c>
      <c r="G362" s="109" t="s">
        <v>1080</v>
      </c>
      <c r="H362" s="109" t="s">
        <v>119</v>
      </c>
      <c r="I362" s="109" t="s">
        <v>794</v>
      </c>
      <c r="J362" s="109" t="s">
        <v>348</v>
      </c>
      <c r="K362" s="109" t="s">
        <v>387</v>
      </c>
      <c r="L362" s="109" t="s">
        <v>523</v>
      </c>
      <c r="M362" s="109" t="s">
        <v>388</v>
      </c>
      <c r="N362" s="109" t="s">
        <v>44</v>
      </c>
      <c r="O362" s="109" t="s">
        <v>386</v>
      </c>
      <c r="P362" s="109" t="s">
        <v>826</v>
      </c>
      <c r="Q362" s="109" t="s">
        <v>1992</v>
      </c>
      <c r="R362" s="109" t="s">
        <v>57</v>
      </c>
      <c r="S362" s="83" t="str">
        <f t="shared" si="38"/>
        <v>B011H</v>
      </c>
      <c r="T362" s="83" t="str">
        <f t="shared" si="35"/>
        <v>ADELE</v>
      </c>
      <c r="Y362" s="60">
        <f t="shared" si="39"/>
        <v>31</v>
      </c>
      <c r="Z362" s="49">
        <f t="shared" si="40"/>
        <v>2</v>
      </c>
      <c r="AA362" s="60">
        <f t="shared" si="41"/>
        <v>31002</v>
      </c>
    </row>
    <row r="363" spans="1:27">
      <c r="A363" s="83" t="str">
        <f t="shared" si="36"/>
        <v>B1632Hblack</v>
      </c>
      <c r="B363" s="83" t="str">
        <f t="shared" si="37"/>
        <v>31-174-09</v>
      </c>
      <c r="C363" s="109" t="s">
        <v>1993</v>
      </c>
      <c r="D363" s="109" t="s">
        <v>1994</v>
      </c>
      <c r="E363" s="109" t="s">
        <v>793</v>
      </c>
      <c r="F363" s="110">
        <v>0</v>
      </c>
      <c r="G363" s="109" t="s">
        <v>1995</v>
      </c>
      <c r="H363" s="109" t="s">
        <v>53</v>
      </c>
      <c r="I363" s="109" t="s">
        <v>1996</v>
      </c>
      <c r="J363" s="109" t="s">
        <v>348</v>
      </c>
      <c r="K363" s="109" t="s">
        <v>387</v>
      </c>
      <c r="L363" s="109" t="s">
        <v>523</v>
      </c>
      <c r="M363" s="109" t="s">
        <v>388</v>
      </c>
      <c r="N363" s="109" t="s">
        <v>44</v>
      </c>
      <c r="O363" s="109" t="s">
        <v>386</v>
      </c>
      <c r="P363" s="109" t="s">
        <v>826</v>
      </c>
      <c r="Q363" s="109" t="s">
        <v>831</v>
      </c>
      <c r="R363" s="109" t="s">
        <v>53</v>
      </c>
      <c r="S363" s="83" t="str">
        <f t="shared" si="38"/>
        <v>B1632H</v>
      </c>
      <c r="T363" s="83" t="str">
        <f t="shared" si="35"/>
        <v>JANET</v>
      </c>
      <c r="Y363" s="60">
        <f t="shared" si="39"/>
        <v>31</v>
      </c>
      <c r="Z363" s="49">
        <f t="shared" si="40"/>
        <v>174</v>
      </c>
      <c r="AA363" s="60">
        <f t="shared" si="41"/>
        <v>31174</v>
      </c>
    </row>
    <row r="364" spans="1:27">
      <c r="A364" s="83" t="str">
        <f t="shared" si="36"/>
        <v>B1632Hcamel</v>
      </c>
      <c r="B364" s="83" t="str">
        <f t="shared" si="37"/>
        <v>31-174-02</v>
      </c>
      <c r="C364" s="109" t="s">
        <v>1997</v>
      </c>
      <c r="D364" s="109" t="s">
        <v>1998</v>
      </c>
      <c r="E364" s="109" t="s">
        <v>793</v>
      </c>
      <c r="F364" s="110">
        <v>0</v>
      </c>
      <c r="G364" s="109" t="s">
        <v>1995</v>
      </c>
      <c r="H364" s="109" t="s">
        <v>63</v>
      </c>
      <c r="I364" s="109" t="s">
        <v>1996</v>
      </c>
      <c r="J364" s="109" t="s">
        <v>348</v>
      </c>
      <c r="K364" s="109" t="s">
        <v>387</v>
      </c>
      <c r="L364" s="109" t="s">
        <v>523</v>
      </c>
      <c r="M364" s="109" t="s">
        <v>388</v>
      </c>
      <c r="N364" s="109" t="s">
        <v>44</v>
      </c>
      <c r="O364" s="109" t="s">
        <v>386</v>
      </c>
      <c r="P364" s="109" t="s">
        <v>826</v>
      </c>
      <c r="Q364" s="109" t="s">
        <v>834</v>
      </c>
      <c r="R364" s="109" t="s">
        <v>63</v>
      </c>
      <c r="S364" s="83" t="str">
        <f t="shared" si="38"/>
        <v>B1632H</v>
      </c>
      <c r="T364" s="83" t="str">
        <f t="shared" si="35"/>
        <v>JANET</v>
      </c>
      <c r="Y364" s="60">
        <f t="shared" si="39"/>
        <v>31</v>
      </c>
      <c r="Z364" s="49">
        <f t="shared" si="40"/>
        <v>174</v>
      </c>
      <c r="AA364" s="60">
        <f t="shared" si="41"/>
        <v>31174</v>
      </c>
    </row>
    <row r="365" spans="1:27">
      <c r="A365" s="83" t="str">
        <f t="shared" si="36"/>
        <v>B1632Hcharcoal</v>
      </c>
      <c r="B365" s="83" t="str">
        <f t="shared" si="37"/>
        <v>31-174-05</v>
      </c>
      <c r="C365" s="109" t="s">
        <v>1999</v>
      </c>
      <c r="D365" s="109" t="s">
        <v>2000</v>
      </c>
      <c r="E365" s="109" t="s">
        <v>793</v>
      </c>
      <c r="F365" s="110">
        <v>0</v>
      </c>
      <c r="G365" s="109" t="s">
        <v>1995</v>
      </c>
      <c r="H365" s="109" t="s">
        <v>277</v>
      </c>
      <c r="I365" s="109" t="s">
        <v>1996</v>
      </c>
      <c r="J365" s="109" t="s">
        <v>348</v>
      </c>
      <c r="K365" s="109" t="s">
        <v>387</v>
      </c>
      <c r="L365" s="109" t="s">
        <v>523</v>
      </c>
      <c r="M365" s="109" t="s">
        <v>388</v>
      </c>
      <c r="N365" s="109" t="s">
        <v>44</v>
      </c>
      <c r="O365" s="109" t="s">
        <v>386</v>
      </c>
      <c r="P365" s="109" t="s">
        <v>826</v>
      </c>
      <c r="Q365" s="109" t="s">
        <v>836</v>
      </c>
      <c r="R365" s="109" t="s">
        <v>83</v>
      </c>
      <c r="S365" s="83" t="str">
        <f t="shared" si="38"/>
        <v>B1632H</v>
      </c>
      <c r="T365" s="83" t="str">
        <f t="shared" si="35"/>
        <v>JANET</v>
      </c>
      <c r="Y365" s="60">
        <f t="shared" si="39"/>
        <v>31</v>
      </c>
      <c r="Z365" s="49">
        <f t="shared" si="40"/>
        <v>174</v>
      </c>
      <c r="AA365" s="60">
        <f t="shared" si="41"/>
        <v>31174</v>
      </c>
    </row>
    <row r="366" spans="1:27">
      <c r="A366" s="83" t="str">
        <f t="shared" si="36"/>
        <v>B1665Hblush</v>
      </c>
      <c r="B366" s="83" t="str">
        <f t="shared" si="37"/>
        <v>31-139-34</v>
      </c>
      <c r="C366" s="109" t="s">
        <v>2001</v>
      </c>
      <c r="D366" s="109" t="s">
        <v>2002</v>
      </c>
      <c r="E366" s="109" t="s">
        <v>793</v>
      </c>
      <c r="F366" s="110">
        <v>0</v>
      </c>
      <c r="G366" s="109" t="s">
        <v>2003</v>
      </c>
      <c r="H366" s="109" t="s">
        <v>68</v>
      </c>
      <c r="I366" s="109" t="s">
        <v>2004</v>
      </c>
      <c r="J366" s="109" t="s">
        <v>348</v>
      </c>
      <c r="K366" s="109" t="s">
        <v>387</v>
      </c>
      <c r="L366" s="109" t="s">
        <v>523</v>
      </c>
      <c r="M366" s="109" t="s">
        <v>388</v>
      </c>
      <c r="N366" s="109" t="s">
        <v>44</v>
      </c>
      <c r="O366" s="109" t="s">
        <v>386</v>
      </c>
      <c r="P366" s="109" t="s">
        <v>826</v>
      </c>
      <c r="Q366" s="109" t="s">
        <v>1279</v>
      </c>
      <c r="R366" s="109" t="s">
        <v>68</v>
      </c>
      <c r="S366" s="83" t="str">
        <f t="shared" si="38"/>
        <v>B1665H</v>
      </c>
      <c r="T366" s="83" t="str">
        <f t="shared" si="35"/>
        <v>STEPHANIE</v>
      </c>
      <c r="Y366" s="60">
        <f t="shared" si="39"/>
        <v>31</v>
      </c>
      <c r="Z366" s="49">
        <f t="shared" si="40"/>
        <v>139</v>
      </c>
      <c r="AA366" s="60">
        <f t="shared" si="41"/>
        <v>31139</v>
      </c>
    </row>
    <row r="367" spans="1:27">
      <c r="A367" s="83" t="str">
        <f t="shared" si="36"/>
        <v>B1670Hberry</v>
      </c>
      <c r="B367" s="83" t="str">
        <f t="shared" si="37"/>
        <v>31-175-12</v>
      </c>
      <c r="C367" s="109" t="s">
        <v>2005</v>
      </c>
      <c r="D367" s="109" t="s">
        <v>2006</v>
      </c>
      <c r="E367" s="109" t="s">
        <v>793</v>
      </c>
      <c r="F367" s="110">
        <v>0</v>
      </c>
      <c r="G367" s="109" t="s">
        <v>2007</v>
      </c>
      <c r="H367" s="109" t="s">
        <v>121</v>
      </c>
      <c r="I367" s="109" t="s">
        <v>2008</v>
      </c>
      <c r="J367" s="109" t="s">
        <v>348</v>
      </c>
      <c r="K367" s="109" t="s">
        <v>387</v>
      </c>
      <c r="L367" s="109" t="s">
        <v>523</v>
      </c>
      <c r="M367" s="109" t="s">
        <v>388</v>
      </c>
      <c r="N367" s="109" t="s">
        <v>44</v>
      </c>
      <c r="O367" s="109" t="s">
        <v>386</v>
      </c>
      <c r="P367" s="109" t="s">
        <v>826</v>
      </c>
      <c r="Q367" s="109" t="s">
        <v>901</v>
      </c>
      <c r="R367" s="109" t="s">
        <v>121</v>
      </c>
      <c r="S367" s="83" t="str">
        <f t="shared" si="38"/>
        <v>B1670H</v>
      </c>
      <c r="T367" s="83" t="str">
        <f t="shared" si="35"/>
        <v>LUCERNE</v>
      </c>
      <c r="Y367" s="60">
        <f t="shared" si="39"/>
        <v>31</v>
      </c>
      <c r="Z367" s="49">
        <f t="shared" si="40"/>
        <v>175</v>
      </c>
      <c r="AA367" s="60">
        <f t="shared" si="41"/>
        <v>31175</v>
      </c>
    </row>
    <row r="368" spans="1:27">
      <c r="A368" s="83" t="str">
        <f t="shared" si="36"/>
        <v>B1670Hblack</v>
      </c>
      <c r="B368" s="83" t="str">
        <f t="shared" si="37"/>
        <v>31-175-09</v>
      </c>
      <c r="C368" s="109" t="s">
        <v>2009</v>
      </c>
      <c r="D368" s="109" t="s">
        <v>2010</v>
      </c>
      <c r="E368" s="109" t="s">
        <v>793</v>
      </c>
      <c r="F368" s="110">
        <v>0</v>
      </c>
      <c r="G368" s="109" t="s">
        <v>2007</v>
      </c>
      <c r="H368" s="109" t="s">
        <v>53</v>
      </c>
      <c r="I368" s="109" t="s">
        <v>2008</v>
      </c>
      <c r="J368" s="109" t="s">
        <v>348</v>
      </c>
      <c r="K368" s="109" t="s">
        <v>387</v>
      </c>
      <c r="L368" s="109" t="s">
        <v>523</v>
      </c>
      <c r="M368" s="109" t="s">
        <v>388</v>
      </c>
      <c r="N368" s="109" t="s">
        <v>44</v>
      </c>
      <c r="O368" s="109" t="s">
        <v>386</v>
      </c>
      <c r="P368" s="109" t="s">
        <v>826</v>
      </c>
      <c r="Q368" s="109" t="s">
        <v>831</v>
      </c>
      <c r="R368" s="109" t="s">
        <v>53</v>
      </c>
      <c r="S368" s="83" t="str">
        <f t="shared" si="38"/>
        <v>B1670H</v>
      </c>
      <c r="T368" s="83" t="str">
        <f t="shared" si="35"/>
        <v>LUCERNE</v>
      </c>
      <c r="Y368" s="60">
        <f t="shared" si="39"/>
        <v>31</v>
      </c>
      <c r="Z368" s="49">
        <f t="shared" si="40"/>
        <v>175</v>
      </c>
      <c r="AA368" s="60">
        <f t="shared" si="41"/>
        <v>31175</v>
      </c>
    </row>
    <row r="369" spans="1:27">
      <c r="A369" s="83" t="str">
        <f t="shared" si="36"/>
        <v>B1670Hcharcoal</v>
      </c>
      <c r="B369" s="83" t="str">
        <f t="shared" si="37"/>
        <v>31-175-05</v>
      </c>
      <c r="C369" s="109" t="s">
        <v>2011</v>
      </c>
      <c r="D369" s="109" t="s">
        <v>2012</v>
      </c>
      <c r="E369" s="109" t="s">
        <v>793</v>
      </c>
      <c r="F369" s="110">
        <v>0</v>
      </c>
      <c r="G369" s="109" t="s">
        <v>2007</v>
      </c>
      <c r="H369" s="109" t="s">
        <v>277</v>
      </c>
      <c r="I369" s="109" t="s">
        <v>2008</v>
      </c>
      <c r="J369" s="109" t="s">
        <v>348</v>
      </c>
      <c r="K369" s="109" t="s">
        <v>387</v>
      </c>
      <c r="L369" s="109" t="s">
        <v>523</v>
      </c>
      <c r="M369" s="109" t="s">
        <v>388</v>
      </c>
      <c r="N369" s="109" t="s">
        <v>44</v>
      </c>
      <c r="O369" s="109" t="s">
        <v>386</v>
      </c>
      <c r="P369" s="109" t="s">
        <v>826</v>
      </c>
      <c r="Q369" s="109" t="s">
        <v>836</v>
      </c>
      <c r="R369" s="109" t="s">
        <v>83</v>
      </c>
      <c r="S369" s="83" t="str">
        <f t="shared" si="38"/>
        <v>B1670H</v>
      </c>
      <c r="T369" s="83" t="str">
        <f t="shared" si="35"/>
        <v>LUCERNE</v>
      </c>
      <c r="Y369" s="60">
        <f t="shared" si="39"/>
        <v>31</v>
      </c>
      <c r="Z369" s="49">
        <f t="shared" si="40"/>
        <v>175</v>
      </c>
      <c r="AA369" s="60">
        <f t="shared" si="41"/>
        <v>31175</v>
      </c>
    </row>
    <row r="370" spans="1:27">
      <c r="A370" s="83" t="str">
        <f t="shared" si="36"/>
        <v>B1485Hcamel</v>
      </c>
      <c r="B370" s="83" t="str">
        <f t="shared" si="37"/>
        <v>31-109-02</v>
      </c>
      <c r="C370" s="109" t="s">
        <v>2013</v>
      </c>
      <c r="D370" s="109" t="s">
        <v>2014</v>
      </c>
      <c r="E370" s="109" t="s">
        <v>793</v>
      </c>
      <c r="F370" s="110">
        <v>0</v>
      </c>
      <c r="G370" s="109" t="s">
        <v>2015</v>
      </c>
      <c r="H370" s="109" t="s">
        <v>63</v>
      </c>
      <c r="I370" s="109" t="s">
        <v>785</v>
      </c>
      <c r="J370" s="109" t="s">
        <v>330</v>
      </c>
      <c r="K370" s="109" t="s">
        <v>387</v>
      </c>
      <c r="L370" s="109" t="s">
        <v>523</v>
      </c>
      <c r="M370" s="109" t="s">
        <v>388</v>
      </c>
      <c r="N370" s="109" t="s">
        <v>30</v>
      </c>
      <c r="O370" s="109" t="s">
        <v>386</v>
      </c>
      <c r="P370" s="109" t="s">
        <v>826</v>
      </c>
      <c r="Q370" s="109" t="s">
        <v>834</v>
      </c>
      <c r="R370" s="109" t="s">
        <v>63</v>
      </c>
      <c r="S370" s="83" t="str">
        <f t="shared" si="38"/>
        <v>B1485H</v>
      </c>
      <c r="T370" s="83" t="str">
        <f t="shared" si="35"/>
        <v>Janis</v>
      </c>
      <c r="Y370" s="60">
        <f t="shared" si="39"/>
        <v>31</v>
      </c>
      <c r="Z370" s="49">
        <f t="shared" si="40"/>
        <v>109</v>
      </c>
      <c r="AA370" s="60">
        <f t="shared" si="41"/>
        <v>31109</v>
      </c>
    </row>
    <row r="371" spans="1:27">
      <c r="A371" s="83" t="str">
        <f t="shared" si="36"/>
        <v>B1639Hcamel</v>
      </c>
      <c r="B371" s="83" t="str">
        <f t="shared" si="37"/>
        <v>31-119-02</v>
      </c>
      <c r="C371" s="109" t="s">
        <v>2016</v>
      </c>
      <c r="D371" s="109" t="s">
        <v>2017</v>
      </c>
      <c r="E371" s="109" t="s">
        <v>793</v>
      </c>
      <c r="F371" s="110">
        <v>0</v>
      </c>
      <c r="G371" s="109" t="s">
        <v>1522</v>
      </c>
      <c r="H371" s="109" t="s">
        <v>63</v>
      </c>
      <c r="I371" s="109" t="s">
        <v>785</v>
      </c>
      <c r="J371" s="109" t="s">
        <v>357</v>
      </c>
      <c r="K371" s="109" t="s">
        <v>387</v>
      </c>
      <c r="L371" s="109" t="s">
        <v>523</v>
      </c>
      <c r="M371" s="109" t="s">
        <v>388</v>
      </c>
      <c r="N371" s="109" t="s">
        <v>30</v>
      </c>
      <c r="O371" s="109" t="s">
        <v>386</v>
      </c>
      <c r="P371" s="109" t="s">
        <v>826</v>
      </c>
      <c r="Q371" s="109" t="s">
        <v>834</v>
      </c>
      <c r="R371" s="109" t="s">
        <v>63</v>
      </c>
      <c r="S371" s="83" t="str">
        <f t="shared" si="38"/>
        <v>B1639H</v>
      </c>
      <c r="T371" s="83" t="str">
        <f t="shared" si="35"/>
        <v>EMMA</v>
      </c>
      <c r="Y371" s="60">
        <f t="shared" si="39"/>
        <v>31</v>
      </c>
      <c r="Z371" s="49">
        <f t="shared" si="40"/>
        <v>119</v>
      </c>
      <c r="AA371" s="60">
        <f t="shared" si="41"/>
        <v>31119</v>
      </c>
    </row>
    <row r="372" spans="1:27">
      <c r="A372" s="83" t="str">
        <f t="shared" si="36"/>
        <v>B1639Hscarlet</v>
      </c>
      <c r="B372" s="83" t="str">
        <f t="shared" si="37"/>
        <v>31-119-18</v>
      </c>
      <c r="C372" s="109" t="s">
        <v>2018</v>
      </c>
      <c r="D372" s="109" t="s">
        <v>2019</v>
      </c>
      <c r="E372" s="109" t="s">
        <v>793</v>
      </c>
      <c r="F372" s="110">
        <v>0</v>
      </c>
      <c r="G372" s="109" t="s">
        <v>1522</v>
      </c>
      <c r="H372" s="109" t="s">
        <v>78</v>
      </c>
      <c r="I372" s="109" t="s">
        <v>785</v>
      </c>
      <c r="J372" s="109" t="s">
        <v>357</v>
      </c>
      <c r="K372" s="109" t="s">
        <v>387</v>
      </c>
      <c r="L372" s="109" t="s">
        <v>523</v>
      </c>
      <c r="M372" s="109" t="s">
        <v>388</v>
      </c>
      <c r="N372" s="109" t="s">
        <v>30</v>
      </c>
      <c r="O372" s="109" t="s">
        <v>386</v>
      </c>
      <c r="P372" s="109" t="s">
        <v>827</v>
      </c>
      <c r="Q372" s="109" t="s">
        <v>896</v>
      </c>
      <c r="R372" s="109" t="s">
        <v>78</v>
      </c>
      <c r="S372" s="83" t="str">
        <f t="shared" si="38"/>
        <v>B1639H</v>
      </c>
      <c r="T372" s="83" t="str">
        <f t="shared" si="35"/>
        <v>EMMA</v>
      </c>
      <c r="Y372" s="60">
        <f t="shared" si="39"/>
        <v>31</v>
      </c>
      <c r="Z372" s="49">
        <f t="shared" si="40"/>
        <v>119</v>
      </c>
      <c r="AA372" s="60">
        <f t="shared" si="41"/>
        <v>31119</v>
      </c>
    </row>
    <row r="373" spans="1:27">
      <c r="A373" s="83" t="str">
        <f t="shared" si="36"/>
        <v>B1643Hplum</v>
      </c>
      <c r="B373" s="83" t="str">
        <f t="shared" si="37"/>
        <v>31-146-41</v>
      </c>
      <c r="C373" s="109" t="s">
        <v>2020</v>
      </c>
      <c r="D373" s="109" t="s">
        <v>2021</v>
      </c>
      <c r="E373" s="109" t="s">
        <v>793</v>
      </c>
      <c r="F373" s="110">
        <v>0</v>
      </c>
      <c r="G373" s="109" t="s">
        <v>2022</v>
      </c>
      <c r="H373" s="109" t="s">
        <v>286</v>
      </c>
      <c r="I373" s="109" t="s">
        <v>785</v>
      </c>
      <c r="J373" s="109" t="s">
        <v>330</v>
      </c>
      <c r="K373" s="109" t="s">
        <v>387</v>
      </c>
      <c r="L373" s="109" t="s">
        <v>523</v>
      </c>
      <c r="M373" s="109" t="s">
        <v>388</v>
      </c>
      <c r="N373" s="109" t="s">
        <v>30</v>
      </c>
      <c r="O373" s="109" t="s">
        <v>386</v>
      </c>
      <c r="P373" s="109" t="s">
        <v>826</v>
      </c>
      <c r="Q373" s="109" t="s">
        <v>1163</v>
      </c>
      <c r="R373" s="109" t="s">
        <v>286</v>
      </c>
      <c r="S373" s="83" t="str">
        <f t="shared" si="38"/>
        <v>B1643H</v>
      </c>
      <c r="T373" s="83" t="str">
        <f t="shared" si="35"/>
        <v>RAVEN</v>
      </c>
      <c r="Y373" s="60">
        <f t="shared" si="39"/>
        <v>31</v>
      </c>
      <c r="Z373" s="49">
        <f t="shared" si="40"/>
        <v>146</v>
      </c>
      <c r="AA373" s="60">
        <f t="shared" si="41"/>
        <v>31146</v>
      </c>
    </row>
    <row r="374" spans="1:27">
      <c r="A374" s="83" t="str">
        <f t="shared" si="36"/>
        <v>B1646Hblack</v>
      </c>
      <c r="B374" s="83" t="str">
        <f t="shared" si="37"/>
        <v>31-120-09</v>
      </c>
      <c r="C374" s="109" t="s">
        <v>2023</v>
      </c>
      <c r="D374" s="109" t="s">
        <v>2024</v>
      </c>
      <c r="E374" s="109" t="s">
        <v>793</v>
      </c>
      <c r="F374" s="110">
        <v>0</v>
      </c>
      <c r="G374" s="109" t="s">
        <v>1525</v>
      </c>
      <c r="H374" s="109" t="s">
        <v>53</v>
      </c>
      <c r="I374" s="109" t="s">
        <v>785</v>
      </c>
      <c r="J374" s="109" t="s">
        <v>330</v>
      </c>
      <c r="K374" s="109" t="s">
        <v>387</v>
      </c>
      <c r="L374" s="109" t="s">
        <v>523</v>
      </c>
      <c r="M374" s="109" t="s">
        <v>388</v>
      </c>
      <c r="N374" s="109" t="s">
        <v>30</v>
      </c>
      <c r="O374" s="109" t="s">
        <v>386</v>
      </c>
      <c r="P374" s="109" t="s">
        <v>827</v>
      </c>
      <c r="Q374" s="109" t="s">
        <v>831</v>
      </c>
      <c r="R374" s="109" t="s">
        <v>53</v>
      </c>
      <c r="S374" s="83" t="str">
        <f t="shared" si="38"/>
        <v>B1646H</v>
      </c>
      <c r="T374" s="83" t="str">
        <f t="shared" si="35"/>
        <v>HAYDEN</v>
      </c>
      <c r="Y374" s="60">
        <f t="shared" si="39"/>
        <v>31</v>
      </c>
      <c r="Z374" s="49">
        <f t="shared" si="40"/>
        <v>120</v>
      </c>
      <c r="AA374" s="60">
        <f t="shared" si="41"/>
        <v>31120</v>
      </c>
    </row>
    <row r="375" spans="1:27">
      <c r="A375" s="83" t="str">
        <f t="shared" si="36"/>
        <v>B1646Hcranberry</v>
      </c>
      <c r="B375" s="83" t="str">
        <f t="shared" si="37"/>
        <v>31-120-12</v>
      </c>
      <c r="C375" s="109" t="s">
        <v>2025</v>
      </c>
      <c r="D375" s="109" t="s">
        <v>2026</v>
      </c>
      <c r="E375" s="109" t="s">
        <v>793</v>
      </c>
      <c r="F375" s="110">
        <v>0</v>
      </c>
      <c r="G375" s="109" t="s">
        <v>1525</v>
      </c>
      <c r="H375" s="109" t="s">
        <v>121</v>
      </c>
      <c r="I375" s="109" t="s">
        <v>785</v>
      </c>
      <c r="J375" s="109" t="s">
        <v>330</v>
      </c>
      <c r="K375" s="109" t="s">
        <v>387</v>
      </c>
      <c r="L375" s="109" t="s">
        <v>523</v>
      </c>
      <c r="M375" s="109" t="s">
        <v>388</v>
      </c>
      <c r="N375" s="109" t="s">
        <v>30</v>
      </c>
      <c r="O375" s="109" t="s">
        <v>386</v>
      </c>
      <c r="P375" s="109" t="s">
        <v>827</v>
      </c>
      <c r="Q375" s="109" t="s">
        <v>1168</v>
      </c>
      <c r="R375" s="109" t="s">
        <v>121</v>
      </c>
      <c r="S375" s="83" t="str">
        <f t="shared" si="38"/>
        <v>B1646H</v>
      </c>
      <c r="T375" s="83" t="str">
        <f t="shared" si="35"/>
        <v>HAYDEN</v>
      </c>
      <c r="Y375" s="60">
        <f t="shared" si="39"/>
        <v>31</v>
      </c>
      <c r="Z375" s="49">
        <f t="shared" si="40"/>
        <v>120</v>
      </c>
      <c r="AA375" s="60">
        <f t="shared" si="41"/>
        <v>31120</v>
      </c>
    </row>
    <row r="376" spans="1:27">
      <c r="A376" s="83" t="str">
        <f t="shared" si="36"/>
        <v>B1655Hbord/black</v>
      </c>
      <c r="B376" s="83" t="str">
        <f t="shared" si="37"/>
        <v>31-122-12</v>
      </c>
      <c r="C376" s="109" t="s">
        <v>2027</v>
      </c>
      <c r="D376" s="109" t="s">
        <v>2028</v>
      </c>
      <c r="E376" s="109" t="s">
        <v>793</v>
      </c>
      <c r="F376" s="110">
        <v>0</v>
      </c>
      <c r="G376" s="109" t="s">
        <v>2029</v>
      </c>
      <c r="H376" s="109" t="s">
        <v>125</v>
      </c>
      <c r="I376" s="109" t="s">
        <v>785</v>
      </c>
      <c r="J376" s="109" t="s">
        <v>330</v>
      </c>
      <c r="K376" s="109" t="s">
        <v>387</v>
      </c>
      <c r="L376" s="109" t="s">
        <v>523</v>
      </c>
      <c r="M376" s="109" t="s">
        <v>388</v>
      </c>
      <c r="N376" s="109" t="s">
        <v>30</v>
      </c>
      <c r="O376" s="109" t="s">
        <v>386</v>
      </c>
      <c r="P376" s="109" t="s">
        <v>826</v>
      </c>
      <c r="Q376" s="109" t="s">
        <v>2030</v>
      </c>
      <c r="R376" s="109" t="s">
        <v>121</v>
      </c>
      <c r="S376" s="83" t="str">
        <f t="shared" si="38"/>
        <v>B1655H</v>
      </c>
      <c r="T376" s="83" t="str">
        <f t="shared" si="35"/>
        <v>GERTRUDE</v>
      </c>
      <c r="Y376" s="60">
        <f t="shared" si="39"/>
        <v>31</v>
      </c>
      <c r="Z376" s="49">
        <f t="shared" si="40"/>
        <v>122</v>
      </c>
      <c r="AA376" s="60">
        <f t="shared" si="41"/>
        <v>31122</v>
      </c>
    </row>
    <row r="377" spans="1:27">
      <c r="A377" s="83" t="str">
        <f t="shared" si="36"/>
        <v>B545Hemerald</v>
      </c>
      <c r="B377" s="83" t="str">
        <f t="shared" si="37"/>
        <v>31-037-11</v>
      </c>
      <c r="C377" s="109" t="s">
        <v>2031</v>
      </c>
      <c r="D377" s="109" t="s">
        <v>2032</v>
      </c>
      <c r="E377" s="109" t="s">
        <v>793</v>
      </c>
      <c r="F377" s="110">
        <v>0</v>
      </c>
      <c r="G377" s="109" t="s">
        <v>1178</v>
      </c>
      <c r="H377" s="109" t="s">
        <v>60</v>
      </c>
      <c r="I377" s="109" t="s">
        <v>785</v>
      </c>
      <c r="J377" s="109" t="s">
        <v>357</v>
      </c>
      <c r="K377" s="109" t="s">
        <v>387</v>
      </c>
      <c r="L377" s="109" t="s">
        <v>523</v>
      </c>
      <c r="M377" s="109" t="s">
        <v>388</v>
      </c>
      <c r="N377" s="109" t="s">
        <v>30</v>
      </c>
      <c r="O377" s="109" t="s">
        <v>386</v>
      </c>
      <c r="P377" s="109" t="s">
        <v>826</v>
      </c>
      <c r="Q377" s="109" t="s">
        <v>2033</v>
      </c>
      <c r="R377" s="109" t="s">
        <v>60</v>
      </c>
      <c r="S377" s="83" t="str">
        <f t="shared" si="38"/>
        <v>B545H</v>
      </c>
      <c r="T377" s="83" t="str">
        <f t="shared" si="35"/>
        <v>ALEXANDRITE</v>
      </c>
      <c r="Y377" s="60">
        <f t="shared" si="39"/>
        <v>31</v>
      </c>
      <c r="Z377" s="49">
        <f t="shared" si="40"/>
        <v>37</v>
      </c>
      <c r="AA377" s="60">
        <f t="shared" si="41"/>
        <v>31037</v>
      </c>
    </row>
    <row r="378" spans="1:27">
      <c r="A378" s="83" t="str">
        <f t="shared" si="36"/>
        <v>B1521Hwalnut</v>
      </c>
      <c r="B378" s="83" t="str">
        <f t="shared" si="37"/>
        <v>31-115-14</v>
      </c>
      <c r="C378" s="109" t="s">
        <v>2034</v>
      </c>
      <c r="D378" s="109" t="s">
        <v>2035</v>
      </c>
      <c r="E378" s="109" t="s">
        <v>798</v>
      </c>
      <c r="F378" s="110">
        <v>56</v>
      </c>
      <c r="G378" s="109" t="s">
        <v>2036</v>
      </c>
      <c r="H378" s="109" t="s">
        <v>86</v>
      </c>
      <c r="I378" s="109" t="s">
        <v>785</v>
      </c>
      <c r="J378" s="109" t="s">
        <v>323</v>
      </c>
      <c r="K378" s="109" t="s">
        <v>387</v>
      </c>
      <c r="L378" s="109" t="s">
        <v>523</v>
      </c>
      <c r="M378" s="109" t="s">
        <v>388</v>
      </c>
      <c r="N378" s="109" t="s">
        <v>44</v>
      </c>
      <c r="O378" s="109" t="s">
        <v>445</v>
      </c>
      <c r="P378" s="109" t="s">
        <v>826</v>
      </c>
      <c r="Q378" s="109" t="s">
        <v>886</v>
      </c>
      <c r="R378" s="109" t="s">
        <v>86</v>
      </c>
      <c r="S378" s="83" t="str">
        <f t="shared" si="38"/>
        <v>B1521H</v>
      </c>
      <c r="T378" s="83" t="str">
        <f t="shared" si="35"/>
        <v>CINDY</v>
      </c>
      <c r="Y378" s="60">
        <f t="shared" si="39"/>
        <v>31</v>
      </c>
      <c r="Z378" s="49">
        <f t="shared" si="40"/>
        <v>115</v>
      </c>
      <c r="AA378" s="60">
        <f t="shared" si="41"/>
        <v>31115</v>
      </c>
    </row>
    <row r="379" spans="1:27">
      <c r="A379" s="83" t="str">
        <f t="shared" si="36"/>
        <v>B1639Hblack</v>
      </c>
      <c r="B379" s="83" t="str">
        <f t="shared" si="37"/>
        <v>31-119-09</v>
      </c>
      <c r="C379" s="109" t="s">
        <v>2037</v>
      </c>
      <c r="D379" s="109" t="s">
        <v>2038</v>
      </c>
      <c r="E379" s="109" t="s">
        <v>793</v>
      </c>
      <c r="F379" s="110">
        <v>0</v>
      </c>
      <c r="G379" s="109" t="s">
        <v>1522</v>
      </c>
      <c r="H379" s="109" t="s">
        <v>294</v>
      </c>
      <c r="I379" s="109" t="s">
        <v>785</v>
      </c>
      <c r="J379" s="109" t="s">
        <v>357</v>
      </c>
      <c r="K379" s="109" t="s">
        <v>387</v>
      </c>
      <c r="L379" s="109" t="s">
        <v>523</v>
      </c>
      <c r="M379" s="109" t="s">
        <v>388</v>
      </c>
      <c r="N379" s="109" t="s">
        <v>30</v>
      </c>
      <c r="O379" s="109" t="s">
        <v>386</v>
      </c>
      <c r="P379" s="109" t="s">
        <v>827</v>
      </c>
      <c r="Q379" s="109" t="s">
        <v>831</v>
      </c>
      <c r="R379" s="109" t="s">
        <v>53</v>
      </c>
      <c r="S379" s="83" t="str">
        <f t="shared" si="38"/>
        <v>B1639H</v>
      </c>
      <c r="T379" s="83" t="str">
        <f t="shared" si="35"/>
        <v>EMMA</v>
      </c>
      <c r="Y379" s="60">
        <f t="shared" si="39"/>
        <v>31</v>
      </c>
      <c r="Z379" s="49">
        <f t="shared" si="40"/>
        <v>119</v>
      </c>
      <c r="AA379" s="60">
        <f t="shared" si="41"/>
        <v>31119</v>
      </c>
    </row>
    <row r="380" spans="1:27">
      <c r="A380" s="83" t="str">
        <f t="shared" si="36"/>
        <v>B1646Hcamel</v>
      </c>
      <c r="B380" s="83" t="str">
        <f t="shared" si="37"/>
        <v>31-120-02</v>
      </c>
      <c r="C380" s="109" t="s">
        <v>2039</v>
      </c>
      <c r="D380" s="109" t="s">
        <v>2040</v>
      </c>
      <c r="E380" s="109" t="s">
        <v>793</v>
      </c>
      <c r="F380" s="110">
        <v>0</v>
      </c>
      <c r="G380" s="109" t="s">
        <v>1525</v>
      </c>
      <c r="H380" s="109" t="s">
        <v>63</v>
      </c>
      <c r="I380" s="109" t="s">
        <v>785</v>
      </c>
      <c r="J380" s="109" t="s">
        <v>323</v>
      </c>
      <c r="K380" s="109" t="s">
        <v>387</v>
      </c>
      <c r="L380" s="109" t="s">
        <v>523</v>
      </c>
      <c r="M380" s="109" t="s">
        <v>388</v>
      </c>
      <c r="N380" s="109" t="s">
        <v>30</v>
      </c>
      <c r="O380" s="109" t="s">
        <v>386</v>
      </c>
      <c r="P380" s="109" t="s">
        <v>827</v>
      </c>
      <c r="Q380" s="109" t="s">
        <v>834</v>
      </c>
      <c r="R380" s="109" t="s">
        <v>63</v>
      </c>
      <c r="S380" s="83" t="str">
        <f t="shared" si="38"/>
        <v>B1646H</v>
      </c>
      <c r="T380" s="83" t="str">
        <f t="shared" si="35"/>
        <v>HAYDEN</v>
      </c>
      <c r="Y380" s="60">
        <f t="shared" si="39"/>
        <v>31</v>
      </c>
      <c r="Z380" s="49">
        <f t="shared" si="40"/>
        <v>120</v>
      </c>
      <c r="AA380" s="60">
        <f t="shared" si="41"/>
        <v>31120</v>
      </c>
    </row>
    <row r="381" spans="1:27">
      <c r="A381" s="83" t="str">
        <f t="shared" si="36"/>
        <v>B1652Hroyal blue</v>
      </c>
      <c r="B381" s="83" t="str">
        <f t="shared" si="37"/>
        <v>31-121-06</v>
      </c>
      <c r="C381" s="109" t="s">
        <v>2041</v>
      </c>
      <c r="D381" s="109" t="s">
        <v>2042</v>
      </c>
      <c r="E381" s="109" t="s">
        <v>793</v>
      </c>
      <c r="F381" s="110">
        <v>0</v>
      </c>
      <c r="G381" s="109" t="s">
        <v>2043</v>
      </c>
      <c r="H381" s="109" t="s">
        <v>71</v>
      </c>
      <c r="I381" s="109" t="s">
        <v>2044</v>
      </c>
      <c r="J381" s="109" t="s">
        <v>348</v>
      </c>
      <c r="K381" s="109" t="s">
        <v>387</v>
      </c>
      <c r="L381" s="109" t="s">
        <v>523</v>
      </c>
      <c r="M381" s="109" t="s">
        <v>388</v>
      </c>
      <c r="O381" s="109" t="s">
        <v>386</v>
      </c>
      <c r="P381" s="109" t="s">
        <v>826</v>
      </c>
      <c r="Q381" s="109" t="s">
        <v>2045</v>
      </c>
      <c r="R381" s="109" t="s">
        <v>71</v>
      </c>
      <c r="S381" s="83" t="str">
        <f t="shared" si="38"/>
        <v>B1652H</v>
      </c>
      <c r="T381" s="83" t="str">
        <f t="shared" si="35"/>
        <v>CAMERON</v>
      </c>
      <c r="Y381" s="60">
        <f t="shared" si="39"/>
        <v>31</v>
      </c>
      <c r="Z381" s="49">
        <f t="shared" si="40"/>
        <v>121</v>
      </c>
      <c r="AA381" s="60">
        <f t="shared" si="41"/>
        <v>31121</v>
      </c>
    </row>
    <row r="382" spans="1:27">
      <c r="A382" s="83" t="str">
        <f t="shared" si="36"/>
        <v>B1655Hblack/bord</v>
      </c>
      <c r="B382" s="83" t="str">
        <f t="shared" si="37"/>
        <v>31-122-09</v>
      </c>
      <c r="C382" s="109" t="s">
        <v>2046</v>
      </c>
      <c r="D382" s="109" t="s">
        <v>2047</v>
      </c>
      <c r="E382" s="109" t="s">
        <v>793</v>
      </c>
      <c r="F382" s="110">
        <v>0</v>
      </c>
      <c r="G382" s="109" t="s">
        <v>2029</v>
      </c>
      <c r="H382" s="109" t="s">
        <v>294</v>
      </c>
      <c r="I382" s="109" t="s">
        <v>785</v>
      </c>
      <c r="J382" s="109" t="s">
        <v>330</v>
      </c>
      <c r="K382" s="109" t="s">
        <v>387</v>
      </c>
      <c r="L382" s="109" t="s">
        <v>523</v>
      </c>
      <c r="M382" s="109" t="s">
        <v>388</v>
      </c>
      <c r="N382" s="109" t="s">
        <v>30</v>
      </c>
      <c r="O382" s="109" t="s">
        <v>386</v>
      </c>
      <c r="P382" s="109" t="s">
        <v>826</v>
      </c>
      <c r="Q382" s="109" t="s">
        <v>2048</v>
      </c>
      <c r="R382" s="109" t="s">
        <v>53</v>
      </c>
      <c r="S382" s="83" t="str">
        <f t="shared" si="38"/>
        <v>B1655H</v>
      </c>
      <c r="T382" s="83" t="str">
        <f t="shared" si="35"/>
        <v>GERTRUDE</v>
      </c>
      <c r="Y382" s="60">
        <f t="shared" si="39"/>
        <v>31</v>
      </c>
      <c r="Z382" s="49">
        <f t="shared" si="40"/>
        <v>122</v>
      </c>
      <c r="AA382" s="60">
        <f t="shared" si="41"/>
        <v>31122</v>
      </c>
    </row>
    <row r="383" spans="1:27">
      <c r="A383" s="83" t="str">
        <f t="shared" si="36"/>
        <v>B1666Hnavy</v>
      </c>
      <c r="B383" s="83" t="str">
        <f t="shared" si="37"/>
        <v>31-123-16</v>
      </c>
      <c r="C383" s="109" t="s">
        <v>2049</v>
      </c>
      <c r="D383" s="109" t="s">
        <v>2050</v>
      </c>
      <c r="E383" s="109" t="s">
        <v>791</v>
      </c>
      <c r="F383" s="110">
        <v>58</v>
      </c>
      <c r="G383" s="109" t="s">
        <v>2051</v>
      </c>
      <c r="H383" s="109" t="s">
        <v>55</v>
      </c>
      <c r="I383" s="109" t="s">
        <v>794</v>
      </c>
      <c r="J383" s="109" t="s">
        <v>348</v>
      </c>
      <c r="K383" s="109" t="s">
        <v>387</v>
      </c>
      <c r="L383" s="109" t="s">
        <v>523</v>
      </c>
      <c r="M383" s="109" t="s">
        <v>388</v>
      </c>
      <c r="O383" s="109" t="s">
        <v>386</v>
      </c>
      <c r="P383" s="109" t="s">
        <v>826</v>
      </c>
      <c r="Q383" s="109" t="s">
        <v>829</v>
      </c>
      <c r="R383" s="109" t="s">
        <v>71</v>
      </c>
      <c r="S383" s="83" t="str">
        <f t="shared" si="38"/>
        <v>B1666H</v>
      </c>
      <c r="T383" s="83" t="str">
        <f t="shared" si="35"/>
        <v>MULHOUSE</v>
      </c>
      <c r="Y383" s="60">
        <f t="shared" si="39"/>
        <v>31</v>
      </c>
      <c r="Z383" s="49">
        <f t="shared" si="40"/>
        <v>123</v>
      </c>
      <c r="AA383" s="60">
        <f t="shared" si="41"/>
        <v>31123</v>
      </c>
    </row>
    <row r="384" spans="1:27">
      <c r="A384" s="83" t="str">
        <f t="shared" si="36"/>
        <v>B1666Hnavy</v>
      </c>
      <c r="B384" s="83" t="str">
        <f t="shared" si="37"/>
        <v>31-123-16</v>
      </c>
      <c r="C384" s="109" t="s">
        <v>2052</v>
      </c>
      <c r="D384" s="109" t="s">
        <v>2050</v>
      </c>
      <c r="E384" s="109" t="s">
        <v>793</v>
      </c>
      <c r="F384" s="110">
        <v>0</v>
      </c>
      <c r="G384" s="109" t="s">
        <v>2051</v>
      </c>
      <c r="H384" s="109" t="s">
        <v>55</v>
      </c>
      <c r="I384" s="109" t="s">
        <v>794</v>
      </c>
      <c r="J384" s="109" t="s">
        <v>348</v>
      </c>
      <c r="K384" s="109" t="s">
        <v>387</v>
      </c>
      <c r="L384" s="109" t="s">
        <v>523</v>
      </c>
      <c r="M384" s="109" t="s">
        <v>388</v>
      </c>
      <c r="O384" s="109" t="s">
        <v>386</v>
      </c>
      <c r="P384" s="109" t="s">
        <v>826</v>
      </c>
      <c r="Q384" s="109" t="s">
        <v>829</v>
      </c>
      <c r="R384" s="109" t="s">
        <v>71</v>
      </c>
      <c r="S384" s="83" t="str">
        <f t="shared" si="38"/>
        <v>B1666H</v>
      </c>
      <c r="T384" s="83" t="str">
        <f t="shared" si="35"/>
        <v>MULHOUSE</v>
      </c>
      <c r="Y384" s="60">
        <f t="shared" si="39"/>
        <v>31</v>
      </c>
      <c r="Z384" s="49">
        <f t="shared" si="40"/>
        <v>123</v>
      </c>
      <c r="AA384" s="60">
        <f t="shared" si="41"/>
        <v>31123</v>
      </c>
    </row>
    <row r="385" spans="1:27">
      <c r="A385" s="83" t="str">
        <f t="shared" si="36"/>
        <v>B1671Hblack</v>
      </c>
      <c r="B385" s="83" t="str">
        <f t="shared" si="37"/>
        <v>31-124-09</v>
      </c>
      <c r="C385" s="109" t="s">
        <v>2053</v>
      </c>
      <c r="D385" s="109" t="s">
        <v>2054</v>
      </c>
      <c r="E385" s="109" t="s">
        <v>798</v>
      </c>
      <c r="F385" s="110">
        <v>56</v>
      </c>
      <c r="G385" s="109" t="s">
        <v>2055</v>
      </c>
      <c r="H385" s="109" t="s">
        <v>53</v>
      </c>
      <c r="I385" s="109" t="s">
        <v>785</v>
      </c>
      <c r="J385" s="109" t="s">
        <v>330</v>
      </c>
      <c r="K385" s="109" t="s">
        <v>387</v>
      </c>
      <c r="L385" s="109" t="s">
        <v>523</v>
      </c>
      <c r="M385" s="109" t="s">
        <v>388</v>
      </c>
      <c r="N385" s="109" t="s">
        <v>30</v>
      </c>
      <c r="O385" s="109" t="s">
        <v>445</v>
      </c>
      <c r="P385" s="109" t="s">
        <v>827</v>
      </c>
      <c r="Q385" s="109" t="s">
        <v>831</v>
      </c>
      <c r="R385" s="109" t="s">
        <v>53</v>
      </c>
      <c r="S385" s="83" t="str">
        <f t="shared" si="38"/>
        <v>B1671H</v>
      </c>
      <c r="T385" s="83" t="str">
        <f t="shared" si="35"/>
        <v>TESSA</v>
      </c>
      <c r="Y385" s="60">
        <f t="shared" si="39"/>
        <v>31</v>
      </c>
      <c r="Z385" s="49">
        <f t="shared" si="40"/>
        <v>124</v>
      </c>
      <c r="AA385" s="60">
        <f t="shared" si="41"/>
        <v>31124</v>
      </c>
    </row>
    <row r="386" spans="1:27">
      <c r="A386" s="83" t="str">
        <f t="shared" si="36"/>
        <v>B1671Hblack</v>
      </c>
      <c r="B386" s="83" t="str">
        <f t="shared" si="37"/>
        <v>31-124-09</v>
      </c>
      <c r="C386" s="109" t="s">
        <v>2056</v>
      </c>
      <c r="D386" s="109" t="s">
        <v>2054</v>
      </c>
      <c r="E386" s="109" t="s">
        <v>791</v>
      </c>
      <c r="F386" s="110">
        <v>58</v>
      </c>
      <c r="G386" s="109" t="s">
        <v>2055</v>
      </c>
      <c r="H386" s="109" t="s">
        <v>53</v>
      </c>
      <c r="I386" s="109" t="s">
        <v>785</v>
      </c>
      <c r="J386" s="109" t="s">
        <v>330</v>
      </c>
      <c r="K386" s="109" t="s">
        <v>387</v>
      </c>
      <c r="L386" s="109" t="s">
        <v>523</v>
      </c>
      <c r="M386" s="109" t="s">
        <v>388</v>
      </c>
      <c r="N386" s="109" t="s">
        <v>30</v>
      </c>
      <c r="O386" s="109" t="s">
        <v>445</v>
      </c>
      <c r="P386" s="109" t="s">
        <v>827</v>
      </c>
      <c r="Q386" s="109" t="s">
        <v>831</v>
      </c>
      <c r="R386" s="109" t="s">
        <v>53</v>
      </c>
      <c r="S386" s="83" t="str">
        <f t="shared" si="38"/>
        <v>B1671H</v>
      </c>
      <c r="T386" s="83" t="str">
        <f t="shared" ref="T386:T449" si="42">IF(A386&lt;&gt;"",IF(FIND(" ",G386)&gt;=1,MID(G386,FIND(" ",G386)+1,LEN(G386)),""),"")</f>
        <v>TESSA</v>
      </c>
      <c r="Y386" s="60">
        <f t="shared" si="39"/>
        <v>31</v>
      </c>
      <c r="Z386" s="49">
        <f t="shared" si="40"/>
        <v>124</v>
      </c>
      <c r="AA386" s="60">
        <f t="shared" si="41"/>
        <v>31124</v>
      </c>
    </row>
    <row r="387" spans="1:27">
      <c r="A387" s="83" t="str">
        <f t="shared" ref="A387:A450" si="43">IF(G387&amp;Q387&lt;&gt;"",S387&amp;Q387,"")</f>
        <v>B1674Hnavy</v>
      </c>
      <c r="B387" s="83" t="str">
        <f t="shared" ref="B387:B450" si="44">IF(C387&lt;&gt;"",LEFT(C387,9),"")</f>
        <v>31-125-16</v>
      </c>
      <c r="C387" s="109" t="s">
        <v>2057</v>
      </c>
      <c r="D387" s="109" t="s">
        <v>2058</v>
      </c>
      <c r="E387" s="109" t="s">
        <v>798</v>
      </c>
      <c r="F387" s="110">
        <v>56</v>
      </c>
      <c r="G387" s="109" t="s">
        <v>2059</v>
      </c>
      <c r="H387" s="109" t="s">
        <v>55</v>
      </c>
      <c r="I387" s="109" t="s">
        <v>785</v>
      </c>
      <c r="J387" s="109" t="s">
        <v>330</v>
      </c>
      <c r="K387" s="109" t="s">
        <v>387</v>
      </c>
      <c r="L387" s="109" t="s">
        <v>523</v>
      </c>
      <c r="M387" s="109" t="s">
        <v>388</v>
      </c>
      <c r="N387" s="109" t="s">
        <v>30</v>
      </c>
      <c r="O387" s="109" t="s">
        <v>445</v>
      </c>
      <c r="P387" s="109" t="s">
        <v>826</v>
      </c>
      <c r="Q387" s="109" t="s">
        <v>829</v>
      </c>
      <c r="R387" s="109" t="s">
        <v>71</v>
      </c>
      <c r="S387" s="83" t="str">
        <f t="shared" ref="S387:S450" si="45">IF(G387&lt;&gt;"",IF(FIND(" ",G387)&gt;=1,MID(G387,1,FIND(" ",G387)-1),G387),"")</f>
        <v>B1674H</v>
      </c>
      <c r="T387" s="83" t="str">
        <f t="shared" si="42"/>
        <v>COLLEEN</v>
      </c>
      <c r="Y387" s="60">
        <f t="shared" ref="Y387:Y450" si="46">IFERROR(VALUE(MID($C387,1,2)),0)</f>
        <v>31</v>
      </c>
      <c r="Z387" s="49">
        <f t="shared" ref="Z387:Z450" si="47">IFERROR(VALUE(MID($C387,4,3)),0)</f>
        <v>125</v>
      </c>
      <c r="AA387" s="60">
        <f t="shared" ref="AA387:AA450" si="48">VALUE(RIGHT("00"&amp;Y387,2)&amp;RIGHT("000"&amp;Z387,3))</f>
        <v>31125</v>
      </c>
    </row>
    <row r="388" spans="1:27">
      <c r="A388" s="83" t="str">
        <f t="shared" si="43"/>
        <v>B1676Hcamel</v>
      </c>
      <c r="B388" s="83" t="str">
        <f t="shared" si="44"/>
        <v>31-126-02</v>
      </c>
      <c r="C388" s="109" t="s">
        <v>2060</v>
      </c>
      <c r="D388" s="109" t="s">
        <v>2061</v>
      </c>
      <c r="E388" s="109" t="s">
        <v>798</v>
      </c>
      <c r="F388" s="110">
        <v>56</v>
      </c>
      <c r="G388" s="109" t="s">
        <v>2062</v>
      </c>
      <c r="H388" s="109" t="s">
        <v>63</v>
      </c>
      <c r="I388" s="109" t="s">
        <v>785</v>
      </c>
      <c r="J388" s="109" t="s">
        <v>357</v>
      </c>
      <c r="K388" s="109" t="s">
        <v>387</v>
      </c>
      <c r="L388" s="109" t="s">
        <v>523</v>
      </c>
      <c r="M388" s="109" t="s">
        <v>388</v>
      </c>
      <c r="N388" s="109" t="s">
        <v>30</v>
      </c>
      <c r="O388" s="109" t="s">
        <v>445</v>
      </c>
      <c r="P388" s="109" t="s">
        <v>826</v>
      </c>
      <c r="Q388" s="109" t="s">
        <v>834</v>
      </c>
      <c r="R388" s="109" t="s">
        <v>63</v>
      </c>
      <c r="S388" s="83" t="str">
        <f t="shared" si="45"/>
        <v>B1676H</v>
      </c>
      <c r="T388" s="83" t="str">
        <f t="shared" si="42"/>
        <v>EVELYN</v>
      </c>
      <c r="Y388" s="60">
        <f t="shared" si="46"/>
        <v>31</v>
      </c>
      <c r="Z388" s="49">
        <f t="shared" si="47"/>
        <v>126</v>
      </c>
      <c r="AA388" s="60">
        <f t="shared" si="48"/>
        <v>31126</v>
      </c>
    </row>
    <row r="389" spans="1:27">
      <c r="A389" s="83" t="str">
        <f t="shared" si="43"/>
        <v>B1688Hblack</v>
      </c>
      <c r="B389" s="83" t="str">
        <f t="shared" si="44"/>
        <v>31-127-09</v>
      </c>
      <c r="C389" s="109" t="s">
        <v>2063</v>
      </c>
      <c r="D389" s="109" t="s">
        <v>2064</v>
      </c>
      <c r="E389" s="109" t="s">
        <v>793</v>
      </c>
      <c r="F389" s="110">
        <v>0</v>
      </c>
      <c r="G389" s="109" t="s">
        <v>1707</v>
      </c>
      <c r="H389" s="109" t="s">
        <v>53</v>
      </c>
      <c r="I389" s="109" t="s">
        <v>785</v>
      </c>
      <c r="J389" s="109" t="s">
        <v>323</v>
      </c>
      <c r="K389" s="109" t="s">
        <v>387</v>
      </c>
      <c r="L389" s="109" t="s">
        <v>523</v>
      </c>
      <c r="M389" s="109" t="s">
        <v>388</v>
      </c>
      <c r="N389" s="109" t="s">
        <v>30</v>
      </c>
      <c r="O389" s="109" t="s">
        <v>386</v>
      </c>
      <c r="P389" s="109" t="s">
        <v>827</v>
      </c>
      <c r="Q389" s="109" t="s">
        <v>831</v>
      </c>
      <c r="R389" s="109" t="s">
        <v>53</v>
      </c>
      <c r="S389" s="83" t="str">
        <f t="shared" si="45"/>
        <v>B1688H</v>
      </c>
      <c r="T389" s="83" t="str">
        <f t="shared" si="42"/>
        <v>MARSIELLE</v>
      </c>
      <c r="Y389" s="60">
        <f t="shared" si="46"/>
        <v>31</v>
      </c>
      <c r="Z389" s="49">
        <f t="shared" si="47"/>
        <v>127</v>
      </c>
      <c r="AA389" s="60">
        <f t="shared" si="48"/>
        <v>31127</v>
      </c>
    </row>
    <row r="390" spans="1:27">
      <c r="A390" s="83" t="str">
        <f t="shared" si="43"/>
        <v>B166melon</v>
      </c>
      <c r="B390" s="83" t="str">
        <f t="shared" si="44"/>
        <v>31-083-86</v>
      </c>
      <c r="C390" s="109" t="s">
        <v>2065</v>
      </c>
      <c r="D390" s="109" t="s">
        <v>2066</v>
      </c>
      <c r="E390" s="109" t="s">
        <v>793</v>
      </c>
      <c r="F390" s="110">
        <v>0</v>
      </c>
      <c r="G390" s="109" t="s">
        <v>965</v>
      </c>
      <c r="H390" s="109" t="s">
        <v>276</v>
      </c>
      <c r="I390" s="109" t="s">
        <v>966</v>
      </c>
      <c r="J390" s="109" t="s">
        <v>323</v>
      </c>
      <c r="K390" s="109" t="s">
        <v>387</v>
      </c>
      <c r="L390" s="109" t="s">
        <v>523</v>
      </c>
      <c r="M390" s="109" t="s">
        <v>384</v>
      </c>
      <c r="N390" s="109" t="s">
        <v>36</v>
      </c>
      <c r="O390" s="109" t="s">
        <v>386</v>
      </c>
      <c r="P390" s="109" t="s">
        <v>826</v>
      </c>
      <c r="Q390" s="109" t="s">
        <v>2067</v>
      </c>
      <c r="R390" s="109" t="s">
        <v>68</v>
      </c>
      <c r="S390" s="83" t="str">
        <f t="shared" si="45"/>
        <v>B166</v>
      </c>
      <c r="T390" s="83" t="str">
        <f t="shared" si="42"/>
        <v>CLASSIC ROLL UP</v>
      </c>
      <c r="Y390" s="60">
        <f t="shared" si="46"/>
        <v>31</v>
      </c>
      <c r="Z390" s="49">
        <f t="shared" si="47"/>
        <v>83</v>
      </c>
      <c r="AA390" s="60">
        <f t="shared" si="48"/>
        <v>31083</v>
      </c>
    </row>
    <row r="391" spans="1:27">
      <c r="A391" s="83" t="str">
        <f t="shared" si="43"/>
        <v>B1552Hnavy.natural</v>
      </c>
      <c r="B391" s="83" t="str">
        <f t="shared" si="44"/>
        <v>31-136-95</v>
      </c>
      <c r="C391" s="109" t="s">
        <v>2068</v>
      </c>
      <c r="D391" s="109" t="s">
        <v>2069</v>
      </c>
      <c r="E391" s="109" t="s">
        <v>793</v>
      </c>
      <c r="F391" s="110">
        <v>0</v>
      </c>
      <c r="G391" s="109" t="s">
        <v>1639</v>
      </c>
      <c r="H391" s="109" t="s">
        <v>247</v>
      </c>
      <c r="I391" s="109" t="s">
        <v>891</v>
      </c>
      <c r="J391" s="109" t="s">
        <v>323</v>
      </c>
      <c r="K391" s="109" t="s">
        <v>387</v>
      </c>
      <c r="L391" s="109" t="s">
        <v>523</v>
      </c>
      <c r="M391" s="109" t="s">
        <v>384</v>
      </c>
      <c r="N391" s="109" t="s">
        <v>36</v>
      </c>
      <c r="O391" s="109" t="s">
        <v>386</v>
      </c>
      <c r="P391" s="109" t="s">
        <v>826</v>
      </c>
      <c r="Q391" s="109" t="s">
        <v>932</v>
      </c>
      <c r="R391" s="109" t="s">
        <v>71</v>
      </c>
      <c r="S391" s="83" t="str">
        <f t="shared" si="45"/>
        <v>B1552H</v>
      </c>
      <c r="T391" s="83" t="str">
        <f t="shared" si="42"/>
        <v>JASMINE</v>
      </c>
      <c r="Y391" s="60">
        <f t="shared" si="46"/>
        <v>31</v>
      </c>
      <c r="Z391" s="49">
        <f t="shared" si="47"/>
        <v>136</v>
      </c>
      <c r="AA391" s="60">
        <f t="shared" si="48"/>
        <v>31136</v>
      </c>
    </row>
    <row r="392" spans="1:27">
      <c r="A392" s="83" t="str">
        <f t="shared" si="43"/>
        <v>B1554Hwhite/natural</v>
      </c>
      <c r="B392" s="83" t="str">
        <f t="shared" si="44"/>
        <v>31-135-00</v>
      </c>
      <c r="C392" s="109" t="s">
        <v>2070</v>
      </c>
      <c r="D392" s="109" t="s">
        <v>2071</v>
      </c>
      <c r="E392" s="109" t="s">
        <v>793</v>
      </c>
      <c r="F392" s="110">
        <v>0</v>
      </c>
      <c r="G392" s="109" t="s">
        <v>2072</v>
      </c>
      <c r="H392" s="109" t="s">
        <v>104</v>
      </c>
      <c r="I392" s="109" t="s">
        <v>2073</v>
      </c>
      <c r="J392" s="109" t="s">
        <v>360</v>
      </c>
      <c r="K392" s="109" t="s">
        <v>387</v>
      </c>
      <c r="L392" s="109" t="s">
        <v>523</v>
      </c>
      <c r="M392" s="109" t="s">
        <v>384</v>
      </c>
      <c r="N392" s="109" t="s">
        <v>43</v>
      </c>
      <c r="O392" s="109" t="s">
        <v>386</v>
      </c>
      <c r="P392" s="109" t="s">
        <v>826</v>
      </c>
      <c r="Q392" s="109" t="s">
        <v>2074</v>
      </c>
      <c r="R392" s="109" t="s">
        <v>57</v>
      </c>
      <c r="S392" s="83" t="str">
        <f t="shared" si="45"/>
        <v>B1554H</v>
      </c>
      <c r="T392" s="83" t="str">
        <f t="shared" si="42"/>
        <v>CYNTHIA</v>
      </c>
      <c r="Y392" s="60">
        <f t="shared" si="46"/>
        <v>31</v>
      </c>
      <c r="Z392" s="49">
        <f t="shared" si="47"/>
        <v>135</v>
      </c>
      <c r="AA392" s="60">
        <f t="shared" si="48"/>
        <v>31135</v>
      </c>
    </row>
    <row r="393" spans="1:27">
      <c r="A393" s="83" t="str">
        <f t="shared" si="43"/>
        <v>B1555Hnatural</v>
      </c>
      <c r="B393" s="83" t="str">
        <f t="shared" si="44"/>
        <v>31-137-02</v>
      </c>
      <c r="C393" s="109" t="s">
        <v>2075</v>
      </c>
      <c r="D393" s="109" t="s">
        <v>2076</v>
      </c>
      <c r="E393" s="109" t="s">
        <v>793</v>
      </c>
      <c r="F393" s="110">
        <v>0</v>
      </c>
      <c r="G393" s="109" t="s">
        <v>2077</v>
      </c>
      <c r="H393" s="109" t="s">
        <v>63</v>
      </c>
      <c r="I393" s="109" t="s">
        <v>891</v>
      </c>
      <c r="J393" s="109" t="s">
        <v>330</v>
      </c>
      <c r="K393" s="109" t="s">
        <v>387</v>
      </c>
      <c r="L393" s="109" t="s">
        <v>523</v>
      </c>
      <c r="M393" s="109" t="s">
        <v>384</v>
      </c>
      <c r="N393" s="109" t="s">
        <v>36</v>
      </c>
      <c r="O393" s="109" t="s">
        <v>386</v>
      </c>
      <c r="P393" s="109" t="s">
        <v>826</v>
      </c>
      <c r="Q393" s="109" t="s">
        <v>844</v>
      </c>
      <c r="R393" s="109" t="s">
        <v>63</v>
      </c>
      <c r="S393" s="83" t="str">
        <f t="shared" si="45"/>
        <v>B1555H</v>
      </c>
      <c r="T393" s="83" t="str">
        <f t="shared" si="42"/>
        <v>TIA</v>
      </c>
      <c r="Y393" s="60">
        <f t="shared" si="46"/>
        <v>31</v>
      </c>
      <c r="Z393" s="49">
        <f t="shared" si="47"/>
        <v>137</v>
      </c>
      <c r="AA393" s="60">
        <f t="shared" si="48"/>
        <v>31137</v>
      </c>
    </row>
    <row r="394" spans="1:27">
      <c r="A394" s="83" t="str">
        <f t="shared" si="43"/>
        <v>B176natural</v>
      </c>
      <c r="B394" s="83" t="str">
        <f t="shared" si="44"/>
        <v>31-084-02</v>
      </c>
      <c r="C394" s="109" t="s">
        <v>2078</v>
      </c>
      <c r="D394" s="109" t="s">
        <v>2079</v>
      </c>
      <c r="E394" s="109" t="s">
        <v>793</v>
      </c>
      <c r="F394" s="110">
        <v>0</v>
      </c>
      <c r="G394" s="109" t="s">
        <v>1007</v>
      </c>
      <c r="H394" s="109" t="s">
        <v>63</v>
      </c>
      <c r="I394" s="109" t="s">
        <v>887</v>
      </c>
      <c r="J394" s="109" t="s">
        <v>357</v>
      </c>
      <c r="K394" s="109" t="s">
        <v>387</v>
      </c>
      <c r="L394" s="109" t="s">
        <v>523</v>
      </c>
      <c r="M394" s="109" t="s">
        <v>384</v>
      </c>
      <c r="N394" s="109" t="s">
        <v>36</v>
      </c>
      <c r="O394" s="109" t="s">
        <v>386</v>
      </c>
      <c r="P394" s="109" t="s">
        <v>827</v>
      </c>
      <c r="Q394" s="109" t="s">
        <v>844</v>
      </c>
      <c r="R394" s="109" t="s">
        <v>63</v>
      </c>
      <c r="S394" s="83" t="str">
        <f t="shared" si="45"/>
        <v>B176</v>
      </c>
      <c r="T394" s="83" t="str">
        <f t="shared" si="42"/>
        <v>GOSSAMER</v>
      </c>
      <c r="Y394" s="60">
        <f t="shared" si="46"/>
        <v>31</v>
      </c>
      <c r="Z394" s="49">
        <f t="shared" si="47"/>
        <v>84</v>
      </c>
      <c r="AA394" s="60">
        <f t="shared" si="48"/>
        <v>31084</v>
      </c>
    </row>
    <row r="395" spans="1:27">
      <c r="A395" s="83" t="str">
        <f t="shared" si="43"/>
        <v>B640tiger</v>
      </c>
      <c r="B395" s="83" t="str">
        <f t="shared" si="44"/>
        <v>31-040-35</v>
      </c>
      <c r="C395" s="109" t="s">
        <v>2080</v>
      </c>
      <c r="D395" s="109" t="s">
        <v>2081</v>
      </c>
      <c r="E395" s="109" t="s">
        <v>793</v>
      </c>
      <c r="F395" s="110">
        <v>0</v>
      </c>
      <c r="G395" s="109" t="s">
        <v>2082</v>
      </c>
      <c r="H395" s="109" t="s">
        <v>209</v>
      </c>
      <c r="I395" s="109" t="s">
        <v>2083</v>
      </c>
      <c r="J395" s="109" t="s">
        <v>334</v>
      </c>
      <c r="K395" s="109" t="s">
        <v>387</v>
      </c>
      <c r="L395" s="109" t="s">
        <v>523</v>
      </c>
      <c r="M395" s="109" t="s">
        <v>389</v>
      </c>
      <c r="O395" s="109" t="s">
        <v>386</v>
      </c>
      <c r="P395" s="109" t="s">
        <v>826</v>
      </c>
      <c r="Q395" s="109" t="s">
        <v>2084</v>
      </c>
      <c r="R395" s="109" t="s">
        <v>209</v>
      </c>
      <c r="S395" s="83" t="str">
        <f t="shared" si="45"/>
        <v>B640</v>
      </c>
      <c r="T395" s="83" t="str">
        <f t="shared" si="42"/>
        <v>PRECIOUS PRESENT</v>
      </c>
      <c r="Y395" s="60">
        <f t="shared" si="46"/>
        <v>31</v>
      </c>
      <c r="Z395" s="49">
        <f t="shared" si="47"/>
        <v>40</v>
      </c>
      <c r="AA395" s="60">
        <f t="shared" si="48"/>
        <v>31040</v>
      </c>
    </row>
    <row r="396" spans="1:27">
      <c r="A396" s="83" t="str">
        <f t="shared" si="43"/>
        <v>B992Htiger</v>
      </c>
      <c r="B396" s="83" t="str">
        <f t="shared" si="44"/>
        <v>31-047-35</v>
      </c>
      <c r="C396" s="109" t="s">
        <v>2085</v>
      </c>
      <c r="D396" s="109" t="s">
        <v>2086</v>
      </c>
      <c r="E396" s="109" t="s">
        <v>793</v>
      </c>
      <c r="F396" s="110">
        <v>0</v>
      </c>
      <c r="G396" s="109" t="s">
        <v>2087</v>
      </c>
      <c r="H396" s="109" t="s">
        <v>209</v>
      </c>
      <c r="I396" s="109" t="s">
        <v>2088</v>
      </c>
      <c r="J396" s="109" t="s">
        <v>357</v>
      </c>
      <c r="K396" s="109" t="s">
        <v>387</v>
      </c>
      <c r="L396" s="109" t="s">
        <v>523</v>
      </c>
      <c r="M396" s="109" t="s">
        <v>388</v>
      </c>
      <c r="N396" s="109" t="s">
        <v>44</v>
      </c>
      <c r="O396" s="109" t="s">
        <v>386</v>
      </c>
      <c r="P396" s="109" t="s">
        <v>826</v>
      </c>
      <c r="Q396" s="109" t="s">
        <v>2084</v>
      </c>
      <c r="R396" s="109" t="s">
        <v>209</v>
      </c>
      <c r="S396" s="83" t="str">
        <f t="shared" si="45"/>
        <v>B992H</v>
      </c>
      <c r="T396" s="83" t="str">
        <f t="shared" si="42"/>
        <v>ARLENE</v>
      </c>
      <c r="Y396" s="60">
        <f t="shared" si="46"/>
        <v>31</v>
      </c>
      <c r="Z396" s="49">
        <f t="shared" si="47"/>
        <v>47</v>
      </c>
      <c r="AA396" s="60">
        <f t="shared" si="48"/>
        <v>31047</v>
      </c>
    </row>
    <row r="397" spans="1:27">
      <c r="A397" s="83" t="str">
        <f t="shared" si="43"/>
        <v>B008Hblack</v>
      </c>
      <c r="B397" s="83" t="str">
        <f t="shared" si="44"/>
        <v>31-001-09</v>
      </c>
      <c r="C397" s="109" t="s">
        <v>2089</v>
      </c>
      <c r="D397" s="109" t="s">
        <v>2090</v>
      </c>
      <c r="E397" s="109" t="s">
        <v>793</v>
      </c>
      <c r="F397" s="110">
        <v>0</v>
      </c>
      <c r="G397" s="109" t="s">
        <v>1489</v>
      </c>
      <c r="H397" s="109" t="s">
        <v>53</v>
      </c>
      <c r="I397" s="109" t="s">
        <v>1111</v>
      </c>
      <c r="J397" s="109" t="s">
        <v>348</v>
      </c>
      <c r="K397" s="109" t="s">
        <v>387</v>
      </c>
      <c r="L397" s="109" t="s">
        <v>523</v>
      </c>
      <c r="M397" s="109" t="s">
        <v>388</v>
      </c>
      <c r="N397" s="109" t="s">
        <v>44</v>
      </c>
      <c r="O397" s="109" t="s">
        <v>386</v>
      </c>
      <c r="P397" s="109" t="s">
        <v>827</v>
      </c>
      <c r="Q397" s="109" t="s">
        <v>831</v>
      </c>
      <c r="R397" s="109" t="s">
        <v>53</v>
      </c>
      <c r="S397" s="83" t="str">
        <f t="shared" si="45"/>
        <v>B008H</v>
      </c>
      <c r="T397" s="83" t="str">
        <f t="shared" si="42"/>
        <v>LYDIA</v>
      </c>
      <c r="Y397" s="60">
        <f t="shared" si="46"/>
        <v>31</v>
      </c>
      <c r="Z397" s="49">
        <f t="shared" si="47"/>
        <v>1</v>
      </c>
      <c r="AA397" s="60">
        <f t="shared" si="48"/>
        <v>31001</v>
      </c>
    </row>
    <row r="398" spans="1:27">
      <c r="A398" s="83" t="str">
        <f t="shared" si="43"/>
        <v>B008Hcharcoal</v>
      </c>
      <c r="B398" s="83" t="str">
        <f t="shared" si="44"/>
        <v>31-001-08</v>
      </c>
      <c r="C398" s="109" t="s">
        <v>2091</v>
      </c>
      <c r="D398" s="109" t="s">
        <v>2092</v>
      </c>
      <c r="E398" s="109" t="s">
        <v>793</v>
      </c>
      <c r="F398" s="110">
        <v>0</v>
      </c>
      <c r="G398" s="109" t="s">
        <v>1489</v>
      </c>
      <c r="H398" s="109" t="s">
        <v>83</v>
      </c>
      <c r="I398" s="109" t="s">
        <v>2004</v>
      </c>
      <c r="J398" s="109" t="s">
        <v>348</v>
      </c>
      <c r="K398" s="109" t="s">
        <v>387</v>
      </c>
      <c r="L398" s="109" t="s">
        <v>523</v>
      </c>
      <c r="M398" s="109" t="s">
        <v>388</v>
      </c>
      <c r="O398" s="109" t="s">
        <v>386</v>
      </c>
      <c r="P398" s="109" t="s">
        <v>826</v>
      </c>
      <c r="Q398" s="109" t="s">
        <v>836</v>
      </c>
      <c r="R398" s="109" t="s">
        <v>83</v>
      </c>
      <c r="S398" s="83" t="str">
        <f t="shared" si="45"/>
        <v>B008H</v>
      </c>
      <c r="T398" s="83" t="str">
        <f t="shared" si="42"/>
        <v>LYDIA</v>
      </c>
      <c r="Y398" s="60">
        <f t="shared" si="46"/>
        <v>31</v>
      </c>
      <c r="Z398" s="49">
        <f t="shared" si="47"/>
        <v>1</v>
      </c>
      <c r="AA398" s="60">
        <f t="shared" si="48"/>
        <v>31001</v>
      </c>
    </row>
    <row r="399" spans="1:27">
      <c r="A399" s="83" t="str">
        <f t="shared" si="43"/>
        <v>B008Hscarlet</v>
      </c>
      <c r="B399" s="83" t="str">
        <f t="shared" si="44"/>
        <v>31-001-18</v>
      </c>
      <c r="C399" s="109" t="s">
        <v>2093</v>
      </c>
      <c r="D399" s="109" t="s">
        <v>2094</v>
      </c>
      <c r="E399" s="109" t="s">
        <v>793</v>
      </c>
      <c r="F399" s="110">
        <v>0</v>
      </c>
      <c r="G399" s="109" t="s">
        <v>1489</v>
      </c>
      <c r="H399" s="109" t="s">
        <v>78</v>
      </c>
      <c r="I399" s="109" t="s">
        <v>2004</v>
      </c>
      <c r="J399" s="109" t="s">
        <v>348</v>
      </c>
      <c r="K399" s="109" t="s">
        <v>387</v>
      </c>
      <c r="L399" s="109" t="s">
        <v>523</v>
      </c>
      <c r="M399" s="109" t="s">
        <v>388</v>
      </c>
      <c r="N399" s="109" t="s">
        <v>44</v>
      </c>
      <c r="O399" s="109" t="s">
        <v>386</v>
      </c>
      <c r="P399" s="109" t="s">
        <v>827</v>
      </c>
      <c r="Q399" s="109" t="s">
        <v>896</v>
      </c>
      <c r="R399" s="109" t="s">
        <v>78</v>
      </c>
      <c r="S399" s="83" t="str">
        <f t="shared" si="45"/>
        <v>B008H</v>
      </c>
      <c r="T399" s="83" t="str">
        <f t="shared" si="42"/>
        <v>LYDIA</v>
      </c>
      <c r="Y399" s="60">
        <f t="shared" si="46"/>
        <v>31</v>
      </c>
      <c r="Z399" s="49">
        <f t="shared" si="47"/>
        <v>1</v>
      </c>
      <c r="AA399" s="60">
        <f t="shared" si="48"/>
        <v>31001</v>
      </c>
    </row>
    <row r="400" spans="1:27">
      <c r="A400" s="83" t="str">
        <f t="shared" si="43"/>
        <v>B011Hblack</v>
      </c>
      <c r="B400" s="83" t="str">
        <f t="shared" si="44"/>
        <v>31-002-48</v>
      </c>
      <c r="C400" s="109" t="s">
        <v>2095</v>
      </c>
      <c r="D400" s="109" t="s">
        <v>2096</v>
      </c>
      <c r="E400" s="109" t="s">
        <v>793</v>
      </c>
      <c r="F400" s="110">
        <v>0</v>
      </c>
      <c r="G400" s="109" t="s">
        <v>1080</v>
      </c>
      <c r="H400" s="109" t="s">
        <v>591</v>
      </c>
      <c r="I400" s="109" t="s">
        <v>853</v>
      </c>
      <c r="J400" s="109" t="s">
        <v>348</v>
      </c>
      <c r="K400" s="109" t="s">
        <v>387</v>
      </c>
      <c r="L400" s="109" t="s">
        <v>523</v>
      </c>
      <c r="M400" s="109" t="s">
        <v>388</v>
      </c>
      <c r="N400" s="109" t="s">
        <v>44</v>
      </c>
      <c r="O400" s="109" t="s">
        <v>386</v>
      </c>
      <c r="P400" s="109" t="s">
        <v>827</v>
      </c>
      <c r="Q400" s="109" t="s">
        <v>831</v>
      </c>
      <c r="R400" s="109" t="s">
        <v>53</v>
      </c>
      <c r="S400" s="83" t="str">
        <f t="shared" si="45"/>
        <v>B011H</v>
      </c>
      <c r="T400" s="83" t="str">
        <f t="shared" si="42"/>
        <v>ADELE</v>
      </c>
      <c r="Y400" s="60">
        <f t="shared" si="46"/>
        <v>31</v>
      </c>
      <c r="Z400" s="49">
        <f t="shared" si="47"/>
        <v>2</v>
      </c>
      <c r="AA400" s="60">
        <f t="shared" si="48"/>
        <v>31002</v>
      </c>
    </row>
    <row r="401" spans="1:27">
      <c r="A401" s="83" t="str">
        <f t="shared" si="43"/>
        <v>B011Hherringbone</v>
      </c>
      <c r="B401" s="83" t="str">
        <f t="shared" si="44"/>
        <v>31-002-09</v>
      </c>
      <c r="C401" s="109" t="s">
        <v>2097</v>
      </c>
      <c r="D401" s="109" t="s">
        <v>2098</v>
      </c>
      <c r="E401" s="109" t="s">
        <v>793</v>
      </c>
      <c r="F401" s="110">
        <v>0</v>
      </c>
      <c r="G401" s="109" t="s">
        <v>1080</v>
      </c>
      <c r="H401" s="109" t="s">
        <v>293</v>
      </c>
      <c r="I401" s="109" t="s">
        <v>853</v>
      </c>
      <c r="J401" s="109" t="s">
        <v>348</v>
      </c>
      <c r="K401" s="109" t="s">
        <v>387</v>
      </c>
      <c r="L401" s="109" t="s">
        <v>523</v>
      </c>
      <c r="M401" s="109" t="s">
        <v>388</v>
      </c>
      <c r="N401" s="109" t="s">
        <v>44</v>
      </c>
      <c r="O401" s="109" t="s">
        <v>386</v>
      </c>
      <c r="P401" s="109" t="s">
        <v>827</v>
      </c>
      <c r="Q401" s="109" t="s">
        <v>2099</v>
      </c>
      <c r="R401" s="109" t="s">
        <v>53</v>
      </c>
      <c r="S401" s="83" t="str">
        <f t="shared" si="45"/>
        <v>B011H</v>
      </c>
      <c r="T401" s="83" t="str">
        <f t="shared" si="42"/>
        <v>ADELE</v>
      </c>
      <c r="Y401" s="60">
        <f t="shared" si="46"/>
        <v>31</v>
      </c>
      <c r="Z401" s="49">
        <f t="shared" si="47"/>
        <v>2</v>
      </c>
      <c r="AA401" s="60">
        <f t="shared" si="48"/>
        <v>31002</v>
      </c>
    </row>
    <row r="402" spans="1:27">
      <c r="A402" s="83" t="str">
        <f t="shared" si="43"/>
        <v>B011Hbordeaux</v>
      </c>
      <c r="B402" s="83" t="str">
        <f t="shared" si="44"/>
        <v>31-002-12</v>
      </c>
      <c r="C402" s="109" t="s">
        <v>2100</v>
      </c>
      <c r="D402" s="109" t="s">
        <v>2101</v>
      </c>
      <c r="E402" s="109" t="s">
        <v>793</v>
      </c>
      <c r="F402" s="110">
        <v>0</v>
      </c>
      <c r="G402" s="109" t="s">
        <v>1080</v>
      </c>
      <c r="H402" s="109" t="s">
        <v>121</v>
      </c>
      <c r="I402" s="109" t="s">
        <v>853</v>
      </c>
      <c r="J402" s="109" t="s">
        <v>348</v>
      </c>
      <c r="K402" s="109" t="s">
        <v>387</v>
      </c>
      <c r="L402" s="109" t="s">
        <v>523</v>
      </c>
      <c r="M402" s="109" t="s">
        <v>388</v>
      </c>
      <c r="O402" s="109" t="s">
        <v>386</v>
      </c>
      <c r="P402" s="109" t="s">
        <v>826</v>
      </c>
      <c r="Q402" s="109" t="s">
        <v>1073</v>
      </c>
      <c r="R402" s="109" t="s">
        <v>121</v>
      </c>
      <c r="S402" s="83" t="str">
        <f t="shared" si="45"/>
        <v>B011H</v>
      </c>
      <c r="T402" s="83" t="str">
        <f t="shared" si="42"/>
        <v>ADELE</v>
      </c>
      <c r="Y402" s="60">
        <f t="shared" si="46"/>
        <v>31</v>
      </c>
      <c r="Z402" s="49">
        <f t="shared" si="47"/>
        <v>2</v>
      </c>
      <c r="AA402" s="60">
        <f t="shared" si="48"/>
        <v>31002</v>
      </c>
    </row>
    <row r="403" spans="1:27">
      <c r="A403" s="83" t="str">
        <f t="shared" si="43"/>
        <v>B011Hscarlet</v>
      </c>
      <c r="B403" s="83" t="str">
        <f t="shared" si="44"/>
        <v>31-002-18</v>
      </c>
      <c r="C403" s="109" t="s">
        <v>2102</v>
      </c>
      <c r="D403" s="109" t="s">
        <v>2103</v>
      </c>
      <c r="E403" s="109" t="s">
        <v>793</v>
      </c>
      <c r="F403" s="110">
        <v>0</v>
      </c>
      <c r="G403" s="109" t="s">
        <v>1080</v>
      </c>
      <c r="H403" s="109" t="s">
        <v>78</v>
      </c>
      <c r="I403" s="109" t="s">
        <v>853</v>
      </c>
      <c r="J403" s="109" t="s">
        <v>348</v>
      </c>
      <c r="K403" s="109" t="s">
        <v>387</v>
      </c>
      <c r="L403" s="109" t="s">
        <v>523</v>
      </c>
      <c r="M403" s="109" t="s">
        <v>388</v>
      </c>
      <c r="N403" s="109" t="s">
        <v>44</v>
      </c>
      <c r="O403" s="109" t="s">
        <v>386</v>
      </c>
      <c r="P403" s="109" t="s">
        <v>827</v>
      </c>
      <c r="Q403" s="109" t="s">
        <v>896</v>
      </c>
      <c r="R403" s="109" t="s">
        <v>78</v>
      </c>
      <c r="S403" s="83" t="str">
        <f t="shared" si="45"/>
        <v>B011H</v>
      </c>
      <c r="T403" s="83" t="str">
        <f t="shared" si="42"/>
        <v>ADELE</v>
      </c>
      <c r="Y403" s="60">
        <f t="shared" si="46"/>
        <v>31</v>
      </c>
      <c r="Z403" s="49">
        <f t="shared" si="47"/>
        <v>2</v>
      </c>
      <c r="AA403" s="60">
        <f t="shared" si="48"/>
        <v>31002</v>
      </c>
    </row>
    <row r="404" spans="1:27">
      <c r="A404" s="83" t="str">
        <f t="shared" si="43"/>
        <v>B026Hbordeaux</v>
      </c>
      <c r="B404" s="83" t="str">
        <f t="shared" si="44"/>
        <v>31-003-12</v>
      </c>
      <c r="C404" s="109" t="s">
        <v>2104</v>
      </c>
      <c r="D404" s="109" t="s">
        <v>2105</v>
      </c>
      <c r="E404" s="109" t="s">
        <v>793</v>
      </c>
      <c r="F404" s="110">
        <v>0</v>
      </c>
      <c r="G404" s="109" t="s">
        <v>1775</v>
      </c>
      <c r="H404" s="109" t="s">
        <v>121</v>
      </c>
      <c r="I404" s="109" t="s">
        <v>1776</v>
      </c>
      <c r="J404" s="109" t="s">
        <v>357</v>
      </c>
      <c r="K404" s="109" t="s">
        <v>387</v>
      </c>
      <c r="L404" s="109" t="s">
        <v>523</v>
      </c>
      <c r="M404" s="109" t="s">
        <v>388</v>
      </c>
      <c r="O404" s="109" t="s">
        <v>386</v>
      </c>
      <c r="P404" s="109" t="s">
        <v>826</v>
      </c>
      <c r="Q404" s="109" t="s">
        <v>1073</v>
      </c>
      <c r="R404" s="109" t="s">
        <v>121</v>
      </c>
      <c r="S404" s="83" t="str">
        <f t="shared" si="45"/>
        <v>B026H</v>
      </c>
      <c r="T404" s="83" t="str">
        <f t="shared" si="42"/>
        <v>ELLA</v>
      </c>
      <c r="Y404" s="60">
        <f t="shared" si="46"/>
        <v>31</v>
      </c>
      <c r="Z404" s="49">
        <f t="shared" si="47"/>
        <v>3</v>
      </c>
      <c r="AA404" s="60">
        <f t="shared" si="48"/>
        <v>31003</v>
      </c>
    </row>
    <row r="405" spans="1:27">
      <c r="A405" s="83" t="str">
        <f t="shared" si="43"/>
        <v>B026Hrust</v>
      </c>
      <c r="B405" s="83" t="str">
        <f t="shared" si="44"/>
        <v>31-003-13</v>
      </c>
      <c r="C405" s="109" t="s">
        <v>2106</v>
      </c>
      <c r="D405" s="109" t="s">
        <v>2107</v>
      </c>
      <c r="E405" s="109" t="s">
        <v>793</v>
      </c>
      <c r="F405" s="110">
        <v>0</v>
      </c>
      <c r="G405" s="109" t="s">
        <v>1775</v>
      </c>
      <c r="H405" s="109" t="s">
        <v>199</v>
      </c>
      <c r="I405" s="109" t="s">
        <v>1776</v>
      </c>
      <c r="J405" s="109" t="s">
        <v>357</v>
      </c>
      <c r="K405" s="109" t="s">
        <v>387</v>
      </c>
      <c r="L405" s="109" t="s">
        <v>523</v>
      </c>
      <c r="M405" s="109" t="s">
        <v>388</v>
      </c>
      <c r="O405" s="109" t="s">
        <v>386</v>
      </c>
      <c r="P405" s="109" t="s">
        <v>826</v>
      </c>
      <c r="Q405" s="109" t="s">
        <v>852</v>
      </c>
      <c r="R405" s="109" t="s">
        <v>199</v>
      </c>
      <c r="S405" s="83" t="str">
        <f t="shared" si="45"/>
        <v>B026H</v>
      </c>
      <c r="T405" s="83" t="str">
        <f t="shared" si="42"/>
        <v>ELLA</v>
      </c>
      <c r="Y405" s="60">
        <f t="shared" si="46"/>
        <v>31</v>
      </c>
      <c r="Z405" s="49">
        <f t="shared" si="47"/>
        <v>3</v>
      </c>
      <c r="AA405" s="60">
        <f t="shared" si="48"/>
        <v>31003</v>
      </c>
    </row>
    <row r="406" spans="1:27">
      <c r="A406" s="83" t="str">
        <f t="shared" si="43"/>
        <v>B1001Hblack</v>
      </c>
      <c r="B406" s="83" t="str">
        <f t="shared" si="44"/>
        <v>31-004-09</v>
      </c>
      <c r="C406" s="109" t="s">
        <v>2108</v>
      </c>
      <c r="D406" s="109" t="s">
        <v>2109</v>
      </c>
      <c r="E406" s="109" t="s">
        <v>793</v>
      </c>
      <c r="F406" s="110">
        <v>0</v>
      </c>
      <c r="G406" s="109" t="s">
        <v>2110</v>
      </c>
      <c r="H406" s="109" t="s">
        <v>53</v>
      </c>
      <c r="I406" s="109" t="s">
        <v>880</v>
      </c>
      <c r="J406" s="109" t="s">
        <v>357</v>
      </c>
      <c r="K406" s="109" t="s">
        <v>387</v>
      </c>
      <c r="L406" s="109" t="s">
        <v>523</v>
      </c>
      <c r="M406" s="109" t="s">
        <v>388</v>
      </c>
      <c r="O406" s="109" t="s">
        <v>386</v>
      </c>
      <c r="P406" s="109" t="s">
        <v>826</v>
      </c>
      <c r="Q406" s="109" t="s">
        <v>831</v>
      </c>
      <c r="R406" s="109" t="s">
        <v>53</v>
      </c>
      <c r="S406" s="83" t="str">
        <f t="shared" si="45"/>
        <v>B1001H</v>
      </c>
      <c r="T406" s="83" t="str">
        <f t="shared" si="42"/>
        <v>DOLORES</v>
      </c>
      <c r="Y406" s="60">
        <f t="shared" si="46"/>
        <v>31</v>
      </c>
      <c r="Z406" s="49">
        <f t="shared" si="47"/>
        <v>4</v>
      </c>
      <c r="AA406" s="60">
        <f t="shared" si="48"/>
        <v>31004</v>
      </c>
    </row>
    <row r="407" spans="1:27">
      <c r="A407" s="83" t="str">
        <f t="shared" si="43"/>
        <v>B1002Hblack</v>
      </c>
      <c r="B407" s="83" t="str">
        <f t="shared" si="44"/>
        <v>31-005-09</v>
      </c>
      <c r="C407" s="109" t="s">
        <v>2111</v>
      </c>
      <c r="D407" s="109" t="s">
        <v>2112</v>
      </c>
      <c r="E407" s="109" t="s">
        <v>793</v>
      </c>
      <c r="F407" s="110">
        <v>0</v>
      </c>
      <c r="G407" s="109" t="s">
        <v>2113</v>
      </c>
      <c r="H407" s="109" t="s">
        <v>53</v>
      </c>
      <c r="I407" s="109" t="s">
        <v>880</v>
      </c>
      <c r="J407" s="109" t="s">
        <v>348</v>
      </c>
      <c r="K407" s="109" t="s">
        <v>387</v>
      </c>
      <c r="L407" s="109" t="s">
        <v>523</v>
      </c>
      <c r="M407" s="109" t="s">
        <v>388</v>
      </c>
      <c r="O407" s="109" t="s">
        <v>386</v>
      </c>
      <c r="P407" s="109" t="s">
        <v>826</v>
      </c>
      <c r="Q407" s="109" t="s">
        <v>831</v>
      </c>
      <c r="R407" s="109" t="s">
        <v>53</v>
      </c>
      <c r="S407" s="83" t="str">
        <f t="shared" si="45"/>
        <v>B1002H</v>
      </c>
      <c r="T407" s="83" t="str">
        <f t="shared" si="42"/>
        <v>LEONORA</v>
      </c>
      <c r="Y407" s="60">
        <f t="shared" si="46"/>
        <v>31</v>
      </c>
      <c r="Z407" s="49">
        <f t="shared" si="47"/>
        <v>5</v>
      </c>
      <c r="AA407" s="60">
        <f t="shared" si="48"/>
        <v>31005</v>
      </c>
    </row>
    <row r="408" spans="1:27">
      <c r="A408" s="83" t="str">
        <f t="shared" si="43"/>
        <v>B1008Hblack</v>
      </c>
      <c r="B408" s="83" t="str">
        <f t="shared" si="44"/>
        <v>31-006-09</v>
      </c>
      <c r="C408" s="109" t="s">
        <v>2114</v>
      </c>
      <c r="D408" s="109" t="s">
        <v>2115</v>
      </c>
      <c r="E408" s="109" t="s">
        <v>793</v>
      </c>
      <c r="F408" s="110">
        <v>0</v>
      </c>
      <c r="G408" s="109" t="s">
        <v>2116</v>
      </c>
      <c r="H408" s="109" t="s">
        <v>53</v>
      </c>
      <c r="I408" s="109" t="s">
        <v>785</v>
      </c>
      <c r="J408" s="109" t="s">
        <v>357</v>
      </c>
      <c r="K408" s="109" t="s">
        <v>387</v>
      </c>
      <c r="L408" s="109" t="s">
        <v>523</v>
      </c>
      <c r="M408" s="109" t="s">
        <v>388</v>
      </c>
      <c r="N408" s="109" t="s">
        <v>30</v>
      </c>
      <c r="O408" s="109" t="s">
        <v>386</v>
      </c>
      <c r="P408" s="109" t="s">
        <v>826</v>
      </c>
      <c r="Q408" s="109" t="s">
        <v>831</v>
      </c>
      <c r="R408" s="109" t="s">
        <v>53</v>
      </c>
      <c r="S408" s="83" t="str">
        <f t="shared" si="45"/>
        <v>B1008H</v>
      </c>
      <c r="T408" s="83" t="str">
        <f t="shared" si="42"/>
        <v>ANITA</v>
      </c>
      <c r="Y408" s="60">
        <f t="shared" si="46"/>
        <v>31</v>
      </c>
      <c r="Z408" s="49">
        <f t="shared" si="47"/>
        <v>6</v>
      </c>
      <c r="AA408" s="60">
        <f t="shared" si="48"/>
        <v>31006</v>
      </c>
    </row>
    <row r="409" spans="1:27">
      <c r="A409" s="83" t="str">
        <f t="shared" si="43"/>
        <v>B1008Hivory</v>
      </c>
      <c r="B409" s="83" t="str">
        <f t="shared" si="44"/>
        <v>31-006-17</v>
      </c>
      <c r="C409" s="109" t="s">
        <v>2117</v>
      </c>
      <c r="D409" s="109" t="s">
        <v>2118</v>
      </c>
      <c r="E409" s="109" t="s">
        <v>793</v>
      </c>
      <c r="F409" s="110">
        <v>0</v>
      </c>
      <c r="G409" s="109" t="s">
        <v>2116</v>
      </c>
      <c r="H409" s="109" t="s">
        <v>57</v>
      </c>
      <c r="I409" s="109" t="s">
        <v>785</v>
      </c>
      <c r="J409" s="109" t="s">
        <v>357</v>
      </c>
      <c r="K409" s="109" t="s">
        <v>387</v>
      </c>
      <c r="L409" s="109" t="s">
        <v>523</v>
      </c>
      <c r="M409" s="109" t="s">
        <v>388</v>
      </c>
      <c r="N409" s="109" t="s">
        <v>30</v>
      </c>
      <c r="O409" s="109" t="s">
        <v>386</v>
      </c>
      <c r="P409" s="109" t="s">
        <v>826</v>
      </c>
      <c r="Q409" s="109" t="s">
        <v>843</v>
      </c>
      <c r="R409" s="109" t="s">
        <v>57</v>
      </c>
      <c r="S409" s="83" t="str">
        <f t="shared" si="45"/>
        <v>B1008H</v>
      </c>
      <c r="T409" s="83" t="str">
        <f t="shared" si="42"/>
        <v>ANITA</v>
      </c>
      <c r="Y409" s="60">
        <f t="shared" si="46"/>
        <v>31</v>
      </c>
      <c r="Z409" s="49">
        <f t="shared" si="47"/>
        <v>6</v>
      </c>
      <c r="AA409" s="60">
        <f t="shared" si="48"/>
        <v>31006</v>
      </c>
    </row>
    <row r="410" spans="1:27">
      <c r="A410" s="83" t="str">
        <f t="shared" si="43"/>
        <v>B1050Hblack</v>
      </c>
      <c r="B410" s="83" t="str">
        <f t="shared" si="44"/>
        <v>31-007-09</v>
      </c>
      <c r="C410" s="109" t="s">
        <v>2119</v>
      </c>
      <c r="D410" s="109" t="s">
        <v>2120</v>
      </c>
      <c r="E410" s="109" t="s">
        <v>793</v>
      </c>
      <c r="F410" s="110">
        <v>0</v>
      </c>
      <c r="G410" s="109" t="s">
        <v>2121</v>
      </c>
      <c r="H410" s="109" t="s">
        <v>53</v>
      </c>
      <c r="I410" s="109" t="s">
        <v>785</v>
      </c>
      <c r="J410" s="109" t="s">
        <v>323</v>
      </c>
      <c r="K410" s="109" t="s">
        <v>387</v>
      </c>
      <c r="L410" s="109" t="s">
        <v>523</v>
      </c>
      <c r="M410" s="109" t="s">
        <v>388</v>
      </c>
      <c r="N410" s="109" t="s">
        <v>30</v>
      </c>
      <c r="O410" s="109" t="s">
        <v>445</v>
      </c>
      <c r="P410" s="109" t="s">
        <v>826</v>
      </c>
      <c r="Q410" s="109" t="s">
        <v>831</v>
      </c>
      <c r="R410" s="109" t="s">
        <v>53</v>
      </c>
      <c r="S410" s="83" t="str">
        <f t="shared" si="45"/>
        <v>B1050H</v>
      </c>
      <c r="T410" s="83" t="str">
        <f t="shared" si="42"/>
        <v>OKSANA</v>
      </c>
      <c r="Y410" s="60">
        <f t="shared" si="46"/>
        <v>31</v>
      </c>
      <c r="Z410" s="49">
        <f t="shared" si="47"/>
        <v>7</v>
      </c>
      <c r="AA410" s="60">
        <f t="shared" si="48"/>
        <v>31007</v>
      </c>
    </row>
    <row r="411" spans="1:27">
      <c r="A411" s="83" t="str">
        <f t="shared" si="43"/>
        <v>B1249Hblack</v>
      </c>
      <c r="B411" s="83" t="str">
        <f t="shared" si="44"/>
        <v>31-008-09</v>
      </c>
      <c r="C411" s="109" t="s">
        <v>2122</v>
      </c>
      <c r="D411" s="109" t="s">
        <v>2123</v>
      </c>
      <c r="E411" s="109" t="s">
        <v>793</v>
      </c>
      <c r="F411" s="110">
        <v>0</v>
      </c>
      <c r="G411" s="109" t="s">
        <v>1104</v>
      </c>
      <c r="H411" s="109" t="s">
        <v>53</v>
      </c>
      <c r="I411" s="109" t="s">
        <v>789</v>
      </c>
      <c r="J411" s="109" t="s">
        <v>330</v>
      </c>
      <c r="K411" s="109" t="s">
        <v>387</v>
      </c>
      <c r="L411" s="109" t="s">
        <v>523</v>
      </c>
      <c r="M411" s="109" t="s">
        <v>388</v>
      </c>
      <c r="N411" s="109" t="s">
        <v>30</v>
      </c>
      <c r="O411" s="109" t="s">
        <v>386</v>
      </c>
      <c r="P411" s="109" t="s">
        <v>827</v>
      </c>
      <c r="Q411" s="109" t="s">
        <v>831</v>
      </c>
      <c r="R411" s="109" t="s">
        <v>53</v>
      </c>
      <c r="S411" s="83" t="str">
        <f t="shared" si="45"/>
        <v>B1249H</v>
      </c>
      <c r="T411" s="83" t="str">
        <f t="shared" si="42"/>
        <v>DARCY</v>
      </c>
      <c r="Y411" s="60">
        <f t="shared" si="46"/>
        <v>31</v>
      </c>
      <c r="Z411" s="49">
        <f t="shared" si="47"/>
        <v>8</v>
      </c>
      <c r="AA411" s="60">
        <f t="shared" si="48"/>
        <v>31008</v>
      </c>
    </row>
    <row r="412" spans="1:27">
      <c r="A412" s="83" t="str">
        <f t="shared" si="43"/>
        <v>B1249Hblush</v>
      </c>
      <c r="B412" s="83" t="str">
        <f t="shared" si="44"/>
        <v>31-008-34</v>
      </c>
      <c r="C412" s="109" t="s">
        <v>2124</v>
      </c>
      <c r="D412" s="109" t="s">
        <v>2125</v>
      </c>
      <c r="E412" s="109" t="s">
        <v>793</v>
      </c>
      <c r="F412" s="110">
        <v>0</v>
      </c>
      <c r="G412" s="109" t="s">
        <v>1104</v>
      </c>
      <c r="H412" s="109" t="s">
        <v>68</v>
      </c>
      <c r="I412" s="109" t="s">
        <v>785</v>
      </c>
      <c r="J412" s="109" t="s">
        <v>330</v>
      </c>
      <c r="K412" s="109" t="s">
        <v>387</v>
      </c>
      <c r="L412" s="109" t="s">
        <v>523</v>
      </c>
      <c r="M412" s="109" t="s">
        <v>388</v>
      </c>
      <c r="N412" s="109" t="s">
        <v>44</v>
      </c>
      <c r="O412" s="109" t="s">
        <v>386</v>
      </c>
      <c r="P412" s="109" t="s">
        <v>826</v>
      </c>
      <c r="Q412" s="109" t="s">
        <v>1279</v>
      </c>
      <c r="R412" s="109" t="s">
        <v>68</v>
      </c>
      <c r="S412" s="83" t="str">
        <f t="shared" si="45"/>
        <v>B1249H</v>
      </c>
      <c r="T412" s="83" t="str">
        <f t="shared" si="42"/>
        <v>DARCY</v>
      </c>
      <c r="Y412" s="60">
        <f t="shared" si="46"/>
        <v>31</v>
      </c>
      <c r="Z412" s="49">
        <f t="shared" si="47"/>
        <v>8</v>
      </c>
      <c r="AA412" s="60">
        <f t="shared" si="48"/>
        <v>31008</v>
      </c>
    </row>
    <row r="413" spans="1:27">
      <c r="A413" s="83" t="str">
        <f t="shared" si="43"/>
        <v>B1253Hblack</v>
      </c>
      <c r="B413" s="83" t="str">
        <f t="shared" si="44"/>
        <v>31-009-09</v>
      </c>
      <c r="C413" s="109" t="s">
        <v>2126</v>
      </c>
      <c r="D413" s="109" t="s">
        <v>2127</v>
      </c>
      <c r="E413" s="109" t="s">
        <v>793</v>
      </c>
      <c r="F413" s="110">
        <v>0</v>
      </c>
      <c r="G413" s="109" t="s">
        <v>2128</v>
      </c>
      <c r="H413" s="109" t="s">
        <v>53</v>
      </c>
      <c r="I413" s="109" t="s">
        <v>2129</v>
      </c>
      <c r="J413" s="109" t="s">
        <v>348</v>
      </c>
      <c r="K413" s="109" t="s">
        <v>387</v>
      </c>
      <c r="L413" s="109" t="s">
        <v>523</v>
      </c>
      <c r="M413" s="109" t="s">
        <v>388</v>
      </c>
      <c r="O413" s="109" t="s">
        <v>386</v>
      </c>
      <c r="P413" s="109" t="s">
        <v>826</v>
      </c>
      <c r="Q413" s="109" t="s">
        <v>831</v>
      </c>
      <c r="R413" s="109" t="s">
        <v>53</v>
      </c>
      <c r="S413" s="83" t="str">
        <f t="shared" si="45"/>
        <v>B1253H</v>
      </c>
      <c r="T413" s="83" t="str">
        <f t="shared" si="42"/>
        <v>BRIE</v>
      </c>
      <c r="Y413" s="60">
        <f t="shared" si="46"/>
        <v>31</v>
      </c>
      <c r="Z413" s="49">
        <f t="shared" si="47"/>
        <v>9</v>
      </c>
      <c r="AA413" s="60">
        <f t="shared" si="48"/>
        <v>31009</v>
      </c>
    </row>
    <row r="414" spans="1:27">
      <c r="A414" s="83" t="str">
        <f t="shared" si="43"/>
        <v>B1253Hivory</v>
      </c>
      <c r="B414" s="83" t="str">
        <f t="shared" si="44"/>
        <v>31-009-17</v>
      </c>
      <c r="C414" s="109" t="s">
        <v>2130</v>
      </c>
      <c r="D414" s="109" t="s">
        <v>2131</v>
      </c>
      <c r="E414" s="109" t="s">
        <v>793</v>
      </c>
      <c r="F414" s="110">
        <v>0</v>
      </c>
      <c r="G414" s="109" t="s">
        <v>2128</v>
      </c>
      <c r="H414" s="109" t="s">
        <v>57</v>
      </c>
      <c r="I414" s="109" t="s">
        <v>2132</v>
      </c>
      <c r="J414" s="109" t="s">
        <v>348</v>
      </c>
      <c r="K414" s="109" t="s">
        <v>387</v>
      </c>
      <c r="L414" s="109" t="s">
        <v>523</v>
      </c>
      <c r="M414" s="109" t="s">
        <v>388</v>
      </c>
      <c r="O414" s="109" t="s">
        <v>386</v>
      </c>
      <c r="P414" s="109" t="s">
        <v>826</v>
      </c>
      <c r="Q414" s="109" t="s">
        <v>843</v>
      </c>
      <c r="R414" s="109" t="s">
        <v>57</v>
      </c>
      <c r="S414" s="83" t="str">
        <f t="shared" si="45"/>
        <v>B1253H</v>
      </c>
      <c r="T414" s="83" t="str">
        <f t="shared" si="42"/>
        <v>BRIE</v>
      </c>
      <c r="Y414" s="60">
        <f t="shared" si="46"/>
        <v>31</v>
      </c>
      <c r="Z414" s="49">
        <f t="shared" si="47"/>
        <v>9</v>
      </c>
      <c r="AA414" s="60">
        <f t="shared" si="48"/>
        <v>31009</v>
      </c>
    </row>
    <row r="415" spans="1:27">
      <c r="A415" s="83" t="str">
        <f t="shared" si="43"/>
        <v>B1253Htiger</v>
      </c>
      <c r="B415" s="83" t="str">
        <f t="shared" si="44"/>
        <v>31-009-02</v>
      </c>
      <c r="C415" s="109" t="s">
        <v>2133</v>
      </c>
      <c r="D415" s="109" t="s">
        <v>2134</v>
      </c>
      <c r="E415" s="109" t="s">
        <v>793</v>
      </c>
      <c r="F415" s="110">
        <v>0</v>
      </c>
      <c r="G415" s="109" t="s">
        <v>2128</v>
      </c>
      <c r="H415" s="109" t="s">
        <v>101</v>
      </c>
      <c r="I415" s="109" t="s">
        <v>2132</v>
      </c>
      <c r="J415" s="109" t="s">
        <v>348</v>
      </c>
      <c r="K415" s="109" t="s">
        <v>387</v>
      </c>
      <c r="L415" s="109" t="s">
        <v>523</v>
      </c>
      <c r="M415" s="109" t="s">
        <v>388</v>
      </c>
      <c r="O415" s="109" t="s">
        <v>386</v>
      </c>
      <c r="P415" s="109" t="s">
        <v>826</v>
      </c>
      <c r="Q415" s="109" t="s">
        <v>2084</v>
      </c>
      <c r="R415" s="109" t="s">
        <v>63</v>
      </c>
      <c r="S415" s="83" t="str">
        <f t="shared" si="45"/>
        <v>B1253H</v>
      </c>
      <c r="T415" s="83" t="str">
        <f t="shared" si="42"/>
        <v>BRIE</v>
      </c>
      <c r="Y415" s="60">
        <f t="shared" si="46"/>
        <v>31</v>
      </c>
      <c r="Z415" s="49">
        <f t="shared" si="47"/>
        <v>9</v>
      </c>
      <c r="AA415" s="60">
        <f t="shared" si="48"/>
        <v>31009</v>
      </c>
    </row>
    <row r="416" spans="1:27">
      <c r="A416" s="83" t="str">
        <f t="shared" si="43"/>
        <v>B1260Hblue</v>
      </c>
      <c r="B416" s="83" t="str">
        <f t="shared" si="44"/>
        <v>31-010-19</v>
      </c>
      <c r="C416" s="109" t="s">
        <v>2135</v>
      </c>
      <c r="D416" s="109" t="s">
        <v>2136</v>
      </c>
      <c r="E416" s="109" t="s">
        <v>793</v>
      </c>
      <c r="F416" s="110">
        <v>0</v>
      </c>
      <c r="G416" s="109" t="s">
        <v>2137</v>
      </c>
      <c r="H416" s="109" t="s">
        <v>91</v>
      </c>
      <c r="I416" s="109" t="s">
        <v>2138</v>
      </c>
      <c r="J416" s="109" t="s">
        <v>360</v>
      </c>
      <c r="K416" s="109" t="s">
        <v>387</v>
      </c>
      <c r="L416" s="109" t="s">
        <v>523</v>
      </c>
      <c r="M416" s="109" t="s">
        <v>388</v>
      </c>
      <c r="O416" s="109" t="s">
        <v>386</v>
      </c>
      <c r="P416" s="109" t="s">
        <v>826</v>
      </c>
      <c r="Q416" s="109" t="s">
        <v>877</v>
      </c>
      <c r="R416" s="109" t="s">
        <v>91</v>
      </c>
      <c r="S416" s="83" t="str">
        <f t="shared" si="45"/>
        <v>B1260H</v>
      </c>
      <c r="T416" s="83" t="str">
        <f t="shared" si="42"/>
        <v>SORINA</v>
      </c>
      <c r="Y416" s="60">
        <f t="shared" si="46"/>
        <v>31</v>
      </c>
      <c r="Z416" s="49">
        <f t="shared" si="47"/>
        <v>10</v>
      </c>
      <c r="AA416" s="60">
        <f t="shared" si="48"/>
        <v>31010</v>
      </c>
    </row>
    <row r="417" spans="1:27">
      <c r="A417" s="83" t="str">
        <f t="shared" si="43"/>
        <v>B1260Hrusset</v>
      </c>
      <c r="B417" s="83" t="str">
        <f t="shared" si="44"/>
        <v>31-010-14</v>
      </c>
      <c r="C417" s="109" t="s">
        <v>2139</v>
      </c>
      <c r="D417" s="109" t="s">
        <v>2140</v>
      </c>
      <c r="E417" s="109" t="s">
        <v>793</v>
      </c>
      <c r="F417" s="110">
        <v>0</v>
      </c>
      <c r="G417" s="109" t="s">
        <v>2137</v>
      </c>
      <c r="H417" s="109" t="s">
        <v>86</v>
      </c>
      <c r="I417" s="109" t="s">
        <v>2138</v>
      </c>
      <c r="J417" s="109" t="s">
        <v>360</v>
      </c>
      <c r="K417" s="109" t="s">
        <v>387</v>
      </c>
      <c r="L417" s="109" t="s">
        <v>523</v>
      </c>
      <c r="M417" s="109" t="s">
        <v>388</v>
      </c>
      <c r="O417" s="109" t="s">
        <v>386</v>
      </c>
      <c r="P417" s="109" t="s">
        <v>826</v>
      </c>
      <c r="Q417" s="109" t="s">
        <v>2141</v>
      </c>
      <c r="R417" s="109" t="s">
        <v>86</v>
      </c>
      <c r="S417" s="83" t="str">
        <f t="shared" si="45"/>
        <v>B1260H</v>
      </c>
      <c r="T417" s="83" t="str">
        <f t="shared" si="42"/>
        <v>SORINA</v>
      </c>
      <c r="Y417" s="60">
        <f t="shared" si="46"/>
        <v>31</v>
      </c>
      <c r="Z417" s="49">
        <f t="shared" si="47"/>
        <v>10</v>
      </c>
      <c r="AA417" s="60">
        <f t="shared" si="48"/>
        <v>31010</v>
      </c>
    </row>
    <row r="418" spans="1:27">
      <c r="A418" s="83" t="str">
        <f t="shared" si="43"/>
        <v>B1263Hbordeaux</v>
      </c>
      <c r="B418" s="83" t="str">
        <f t="shared" si="44"/>
        <v>31-011-12</v>
      </c>
      <c r="C418" s="109" t="s">
        <v>2142</v>
      </c>
      <c r="D418" s="109" t="s">
        <v>2143</v>
      </c>
      <c r="E418" s="109" t="s">
        <v>793</v>
      </c>
      <c r="F418" s="110">
        <v>0</v>
      </c>
      <c r="G418" s="109" t="s">
        <v>2144</v>
      </c>
      <c r="H418" s="109" t="s">
        <v>121</v>
      </c>
      <c r="I418" s="109" t="s">
        <v>2145</v>
      </c>
      <c r="J418" s="109" t="s">
        <v>348</v>
      </c>
      <c r="K418" s="109" t="s">
        <v>387</v>
      </c>
      <c r="L418" s="109" t="s">
        <v>523</v>
      </c>
      <c r="M418" s="109" t="s">
        <v>388</v>
      </c>
      <c r="O418" s="109" t="s">
        <v>386</v>
      </c>
      <c r="P418" s="109" t="s">
        <v>826</v>
      </c>
      <c r="Q418" s="109" t="s">
        <v>1073</v>
      </c>
      <c r="R418" s="109" t="s">
        <v>121</v>
      </c>
      <c r="S418" s="83" t="str">
        <f t="shared" si="45"/>
        <v>B1263H</v>
      </c>
      <c r="T418" s="83" t="str">
        <f t="shared" si="42"/>
        <v>SIGRID</v>
      </c>
      <c r="Y418" s="60">
        <f t="shared" si="46"/>
        <v>31</v>
      </c>
      <c r="Z418" s="49">
        <f t="shared" si="47"/>
        <v>11</v>
      </c>
      <c r="AA418" s="60">
        <f t="shared" si="48"/>
        <v>31011</v>
      </c>
    </row>
    <row r="419" spans="1:27">
      <c r="A419" s="83" t="str">
        <f t="shared" si="43"/>
        <v>B1279Hblack</v>
      </c>
      <c r="B419" s="83" t="str">
        <f t="shared" si="44"/>
        <v>31-012-09</v>
      </c>
      <c r="C419" s="109" t="s">
        <v>2146</v>
      </c>
      <c r="D419" s="109" t="s">
        <v>2147</v>
      </c>
      <c r="E419" s="109" t="s">
        <v>793</v>
      </c>
      <c r="F419" s="110">
        <v>0</v>
      </c>
      <c r="G419" s="109" t="s">
        <v>2148</v>
      </c>
      <c r="H419" s="109" t="s">
        <v>53</v>
      </c>
      <c r="I419" s="109" t="s">
        <v>785</v>
      </c>
      <c r="J419" s="109" t="s">
        <v>360</v>
      </c>
      <c r="K419" s="109" t="s">
        <v>387</v>
      </c>
      <c r="L419" s="109" t="s">
        <v>523</v>
      </c>
      <c r="M419" s="109" t="s">
        <v>388</v>
      </c>
      <c r="O419" s="109" t="s">
        <v>386</v>
      </c>
      <c r="P419" s="109" t="s">
        <v>826</v>
      </c>
      <c r="Q419" s="109" t="s">
        <v>831</v>
      </c>
      <c r="R419" s="109" t="s">
        <v>53</v>
      </c>
      <c r="S419" s="83" t="str">
        <f t="shared" si="45"/>
        <v>B1279H</v>
      </c>
      <c r="T419" s="83" t="str">
        <f t="shared" si="42"/>
        <v>ADENE</v>
      </c>
      <c r="Y419" s="60">
        <f t="shared" si="46"/>
        <v>31</v>
      </c>
      <c r="Z419" s="49">
        <f t="shared" si="47"/>
        <v>12</v>
      </c>
      <c r="AA419" s="60">
        <f t="shared" si="48"/>
        <v>31012</v>
      </c>
    </row>
    <row r="420" spans="1:27">
      <c r="A420" s="83" t="str">
        <f t="shared" si="43"/>
        <v>B1279Htaupe</v>
      </c>
      <c r="B420" s="83" t="str">
        <f t="shared" si="44"/>
        <v>31-012-08</v>
      </c>
      <c r="C420" s="109" t="s">
        <v>2149</v>
      </c>
      <c r="D420" s="109" t="s">
        <v>2150</v>
      </c>
      <c r="E420" s="109" t="s">
        <v>793</v>
      </c>
      <c r="F420" s="110">
        <v>0</v>
      </c>
      <c r="G420" s="109" t="s">
        <v>2148</v>
      </c>
      <c r="H420" s="109" t="s">
        <v>83</v>
      </c>
      <c r="I420" s="109" t="s">
        <v>785</v>
      </c>
      <c r="J420" s="109" t="s">
        <v>360</v>
      </c>
      <c r="K420" s="109" t="s">
        <v>387</v>
      </c>
      <c r="L420" s="109" t="s">
        <v>523</v>
      </c>
      <c r="M420" s="109" t="s">
        <v>388</v>
      </c>
      <c r="O420" s="109" t="s">
        <v>386</v>
      </c>
      <c r="P420" s="109" t="s">
        <v>826</v>
      </c>
      <c r="Q420" s="109" t="s">
        <v>859</v>
      </c>
      <c r="R420" s="109" t="s">
        <v>83</v>
      </c>
      <c r="S420" s="83" t="str">
        <f t="shared" si="45"/>
        <v>B1279H</v>
      </c>
      <c r="T420" s="83" t="str">
        <f t="shared" si="42"/>
        <v>ADENE</v>
      </c>
      <c r="Y420" s="60">
        <f t="shared" si="46"/>
        <v>31</v>
      </c>
      <c r="Z420" s="49">
        <f t="shared" si="47"/>
        <v>12</v>
      </c>
      <c r="AA420" s="60">
        <f t="shared" si="48"/>
        <v>31012</v>
      </c>
    </row>
    <row r="421" spans="1:27">
      <c r="A421" s="83" t="str">
        <f t="shared" si="43"/>
        <v>B1280Hblack</v>
      </c>
      <c r="B421" s="83" t="str">
        <f t="shared" si="44"/>
        <v>31-013-09</v>
      </c>
      <c r="C421" s="109" t="s">
        <v>2151</v>
      </c>
      <c r="D421" s="109" t="s">
        <v>2152</v>
      </c>
      <c r="E421" s="109" t="s">
        <v>793</v>
      </c>
      <c r="F421" s="110">
        <v>0</v>
      </c>
      <c r="G421" s="109" t="s">
        <v>2153</v>
      </c>
      <c r="H421" s="109" t="s">
        <v>53</v>
      </c>
      <c r="I421" s="109" t="s">
        <v>785</v>
      </c>
      <c r="J421" s="109" t="s">
        <v>357</v>
      </c>
      <c r="K421" s="109" t="s">
        <v>387</v>
      </c>
      <c r="L421" s="109" t="s">
        <v>523</v>
      </c>
      <c r="M421" s="109" t="s">
        <v>388</v>
      </c>
      <c r="O421" s="109" t="s">
        <v>386</v>
      </c>
      <c r="P421" s="109" t="s">
        <v>826</v>
      </c>
      <c r="Q421" s="109" t="s">
        <v>831</v>
      </c>
      <c r="R421" s="109" t="s">
        <v>53</v>
      </c>
      <c r="S421" s="83" t="str">
        <f t="shared" si="45"/>
        <v>B1280H</v>
      </c>
      <c r="T421" s="83" t="str">
        <f t="shared" si="42"/>
        <v>LANEY</v>
      </c>
      <c r="Y421" s="60">
        <f t="shared" si="46"/>
        <v>31</v>
      </c>
      <c r="Z421" s="49">
        <f t="shared" si="47"/>
        <v>13</v>
      </c>
      <c r="AA421" s="60">
        <f t="shared" si="48"/>
        <v>31013</v>
      </c>
    </row>
    <row r="422" spans="1:27">
      <c r="A422" s="83" t="str">
        <f t="shared" si="43"/>
        <v>B1280Htaupe</v>
      </c>
      <c r="B422" s="83" t="str">
        <f t="shared" si="44"/>
        <v>31-013-14</v>
      </c>
      <c r="C422" s="109" t="s">
        <v>2154</v>
      </c>
      <c r="D422" s="109" t="s">
        <v>2155</v>
      </c>
      <c r="E422" s="109" t="s">
        <v>793</v>
      </c>
      <c r="F422" s="110">
        <v>0</v>
      </c>
      <c r="G422" s="109" t="s">
        <v>2153</v>
      </c>
      <c r="H422" s="109" t="s">
        <v>164</v>
      </c>
      <c r="I422" s="109" t="s">
        <v>785</v>
      </c>
      <c r="J422" s="109" t="s">
        <v>357</v>
      </c>
      <c r="K422" s="109" t="s">
        <v>387</v>
      </c>
      <c r="L422" s="109" t="s">
        <v>523</v>
      </c>
      <c r="M422" s="109" t="s">
        <v>388</v>
      </c>
      <c r="O422" s="109" t="s">
        <v>386</v>
      </c>
      <c r="P422" s="109" t="s">
        <v>826</v>
      </c>
      <c r="Q422" s="109" t="s">
        <v>859</v>
      </c>
      <c r="R422" s="109" t="s">
        <v>86</v>
      </c>
      <c r="S422" s="83" t="str">
        <f t="shared" si="45"/>
        <v>B1280H</v>
      </c>
      <c r="T422" s="83" t="str">
        <f t="shared" si="42"/>
        <v>LANEY</v>
      </c>
      <c r="Y422" s="60">
        <f t="shared" si="46"/>
        <v>31</v>
      </c>
      <c r="Z422" s="49">
        <f t="shared" si="47"/>
        <v>13</v>
      </c>
      <c r="AA422" s="60">
        <f t="shared" si="48"/>
        <v>31013</v>
      </c>
    </row>
    <row r="423" spans="1:27">
      <c r="A423" s="83" t="str">
        <f t="shared" si="43"/>
        <v>B1284Hblack</v>
      </c>
      <c r="B423" s="83" t="str">
        <f t="shared" si="44"/>
        <v>31-014-09</v>
      </c>
      <c r="C423" s="109" t="s">
        <v>2156</v>
      </c>
      <c r="D423" s="109" t="s">
        <v>2157</v>
      </c>
      <c r="E423" s="109" t="s">
        <v>793</v>
      </c>
      <c r="F423" s="110">
        <v>0</v>
      </c>
      <c r="G423" s="109" t="s">
        <v>2158</v>
      </c>
      <c r="H423" s="109" t="s">
        <v>53</v>
      </c>
      <c r="I423" s="109" t="s">
        <v>796</v>
      </c>
      <c r="J423" s="109" t="s">
        <v>348</v>
      </c>
      <c r="K423" s="109" t="s">
        <v>387</v>
      </c>
      <c r="L423" s="109" t="s">
        <v>523</v>
      </c>
      <c r="M423" s="109" t="s">
        <v>388</v>
      </c>
      <c r="N423" s="109" t="s">
        <v>44</v>
      </c>
      <c r="O423" s="109" t="s">
        <v>386</v>
      </c>
      <c r="P423" s="109" t="s">
        <v>827</v>
      </c>
      <c r="Q423" s="109" t="s">
        <v>831</v>
      </c>
      <c r="R423" s="109" t="s">
        <v>53</v>
      </c>
      <c r="S423" s="83" t="str">
        <f t="shared" si="45"/>
        <v>B1284H</v>
      </c>
      <c r="T423" s="83" t="str">
        <f t="shared" si="42"/>
        <v>LYNN</v>
      </c>
      <c r="Y423" s="60">
        <f t="shared" si="46"/>
        <v>31</v>
      </c>
      <c r="Z423" s="49">
        <f t="shared" si="47"/>
        <v>14</v>
      </c>
      <c r="AA423" s="60">
        <f t="shared" si="48"/>
        <v>31014</v>
      </c>
    </row>
    <row r="424" spans="1:27">
      <c r="A424" s="83" t="str">
        <f t="shared" si="43"/>
        <v>B1284Hwhite</v>
      </c>
      <c r="B424" s="83" t="str">
        <f t="shared" si="44"/>
        <v>31-014-17</v>
      </c>
      <c r="C424" s="109" t="s">
        <v>2159</v>
      </c>
      <c r="D424" s="109" t="s">
        <v>2160</v>
      </c>
      <c r="E424" s="109" t="s">
        <v>793</v>
      </c>
      <c r="F424" s="110">
        <v>0</v>
      </c>
      <c r="G424" s="109" t="s">
        <v>2158</v>
      </c>
      <c r="H424" s="109" t="s">
        <v>57</v>
      </c>
      <c r="I424" s="109" t="s">
        <v>796</v>
      </c>
      <c r="J424" s="109" t="s">
        <v>348</v>
      </c>
      <c r="K424" s="109" t="s">
        <v>387</v>
      </c>
      <c r="L424" s="109" t="s">
        <v>523</v>
      </c>
      <c r="M424" s="109" t="s">
        <v>388</v>
      </c>
      <c r="N424" s="109" t="s">
        <v>44</v>
      </c>
      <c r="O424" s="109" t="s">
        <v>386</v>
      </c>
      <c r="P424" s="109" t="s">
        <v>826</v>
      </c>
      <c r="Q424" s="109" t="s">
        <v>840</v>
      </c>
      <c r="R424" s="109" t="s">
        <v>57</v>
      </c>
      <c r="S424" s="83" t="str">
        <f t="shared" si="45"/>
        <v>B1284H</v>
      </c>
      <c r="T424" s="83" t="str">
        <f t="shared" si="42"/>
        <v>LYNN</v>
      </c>
      <c r="Y424" s="60">
        <f t="shared" si="46"/>
        <v>31</v>
      </c>
      <c r="Z424" s="49">
        <f t="shared" si="47"/>
        <v>14</v>
      </c>
      <c r="AA424" s="60">
        <f t="shared" si="48"/>
        <v>31014</v>
      </c>
    </row>
    <row r="425" spans="1:27">
      <c r="A425" s="83" t="str">
        <f t="shared" si="43"/>
        <v>B1285Hblack</v>
      </c>
      <c r="B425" s="83" t="str">
        <f t="shared" si="44"/>
        <v>31-015-09</v>
      </c>
      <c r="C425" s="109" t="s">
        <v>2161</v>
      </c>
      <c r="D425" s="109" t="s">
        <v>2162</v>
      </c>
      <c r="E425" s="109" t="s">
        <v>793</v>
      </c>
      <c r="F425" s="110">
        <v>0</v>
      </c>
      <c r="G425" s="109" t="s">
        <v>2163</v>
      </c>
      <c r="H425" s="109" t="s">
        <v>53</v>
      </c>
      <c r="I425" s="109" t="s">
        <v>2164</v>
      </c>
      <c r="J425" s="109" t="s">
        <v>357</v>
      </c>
      <c r="K425" s="109" t="s">
        <v>387</v>
      </c>
      <c r="L425" s="109" t="s">
        <v>523</v>
      </c>
      <c r="M425" s="109" t="s">
        <v>388</v>
      </c>
      <c r="O425" s="109" t="s">
        <v>386</v>
      </c>
      <c r="P425" s="109" t="s">
        <v>826</v>
      </c>
      <c r="Q425" s="109" t="s">
        <v>831</v>
      </c>
      <c r="R425" s="109" t="s">
        <v>53</v>
      </c>
      <c r="S425" s="83" t="str">
        <f t="shared" si="45"/>
        <v>B1285H</v>
      </c>
      <c r="T425" s="83" t="str">
        <f t="shared" si="42"/>
        <v>PATTY</v>
      </c>
      <c r="Y425" s="60">
        <f t="shared" si="46"/>
        <v>31</v>
      </c>
      <c r="Z425" s="49">
        <f t="shared" si="47"/>
        <v>15</v>
      </c>
      <c r="AA425" s="60">
        <f t="shared" si="48"/>
        <v>31015</v>
      </c>
    </row>
    <row r="426" spans="1:27">
      <c r="A426" s="83" t="str">
        <f t="shared" si="43"/>
        <v>B1285Hwhite</v>
      </c>
      <c r="B426" s="83" t="str">
        <f t="shared" si="44"/>
        <v>31-015-17</v>
      </c>
      <c r="C426" s="109" t="s">
        <v>2165</v>
      </c>
      <c r="D426" s="109" t="s">
        <v>2166</v>
      </c>
      <c r="E426" s="109" t="s">
        <v>793</v>
      </c>
      <c r="F426" s="110">
        <v>0</v>
      </c>
      <c r="G426" s="109" t="s">
        <v>2163</v>
      </c>
      <c r="H426" s="109" t="s">
        <v>57</v>
      </c>
      <c r="I426" s="109" t="s">
        <v>2164</v>
      </c>
      <c r="J426" s="109" t="s">
        <v>357</v>
      </c>
      <c r="K426" s="109" t="s">
        <v>387</v>
      </c>
      <c r="L426" s="109" t="s">
        <v>523</v>
      </c>
      <c r="M426" s="109" t="s">
        <v>388</v>
      </c>
      <c r="O426" s="109" t="s">
        <v>386</v>
      </c>
      <c r="P426" s="109" t="s">
        <v>826</v>
      </c>
      <c r="Q426" s="109" t="s">
        <v>840</v>
      </c>
      <c r="R426" s="109" t="s">
        <v>57</v>
      </c>
      <c r="S426" s="83" t="str">
        <f t="shared" si="45"/>
        <v>B1285H</v>
      </c>
      <c r="T426" s="83" t="str">
        <f t="shared" si="42"/>
        <v>PATTY</v>
      </c>
      <c r="Y426" s="60">
        <f t="shared" si="46"/>
        <v>31</v>
      </c>
      <c r="Z426" s="49">
        <f t="shared" si="47"/>
        <v>15</v>
      </c>
      <c r="AA426" s="60">
        <f t="shared" si="48"/>
        <v>31015</v>
      </c>
    </row>
    <row r="427" spans="1:27">
      <c r="A427" s="83" t="str">
        <f t="shared" si="43"/>
        <v>B1289Hjade</v>
      </c>
      <c r="B427" s="83" t="str">
        <f t="shared" si="44"/>
        <v>31-016-11</v>
      </c>
      <c r="C427" s="109" t="s">
        <v>2167</v>
      </c>
      <c r="D427" s="109" t="s">
        <v>2168</v>
      </c>
      <c r="E427" s="109" t="s">
        <v>793</v>
      </c>
      <c r="F427" s="110">
        <v>0</v>
      </c>
      <c r="G427" s="109" t="s">
        <v>2169</v>
      </c>
      <c r="H427" s="109" t="s">
        <v>151</v>
      </c>
      <c r="I427" s="109" t="s">
        <v>2170</v>
      </c>
      <c r="J427" s="109" t="s">
        <v>340</v>
      </c>
      <c r="K427" s="109" t="s">
        <v>387</v>
      </c>
      <c r="L427" s="109" t="s">
        <v>523</v>
      </c>
      <c r="M427" s="109" t="s">
        <v>389</v>
      </c>
      <c r="O427" s="109" t="s">
        <v>386</v>
      </c>
      <c r="P427" s="109" t="s">
        <v>826</v>
      </c>
      <c r="Q427" s="109" t="s">
        <v>2171</v>
      </c>
      <c r="R427" s="109" t="s">
        <v>60</v>
      </c>
      <c r="S427" s="83" t="str">
        <f t="shared" si="45"/>
        <v>B1289H</v>
      </c>
      <c r="T427" s="83" t="str">
        <f t="shared" si="42"/>
        <v>TURBAN</v>
      </c>
      <c r="Y427" s="60">
        <f t="shared" si="46"/>
        <v>31</v>
      </c>
      <c r="Z427" s="49">
        <f t="shared" si="47"/>
        <v>16</v>
      </c>
      <c r="AA427" s="60">
        <f t="shared" si="48"/>
        <v>31016</v>
      </c>
    </row>
    <row r="428" spans="1:27">
      <c r="A428" s="83" t="str">
        <f t="shared" si="43"/>
        <v>B1289Htaupe</v>
      </c>
      <c r="B428" s="83" t="str">
        <f t="shared" si="44"/>
        <v>31-016-14</v>
      </c>
      <c r="C428" s="109" t="s">
        <v>2172</v>
      </c>
      <c r="D428" s="109" t="s">
        <v>2173</v>
      </c>
      <c r="E428" s="109" t="s">
        <v>793</v>
      </c>
      <c r="F428" s="110">
        <v>0</v>
      </c>
      <c r="G428" s="109" t="s">
        <v>2169</v>
      </c>
      <c r="H428" s="109" t="s">
        <v>86</v>
      </c>
      <c r="I428" s="109" t="s">
        <v>2170</v>
      </c>
      <c r="J428" s="109" t="s">
        <v>340</v>
      </c>
      <c r="K428" s="109" t="s">
        <v>387</v>
      </c>
      <c r="L428" s="109" t="s">
        <v>523</v>
      </c>
      <c r="M428" s="109" t="s">
        <v>389</v>
      </c>
      <c r="O428" s="109" t="s">
        <v>386</v>
      </c>
      <c r="P428" s="109" t="s">
        <v>826</v>
      </c>
      <c r="Q428" s="109" t="s">
        <v>859</v>
      </c>
      <c r="R428" s="109" t="s">
        <v>86</v>
      </c>
      <c r="S428" s="83" t="str">
        <f t="shared" si="45"/>
        <v>B1289H</v>
      </c>
      <c r="T428" s="83" t="str">
        <f t="shared" si="42"/>
        <v>TURBAN</v>
      </c>
      <c r="Y428" s="60">
        <f t="shared" si="46"/>
        <v>31</v>
      </c>
      <c r="Z428" s="49">
        <f t="shared" si="47"/>
        <v>16</v>
      </c>
      <c r="AA428" s="60">
        <f t="shared" si="48"/>
        <v>31016</v>
      </c>
    </row>
    <row r="429" spans="1:27">
      <c r="A429" s="83" t="str">
        <f t="shared" si="43"/>
        <v>B1290Hblack</v>
      </c>
      <c r="B429" s="83" t="str">
        <f t="shared" si="44"/>
        <v>31-017-09</v>
      </c>
      <c r="C429" s="109" t="s">
        <v>2174</v>
      </c>
      <c r="D429" s="109" t="s">
        <v>2175</v>
      </c>
      <c r="E429" s="109" t="s">
        <v>793</v>
      </c>
      <c r="F429" s="110">
        <v>0</v>
      </c>
      <c r="G429" s="109" t="s">
        <v>2176</v>
      </c>
      <c r="H429" s="109" t="s">
        <v>53</v>
      </c>
      <c r="I429" s="109" t="s">
        <v>797</v>
      </c>
      <c r="J429" s="109" t="s">
        <v>515</v>
      </c>
      <c r="K429" s="109" t="s">
        <v>387</v>
      </c>
      <c r="L429" s="109" t="s">
        <v>523</v>
      </c>
      <c r="M429" s="109" t="s">
        <v>389</v>
      </c>
      <c r="O429" s="109" t="s">
        <v>386</v>
      </c>
      <c r="P429" s="109" t="s">
        <v>826</v>
      </c>
      <c r="Q429" s="109" t="s">
        <v>831</v>
      </c>
      <c r="R429" s="109" t="s">
        <v>53</v>
      </c>
      <c r="S429" s="83" t="str">
        <f t="shared" si="45"/>
        <v>B1290H</v>
      </c>
      <c r="T429" s="83" t="str">
        <f t="shared" si="42"/>
        <v>LUX CABLE</v>
      </c>
      <c r="Y429" s="60">
        <f t="shared" si="46"/>
        <v>31</v>
      </c>
      <c r="Z429" s="49">
        <f t="shared" si="47"/>
        <v>17</v>
      </c>
      <c r="AA429" s="60">
        <f t="shared" si="48"/>
        <v>31017</v>
      </c>
    </row>
    <row r="430" spans="1:27">
      <c r="A430" s="83" t="str">
        <f t="shared" si="43"/>
        <v>B1290Hjade</v>
      </c>
      <c r="B430" s="83" t="str">
        <f t="shared" si="44"/>
        <v>31-017-11</v>
      </c>
      <c r="C430" s="109" t="s">
        <v>2177</v>
      </c>
      <c r="D430" s="109" t="s">
        <v>2178</v>
      </c>
      <c r="E430" s="109" t="s">
        <v>793</v>
      </c>
      <c r="F430" s="110">
        <v>0</v>
      </c>
      <c r="G430" s="109" t="s">
        <v>2176</v>
      </c>
      <c r="H430" s="109" t="s">
        <v>60</v>
      </c>
      <c r="I430" s="109" t="s">
        <v>797</v>
      </c>
      <c r="J430" s="109" t="s">
        <v>515</v>
      </c>
      <c r="K430" s="109" t="s">
        <v>387</v>
      </c>
      <c r="L430" s="109" t="s">
        <v>523</v>
      </c>
      <c r="M430" s="109" t="s">
        <v>389</v>
      </c>
      <c r="O430" s="109" t="s">
        <v>386</v>
      </c>
      <c r="P430" s="109" t="s">
        <v>826</v>
      </c>
      <c r="Q430" s="109" t="s">
        <v>2171</v>
      </c>
      <c r="R430" s="109" t="s">
        <v>60</v>
      </c>
      <c r="S430" s="83" t="str">
        <f t="shared" si="45"/>
        <v>B1290H</v>
      </c>
      <c r="T430" s="83" t="str">
        <f t="shared" si="42"/>
        <v>LUX CABLE</v>
      </c>
      <c r="Y430" s="60">
        <f t="shared" si="46"/>
        <v>31</v>
      </c>
      <c r="Z430" s="49">
        <f t="shared" si="47"/>
        <v>17</v>
      </c>
      <c r="AA430" s="60">
        <f t="shared" si="48"/>
        <v>31017</v>
      </c>
    </row>
    <row r="431" spans="1:27">
      <c r="A431" s="83" t="str">
        <f t="shared" si="43"/>
        <v>B1290Htaupe</v>
      </c>
      <c r="B431" s="83" t="str">
        <f t="shared" si="44"/>
        <v>31-017-14</v>
      </c>
      <c r="C431" s="109" t="s">
        <v>2179</v>
      </c>
      <c r="D431" s="109" t="s">
        <v>2180</v>
      </c>
      <c r="E431" s="109" t="s">
        <v>793</v>
      </c>
      <c r="F431" s="110">
        <v>0</v>
      </c>
      <c r="G431" s="109" t="s">
        <v>2176</v>
      </c>
      <c r="H431" s="109" t="s">
        <v>86</v>
      </c>
      <c r="I431" s="109" t="s">
        <v>797</v>
      </c>
      <c r="J431" s="109" t="s">
        <v>515</v>
      </c>
      <c r="K431" s="109" t="s">
        <v>387</v>
      </c>
      <c r="L431" s="109" t="s">
        <v>523</v>
      </c>
      <c r="M431" s="109" t="s">
        <v>389</v>
      </c>
      <c r="O431" s="109" t="s">
        <v>386</v>
      </c>
      <c r="P431" s="109" t="s">
        <v>826</v>
      </c>
      <c r="Q431" s="109" t="s">
        <v>859</v>
      </c>
      <c r="R431" s="109" t="s">
        <v>86</v>
      </c>
      <c r="S431" s="83" t="str">
        <f t="shared" si="45"/>
        <v>B1290H</v>
      </c>
      <c r="T431" s="83" t="str">
        <f t="shared" si="42"/>
        <v>LUX CABLE</v>
      </c>
      <c r="Y431" s="60">
        <f t="shared" si="46"/>
        <v>31</v>
      </c>
      <c r="Z431" s="49">
        <f t="shared" si="47"/>
        <v>17</v>
      </c>
      <c r="AA431" s="60">
        <f t="shared" si="48"/>
        <v>31017</v>
      </c>
    </row>
    <row r="432" spans="1:27">
      <c r="A432" s="83" t="str">
        <f t="shared" si="43"/>
        <v>B1298Hblush</v>
      </c>
      <c r="B432" s="83" t="str">
        <f t="shared" si="44"/>
        <v>31-018-34</v>
      </c>
      <c r="C432" s="109" t="s">
        <v>2181</v>
      </c>
      <c r="D432" s="109" t="s">
        <v>2182</v>
      </c>
      <c r="E432" s="109" t="s">
        <v>793</v>
      </c>
      <c r="F432" s="110">
        <v>0</v>
      </c>
      <c r="G432" s="109" t="s">
        <v>2183</v>
      </c>
      <c r="H432" s="109" t="s">
        <v>68</v>
      </c>
      <c r="I432" s="109" t="s">
        <v>785</v>
      </c>
      <c r="J432" s="109" t="s">
        <v>357</v>
      </c>
      <c r="K432" s="109" t="s">
        <v>387</v>
      </c>
      <c r="L432" s="109" t="s">
        <v>523</v>
      </c>
      <c r="M432" s="109" t="s">
        <v>388</v>
      </c>
      <c r="N432" s="109" t="s">
        <v>30</v>
      </c>
      <c r="O432" s="109" t="s">
        <v>386</v>
      </c>
      <c r="P432" s="109" t="s">
        <v>826</v>
      </c>
      <c r="Q432" s="109" t="s">
        <v>1279</v>
      </c>
      <c r="R432" s="109" t="s">
        <v>68</v>
      </c>
      <c r="S432" s="83" t="str">
        <f t="shared" si="45"/>
        <v>B1298H</v>
      </c>
      <c r="T432" s="83" t="str">
        <f t="shared" si="42"/>
        <v>AISLIN</v>
      </c>
      <c r="Y432" s="60">
        <f t="shared" si="46"/>
        <v>31</v>
      </c>
      <c r="Z432" s="49">
        <f t="shared" si="47"/>
        <v>18</v>
      </c>
      <c r="AA432" s="60">
        <f t="shared" si="48"/>
        <v>31018</v>
      </c>
    </row>
    <row r="433" spans="1:27">
      <c r="A433" s="83" t="str">
        <f t="shared" si="43"/>
        <v>B1298Hcoffee</v>
      </c>
      <c r="B433" s="83" t="str">
        <f t="shared" si="44"/>
        <v>31-018-14</v>
      </c>
      <c r="C433" s="109" t="s">
        <v>2184</v>
      </c>
      <c r="D433" s="109" t="s">
        <v>2185</v>
      </c>
      <c r="E433" s="109" t="s">
        <v>793</v>
      </c>
      <c r="F433" s="110">
        <v>0</v>
      </c>
      <c r="G433" s="109" t="s">
        <v>2183</v>
      </c>
      <c r="H433" s="109" t="s">
        <v>86</v>
      </c>
      <c r="I433" s="109" t="s">
        <v>785</v>
      </c>
      <c r="J433" s="109" t="s">
        <v>357</v>
      </c>
      <c r="K433" s="109" t="s">
        <v>387</v>
      </c>
      <c r="L433" s="109" t="s">
        <v>523</v>
      </c>
      <c r="M433" s="109" t="s">
        <v>388</v>
      </c>
      <c r="N433" s="109" t="s">
        <v>30</v>
      </c>
      <c r="O433" s="109" t="s">
        <v>386</v>
      </c>
      <c r="P433" s="109" t="s">
        <v>826</v>
      </c>
      <c r="Q433" s="109" t="s">
        <v>871</v>
      </c>
      <c r="R433" s="109" t="s">
        <v>86</v>
      </c>
      <c r="S433" s="83" t="str">
        <f t="shared" si="45"/>
        <v>B1298H</v>
      </c>
      <c r="T433" s="83" t="str">
        <f t="shared" si="42"/>
        <v>AISLIN</v>
      </c>
      <c r="Y433" s="60">
        <f t="shared" si="46"/>
        <v>31</v>
      </c>
      <c r="Z433" s="49">
        <f t="shared" si="47"/>
        <v>18</v>
      </c>
      <c r="AA433" s="60">
        <f t="shared" si="48"/>
        <v>31018</v>
      </c>
    </row>
    <row r="434" spans="1:27">
      <c r="A434" s="83" t="str">
        <f t="shared" si="43"/>
        <v>B1299Hblack</v>
      </c>
      <c r="B434" s="83" t="str">
        <f t="shared" si="44"/>
        <v>31-019-09</v>
      </c>
      <c r="C434" s="109" t="s">
        <v>2186</v>
      </c>
      <c r="D434" s="109" t="s">
        <v>2187</v>
      </c>
      <c r="E434" s="109" t="s">
        <v>793</v>
      </c>
      <c r="F434" s="110">
        <v>0</v>
      </c>
      <c r="G434" s="109" t="s">
        <v>2188</v>
      </c>
      <c r="H434" s="109" t="s">
        <v>53</v>
      </c>
      <c r="I434" s="109" t="s">
        <v>785</v>
      </c>
      <c r="J434" s="109" t="s">
        <v>323</v>
      </c>
      <c r="K434" s="109" t="s">
        <v>387</v>
      </c>
      <c r="L434" s="109" t="s">
        <v>523</v>
      </c>
      <c r="M434" s="109" t="s">
        <v>388</v>
      </c>
      <c r="N434" s="109" t="s">
        <v>30</v>
      </c>
      <c r="O434" s="109" t="s">
        <v>386</v>
      </c>
      <c r="P434" s="109" t="s">
        <v>826</v>
      </c>
      <c r="Q434" s="109" t="s">
        <v>831</v>
      </c>
      <c r="R434" s="109" t="s">
        <v>53</v>
      </c>
      <c r="S434" s="83" t="str">
        <f t="shared" si="45"/>
        <v>B1299H</v>
      </c>
      <c r="T434" s="83" t="str">
        <f t="shared" si="42"/>
        <v>FREDERICA</v>
      </c>
      <c r="Y434" s="60">
        <f t="shared" si="46"/>
        <v>31</v>
      </c>
      <c r="Z434" s="49">
        <f t="shared" si="47"/>
        <v>19</v>
      </c>
      <c r="AA434" s="60">
        <f t="shared" si="48"/>
        <v>31019</v>
      </c>
    </row>
    <row r="435" spans="1:27">
      <c r="A435" s="83" t="str">
        <f t="shared" si="43"/>
        <v>B1301Hblack</v>
      </c>
      <c r="B435" s="83" t="str">
        <f t="shared" si="44"/>
        <v>31-020-09</v>
      </c>
      <c r="C435" s="109" t="s">
        <v>2189</v>
      </c>
      <c r="D435" s="109" t="s">
        <v>2190</v>
      </c>
      <c r="E435" s="109" t="s">
        <v>793</v>
      </c>
      <c r="F435" s="110">
        <v>0</v>
      </c>
      <c r="G435" s="109" t="s">
        <v>2191</v>
      </c>
      <c r="H435" s="109" t="s">
        <v>53</v>
      </c>
      <c r="I435" s="109" t="s">
        <v>785</v>
      </c>
      <c r="J435" s="109" t="s">
        <v>357</v>
      </c>
      <c r="K435" s="109" t="s">
        <v>387</v>
      </c>
      <c r="L435" s="109" t="s">
        <v>523</v>
      </c>
      <c r="M435" s="109" t="s">
        <v>388</v>
      </c>
      <c r="N435" s="109" t="s">
        <v>30</v>
      </c>
      <c r="O435" s="109" t="s">
        <v>386</v>
      </c>
      <c r="P435" s="109" t="s">
        <v>826</v>
      </c>
      <c r="Q435" s="109" t="s">
        <v>831</v>
      </c>
      <c r="R435" s="109" t="s">
        <v>53</v>
      </c>
      <c r="S435" s="83" t="str">
        <f t="shared" si="45"/>
        <v>B1301H</v>
      </c>
      <c r="T435" s="83" t="str">
        <f t="shared" si="42"/>
        <v>TEGAN</v>
      </c>
      <c r="Y435" s="60">
        <f t="shared" si="46"/>
        <v>31</v>
      </c>
      <c r="Z435" s="49">
        <f t="shared" si="47"/>
        <v>20</v>
      </c>
      <c r="AA435" s="60">
        <f t="shared" si="48"/>
        <v>31020</v>
      </c>
    </row>
    <row r="436" spans="1:27">
      <c r="A436" s="83" t="str">
        <f t="shared" si="43"/>
        <v>B1305Hblack</v>
      </c>
      <c r="B436" s="83" t="str">
        <f t="shared" si="44"/>
        <v>31-021-09</v>
      </c>
      <c r="C436" s="109" t="s">
        <v>2192</v>
      </c>
      <c r="D436" s="109" t="s">
        <v>2193</v>
      </c>
      <c r="E436" s="109" t="s">
        <v>793</v>
      </c>
      <c r="F436" s="110">
        <v>0</v>
      </c>
      <c r="G436" s="109" t="s">
        <v>2194</v>
      </c>
      <c r="H436" s="109" t="s">
        <v>53</v>
      </c>
      <c r="I436" s="109" t="s">
        <v>785</v>
      </c>
      <c r="J436" s="109" t="s">
        <v>323</v>
      </c>
      <c r="K436" s="109" t="s">
        <v>387</v>
      </c>
      <c r="L436" s="109" t="s">
        <v>523</v>
      </c>
      <c r="M436" s="109" t="s">
        <v>388</v>
      </c>
      <c r="N436" s="109" t="s">
        <v>30</v>
      </c>
      <c r="O436" s="109" t="s">
        <v>386</v>
      </c>
      <c r="P436" s="109" t="s">
        <v>826</v>
      </c>
      <c r="Q436" s="109" t="s">
        <v>831</v>
      </c>
      <c r="R436" s="109" t="s">
        <v>53</v>
      </c>
      <c r="S436" s="83" t="str">
        <f t="shared" si="45"/>
        <v>B1305H</v>
      </c>
      <c r="T436" s="83" t="str">
        <f t="shared" si="42"/>
        <v>GIULIA</v>
      </c>
      <c r="Y436" s="60">
        <f t="shared" si="46"/>
        <v>31</v>
      </c>
      <c r="Z436" s="49">
        <f t="shared" si="47"/>
        <v>21</v>
      </c>
      <c r="AA436" s="60">
        <f t="shared" si="48"/>
        <v>31021</v>
      </c>
    </row>
    <row r="437" spans="1:27">
      <c r="A437" s="83" t="str">
        <f t="shared" si="43"/>
        <v>B1305Hraisin</v>
      </c>
      <c r="B437" s="83" t="str">
        <f t="shared" si="44"/>
        <v>31-021-41</v>
      </c>
      <c r="C437" s="109" t="s">
        <v>2195</v>
      </c>
      <c r="D437" s="109" t="s">
        <v>2196</v>
      </c>
      <c r="E437" s="109" t="s">
        <v>793</v>
      </c>
      <c r="F437" s="110">
        <v>0</v>
      </c>
      <c r="G437" s="109" t="s">
        <v>2194</v>
      </c>
      <c r="H437" s="109" t="s">
        <v>286</v>
      </c>
      <c r="I437" s="109" t="s">
        <v>785</v>
      </c>
      <c r="J437" s="109" t="s">
        <v>323</v>
      </c>
      <c r="K437" s="109" t="s">
        <v>387</v>
      </c>
      <c r="L437" s="109" t="s">
        <v>523</v>
      </c>
      <c r="M437" s="109" t="s">
        <v>388</v>
      </c>
      <c r="N437" s="109" t="s">
        <v>30</v>
      </c>
      <c r="O437" s="109" t="s">
        <v>386</v>
      </c>
      <c r="P437" s="109" t="s">
        <v>826</v>
      </c>
      <c r="Q437" s="109" t="s">
        <v>1483</v>
      </c>
      <c r="R437" s="109" t="s">
        <v>286</v>
      </c>
      <c r="S437" s="83" t="str">
        <f t="shared" si="45"/>
        <v>B1305H</v>
      </c>
      <c r="T437" s="83" t="str">
        <f t="shared" si="42"/>
        <v>GIULIA</v>
      </c>
      <c r="Y437" s="60">
        <f t="shared" si="46"/>
        <v>31</v>
      </c>
      <c r="Z437" s="49">
        <f t="shared" si="47"/>
        <v>21</v>
      </c>
      <c r="AA437" s="60">
        <f t="shared" si="48"/>
        <v>31021</v>
      </c>
    </row>
    <row r="438" spans="1:27">
      <c r="A438" s="83" t="str">
        <f t="shared" si="43"/>
        <v>B1307Hblack</v>
      </c>
      <c r="B438" s="83" t="str">
        <f t="shared" si="44"/>
        <v>31-022-09</v>
      </c>
      <c r="C438" s="109" t="s">
        <v>2197</v>
      </c>
      <c r="D438" s="109" t="s">
        <v>2198</v>
      </c>
      <c r="E438" s="109" t="s">
        <v>793</v>
      </c>
      <c r="F438" s="110">
        <v>0</v>
      </c>
      <c r="G438" s="109" t="s">
        <v>2199</v>
      </c>
      <c r="H438" s="109" t="s">
        <v>53</v>
      </c>
      <c r="I438" s="109" t="s">
        <v>785</v>
      </c>
      <c r="J438" s="109" t="s">
        <v>357</v>
      </c>
      <c r="K438" s="109" t="s">
        <v>387</v>
      </c>
      <c r="L438" s="109" t="s">
        <v>523</v>
      </c>
      <c r="M438" s="109" t="s">
        <v>388</v>
      </c>
      <c r="N438" s="109" t="s">
        <v>30</v>
      </c>
      <c r="O438" s="109" t="s">
        <v>386</v>
      </c>
      <c r="P438" s="109" t="s">
        <v>826</v>
      </c>
      <c r="Q438" s="109" t="s">
        <v>831</v>
      </c>
      <c r="R438" s="109" t="s">
        <v>53</v>
      </c>
      <c r="S438" s="83" t="str">
        <f t="shared" si="45"/>
        <v>B1307H</v>
      </c>
      <c r="T438" s="83" t="str">
        <f t="shared" si="42"/>
        <v>GAILE</v>
      </c>
      <c r="Y438" s="60">
        <f t="shared" si="46"/>
        <v>31</v>
      </c>
      <c r="Z438" s="49">
        <f t="shared" si="47"/>
        <v>22</v>
      </c>
      <c r="AA438" s="60">
        <f t="shared" si="48"/>
        <v>31022</v>
      </c>
    </row>
    <row r="439" spans="1:27">
      <c r="A439" s="83" t="str">
        <f t="shared" si="43"/>
        <v>B1307Hportrd</v>
      </c>
      <c r="B439" s="83" t="str">
        <f t="shared" si="44"/>
        <v>31-022-18</v>
      </c>
      <c r="C439" s="109" t="s">
        <v>2200</v>
      </c>
      <c r="D439" s="109" t="s">
        <v>2201</v>
      </c>
      <c r="E439" s="109" t="s">
        <v>793</v>
      </c>
      <c r="F439" s="110">
        <v>0</v>
      </c>
      <c r="G439" s="109" t="s">
        <v>2199</v>
      </c>
      <c r="H439" s="109" t="s">
        <v>78</v>
      </c>
      <c r="I439" s="109" t="s">
        <v>785</v>
      </c>
      <c r="J439" s="109" t="s">
        <v>357</v>
      </c>
      <c r="K439" s="109" t="s">
        <v>387</v>
      </c>
      <c r="L439" s="109" t="s">
        <v>523</v>
      </c>
      <c r="M439" s="109" t="s">
        <v>388</v>
      </c>
      <c r="N439" s="109" t="s">
        <v>30</v>
      </c>
      <c r="O439" s="109" t="s">
        <v>386</v>
      </c>
      <c r="P439" s="109" t="s">
        <v>826</v>
      </c>
      <c r="Q439" s="109" t="s">
        <v>2202</v>
      </c>
      <c r="R439" s="109" t="s">
        <v>78</v>
      </c>
      <c r="S439" s="83" t="str">
        <f t="shared" si="45"/>
        <v>B1307H</v>
      </c>
      <c r="T439" s="83" t="str">
        <f t="shared" si="42"/>
        <v>GAILE</v>
      </c>
      <c r="Y439" s="60">
        <f t="shared" si="46"/>
        <v>31</v>
      </c>
      <c r="Z439" s="49">
        <f t="shared" si="47"/>
        <v>22</v>
      </c>
      <c r="AA439" s="60">
        <f t="shared" si="48"/>
        <v>31022</v>
      </c>
    </row>
    <row r="440" spans="1:27">
      <c r="A440" s="83" t="str">
        <f t="shared" si="43"/>
        <v>B1310Hblack</v>
      </c>
      <c r="B440" s="83" t="str">
        <f t="shared" si="44"/>
        <v>31-023-09</v>
      </c>
      <c r="C440" s="109" t="s">
        <v>2203</v>
      </c>
      <c r="D440" s="109" t="s">
        <v>2204</v>
      </c>
      <c r="E440" s="109" t="s">
        <v>793</v>
      </c>
      <c r="F440" s="110">
        <v>0</v>
      </c>
      <c r="G440" s="109" t="s">
        <v>2205</v>
      </c>
      <c r="H440" s="109" t="s">
        <v>53</v>
      </c>
      <c r="I440" s="109" t="s">
        <v>849</v>
      </c>
      <c r="J440" s="109" t="s">
        <v>360</v>
      </c>
      <c r="K440" s="109" t="s">
        <v>387</v>
      </c>
      <c r="L440" s="109" t="s">
        <v>523</v>
      </c>
      <c r="M440" s="109" t="s">
        <v>388</v>
      </c>
      <c r="O440" s="109" t="s">
        <v>386</v>
      </c>
      <c r="P440" s="109" t="s">
        <v>826</v>
      </c>
      <c r="Q440" s="109" t="s">
        <v>831</v>
      </c>
      <c r="R440" s="109" t="s">
        <v>53</v>
      </c>
      <c r="S440" s="83" t="str">
        <f t="shared" si="45"/>
        <v>B1310H</v>
      </c>
      <c r="T440" s="83" t="str">
        <f t="shared" si="42"/>
        <v>MELANIA</v>
      </c>
      <c r="Y440" s="60">
        <f t="shared" si="46"/>
        <v>31</v>
      </c>
      <c r="Z440" s="49">
        <f t="shared" si="47"/>
        <v>23</v>
      </c>
      <c r="AA440" s="60">
        <f t="shared" si="48"/>
        <v>31023</v>
      </c>
    </row>
    <row r="441" spans="1:27">
      <c r="A441" s="83" t="str">
        <f t="shared" si="43"/>
        <v>B1326Hblack</v>
      </c>
      <c r="B441" s="83" t="str">
        <f t="shared" si="44"/>
        <v>31-024-09</v>
      </c>
      <c r="C441" s="109" t="s">
        <v>2206</v>
      </c>
      <c r="D441" s="109" t="s">
        <v>2207</v>
      </c>
      <c r="E441" s="109" t="s">
        <v>793</v>
      </c>
      <c r="F441" s="110">
        <v>0</v>
      </c>
      <c r="G441" s="109" t="s">
        <v>2208</v>
      </c>
      <c r="H441" s="109" t="s">
        <v>53</v>
      </c>
      <c r="I441" s="109" t="s">
        <v>2209</v>
      </c>
      <c r="J441" s="109" t="s">
        <v>357</v>
      </c>
      <c r="K441" s="109" t="s">
        <v>387</v>
      </c>
      <c r="L441" s="109" t="s">
        <v>523</v>
      </c>
      <c r="M441" s="109" t="s">
        <v>388</v>
      </c>
      <c r="O441" s="109" t="s">
        <v>386</v>
      </c>
      <c r="P441" s="109" t="s">
        <v>826</v>
      </c>
      <c r="Q441" s="109" t="s">
        <v>831</v>
      </c>
      <c r="R441" s="109" t="s">
        <v>53</v>
      </c>
      <c r="S441" s="83" t="str">
        <f t="shared" si="45"/>
        <v>B1326H</v>
      </c>
      <c r="T441" s="83" t="str">
        <f t="shared" si="42"/>
        <v>TALLY</v>
      </c>
      <c r="Y441" s="60">
        <f t="shared" si="46"/>
        <v>31</v>
      </c>
      <c r="Z441" s="49">
        <f t="shared" si="47"/>
        <v>24</v>
      </c>
      <c r="AA441" s="60">
        <f t="shared" si="48"/>
        <v>31024</v>
      </c>
    </row>
    <row r="442" spans="1:27">
      <c r="A442" s="83" t="str">
        <f t="shared" si="43"/>
        <v>B1326Hchestnut</v>
      </c>
      <c r="B442" s="83" t="str">
        <f t="shared" si="44"/>
        <v>31-024-14</v>
      </c>
      <c r="C442" s="109" t="s">
        <v>2210</v>
      </c>
      <c r="D442" s="109" t="s">
        <v>2211</v>
      </c>
      <c r="E442" s="109" t="s">
        <v>793</v>
      </c>
      <c r="F442" s="110">
        <v>0</v>
      </c>
      <c r="G442" s="109" t="s">
        <v>2208</v>
      </c>
      <c r="H442" s="109" t="s">
        <v>86</v>
      </c>
      <c r="I442" s="109" t="s">
        <v>2209</v>
      </c>
      <c r="J442" s="109" t="s">
        <v>357</v>
      </c>
      <c r="K442" s="109" t="s">
        <v>387</v>
      </c>
      <c r="L442" s="109" t="s">
        <v>523</v>
      </c>
      <c r="M442" s="109" t="s">
        <v>388</v>
      </c>
      <c r="O442" s="109" t="s">
        <v>386</v>
      </c>
      <c r="P442" s="109" t="s">
        <v>826</v>
      </c>
      <c r="Q442" s="109" t="s">
        <v>828</v>
      </c>
      <c r="R442" s="109" t="s">
        <v>86</v>
      </c>
      <c r="S442" s="83" t="str">
        <f t="shared" si="45"/>
        <v>B1326H</v>
      </c>
      <c r="T442" s="83" t="str">
        <f t="shared" si="42"/>
        <v>TALLY</v>
      </c>
      <c r="Y442" s="60">
        <f t="shared" si="46"/>
        <v>31</v>
      </c>
      <c r="Z442" s="49">
        <f t="shared" si="47"/>
        <v>24</v>
      </c>
      <c r="AA442" s="60">
        <f t="shared" si="48"/>
        <v>31024</v>
      </c>
    </row>
    <row r="443" spans="1:27">
      <c r="A443" s="83" t="str">
        <f t="shared" si="43"/>
        <v>B1330Hbordeaux</v>
      </c>
      <c r="B443" s="83" t="str">
        <f t="shared" si="44"/>
        <v>31-025-12</v>
      </c>
      <c r="C443" s="109" t="s">
        <v>2212</v>
      </c>
      <c r="D443" s="109" t="s">
        <v>2213</v>
      </c>
      <c r="E443" s="109" t="s">
        <v>793</v>
      </c>
      <c r="F443" s="110">
        <v>0</v>
      </c>
      <c r="G443" s="109" t="s">
        <v>2214</v>
      </c>
      <c r="H443" s="109" t="s">
        <v>121</v>
      </c>
      <c r="I443" s="109" t="s">
        <v>2215</v>
      </c>
      <c r="J443" s="109" t="s">
        <v>357</v>
      </c>
      <c r="K443" s="109" t="s">
        <v>387</v>
      </c>
      <c r="L443" s="109" t="s">
        <v>523</v>
      </c>
      <c r="M443" s="109" t="s">
        <v>388</v>
      </c>
      <c r="O443" s="109" t="s">
        <v>539</v>
      </c>
      <c r="P443" s="109" t="s">
        <v>826</v>
      </c>
      <c r="Q443" s="109" t="s">
        <v>1073</v>
      </c>
      <c r="R443" s="109" t="s">
        <v>121</v>
      </c>
      <c r="S443" s="83" t="str">
        <f t="shared" si="45"/>
        <v>B1330H</v>
      </c>
      <c r="T443" s="83" t="str">
        <f t="shared" si="42"/>
        <v>LEENA</v>
      </c>
      <c r="Y443" s="60">
        <f t="shared" si="46"/>
        <v>31</v>
      </c>
      <c r="Z443" s="49">
        <f t="shared" si="47"/>
        <v>25</v>
      </c>
      <c r="AA443" s="60">
        <f t="shared" si="48"/>
        <v>31025</v>
      </c>
    </row>
    <row r="444" spans="1:27">
      <c r="A444" s="83" t="str">
        <f t="shared" si="43"/>
        <v>B1330Hcharcoal</v>
      </c>
      <c r="B444" s="83" t="str">
        <f t="shared" si="44"/>
        <v>31-025-08</v>
      </c>
      <c r="C444" s="109" t="s">
        <v>2216</v>
      </c>
      <c r="D444" s="109" t="s">
        <v>2217</v>
      </c>
      <c r="E444" s="109" t="s">
        <v>793</v>
      </c>
      <c r="F444" s="110">
        <v>0</v>
      </c>
      <c r="G444" s="109" t="s">
        <v>2214</v>
      </c>
      <c r="H444" s="109" t="s">
        <v>83</v>
      </c>
      <c r="I444" s="109" t="s">
        <v>2215</v>
      </c>
      <c r="J444" s="109" t="s">
        <v>357</v>
      </c>
      <c r="K444" s="109" t="s">
        <v>387</v>
      </c>
      <c r="L444" s="109" t="s">
        <v>523</v>
      </c>
      <c r="M444" s="109" t="s">
        <v>388</v>
      </c>
      <c r="O444" s="109" t="s">
        <v>539</v>
      </c>
      <c r="P444" s="109" t="s">
        <v>826</v>
      </c>
      <c r="Q444" s="109" t="s">
        <v>836</v>
      </c>
      <c r="R444" s="109" t="s">
        <v>83</v>
      </c>
      <c r="S444" s="83" t="str">
        <f t="shared" si="45"/>
        <v>B1330H</v>
      </c>
      <c r="T444" s="83" t="str">
        <f t="shared" si="42"/>
        <v>LEENA</v>
      </c>
      <c r="Y444" s="60">
        <f t="shared" si="46"/>
        <v>31</v>
      </c>
      <c r="Z444" s="49">
        <f t="shared" si="47"/>
        <v>25</v>
      </c>
      <c r="AA444" s="60">
        <f t="shared" si="48"/>
        <v>31025</v>
      </c>
    </row>
    <row r="445" spans="1:27">
      <c r="A445" s="83" t="str">
        <f t="shared" si="43"/>
        <v>B1330Hmink</v>
      </c>
      <c r="B445" s="83" t="str">
        <f t="shared" si="44"/>
        <v>31-025-02</v>
      </c>
      <c r="C445" s="109" t="s">
        <v>2218</v>
      </c>
      <c r="D445" s="109" t="s">
        <v>2219</v>
      </c>
      <c r="E445" s="109" t="s">
        <v>793</v>
      </c>
      <c r="F445" s="110">
        <v>0</v>
      </c>
      <c r="G445" s="109" t="s">
        <v>2214</v>
      </c>
      <c r="H445" s="109" t="s">
        <v>63</v>
      </c>
      <c r="I445" s="109" t="s">
        <v>2215</v>
      </c>
      <c r="J445" s="109" t="s">
        <v>357</v>
      </c>
      <c r="K445" s="109" t="s">
        <v>387</v>
      </c>
      <c r="L445" s="109" t="s">
        <v>523</v>
      </c>
      <c r="M445" s="109" t="s">
        <v>388</v>
      </c>
      <c r="O445" s="109" t="s">
        <v>539</v>
      </c>
      <c r="P445" s="109" t="s">
        <v>826</v>
      </c>
      <c r="Q445" s="109" t="s">
        <v>858</v>
      </c>
      <c r="R445" s="109" t="s">
        <v>63</v>
      </c>
      <c r="S445" s="83" t="str">
        <f t="shared" si="45"/>
        <v>B1330H</v>
      </c>
      <c r="T445" s="83" t="str">
        <f t="shared" si="42"/>
        <v>LEENA</v>
      </c>
      <c r="Y445" s="60">
        <f t="shared" si="46"/>
        <v>31</v>
      </c>
      <c r="Z445" s="49">
        <f t="shared" si="47"/>
        <v>25</v>
      </c>
      <c r="AA445" s="60">
        <f t="shared" si="48"/>
        <v>31025</v>
      </c>
    </row>
    <row r="446" spans="1:27">
      <c r="A446" s="83" t="str">
        <f t="shared" si="43"/>
        <v>B1333Hbordeaux</v>
      </c>
      <c r="B446" s="83" t="str">
        <f t="shared" si="44"/>
        <v>31-026-12</v>
      </c>
      <c r="C446" s="109" t="s">
        <v>2220</v>
      </c>
      <c r="D446" s="109" t="s">
        <v>2221</v>
      </c>
      <c r="E446" s="109" t="s">
        <v>793</v>
      </c>
      <c r="F446" s="110">
        <v>0</v>
      </c>
      <c r="G446" s="109" t="s">
        <v>2222</v>
      </c>
      <c r="H446" s="109" t="s">
        <v>121</v>
      </c>
      <c r="I446" s="109" t="s">
        <v>1750</v>
      </c>
      <c r="J446" s="109" t="s">
        <v>357</v>
      </c>
      <c r="K446" s="109" t="s">
        <v>387</v>
      </c>
      <c r="L446" s="109" t="s">
        <v>523</v>
      </c>
      <c r="M446" s="109" t="s">
        <v>388</v>
      </c>
      <c r="O446" s="109" t="s">
        <v>539</v>
      </c>
      <c r="P446" s="109" t="s">
        <v>826</v>
      </c>
      <c r="Q446" s="109" t="s">
        <v>1073</v>
      </c>
      <c r="R446" s="109" t="s">
        <v>121</v>
      </c>
      <c r="S446" s="83" t="str">
        <f t="shared" si="45"/>
        <v>B1333H</v>
      </c>
      <c r="T446" s="83" t="str">
        <f t="shared" si="42"/>
        <v>ILANE</v>
      </c>
      <c r="Y446" s="60">
        <f t="shared" si="46"/>
        <v>31</v>
      </c>
      <c r="Z446" s="49">
        <f t="shared" si="47"/>
        <v>26</v>
      </c>
      <c r="AA446" s="60">
        <f t="shared" si="48"/>
        <v>31026</v>
      </c>
    </row>
    <row r="447" spans="1:27">
      <c r="A447" s="83" t="str">
        <f t="shared" si="43"/>
        <v>B1336Hblack</v>
      </c>
      <c r="B447" s="83" t="str">
        <f t="shared" si="44"/>
        <v>31-027-09</v>
      </c>
      <c r="C447" s="109" t="s">
        <v>2223</v>
      </c>
      <c r="D447" s="109" t="s">
        <v>2224</v>
      </c>
      <c r="E447" s="109" t="s">
        <v>793</v>
      </c>
      <c r="F447" s="110">
        <v>0</v>
      </c>
      <c r="G447" s="109" t="s">
        <v>2225</v>
      </c>
      <c r="H447" s="109" t="s">
        <v>53</v>
      </c>
      <c r="I447" s="109" t="s">
        <v>785</v>
      </c>
      <c r="J447" s="109" t="s">
        <v>330</v>
      </c>
      <c r="K447" s="109" t="s">
        <v>387</v>
      </c>
      <c r="L447" s="109" t="s">
        <v>523</v>
      </c>
      <c r="M447" s="109" t="s">
        <v>388</v>
      </c>
      <c r="N447" s="109" t="s">
        <v>30</v>
      </c>
      <c r="O447" s="109" t="s">
        <v>445</v>
      </c>
      <c r="P447" s="109" t="s">
        <v>826</v>
      </c>
      <c r="Q447" s="109" t="s">
        <v>831</v>
      </c>
      <c r="R447" s="109" t="s">
        <v>53</v>
      </c>
      <c r="S447" s="83" t="str">
        <f t="shared" si="45"/>
        <v>B1336H</v>
      </c>
      <c r="T447" s="83" t="str">
        <f t="shared" si="42"/>
        <v>IZETTE</v>
      </c>
      <c r="Y447" s="60">
        <f t="shared" si="46"/>
        <v>31</v>
      </c>
      <c r="Z447" s="49">
        <f t="shared" si="47"/>
        <v>27</v>
      </c>
      <c r="AA447" s="60">
        <f t="shared" si="48"/>
        <v>31027</v>
      </c>
    </row>
    <row r="448" spans="1:27">
      <c r="A448" s="83" t="str">
        <f t="shared" si="43"/>
        <v>B1336Hplum</v>
      </c>
      <c r="B448" s="83" t="str">
        <f t="shared" si="44"/>
        <v>31-027-41</v>
      </c>
      <c r="C448" s="109" t="s">
        <v>2226</v>
      </c>
      <c r="D448" s="109" t="s">
        <v>2227</v>
      </c>
      <c r="E448" s="109" t="s">
        <v>793</v>
      </c>
      <c r="F448" s="110">
        <v>0</v>
      </c>
      <c r="G448" s="109" t="s">
        <v>2225</v>
      </c>
      <c r="H448" s="109" t="s">
        <v>286</v>
      </c>
      <c r="I448" s="109" t="s">
        <v>785</v>
      </c>
      <c r="J448" s="109" t="s">
        <v>330</v>
      </c>
      <c r="K448" s="109" t="s">
        <v>387</v>
      </c>
      <c r="L448" s="109" t="s">
        <v>523</v>
      </c>
      <c r="M448" s="109" t="s">
        <v>388</v>
      </c>
      <c r="N448" s="109" t="s">
        <v>30</v>
      </c>
      <c r="O448" s="109" t="s">
        <v>445</v>
      </c>
      <c r="P448" s="109" t="s">
        <v>826</v>
      </c>
      <c r="Q448" s="109" t="s">
        <v>1163</v>
      </c>
      <c r="R448" s="109" t="s">
        <v>286</v>
      </c>
      <c r="S448" s="83" t="str">
        <f t="shared" si="45"/>
        <v>B1336H</v>
      </c>
      <c r="T448" s="83" t="str">
        <f t="shared" si="42"/>
        <v>IZETTE</v>
      </c>
      <c r="Y448" s="60">
        <f t="shared" si="46"/>
        <v>31</v>
      </c>
      <c r="Z448" s="49">
        <f t="shared" si="47"/>
        <v>27</v>
      </c>
      <c r="AA448" s="60">
        <f t="shared" si="48"/>
        <v>31027</v>
      </c>
    </row>
    <row r="449" spans="1:27">
      <c r="A449" s="83" t="str">
        <f t="shared" si="43"/>
        <v>B1336Hwalnut</v>
      </c>
      <c r="B449" s="83" t="str">
        <f t="shared" si="44"/>
        <v>31-027-14</v>
      </c>
      <c r="C449" s="109" t="s">
        <v>2228</v>
      </c>
      <c r="D449" s="109" t="s">
        <v>2229</v>
      </c>
      <c r="E449" s="109" t="s">
        <v>793</v>
      </c>
      <c r="F449" s="110">
        <v>0</v>
      </c>
      <c r="G449" s="109" t="s">
        <v>2225</v>
      </c>
      <c r="H449" s="109" t="s">
        <v>86</v>
      </c>
      <c r="I449" s="109" t="s">
        <v>785</v>
      </c>
      <c r="J449" s="109" t="s">
        <v>330</v>
      </c>
      <c r="K449" s="109" t="s">
        <v>387</v>
      </c>
      <c r="L449" s="109" t="s">
        <v>523</v>
      </c>
      <c r="M449" s="109" t="s">
        <v>388</v>
      </c>
      <c r="N449" s="109" t="s">
        <v>30</v>
      </c>
      <c r="O449" s="109" t="s">
        <v>445</v>
      </c>
      <c r="P449" s="109" t="s">
        <v>826</v>
      </c>
      <c r="Q449" s="109" t="s">
        <v>886</v>
      </c>
      <c r="R449" s="109" t="s">
        <v>86</v>
      </c>
      <c r="S449" s="83" t="str">
        <f t="shared" si="45"/>
        <v>B1336H</v>
      </c>
      <c r="T449" s="83" t="str">
        <f t="shared" si="42"/>
        <v>IZETTE</v>
      </c>
      <c r="Y449" s="60">
        <f t="shared" si="46"/>
        <v>31</v>
      </c>
      <c r="Z449" s="49">
        <f t="shared" si="47"/>
        <v>27</v>
      </c>
      <c r="AA449" s="60">
        <f t="shared" si="48"/>
        <v>31027</v>
      </c>
    </row>
    <row r="450" spans="1:27">
      <c r="A450" s="83" t="str">
        <f t="shared" si="43"/>
        <v>B1337Hteal</v>
      </c>
      <c r="B450" s="83" t="str">
        <f t="shared" si="44"/>
        <v>31-028-11</v>
      </c>
      <c r="C450" s="109" t="s">
        <v>2230</v>
      </c>
      <c r="D450" s="109" t="s">
        <v>2231</v>
      </c>
      <c r="E450" s="109" t="s">
        <v>793</v>
      </c>
      <c r="F450" s="110">
        <v>0</v>
      </c>
      <c r="G450" s="109" t="s">
        <v>2232</v>
      </c>
      <c r="H450" s="109" t="s">
        <v>60</v>
      </c>
      <c r="I450" s="109" t="s">
        <v>785</v>
      </c>
      <c r="J450" s="109" t="s">
        <v>357</v>
      </c>
      <c r="K450" s="109" t="s">
        <v>387</v>
      </c>
      <c r="L450" s="109" t="s">
        <v>523</v>
      </c>
      <c r="M450" s="109" t="s">
        <v>388</v>
      </c>
      <c r="N450" s="109" t="s">
        <v>30</v>
      </c>
      <c r="O450" s="109" t="s">
        <v>445</v>
      </c>
      <c r="P450" s="109" t="s">
        <v>826</v>
      </c>
      <c r="Q450" s="109" t="s">
        <v>1574</v>
      </c>
      <c r="R450" s="109" t="s">
        <v>60</v>
      </c>
      <c r="S450" s="83" t="str">
        <f t="shared" si="45"/>
        <v>B1337H</v>
      </c>
      <c r="T450" s="83" t="str">
        <f t="shared" ref="T450:T513" si="49">IF(A450&lt;&gt;"",IF(FIND(" ",G450)&gt;=1,MID(G450,FIND(" ",G450)+1,LEN(G450)),""),"")</f>
        <v>MADRI</v>
      </c>
      <c r="Y450" s="60">
        <f t="shared" si="46"/>
        <v>31</v>
      </c>
      <c r="Z450" s="49">
        <f t="shared" si="47"/>
        <v>28</v>
      </c>
      <c r="AA450" s="60">
        <f t="shared" si="48"/>
        <v>31028</v>
      </c>
    </row>
    <row r="451" spans="1:27">
      <c r="A451" s="83" t="str">
        <f t="shared" ref="A451:A514" si="50">IF(G451&amp;Q451&lt;&gt;"",S451&amp;Q451,"")</f>
        <v>B1338Hblack</v>
      </c>
      <c r="B451" s="83" t="str">
        <f t="shared" ref="B451:B514" si="51">IF(C451&lt;&gt;"",LEFT(C451,9),"")</f>
        <v>31-029-09</v>
      </c>
      <c r="C451" s="109" t="s">
        <v>2233</v>
      </c>
      <c r="D451" s="109" t="s">
        <v>2234</v>
      </c>
      <c r="E451" s="109" t="s">
        <v>793</v>
      </c>
      <c r="F451" s="110">
        <v>0</v>
      </c>
      <c r="G451" s="109" t="s">
        <v>2235</v>
      </c>
      <c r="H451" s="109" t="s">
        <v>53</v>
      </c>
      <c r="I451" s="109" t="s">
        <v>785</v>
      </c>
      <c r="J451" s="109" t="s">
        <v>323</v>
      </c>
      <c r="K451" s="109" t="s">
        <v>387</v>
      </c>
      <c r="L451" s="109" t="s">
        <v>523</v>
      </c>
      <c r="M451" s="109" t="s">
        <v>388</v>
      </c>
      <c r="N451" s="109" t="s">
        <v>30</v>
      </c>
      <c r="O451" s="109" t="s">
        <v>386</v>
      </c>
      <c r="P451" s="109" t="s">
        <v>826</v>
      </c>
      <c r="Q451" s="109" t="s">
        <v>831</v>
      </c>
      <c r="R451" s="109" t="s">
        <v>53</v>
      </c>
      <c r="S451" s="83" t="str">
        <f t="shared" ref="S451:S514" si="52">IF(G451&lt;&gt;"",IF(FIND(" ",G451)&gt;=1,MID(G451,1,FIND(" ",G451)-1),G451),"")</f>
        <v>B1338H</v>
      </c>
      <c r="T451" s="83" t="str">
        <f t="shared" si="49"/>
        <v>GLENNA</v>
      </c>
      <c r="Y451" s="60">
        <f t="shared" ref="Y451:Y514" si="53">IFERROR(VALUE(MID($C451,1,2)),0)</f>
        <v>31</v>
      </c>
      <c r="Z451" s="49">
        <f t="shared" ref="Z451:Z514" si="54">IFERROR(VALUE(MID($C451,4,3)),0)</f>
        <v>29</v>
      </c>
      <c r="AA451" s="60">
        <f t="shared" ref="AA451:AA514" si="55">VALUE(RIGHT("00"&amp;Y451,2)&amp;RIGHT("000"&amp;Z451,3))</f>
        <v>31029</v>
      </c>
    </row>
    <row r="452" spans="1:27">
      <c r="A452" s="83" t="str">
        <f t="shared" si="50"/>
        <v>B1339Hblack</v>
      </c>
      <c r="B452" s="83" t="str">
        <f t="shared" si="51"/>
        <v>31-030-09</v>
      </c>
      <c r="C452" s="109" t="s">
        <v>2236</v>
      </c>
      <c r="D452" s="109" t="s">
        <v>2237</v>
      </c>
      <c r="E452" s="109" t="s">
        <v>793</v>
      </c>
      <c r="F452" s="110">
        <v>0</v>
      </c>
      <c r="G452" s="109" t="s">
        <v>2238</v>
      </c>
      <c r="H452" s="109" t="s">
        <v>53</v>
      </c>
      <c r="I452" s="109" t="s">
        <v>785</v>
      </c>
      <c r="J452" s="109" t="s">
        <v>323</v>
      </c>
      <c r="K452" s="109" t="s">
        <v>387</v>
      </c>
      <c r="L452" s="109" t="s">
        <v>523</v>
      </c>
      <c r="M452" s="109" t="s">
        <v>388</v>
      </c>
      <c r="N452" s="109" t="s">
        <v>30</v>
      </c>
      <c r="O452" s="109" t="s">
        <v>386</v>
      </c>
      <c r="P452" s="109" t="s">
        <v>826</v>
      </c>
      <c r="Q452" s="109" t="s">
        <v>831</v>
      </c>
      <c r="R452" s="109" t="s">
        <v>53</v>
      </c>
      <c r="S452" s="83" t="str">
        <f t="shared" si="52"/>
        <v>B1339H</v>
      </c>
      <c r="T452" s="83" t="str">
        <f t="shared" si="49"/>
        <v>LIL</v>
      </c>
      <c r="Y452" s="60">
        <f t="shared" si="53"/>
        <v>31</v>
      </c>
      <c r="Z452" s="49">
        <f t="shared" si="54"/>
        <v>30</v>
      </c>
      <c r="AA452" s="60">
        <f t="shared" si="55"/>
        <v>31030</v>
      </c>
    </row>
    <row r="453" spans="1:27">
      <c r="A453" s="83" t="str">
        <f t="shared" si="50"/>
        <v>B1341Sjade</v>
      </c>
      <c r="B453" s="83" t="str">
        <f t="shared" si="51"/>
        <v>31-031-11</v>
      </c>
      <c r="C453" s="109" t="s">
        <v>2239</v>
      </c>
      <c r="D453" s="109" t="s">
        <v>2240</v>
      </c>
      <c r="E453" s="109" t="s">
        <v>793</v>
      </c>
      <c r="F453" s="110">
        <v>0</v>
      </c>
      <c r="G453" s="109" t="s">
        <v>2241</v>
      </c>
      <c r="H453" s="109" t="s">
        <v>151</v>
      </c>
      <c r="I453" s="109" t="s">
        <v>2170</v>
      </c>
      <c r="J453" s="109" t="s">
        <v>332</v>
      </c>
      <c r="K453" s="109" t="s">
        <v>387</v>
      </c>
      <c r="L453" s="109" t="s">
        <v>523</v>
      </c>
      <c r="M453" s="109" t="s">
        <v>389</v>
      </c>
      <c r="O453" s="109" t="s">
        <v>386</v>
      </c>
      <c r="P453" s="109" t="s">
        <v>826</v>
      </c>
      <c r="Q453" s="109" t="s">
        <v>2171</v>
      </c>
      <c r="R453" s="109" t="s">
        <v>60</v>
      </c>
      <c r="S453" s="83" t="str">
        <f t="shared" si="52"/>
        <v>B1341S</v>
      </c>
      <c r="T453" s="83" t="str">
        <f t="shared" si="49"/>
        <v>METALLIC</v>
      </c>
      <c r="Y453" s="60">
        <f t="shared" si="53"/>
        <v>31</v>
      </c>
      <c r="Z453" s="49">
        <f t="shared" si="54"/>
        <v>31</v>
      </c>
      <c r="AA453" s="60">
        <f t="shared" si="55"/>
        <v>31031</v>
      </c>
    </row>
    <row r="454" spans="1:27">
      <c r="A454" s="83" t="str">
        <f t="shared" si="50"/>
        <v>B1341Staupe</v>
      </c>
      <c r="B454" s="83" t="str">
        <f t="shared" si="51"/>
        <v>31-031-14</v>
      </c>
      <c r="C454" s="109" t="s">
        <v>2242</v>
      </c>
      <c r="D454" s="109" t="s">
        <v>2243</v>
      </c>
      <c r="E454" s="109" t="s">
        <v>793</v>
      </c>
      <c r="F454" s="110">
        <v>0</v>
      </c>
      <c r="G454" s="109" t="s">
        <v>2241</v>
      </c>
      <c r="H454" s="109" t="s">
        <v>86</v>
      </c>
      <c r="I454" s="109" t="s">
        <v>2170</v>
      </c>
      <c r="J454" s="109" t="s">
        <v>332</v>
      </c>
      <c r="K454" s="109" t="s">
        <v>387</v>
      </c>
      <c r="L454" s="109" t="s">
        <v>523</v>
      </c>
      <c r="M454" s="109" t="s">
        <v>389</v>
      </c>
      <c r="O454" s="109" t="s">
        <v>386</v>
      </c>
      <c r="P454" s="109" t="s">
        <v>826</v>
      </c>
      <c r="Q454" s="109" t="s">
        <v>859</v>
      </c>
      <c r="R454" s="109" t="s">
        <v>86</v>
      </c>
      <c r="S454" s="83" t="str">
        <f t="shared" si="52"/>
        <v>B1341S</v>
      </c>
      <c r="T454" s="83" t="str">
        <f t="shared" si="49"/>
        <v>METALLIC</v>
      </c>
      <c r="Y454" s="60">
        <f t="shared" si="53"/>
        <v>31</v>
      </c>
      <c r="Z454" s="49">
        <f t="shared" si="54"/>
        <v>31</v>
      </c>
      <c r="AA454" s="60">
        <f t="shared" si="55"/>
        <v>31031</v>
      </c>
    </row>
    <row r="455" spans="1:27">
      <c r="A455" s="83" t="str">
        <f t="shared" si="50"/>
        <v>B434Hblack</v>
      </c>
      <c r="B455" s="83" t="str">
        <f t="shared" si="51"/>
        <v>31-032-09</v>
      </c>
      <c r="C455" s="109" t="s">
        <v>2244</v>
      </c>
      <c r="D455" s="109" t="s">
        <v>2245</v>
      </c>
      <c r="E455" s="109" t="s">
        <v>793</v>
      </c>
      <c r="F455" s="110">
        <v>0</v>
      </c>
      <c r="G455" s="109" t="s">
        <v>1174</v>
      </c>
      <c r="H455" s="109" t="s">
        <v>53</v>
      </c>
      <c r="I455" s="109" t="s">
        <v>1154</v>
      </c>
      <c r="J455" s="109" t="s">
        <v>357</v>
      </c>
      <c r="K455" s="109" t="s">
        <v>387</v>
      </c>
      <c r="L455" s="109" t="s">
        <v>523</v>
      </c>
      <c r="M455" s="109" t="s">
        <v>388</v>
      </c>
      <c r="O455" s="109" t="s">
        <v>539</v>
      </c>
      <c r="P455" s="109" t="s">
        <v>826</v>
      </c>
      <c r="Q455" s="109" t="s">
        <v>831</v>
      </c>
      <c r="R455" s="109" t="s">
        <v>53</v>
      </c>
      <c r="S455" s="83" t="str">
        <f t="shared" si="52"/>
        <v>B434H</v>
      </c>
      <c r="T455" s="83" t="str">
        <f t="shared" si="49"/>
        <v>WILLOW</v>
      </c>
      <c r="Y455" s="60">
        <f t="shared" si="53"/>
        <v>31</v>
      </c>
      <c r="Z455" s="49">
        <f t="shared" si="54"/>
        <v>32</v>
      </c>
      <c r="AA455" s="60">
        <f t="shared" si="55"/>
        <v>31032</v>
      </c>
    </row>
    <row r="456" spans="1:27">
      <c r="A456" s="83" t="str">
        <f t="shared" si="50"/>
        <v>B434Hpecan</v>
      </c>
      <c r="B456" s="83" t="str">
        <f t="shared" si="51"/>
        <v>31-032-14</v>
      </c>
      <c r="C456" s="109" t="s">
        <v>2246</v>
      </c>
      <c r="D456" s="109" t="s">
        <v>2247</v>
      </c>
      <c r="E456" s="109" t="s">
        <v>793</v>
      </c>
      <c r="F456" s="110">
        <v>0</v>
      </c>
      <c r="G456" s="109" t="s">
        <v>1174</v>
      </c>
      <c r="H456" s="109" t="s">
        <v>86</v>
      </c>
      <c r="I456" s="109" t="s">
        <v>1154</v>
      </c>
      <c r="J456" s="109" t="s">
        <v>357</v>
      </c>
      <c r="K456" s="109" t="s">
        <v>387</v>
      </c>
      <c r="L456" s="109" t="s">
        <v>523</v>
      </c>
      <c r="M456" s="109" t="s">
        <v>388</v>
      </c>
      <c r="O456" s="109" t="s">
        <v>539</v>
      </c>
      <c r="P456" s="109" t="s">
        <v>826</v>
      </c>
      <c r="Q456" s="109" t="s">
        <v>857</v>
      </c>
      <c r="R456" s="109" t="s">
        <v>86</v>
      </c>
      <c r="S456" s="83" t="str">
        <f t="shared" si="52"/>
        <v>B434H</v>
      </c>
      <c r="T456" s="83" t="str">
        <f t="shared" si="49"/>
        <v>WILLOW</v>
      </c>
      <c r="Y456" s="60">
        <f t="shared" si="53"/>
        <v>31</v>
      </c>
      <c r="Z456" s="49">
        <f t="shared" si="54"/>
        <v>32</v>
      </c>
      <c r="AA456" s="60">
        <f t="shared" si="55"/>
        <v>31032</v>
      </c>
    </row>
    <row r="457" spans="1:27">
      <c r="A457" s="83" t="str">
        <f t="shared" si="50"/>
        <v>B512black</v>
      </c>
      <c r="B457" s="83" t="str">
        <f t="shared" si="51"/>
        <v>31-033-09</v>
      </c>
      <c r="C457" s="109" t="s">
        <v>2248</v>
      </c>
      <c r="D457" s="109" t="s">
        <v>2249</v>
      </c>
      <c r="E457" s="109" t="s">
        <v>793</v>
      </c>
      <c r="F457" s="110">
        <v>0</v>
      </c>
      <c r="G457" s="109" t="s">
        <v>1434</v>
      </c>
      <c r="H457" s="109" t="s">
        <v>53</v>
      </c>
      <c r="I457" s="109" t="s">
        <v>785</v>
      </c>
      <c r="J457" s="109" t="s">
        <v>334</v>
      </c>
      <c r="K457" s="109" t="s">
        <v>387</v>
      </c>
      <c r="L457" s="109" t="s">
        <v>523</v>
      </c>
      <c r="M457" s="109" t="s">
        <v>389</v>
      </c>
      <c r="N457" s="109" t="s">
        <v>44</v>
      </c>
      <c r="O457" s="109" t="s">
        <v>386</v>
      </c>
      <c r="P457" s="109" t="s">
        <v>827</v>
      </c>
      <c r="Q457" s="109" t="s">
        <v>831</v>
      </c>
      <c r="R457" s="109" t="s">
        <v>53</v>
      </c>
      <c r="S457" s="83" t="str">
        <f t="shared" si="52"/>
        <v>B512</v>
      </c>
      <c r="T457" s="83" t="str">
        <f t="shared" si="49"/>
        <v>WOOL BERET</v>
      </c>
      <c r="Y457" s="60">
        <f t="shared" si="53"/>
        <v>31</v>
      </c>
      <c r="Z457" s="49">
        <f t="shared" si="54"/>
        <v>33</v>
      </c>
      <c r="AA457" s="60">
        <f t="shared" si="55"/>
        <v>31033</v>
      </c>
    </row>
    <row r="458" spans="1:27">
      <c r="A458" s="83" t="str">
        <f t="shared" si="50"/>
        <v>B512camel</v>
      </c>
      <c r="B458" s="83" t="str">
        <f t="shared" si="51"/>
        <v>31-033-20</v>
      </c>
      <c r="C458" s="109" t="s">
        <v>2250</v>
      </c>
      <c r="D458" s="109" t="s">
        <v>2251</v>
      </c>
      <c r="E458" s="109" t="s">
        <v>793</v>
      </c>
      <c r="F458" s="110">
        <v>0</v>
      </c>
      <c r="G458" s="109" t="s">
        <v>1434</v>
      </c>
      <c r="H458" s="109" t="s">
        <v>65</v>
      </c>
      <c r="I458" s="109" t="s">
        <v>785</v>
      </c>
      <c r="J458" s="109" t="s">
        <v>334</v>
      </c>
      <c r="K458" s="109" t="s">
        <v>387</v>
      </c>
      <c r="L458" s="109" t="s">
        <v>523</v>
      </c>
      <c r="M458" s="109" t="s">
        <v>389</v>
      </c>
      <c r="O458" s="109" t="s">
        <v>445</v>
      </c>
      <c r="P458" s="109" t="s">
        <v>826</v>
      </c>
      <c r="Q458" s="109" t="s">
        <v>834</v>
      </c>
      <c r="R458" s="109" t="s">
        <v>65</v>
      </c>
      <c r="S458" s="83" t="str">
        <f t="shared" si="52"/>
        <v>B512</v>
      </c>
      <c r="T458" s="83" t="str">
        <f t="shared" si="49"/>
        <v>WOOL BERET</v>
      </c>
      <c r="Y458" s="60">
        <f t="shared" si="53"/>
        <v>31</v>
      </c>
      <c r="Z458" s="49">
        <f t="shared" si="54"/>
        <v>33</v>
      </c>
      <c r="AA458" s="60">
        <f t="shared" si="55"/>
        <v>31033</v>
      </c>
    </row>
    <row r="459" spans="1:27">
      <c r="A459" s="83" t="str">
        <f t="shared" si="50"/>
        <v>B512chocolate</v>
      </c>
      <c r="B459" s="83" t="str">
        <f t="shared" si="51"/>
        <v>31-033-14</v>
      </c>
      <c r="C459" s="109" t="s">
        <v>2252</v>
      </c>
      <c r="D459" s="109" t="s">
        <v>2253</v>
      </c>
      <c r="E459" s="109" t="s">
        <v>793</v>
      </c>
      <c r="F459" s="110">
        <v>0</v>
      </c>
      <c r="G459" s="109" t="s">
        <v>1434</v>
      </c>
      <c r="H459" s="109" t="s">
        <v>86</v>
      </c>
      <c r="I459" s="109" t="s">
        <v>796</v>
      </c>
      <c r="J459" s="109" t="s">
        <v>334</v>
      </c>
      <c r="K459" s="109" t="s">
        <v>387</v>
      </c>
      <c r="L459" s="109" t="s">
        <v>523</v>
      </c>
      <c r="M459" s="109" t="s">
        <v>388</v>
      </c>
      <c r="N459" s="109" t="s">
        <v>30</v>
      </c>
      <c r="O459" s="109" t="s">
        <v>445</v>
      </c>
      <c r="P459" s="109" t="s">
        <v>826</v>
      </c>
      <c r="Q459" s="109" t="s">
        <v>851</v>
      </c>
      <c r="R459" s="109" t="s">
        <v>86</v>
      </c>
      <c r="S459" s="83" t="str">
        <f t="shared" si="52"/>
        <v>B512</v>
      </c>
      <c r="T459" s="83" t="str">
        <f t="shared" si="49"/>
        <v>WOOL BERET</v>
      </c>
      <c r="Y459" s="60">
        <f t="shared" si="53"/>
        <v>31</v>
      </c>
      <c r="Z459" s="49">
        <f t="shared" si="54"/>
        <v>33</v>
      </c>
      <c r="AA459" s="60">
        <f t="shared" si="55"/>
        <v>31033</v>
      </c>
    </row>
    <row r="460" spans="1:27">
      <c r="A460" s="83" t="str">
        <f t="shared" si="50"/>
        <v>B512grey</v>
      </c>
      <c r="B460" s="83" t="str">
        <f t="shared" si="51"/>
        <v>31-033-08</v>
      </c>
      <c r="C460" s="109" t="s">
        <v>2254</v>
      </c>
      <c r="D460" s="109" t="s">
        <v>2255</v>
      </c>
      <c r="E460" s="109" t="s">
        <v>793</v>
      </c>
      <c r="F460" s="110">
        <v>0</v>
      </c>
      <c r="G460" s="109" t="s">
        <v>1434</v>
      </c>
      <c r="H460" s="109" t="s">
        <v>83</v>
      </c>
      <c r="I460" s="109" t="s">
        <v>785</v>
      </c>
      <c r="J460" s="109" t="s">
        <v>334</v>
      </c>
      <c r="K460" s="109" t="s">
        <v>387</v>
      </c>
      <c r="L460" s="109" t="s">
        <v>523</v>
      </c>
      <c r="M460" s="109" t="s">
        <v>389</v>
      </c>
      <c r="O460" s="109" t="s">
        <v>445</v>
      </c>
      <c r="P460" s="109" t="s">
        <v>826</v>
      </c>
      <c r="Q460" s="109" t="s">
        <v>788</v>
      </c>
      <c r="R460" s="109" t="s">
        <v>83</v>
      </c>
      <c r="S460" s="83" t="str">
        <f t="shared" si="52"/>
        <v>B512</v>
      </c>
      <c r="T460" s="83" t="str">
        <f t="shared" si="49"/>
        <v>WOOL BERET</v>
      </c>
      <c r="Y460" s="60">
        <f t="shared" si="53"/>
        <v>31</v>
      </c>
      <c r="Z460" s="49">
        <f t="shared" si="54"/>
        <v>33</v>
      </c>
      <c r="AA460" s="60">
        <f t="shared" si="55"/>
        <v>31033</v>
      </c>
    </row>
    <row r="461" spans="1:27">
      <c r="A461" s="83" t="str">
        <f t="shared" si="50"/>
        <v>B512navy</v>
      </c>
      <c r="B461" s="83" t="str">
        <f t="shared" si="51"/>
        <v>31-033-06</v>
      </c>
      <c r="C461" s="109" t="s">
        <v>2256</v>
      </c>
      <c r="D461" s="109" t="s">
        <v>2257</v>
      </c>
      <c r="E461" s="109" t="s">
        <v>793</v>
      </c>
      <c r="F461" s="110">
        <v>0</v>
      </c>
      <c r="G461" s="109" t="s">
        <v>1434</v>
      </c>
      <c r="H461" s="109" t="s">
        <v>71</v>
      </c>
      <c r="I461" s="109" t="s">
        <v>785</v>
      </c>
      <c r="J461" s="109" t="s">
        <v>334</v>
      </c>
      <c r="K461" s="109" t="s">
        <v>387</v>
      </c>
      <c r="L461" s="109" t="s">
        <v>523</v>
      </c>
      <c r="M461" s="109" t="s">
        <v>389</v>
      </c>
      <c r="N461" s="109" t="s">
        <v>44</v>
      </c>
      <c r="O461" s="109" t="s">
        <v>445</v>
      </c>
      <c r="P461" s="109" t="s">
        <v>827</v>
      </c>
      <c r="Q461" s="109" t="s">
        <v>829</v>
      </c>
      <c r="R461" s="109" t="s">
        <v>71</v>
      </c>
      <c r="S461" s="83" t="str">
        <f t="shared" si="52"/>
        <v>B512</v>
      </c>
      <c r="T461" s="83" t="str">
        <f t="shared" si="49"/>
        <v>WOOL BERET</v>
      </c>
      <c r="Y461" s="60">
        <f t="shared" si="53"/>
        <v>31</v>
      </c>
      <c r="Z461" s="49">
        <f t="shared" si="54"/>
        <v>33</v>
      </c>
      <c r="AA461" s="60">
        <f t="shared" si="55"/>
        <v>31033</v>
      </c>
    </row>
    <row r="462" spans="1:27">
      <c r="A462" s="83" t="str">
        <f t="shared" si="50"/>
        <v>B512pink</v>
      </c>
      <c r="B462" s="83" t="str">
        <f t="shared" si="51"/>
        <v>31-033-34</v>
      </c>
      <c r="C462" s="109" t="s">
        <v>2258</v>
      </c>
      <c r="D462" s="109" t="s">
        <v>2259</v>
      </c>
      <c r="E462" s="109" t="s">
        <v>793</v>
      </c>
      <c r="F462" s="110">
        <v>0</v>
      </c>
      <c r="G462" s="109" t="s">
        <v>1434</v>
      </c>
      <c r="H462" s="109" t="s">
        <v>68</v>
      </c>
      <c r="I462" s="109" t="s">
        <v>785</v>
      </c>
      <c r="J462" s="109" t="s">
        <v>334</v>
      </c>
      <c r="K462" s="109" t="s">
        <v>387</v>
      </c>
      <c r="L462" s="109" t="s">
        <v>523</v>
      </c>
      <c r="M462" s="109" t="s">
        <v>389</v>
      </c>
      <c r="N462" s="109" t="s">
        <v>44</v>
      </c>
      <c r="O462" s="109" t="s">
        <v>445</v>
      </c>
      <c r="P462" s="109" t="s">
        <v>827</v>
      </c>
      <c r="Q462" s="109" t="s">
        <v>2260</v>
      </c>
      <c r="R462" s="109" t="s">
        <v>68</v>
      </c>
      <c r="S462" s="83" t="str">
        <f t="shared" si="52"/>
        <v>B512</v>
      </c>
      <c r="T462" s="83" t="str">
        <f t="shared" si="49"/>
        <v>WOOL BERET</v>
      </c>
      <c r="Y462" s="60">
        <f t="shared" si="53"/>
        <v>31</v>
      </c>
      <c r="Z462" s="49">
        <f t="shared" si="54"/>
        <v>33</v>
      </c>
      <c r="AA462" s="60">
        <f t="shared" si="55"/>
        <v>31033</v>
      </c>
    </row>
    <row r="463" spans="1:27">
      <c r="A463" s="83" t="str">
        <f t="shared" si="50"/>
        <v>B512red</v>
      </c>
      <c r="B463" s="83" t="str">
        <f t="shared" si="51"/>
        <v>31-033-18</v>
      </c>
      <c r="C463" s="109" t="s">
        <v>2261</v>
      </c>
      <c r="D463" s="109" t="s">
        <v>2262</v>
      </c>
      <c r="E463" s="109" t="s">
        <v>793</v>
      </c>
      <c r="F463" s="110">
        <v>0</v>
      </c>
      <c r="G463" s="109" t="s">
        <v>1434</v>
      </c>
      <c r="H463" s="109" t="s">
        <v>78</v>
      </c>
      <c r="I463" s="109" t="s">
        <v>785</v>
      </c>
      <c r="J463" s="109" t="s">
        <v>334</v>
      </c>
      <c r="K463" s="109" t="s">
        <v>387</v>
      </c>
      <c r="L463" s="109" t="s">
        <v>523</v>
      </c>
      <c r="M463" s="109" t="s">
        <v>389</v>
      </c>
      <c r="N463" s="109" t="s">
        <v>44</v>
      </c>
      <c r="O463" s="109" t="s">
        <v>445</v>
      </c>
      <c r="P463" s="109" t="s">
        <v>827</v>
      </c>
      <c r="Q463" s="109" t="s">
        <v>875</v>
      </c>
      <c r="R463" s="109" t="s">
        <v>78</v>
      </c>
      <c r="S463" s="83" t="str">
        <f t="shared" si="52"/>
        <v>B512</v>
      </c>
      <c r="T463" s="83" t="str">
        <f t="shared" si="49"/>
        <v>WOOL BERET</v>
      </c>
      <c r="Y463" s="60">
        <f t="shared" si="53"/>
        <v>31</v>
      </c>
      <c r="Z463" s="49">
        <f t="shared" si="54"/>
        <v>33</v>
      </c>
      <c r="AA463" s="60">
        <f t="shared" si="55"/>
        <v>31033</v>
      </c>
    </row>
    <row r="464" spans="1:27">
      <c r="A464" s="83" t="str">
        <f t="shared" si="50"/>
        <v>B512white</v>
      </c>
      <c r="B464" s="83" t="str">
        <f t="shared" si="51"/>
        <v>31-033-17</v>
      </c>
      <c r="C464" s="109" t="s">
        <v>2263</v>
      </c>
      <c r="D464" s="109" t="s">
        <v>2264</v>
      </c>
      <c r="E464" s="109" t="s">
        <v>793</v>
      </c>
      <c r="F464" s="110">
        <v>0</v>
      </c>
      <c r="G464" s="109" t="s">
        <v>1434</v>
      </c>
      <c r="H464" s="109" t="s">
        <v>57</v>
      </c>
      <c r="I464" s="109" t="s">
        <v>785</v>
      </c>
      <c r="J464" s="109" t="s">
        <v>334</v>
      </c>
      <c r="K464" s="109" t="s">
        <v>387</v>
      </c>
      <c r="L464" s="109" t="s">
        <v>523</v>
      </c>
      <c r="M464" s="109" t="s">
        <v>389</v>
      </c>
      <c r="N464" s="109" t="s">
        <v>30</v>
      </c>
      <c r="O464" s="109" t="s">
        <v>445</v>
      </c>
      <c r="P464" s="109" t="s">
        <v>826</v>
      </c>
      <c r="Q464" s="109" t="s">
        <v>840</v>
      </c>
      <c r="R464" s="109" t="s">
        <v>57</v>
      </c>
      <c r="S464" s="83" t="str">
        <f t="shared" si="52"/>
        <v>B512</v>
      </c>
      <c r="T464" s="83" t="str">
        <f t="shared" si="49"/>
        <v>WOOL BERET</v>
      </c>
      <c r="Y464" s="60">
        <f t="shared" si="53"/>
        <v>31</v>
      </c>
      <c r="Z464" s="49">
        <f t="shared" si="54"/>
        <v>33</v>
      </c>
      <c r="AA464" s="60">
        <f t="shared" si="55"/>
        <v>31033</v>
      </c>
    </row>
    <row r="465" spans="1:27">
      <c r="A465" s="83" t="str">
        <f t="shared" si="50"/>
        <v>B515berry</v>
      </c>
      <c r="B465" s="83" t="str">
        <f t="shared" si="51"/>
        <v>31-034-41</v>
      </c>
      <c r="C465" s="109" t="s">
        <v>2265</v>
      </c>
      <c r="D465" s="109" t="s">
        <v>2266</v>
      </c>
      <c r="E465" s="109" t="s">
        <v>793</v>
      </c>
      <c r="F465" s="110">
        <v>0</v>
      </c>
      <c r="G465" s="109" t="s">
        <v>1076</v>
      </c>
      <c r="H465" s="109" t="s">
        <v>286</v>
      </c>
      <c r="I465" s="109" t="s">
        <v>796</v>
      </c>
      <c r="J465" s="109" t="s">
        <v>334</v>
      </c>
      <c r="K465" s="109" t="s">
        <v>387</v>
      </c>
      <c r="L465" s="109" t="s">
        <v>523</v>
      </c>
      <c r="M465" s="109" t="s">
        <v>389</v>
      </c>
      <c r="O465" s="109" t="s">
        <v>386</v>
      </c>
      <c r="P465" s="109" t="s">
        <v>826</v>
      </c>
      <c r="Q465" s="109" t="s">
        <v>901</v>
      </c>
      <c r="R465" s="109" t="s">
        <v>286</v>
      </c>
      <c r="S465" s="83" t="str">
        <f t="shared" si="52"/>
        <v>B515</v>
      </c>
      <c r="T465" s="83" t="str">
        <f t="shared" si="49"/>
        <v>FLOWER BERET</v>
      </c>
      <c r="Y465" s="60">
        <f t="shared" si="53"/>
        <v>31</v>
      </c>
      <c r="Z465" s="49">
        <f t="shared" si="54"/>
        <v>34</v>
      </c>
      <c r="AA465" s="60">
        <f t="shared" si="55"/>
        <v>31034</v>
      </c>
    </row>
    <row r="466" spans="1:27">
      <c r="A466" s="83" t="str">
        <f t="shared" si="50"/>
        <v>B515black</v>
      </c>
      <c r="B466" s="83" t="str">
        <f t="shared" si="51"/>
        <v>31-034-09</v>
      </c>
      <c r="C466" s="109" t="s">
        <v>2267</v>
      </c>
      <c r="D466" s="109" t="s">
        <v>2268</v>
      </c>
      <c r="E466" s="109" t="s">
        <v>793</v>
      </c>
      <c r="F466" s="110">
        <v>0</v>
      </c>
      <c r="G466" s="109" t="s">
        <v>1076</v>
      </c>
      <c r="H466" s="109" t="s">
        <v>53</v>
      </c>
      <c r="I466" s="109" t="s">
        <v>796</v>
      </c>
      <c r="J466" s="109" t="s">
        <v>334</v>
      </c>
      <c r="K466" s="109" t="s">
        <v>387</v>
      </c>
      <c r="L466" s="109" t="s">
        <v>523</v>
      </c>
      <c r="M466" s="109" t="s">
        <v>388</v>
      </c>
      <c r="N466" s="109" t="s">
        <v>44</v>
      </c>
      <c r="O466" s="109" t="s">
        <v>386</v>
      </c>
      <c r="P466" s="109" t="s">
        <v>827</v>
      </c>
      <c r="Q466" s="109" t="s">
        <v>831</v>
      </c>
      <c r="R466" s="109" t="s">
        <v>53</v>
      </c>
      <c r="S466" s="83" t="str">
        <f t="shared" si="52"/>
        <v>B515</v>
      </c>
      <c r="T466" s="83" t="str">
        <f t="shared" si="49"/>
        <v>FLOWER BERET</v>
      </c>
      <c r="Y466" s="60">
        <f t="shared" si="53"/>
        <v>31</v>
      </c>
      <c r="Z466" s="49">
        <f t="shared" si="54"/>
        <v>34</v>
      </c>
      <c r="AA466" s="60">
        <f t="shared" si="55"/>
        <v>31034</v>
      </c>
    </row>
    <row r="467" spans="1:27">
      <c r="A467" s="83" t="str">
        <f t="shared" si="50"/>
        <v>B515charcoal</v>
      </c>
      <c r="B467" s="83" t="str">
        <f t="shared" si="51"/>
        <v>31-034-08</v>
      </c>
      <c r="C467" s="109" t="s">
        <v>2269</v>
      </c>
      <c r="D467" s="109" t="s">
        <v>2270</v>
      </c>
      <c r="E467" s="109" t="s">
        <v>793</v>
      </c>
      <c r="F467" s="110">
        <v>0</v>
      </c>
      <c r="G467" s="109" t="s">
        <v>1076</v>
      </c>
      <c r="H467" s="109" t="s">
        <v>83</v>
      </c>
      <c r="I467" s="109" t="s">
        <v>796</v>
      </c>
      <c r="J467" s="109" t="s">
        <v>334</v>
      </c>
      <c r="K467" s="109" t="s">
        <v>387</v>
      </c>
      <c r="L467" s="109" t="s">
        <v>523</v>
      </c>
      <c r="M467" s="109" t="s">
        <v>388</v>
      </c>
      <c r="N467" s="109" t="s">
        <v>44</v>
      </c>
      <c r="O467" s="109" t="s">
        <v>386</v>
      </c>
      <c r="P467" s="109" t="s">
        <v>827</v>
      </c>
      <c r="Q467" s="109" t="s">
        <v>836</v>
      </c>
      <c r="R467" s="109" t="s">
        <v>83</v>
      </c>
      <c r="S467" s="83" t="str">
        <f t="shared" si="52"/>
        <v>B515</v>
      </c>
      <c r="T467" s="83" t="str">
        <f t="shared" si="49"/>
        <v>FLOWER BERET</v>
      </c>
      <c r="Y467" s="60">
        <f t="shared" si="53"/>
        <v>31</v>
      </c>
      <c r="Z467" s="49">
        <f t="shared" si="54"/>
        <v>34</v>
      </c>
      <c r="AA467" s="60">
        <f t="shared" si="55"/>
        <v>31034</v>
      </c>
    </row>
    <row r="468" spans="1:27">
      <c r="A468" s="83" t="str">
        <f t="shared" si="50"/>
        <v>B515white</v>
      </c>
      <c r="B468" s="83" t="str">
        <f t="shared" si="51"/>
        <v>31-034-17</v>
      </c>
      <c r="C468" s="109" t="s">
        <v>2271</v>
      </c>
      <c r="D468" s="109" t="s">
        <v>2272</v>
      </c>
      <c r="E468" s="109" t="s">
        <v>793</v>
      </c>
      <c r="F468" s="110">
        <v>0</v>
      </c>
      <c r="G468" s="109" t="s">
        <v>1076</v>
      </c>
      <c r="H468" s="109" t="s">
        <v>57</v>
      </c>
      <c r="I468" s="109" t="s">
        <v>796</v>
      </c>
      <c r="J468" s="109" t="s">
        <v>334</v>
      </c>
      <c r="K468" s="109" t="s">
        <v>387</v>
      </c>
      <c r="L468" s="109" t="s">
        <v>523</v>
      </c>
      <c r="M468" s="109" t="s">
        <v>389</v>
      </c>
      <c r="N468" s="109" t="s">
        <v>44</v>
      </c>
      <c r="O468" s="109" t="s">
        <v>386</v>
      </c>
      <c r="P468" s="109" t="s">
        <v>827</v>
      </c>
      <c r="Q468" s="109" t="s">
        <v>840</v>
      </c>
      <c r="R468" s="109" t="s">
        <v>57</v>
      </c>
      <c r="S468" s="83" t="str">
        <f t="shared" si="52"/>
        <v>B515</v>
      </c>
      <c r="T468" s="83" t="str">
        <f t="shared" si="49"/>
        <v>FLOWER BERET</v>
      </c>
      <c r="Y468" s="60">
        <f t="shared" si="53"/>
        <v>31</v>
      </c>
      <c r="Z468" s="49">
        <f t="shared" si="54"/>
        <v>34</v>
      </c>
      <c r="AA468" s="60">
        <f t="shared" si="55"/>
        <v>31034</v>
      </c>
    </row>
    <row r="469" spans="1:27">
      <c r="A469" s="83" t="str">
        <f t="shared" si="50"/>
        <v>B521berry</v>
      </c>
      <c r="B469" s="83" t="str">
        <f t="shared" si="51"/>
        <v>31-035-41</v>
      </c>
      <c r="C469" s="109" t="s">
        <v>2273</v>
      </c>
      <c r="D469" s="109" t="s">
        <v>2274</v>
      </c>
      <c r="E469" s="109" t="s">
        <v>793</v>
      </c>
      <c r="F469" s="110">
        <v>0</v>
      </c>
      <c r="G469" s="109" t="s">
        <v>1096</v>
      </c>
      <c r="H469" s="109" t="s">
        <v>286</v>
      </c>
      <c r="I469" s="109" t="s">
        <v>796</v>
      </c>
      <c r="J469" s="109" t="s">
        <v>348</v>
      </c>
      <c r="K469" s="109" t="s">
        <v>387</v>
      </c>
      <c r="L469" s="109" t="s">
        <v>523</v>
      </c>
      <c r="M469" s="109" t="s">
        <v>388</v>
      </c>
      <c r="N469" s="109" t="s">
        <v>44</v>
      </c>
      <c r="O469" s="109" t="s">
        <v>386</v>
      </c>
      <c r="P469" s="109" t="s">
        <v>826</v>
      </c>
      <c r="Q469" s="109" t="s">
        <v>901</v>
      </c>
      <c r="R469" s="109" t="s">
        <v>286</v>
      </c>
      <c r="S469" s="83" t="str">
        <f t="shared" si="52"/>
        <v>B521</v>
      </c>
      <c r="T469" s="83" t="str">
        <f t="shared" si="49"/>
        <v>RHINESTONE CAP</v>
      </c>
      <c r="Y469" s="60">
        <f t="shared" si="53"/>
        <v>31</v>
      </c>
      <c r="Z469" s="49">
        <f t="shared" si="54"/>
        <v>35</v>
      </c>
      <c r="AA469" s="60">
        <f t="shared" si="55"/>
        <v>31035</v>
      </c>
    </row>
    <row r="470" spans="1:27">
      <c r="A470" s="83" t="str">
        <f t="shared" si="50"/>
        <v>B521black</v>
      </c>
      <c r="B470" s="83" t="str">
        <f t="shared" si="51"/>
        <v>31-035-09</v>
      </c>
      <c r="C470" s="109" t="s">
        <v>2275</v>
      </c>
      <c r="D470" s="109" t="s">
        <v>2276</v>
      </c>
      <c r="E470" s="109" t="s">
        <v>793</v>
      </c>
      <c r="F470" s="110">
        <v>0</v>
      </c>
      <c r="G470" s="109" t="s">
        <v>1096</v>
      </c>
      <c r="H470" s="109" t="s">
        <v>53</v>
      </c>
      <c r="I470" s="109" t="s">
        <v>796</v>
      </c>
      <c r="J470" s="109" t="s">
        <v>348</v>
      </c>
      <c r="K470" s="109" t="s">
        <v>387</v>
      </c>
      <c r="L470" s="109" t="s">
        <v>523</v>
      </c>
      <c r="M470" s="109" t="s">
        <v>388</v>
      </c>
      <c r="N470" s="109" t="s">
        <v>44</v>
      </c>
      <c r="O470" s="109" t="s">
        <v>386</v>
      </c>
      <c r="P470" s="109" t="s">
        <v>827</v>
      </c>
      <c r="Q470" s="109" t="s">
        <v>831</v>
      </c>
      <c r="R470" s="109" t="s">
        <v>53</v>
      </c>
      <c r="S470" s="83" t="str">
        <f t="shared" si="52"/>
        <v>B521</v>
      </c>
      <c r="T470" s="83" t="str">
        <f t="shared" si="49"/>
        <v>RHINESTONE CAP</v>
      </c>
      <c r="Y470" s="60">
        <f t="shared" si="53"/>
        <v>31</v>
      </c>
      <c r="Z470" s="49">
        <f t="shared" si="54"/>
        <v>35</v>
      </c>
      <c r="AA470" s="60">
        <f t="shared" si="55"/>
        <v>31035</v>
      </c>
    </row>
    <row r="471" spans="1:27">
      <c r="A471" s="83" t="str">
        <f t="shared" si="50"/>
        <v>B521red</v>
      </c>
      <c r="B471" s="83" t="str">
        <f t="shared" si="51"/>
        <v>31-035-18</v>
      </c>
      <c r="C471" s="109" t="s">
        <v>2277</v>
      </c>
      <c r="D471" s="109" t="s">
        <v>2278</v>
      </c>
      <c r="E471" s="109" t="s">
        <v>793</v>
      </c>
      <c r="F471" s="110">
        <v>0</v>
      </c>
      <c r="G471" s="109" t="s">
        <v>1096</v>
      </c>
      <c r="H471" s="109" t="s">
        <v>78</v>
      </c>
      <c r="I471" s="109" t="s">
        <v>796</v>
      </c>
      <c r="J471" s="109" t="s">
        <v>348</v>
      </c>
      <c r="K471" s="109" t="s">
        <v>387</v>
      </c>
      <c r="L471" s="109" t="s">
        <v>523</v>
      </c>
      <c r="M471" s="109" t="s">
        <v>388</v>
      </c>
      <c r="N471" s="109" t="s">
        <v>44</v>
      </c>
      <c r="O471" s="109" t="s">
        <v>386</v>
      </c>
      <c r="P471" s="109" t="s">
        <v>826</v>
      </c>
      <c r="Q471" s="109" t="s">
        <v>875</v>
      </c>
      <c r="R471" s="109" t="s">
        <v>78</v>
      </c>
      <c r="S471" s="83" t="str">
        <f t="shared" si="52"/>
        <v>B521</v>
      </c>
      <c r="T471" s="83" t="str">
        <f t="shared" si="49"/>
        <v>RHINESTONE CAP</v>
      </c>
      <c r="Y471" s="60">
        <f t="shared" si="53"/>
        <v>31</v>
      </c>
      <c r="Z471" s="49">
        <f t="shared" si="54"/>
        <v>35</v>
      </c>
      <c r="AA471" s="60">
        <f t="shared" si="55"/>
        <v>31035</v>
      </c>
    </row>
    <row r="472" spans="1:27">
      <c r="A472" s="83" t="str">
        <f t="shared" si="50"/>
        <v>B523black</v>
      </c>
      <c r="B472" s="83" t="str">
        <f t="shared" si="51"/>
        <v>31-036-09</v>
      </c>
      <c r="C472" s="109" t="s">
        <v>2279</v>
      </c>
      <c r="D472" s="109" t="s">
        <v>2280</v>
      </c>
      <c r="E472" s="109" t="s">
        <v>793</v>
      </c>
      <c r="F472" s="110">
        <v>0</v>
      </c>
      <c r="G472" s="109" t="s">
        <v>2281</v>
      </c>
      <c r="H472" s="109" t="s">
        <v>53</v>
      </c>
      <c r="I472" s="109" t="s">
        <v>796</v>
      </c>
      <c r="J472" s="109" t="s">
        <v>350</v>
      </c>
      <c r="K472" s="109" t="s">
        <v>387</v>
      </c>
      <c r="L472" s="109" t="s">
        <v>523</v>
      </c>
      <c r="M472" s="109" t="s">
        <v>388</v>
      </c>
      <c r="N472" s="109" t="s">
        <v>44</v>
      </c>
      <c r="O472" s="109" t="s">
        <v>386</v>
      </c>
      <c r="P472" s="109" t="s">
        <v>826</v>
      </c>
      <c r="Q472" s="109" t="s">
        <v>831</v>
      </c>
      <c r="R472" s="109" t="s">
        <v>53</v>
      </c>
      <c r="S472" s="83" t="str">
        <f t="shared" si="52"/>
        <v>B523</v>
      </c>
      <c r="T472" s="83" t="str">
        <f t="shared" si="49"/>
        <v>Ridge Flower Cap</v>
      </c>
      <c r="Y472" s="60">
        <f t="shared" si="53"/>
        <v>31</v>
      </c>
      <c r="Z472" s="49">
        <f t="shared" si="54"/>
        <v>36</v>
      </c>
      <c r="AA472" s="60">
        <f t="shared" si="55"/>
        <v>31036</v>
      </c>
    </row>
    <row r="473" spans="1:27">
      <c r="A473" s="83" t="str">
        <f t="shared" si="50"/>
        <v>B523charcoal</v>
      </c>
      <c r="B473" s="83" t="str">
        <f t="shared" si="51"/>
        <v>31-036-08</v>
      </c>
      <c r="C473" s="109" t="s">
        <v>2282</v>
      </c>
      <c r="D473" s="109" t="s">
        <v>2283</v>
      </c>
      <c r="E473" s="109" t="s">
        <v>793</v>
      </c>
      <c r="F473" s="110">
        <v>0</v>
      </c>
      <c r="G473" s="109" t="s">
        <v>2281</v>
      </c>
      <c r="H473" s="109" t="s">
        <v>83</v>
      </c>
      <c r="I473" s="109" t="s">
        <v>796</v>
      </c>
      <c r="J473" s="109" t="s">
        <v>350</v>
      </c>
      <c r="K473" s="109" t="s">
        <v>387</v>
      </c>
      <c r="L473" s="109" t="s">
        <v>523</v>
      </c>
      <c r="M473" s="109" t="s">
        <v>388</v>
      </c>
      <c r="N473" s="109" t="s">
        <v>44</v>
      </c>
      <c r="O473" s="109" t="s">
        <v>386</v>
      </c>
      <c r="P473" s="109" t="s">
        <v>826</v>
      </c>
      <c r="Q473" s="109" t="s">
        <v>836</v>
      </c>
      <c r="R473" s="109" t="s">
        <v>83</v>
      </c>
      <c r="S473" s="83" t="str">
        <f t="shared" si="52"/>
        <v>B523</v>
      </c>
      <c r="T473" s="83" t="str">
        <f t="shared" si="49"/>
        <v>Ridge Flower Cap</v>
      </c>
      <c r="Y473" s="60">
        <f t="shared" si="53"/>
        <v>31</v>
      </c>
      <c r="Z473" s="49">
        <f t="shared" si="54"/>
        <v>36</v>
      </c>
      <c r="AA473" s="60">
        <f t="shared" si="55"/>
        <v>31036</v>
      </c>
    </row>
    <row r="474" spans="1:27">
      <c r="A474" s="83" t="str">
        <f t="shared" si="50"/>
        <v>B545Hblack</v>
      </c>
      <c r="B474" s="83" t="str">
        <f t="shared" si="51"/>
        <v>31-037-09</v>
      </c>
      <c r="C474" s="109" t="s">
        <v>2284</v>
      </c>
      <c r="D474" s="109" t="s">
        <v>2285</v>
      </c>
      <c r="E474" s="109" t="s">
        <v>793</v>
      </c>
      <c r="F474" s="110">
        <v>0</v>
      </c>
      <c r="G474" s="109" t="s">
        <v>1178</v>
      </c>
      <c r="H474" s="109" t="s">
        <v>53</v>
      </c>
      <c r="I474" s="109" t="s">
        <v>785</v>
      </c>
      <c r="J474" s="109" t="s">
        <v>357</v>
      </c>
      <c r="K474" s="109" t="s">
        <v>387</v>
      </c>
      <c r="L474" s="109" t="s">
        <v>523</v>
      </c>
      <c r="M474" s="109" t="s">
        <v>388</v>
      </c>
      <c r="N474" s="109" t="s">
        <v>30</v>
      </c>
      <c r="O474" s="109" t="s">
        <v>386</v>
      </c>
      <c r="P474" s="109" t="s">
        <v>826</v>
      </c>
      <c r="Q474" s="109" t="s">
        <v>831</v>
      </c>
      <c r="R474" s="109" t="s">
        <v>53</v>
      </c>
      <c r="S474" s="83" t="str">
        <f t="shared" si="52"/>
        <v>B545H</v>
      </c>
      <c r="T474" s="83" t="str">
        <f t="shared" si="49"/>
        <v>ALEXANDRITE</v>
      </c>
      <c r="Y474" s="60">
        <f t="shared" si="53"/>
        <v>31</v>
      </c>
      <c r="Z474" s="49">
        <f t="shared" si="54"/>
        <v>37</v>
      </c>
      <c r="AA474" s="60">
        <f t="shared" si="55"/>
        <v>31037</v>
      </c>
    </row>
    <row r="475" spans="1:27">
      <c r="A475" s="83" t="str">
        <f t="shared" si="50"/>
        <v>B545Hscarlet</v>
      </c>
      <c r="B475" s="83" t="str">
        <f t="shared" si="51"/>
        <v>31-037-18</v>
      </c>
      <c r="C475" s="109" t="s">
        <v>2286</v>
      </c>
      <c r="D475" s="109" t="s">
        <v>2287</v>
      </c>
      <c r="E475" s="109" t="s">
        <v>793</v>
      </c>
      <c r="F475" s="110">
        <v>0</v>
      </c>
      <c r="G475" s="109" t="s">
        <v>1178</v>
      </c>
      <c r="H475" s="109" t="s">
        <v>78</v>
      </c>
      <c r="I475" s="109" t="s">
        <v>785</v>
      </c>
      <c r="J475" s="109" t="s">
        <v>357</v>
      </c>
      <c r="K475" s="109" t="s">
        <v>387</v>
      </c>
      <c r="L475" s="109" t="s">
        <v>523</v>
      </c>
      <c r="M475" s="109" t="s">
        <v>388</v>
      </c>
      <c r="N475" s="109" t="s">
        <v>30</v>
      </c>
      <c r="O475" s="109" t="s">
        <v>386</v>
      </c>
      <c r="P475" s="109" t="s">
        <v>826</v>
      </c>
      <c r="Q475" s="109" t="s">
        <v>896</v>
      </c>
      <c r="R475" s="109" t="s">
        <v>78</v>
      </c>
      <c r="S475" s="83" t="str">
        <f t="shared" si="52"/>
        <v>B545H</v>
      </c>
      <c r="T475" s="83" t="str">
        <f t="shared" si="49"/>
        <v>ALEXANDRITE</v>
      </c>
      <c r="Y475" s="60">
        <f t="shared" si="53"/>
        <v>31</v>
      </c>
      <c r="Z475" s="49">
        <f t="shared" si="54"/>
        <v>37</v>
      </c>
      <c r="AA475" s="60">
        <f t="shared" si="55"/>
        <v>31037</v>
      </c>
    </row>
    <row r="476" spans="1:27">
      <c r="A476" s="83" t="str">
        <f t="shared" si="50"/>
        <v>B562black</v>
      </c>
      <c r="B476" s="83" t="str">
        <f t="shared" si="51"/>
        <v>31-038-09</v>
      </c>
      <c r="C476" s="109" t="s">
        <v>2288</v>
      </c>
      <c r="D476" s="109" t="s">
        <v>2289</v>
      </c>
      <c r="E476" s="109" t="s">
        <v>793</v>
      </c>
      <c r="F476" s="110">
        <v>0</v>
      </c>
      <c r="G476" s="109" t="s">
        <v>1100</v>
      </c>
      <c r="H476" s="109" t="s">
        <v>53</v>
      </c>
      <c r="I476" s="109" t="s">
        <v>2290</v>
      </c>
      <c r="J476" s="109" t="s">
        <v>348</v>
      </c>
      <c r="K476" s="109" t="s">
        <v>387</v>
      </c>
      <c r="L476" s="109" t="s">
        <v>523</v>
      </c>
      <c r="M476" s="109" t="s">
        <v>388</v>
      </c>
      <c r="N476" s="109" t="s">
        <v>44</v>
      </c>
      <c r="O476" s="109" t="s">
        <v>386</v>
      </c>
      <c r="P476" s="109" t="s">
        <v>827</v>
      </c>
      <c r="Q476" s="109" t="s">
        <v>831</v>
      </c>
      <c r="R476" s="109" t="s">
        <v>53</v>
      </c>
      <c r="S476" s="83" t="str">
        <f t="shared" si="52"/>
        <v>B562</v>
      </c>
      <c r="T476" s="83" t="str">
        <f t="shared" si="49"/>
        <v>BOY MEETS GIRL</v>
      </c>
      <c r="Y476" s="60">
        <f t="shared" si="53"/>
        <v>31</v>
      </c>
      <c r="Z476" s="49">
        <f t="shared" si="54"/>
        <v>38</v>
      </c>
      <c r="AA476" s="60">
        <f t="shared" si="55"/>
        <v>31038</v>
      </c>
    </row>
    <row r="477" spans="1:27">
      <c r="A477" s="83" t="str">
        <f t="shared" si="50"/>
        <v>B562camel</v>
      </c>
      <c r="B477" s="83" t="str">
        <f t="shared" si="51"/>
        <v>31-038-20</v>
      </c>
      <c r="C477" s="109" t="s">
        <v>2291</v>
      </c>
      <c r="D477" s="109" t="s">
        <v>2292</v>
      </c>
      <c r="E477" s="109" t="s">
        <v>793</v>
      </c>
      <c r="F477" s="110">
        <v>0</v>
      </c>
      <c r="G477" s="109" t="s">
        <v>1100</v>
      </c>
      <c r="H477" s="109" t="s">
        <v>63</v>
      </c>
      <c r="I477" s="109" t="s">
        <v>2290</v>
      </c>
      <c r="J477" s="109" t="s">
        <v>348</v>
      </c>
      <c r="K477" s="109" t="s">
        <v>387</v>
      </c>
      <c r="L477" s="109" t="s">
        <v>523</v>
      </c>
      <c r="M477" s="109" t="s">
        <v>388</v>
      </c>
      <c r="N477" s="109" t="s">
        <v>44</v>
      </c>
      <c r="O477" s="109" t="s">
        <v>386</v>
      </c>
      <c r="P477" s="109" t="s">
        <v>827</v>
      </c>
      <c r="Q477" s="109" t="s">
        <v>834</v>
      </c>
      <c r="R477" s="109" t="s">
        <v>63</v>
      </c>
      <c r="S477" s="83" t="str">
        <f t="shared" si="52"/>
        <v>B562</v>
      </c>
      <c r="T477" s="83" t="str">
        <f t="shared" si="49"/>
        <v>BOY MEETS GIRL</v>
      </c>
      <c r="Y477" s="60">
        <f t="shared" si="53"/>
        <v>31</v>
      </c>
      <c r="Z477" s="49">
        <f t="shared" si="54"/>
        <v>38</v>
      </c>
      <c r="AA477" s="60">
        <f t="shared" si="55"/>
        <v>31038</v>
      </c>
    </row>
    <row r="478" spans="1:27">
      <c r="A478" s="83" t="str">
        <f t="shared" si="50"/>
        <v>B562charcoal</v>
      </c>
      <c r="B478" s="83" t="str">
        <f t="shared" si="51"/>
        <v>31-038-08</v>
      </c>
      <c r="C478" s="109" t="s">
        <v>2293</v>
      </c>
      <c r="D478" s="109" t="s">
        <v>2294</v>
      </c>
      <c r="E478" s="109" t="s">
        <v>793</v>
      </c>
      <c r="F478" s="110">
        <v>0</v>
      </c>
      <c r="G478" s="109" t="s">
        <v>1100</v>
      </c>
      <c r="H478" s="109" t="s">
        <v>83</v>
      </c>
      <c r="I478" s="109" t="s">
        <v>2290</v>
      </c>
      <c r="J478" s="109" t="s">
        <v>348</v>
      </c>
      <c r="K478" s="109" t="s">
        <v>387</v>
      </c>
      <c r="L478" s="109" t="s">
        <v>523</v>
      </c>
      <c r="M478" s="109" t="s">
        <v>388</v>
      </c>
      <c r="N478" s="109" t="s">
        <v>44</v>
      </c>
      <c r="O478" s="109" t="s">
        <v>386</v>
      </c>
      <c r="P478" s="109" t="s">
        <v>827</v>
      </c>
      <c r="Q478" s="109" t="s">
        <v>836</v>
      </c>
      <c r="R478" s="109" t="s">
        <v>83</v>
      </c>
      <c r="S478" s="83" t="str">
        <f t="shared" si="52"/>
        <v>B562</v>
      </c>
      <c r="T478" s="83" t="str">
        <f t="shared" si="49"/>
        <v>BOY MEETS GIRL</v>
      </c>
      <c r="Y478" s="60">
        <f t="shared" si="53"/>
        <v>31</v>
      </c>
      <c r="Z478" s="49">
        <f t="shared" si="54"/>
        <v>38</v>
      </c>
      <c r="AA478" s="60">
        <f t="shared" si="55"/>
        <v>31038</v>
      </c>
    </row>
    <row r="479" spans="1:27">
      <c r="A479" s="83" t="str">
        <f t="shared" si="50"/>
        <v>B562chocolate</v>
      </c>
      <c r="B479" s="83" t="str">
        <f t="shared" si="51"/>
        <v>31-038-14</v>
      </c>
      <c r="C479" s="109" t="s">
        <v>2295</v>
      </c>
      <c r="D479" s="109" t="s">
        <v>2296</v>
      </c>
      <c r="E479" s="109" t="s">
        <v>793</v>
      </c>
      <c r="F479" s="110">
        <v>0</v>
      </c>
      <c r="G479" s="109" t="s">
        <v>1100</v>
      </c>
      <c r="H479" s="109" t="s">
        <v>86</v>
      </c>
      <c r="I479" s="109" t="s">
        <v>2290</v>
      </c>
      <c r="J479" s="109" t="s">
        <v>348</v>
      </c>
      <c r="K479" s="109" t="s">
        <v>387</v>
      </c>
      <c r="L479" s="109" t="s">
        <v>523</v>
      </c>
      <c r="M479" s="109" t="s">
        <v>388</v>
      </c>
      <c r="N479" s="109" t="s">
        <v>44</v>
      </c>
      <c r="O479" s="109" t="s">
        <v>386</v>
      </c>
      <c r="P479" s="109" t="s">
        <v>826</v>
      </c>
      <c r="Q479" s="109" t="s">
        <v>851</v>
      </c>
      <c r="R479" s="109" t="s">
        <v>86</v>
      </c>
      <c r="S479" s="83" t="str">
        <f t="shared" si="52"/>
        <v>B562</v>
      </c>
      <c r="T479" s="83" t="str">
        <f t="shared" si="49"/>
        <v>BOY MEETS GIRL</v>
      </c>
      <c r="Y479" s="60">
        <f t="shared" si="53"/>
        <v>31</v>
      </c>
      <c r="Z479" s="49">
        <f t="shared" si="54"/>
        <v>38</v>
      </c>
      <c r="AA479" s="60">
        <f t="shared" si="55"/>
        <v>31038</v>
      </c>
    </row>
    <row r="480" spans="1:27">
      <c r="A480" s="83" t="str">
        <f t="shared" si="50"/>
        <v>B562red</v>
      </c>
      <c r="B480" s="83" t="str">
        <f t="shared" si="51"/>
        <v>31-038-18</v>
      </c>
      <c r="C480" s="109" t="s">
        <v>2297</v>
      </c>
      <c r="D480" s="109" t="s">
        <v>2298</v>
      </c>
      <c r="E480" s="109" t="s">
        <v>793</v>
      </c>
      <c r="F480" s="110">
        <v>0</v>
      </c>
      <c r="G480" s="109" t="s">
        <v>1100</v>
      </c>
      <c r="H480" s="109" t="s">
        <v>78</v>
      </c>
      <c r="I480" s="109" t="s">
        <v>2290</v>
      </c>
      <c r="J480" s="109" t="s">
        <v>348</v>
      </c>
      <c r="K480" s="109" t="s">
        <v>387</v>
      </c>
      <c r="L480" s="109" t="s">
        <v>523</v>
      </c>
      <c r="M480" s="109" t="s">
        <v>388</v>
      </c>
      <c r="N480" s="109" t="s">
        <v>44</v>
      </c>
      <c r="O480" s="109" t="s">
        <v>386</v>
      </c>
      <c r="P480" s="109" t="s">
        <v>827</v>
      </c>
      <c r="Q480" s="109" t="s">
        <v>875</v>
      </c>
      <c r="R480" s="109" t="s">
        <v>78</v>
      </c>
      <c r="S480" s="83" t="str">
        <f t="shared" si="52"/>
        <v>B562</v>
      </c>
      <c r="T480" s="83" t="str">
        <f t="shared" si="49"/>
        <v>BOY MEETS GIRL</v>
      </c>
      <c r="Y480" s="60">
        <f t="shared" si="53"/>
        <v>31</v>
      </c>
      <c r="Z480" s="49">
        <f t="shared" si="54"/>
        <v>38</v>
      </c>
      <c r="AA480" s="60">
        <f t="shared" si="55"/>
        <v>31038</v>
      </c>
    </row>
    <row r="481" spans="1:27">
      <c r="A481" s="83" t="str">
        <f t="shared" si="50"/>
        <v>B612Hblack</v>
      </c>
      <c r="B481" s="83" t="str">
        <f t="shared" si="51"/>
        <v>31-039-09</v>
      </c>
      <c r="C481" s="109" t="s">
        <v>2299</v>
      </c>
      <c r="D481" s="109" t="s">
        <v>2300</v>
      </c>
      <c r="E481" s="109" t="s">
        <v>793</v>
      </c>
      <c r="F481" s="110">
        <v>0</v>
      </c>
      <c r="G481" s="109" t="s">
        <v>1345</v>
      </c>
      <c r="H481" s="109" t="s">
        <v>53</v>
      </c>
      <c r="I481" s="109" t="s">
        <v>863</v>
      </c>
      <c r="J481" s="109" t="s">
        <v>348</v>
      </c>
      <c r="K481" s="109" t="s">
        <v>387</v>
      </c>
      <c r="L481" s="109" t="s">
        <v>523</v>
      </c>
      <c r="M481" s="109" t="s">
        <v>388</v>
      </c>
      <c r="O481" s="109" t="s">
        <v>386</v>
      </c>
      <c r="P481" s="109" t="s">
        <v>827</v>
      </c>
      <c r="Q481" s="109" t="s">
        <v>831</v>
      </c>
      <c r="R481" s="109" t="s">
        <v>53</v>
      </c>
      <c r="S481" s="83" t="str">
        <f t="shared" si="52"/>
        <v>B612H</v>
      </c>
      <c r="T481" s="83" t="str">
        <f t="shared" si="49"/>
        <v>FERN</v>
      </c>
      <c r="Y481" s="60">
        <f t="shared" si="53"/>
        <v>31</v>
      </c>
      <c r="Z481" s="49">
        <f t="shared" si="54"/>
        <v>39</v>
      </c>
      <c r="AA481" s="60">
        <f t="shared" si="55"/>
        <v>31039</v>
      </c>
    </row>
    <row r="482" spans="1:27">
      <c r="A482" s="83" t="str">
        <f t="shared" si="50"/>
        <v>B640black</v>
      </c>
      <c r="B482" s="83" t="str">
        <f t="shared" si="51"/>
        <v>31-040-09</v>
      </c>
      <c r="C482" s="109" t="s">
        <v>2301</v>
      </c>
      <c r="D482" s="109" t="s">
        <v>2302</v>
      </c>
      <c r="E482" s="109" t="s">
        <v>793</v>
      </c>
      <c r="F482" s="110">
        <v>0</v>
      </c>
      <c r="G482" s="109" t="s">
        <v>2082</v>
      </c>
      <c r="H482" s="109" t="s">
        <v>53</v>
      </c>
      <c r="I482" s="109" t="s">
        <v>2303</v>
      </c>
      <c r="J482" s="109" t="s">
        <v>334</v>
      </c>
      <c r="K482" s="109" t="s">
        <v>387</v>
      </c>
      <c r="L482" s="109" t="s">
        <v>523</v>
      </c>
      <c r="M482" s="109" t="s">
        <v>389</v>
      </c>
      <c r="O482" s="109" t="s">
        <v>386</v>
      </c>
      <c r="P482" s="109" t="s">
        <v>826</v>
      </c>
      <c r="Q482" s="109" t="s">
        <v>831</v>
      </c>
      <c r="R482" s="109" t="s">
        <v>53</v>
      </c>
      <c r="S482" s="83" t="str">
        <f t="shared" si="52"/>
        <v>B640</v>
      </c>
      <c r="T482" s="83" t="str">
        <f t="shared" si="49"/>
        <v>PRECIOUS PRESENT</v>
      </c>
      <c r="Y482" s="60">
        <f t="shared" si="53"/>
        <v>31</v>
      </c>
      <c r="Z482" s="49">
        <f t="shared" si="54"/>
        <v>40</v>
      </c>
      <c r="AA482" s="60">
        <f t="shared" si="55"/>
        <v>31040</v>
      </c>
    </row>
    <row r="483" spans="1:27">
      <c r="A483" s="83" t="str">
        <f t="shared" si="50"/>
        <v>B640ivory</v>
      </c>
      <c r="B483" s="83" t="str">
        <f t="shared" si="51"/>
        <v>31-040-17</v>
      </c>
      <c r="C483" s="109" t="s">
        <v>2304</v>
      </c>
      <c r="D483" s="109" t="s">
        <v>2305</v>
      </c>
      <c r="E483" s="109" t="s">
        <v>793</v>
      </c>
      <c r="F483" s="110">
        <v>0</v>
      </c>
      <c r="G483" s="109" t="s">
        <v>2082</v>
      </c>
      <c r="H483" s="109" t="s">
        <v>57</v>
      </c>
      <c r="I483" s="109" t="s">
        <v>2303</v>
      </c>
      <c r="J483" s="109" t="s">
        <v>334</v>
      </c>
      <c r="K483" s="109" t="s">
        <v>387</v>
      </c>
      <c r="L483" s="109" t="s">
        <v>523</v>
      </c>
      <c r="M483" s="109" t="s">
        <v>389</v>
      </c>
      <c r="O483" s="109" t="s">
        <v>386</v>
      </c>
      <c r="P483" s="109" t="s">
        <v>826</v>
      </c>
      <c r="Q483" s="109" t="s">
        <v>843</v>
      </c>
      <c r="R483" s="109" t="s">
        <v>57</v>
      </c>
      <c r="S483" s="83" t="str">
        <f t="shared" si="52"/>
        <v>B640</v>
      </c>
      <c r="T483" s="83" t="str">
        <f t="shared" si="49"/>
        <v>PRECIOUS PRESENT</v>
      </c>
      <c r="Y483" s="60">
        <f t="shared" si="53"/>
        <v>31</v>
      </c>
      <c r="Z483" s="49">
        <f t="shared" si="54"/>
        <v>40</v>
      </c>
      <c r="AA483" s="60">
        <f t="shared" si="55"/>
        <v>31040</v>
      </c>
    </row>
    <row r="484" spans="1:27">
      <c r="A484" s="83" t="str">
        <f t="shared" si="50"/>
        <v>B640tiger</v>
      </c>
      <c r="B484" s="83" t="str">
        <f t="shared" si="51"/>
        <v>31-040-02</v>
      </c>
      <c r="C484" s="109" t="s">
        <v>2306</v>
      </c>
      <c r="D484" s="109" t="s">
        <v>2307</v>
      </c>
      <c r="E484" s="109" t="s">
        <v>793</v>
      </c>
      <c r="F484" s="110">
        <v>0</v>
      </c>
      <c r="G484" s="109" t="s">
        <v>2082</v>
      </c>
      <c r="H484" s="109" t="s">
        <v>101</v>
      </c>
      <c r="I484" s="109" t="s">
        <v>2303</v>
      </c>
      <c r="J484" s="109" t="s">
        <v>334</v>
      </c>
      <c r="K484" s="109" t="s">
        <v>387</v>
      </c>
      <c r="L484" s="109" t="s">
        <v>523</v>
      </c>
      <c r="M484" s="109" t="s">
        <v>389</v>
      </c>
      <c r="O484" s="109" t="s">
        <v>386</v>
      </c>
      <c r="P484" s="109" t="s">
        <v>826</v>
      </c>
      <c r="Q484" s="109" t="s">
        <v>2084</v>
      </c>
      <c r="R484" s="109" t="s">
        <v>63</v>
      </c>
      <c r="S484" s="83" t="str">
        <f t="shared" si="52"/>
        <v>B640</v>
      </c>
      <c r="T484" s="83" t="str">
        <f t="shared" si="49"/>
        <v>PRECIOUS PRESENT</v>
      </c>
      <c r="Y484" s="60">
        <f t="shared" si="53"/>
        <v>31</v>
      </c>
      <c r="Z484" s="49">
        <f t="shared" si="54"/>
        <v>40</v>
      </c>
      <c r="AA484" s="60">
        <f t="shared" si="55"/>
        <v>31040</v>
      </c>
    </row>
    <row r="485" spans="1:27">
      <c r="A485" s="83" t="str">
        <f t="shared" si="50"/>
        <v>B745black</v>
      </c>
      <c r="B485" s="83" t="str">
        <f t="shared" si="51"/>
        <v>31-041-09</v>
      </c>
      <c r="C485" s="109" t="s">
        <v>2308</v>
      </c>
      <c r="D485" s="109" t="s">
        <v>2309</v>
      </c>
      <c r="E485" s="109" t="s">
        <v>793</v>
      </c>
      <c r="F485" s="110">
        <v>0</v>
      </c>
      <c r="G485" s="109" t="s">
        <v>1579</v>
      </c>
      <c r="H485" s="109" t="s">
        <v>53</v>
      </c>
      <c r="I485" s="109" t="s">
        <v>863</v>
      </c>
      <c r="J485" s="109" t="s">
        <v>357</v>
      </c>
      <c r="K485" s="109" t="s">
        <v>387</v>
      </c>
      <c r="L485" s="109" t="s">
        <v>523</v>
      </c>
      <c r="M485" s="109" t="s">
        <v>388</v>
      </c>
      <c r="O485" s="109" t="s">
        <v>386</v>
      </c>
      <c r="P485" s="109" t="s">
        <v>826</v>
      </c>
      <c r="Q485" s="109" t="s">
        <v>831</v>
      </c>
      <c r="R485" s="109" t="s">
        <v>53</v>
      </c>
      <c r="S485" s="83" t="str">
        <f t="shared" si="52"/>
        <v>B745</v>
      </c>
      <c r="T485" s="83" t="str">
        <f t="shared" si="49"/>
        <v>QUILTED BUCKET</v>
      </c>
      <c r="Y485" s="60">
        <f t="shared" si="53"/>
        <v>31</v>
      </c>
      <c r="Z485" s="49">
        <f t="shared" si="54"/>
        <v>41</v>
      </c>
      <c r="AA485" s="60">
        <f t="shared" si="55"/>
        <v>31041</v>
      </c>
    </row>
    <row r="486" spans="1:27">
      <c r="A486" s="83" t="str">
        <f t="shared" si="50"/>
        <v>B858tobacco</v>
      </c>
      <c r="B486" s="83" t="str">
        <f t="shared" si="51"/>
        <v>31-042-14</v>
      </c>
      <c r="C486" s="109" t="s">
        <v>2310</v>
      </c>
      <c r="D486" s="109" t="s">
        <v>2311</v>
      </c>
      <c r="E486" s="109" t="s">
        <v>793</v>
      </c>
      <c r="F486" s="110">
        <v>0</v>
      </c>
      <c r="G486" s="109" t="s">
        <v>2312</v>
      </c>
      <c r="H486" s="109" t="s">
        <v>86</v>
      </c>
      <c r="I486" s="109" t="s">
        <v>2313</v>
      </c>
      <c r="J486" s="109" t="s">
        <v>340</v>
      </c>
      <c r="K486" s="109" t="s">
        <v>387</v>
      </c>
      <c r="L486" s="109" t="s">
        <v>523</v>
      </c>
      <c r="M486" s="109" t="s">
        <v>389</v>
      </c>
      <c r="O486" s="109" t="s">
        <v>386</v>
      </c>
      <c r="P486" s="109" t="s">
        <v>826</v>
      </c>
      <c r="Q486" s="109" t="s">
        <v>841</v>
      </c>
      <c r="R486" s="109" t="s">
        <v>86</v>
      </c>
      <c r="S486" s="83" t="str">
        <f t="shared" si="52"/>
        <v>B858</v>
      </c>
      <c r="T486" s="83" t="str">
        <f t="shared" si="49"/>
        <v>JULIE</v>
      </c>
      <c r="Y486" s="60">
        <f t="shared" si="53"/>
        <v>31</v>
      </c>
      <c r="Z486" s="49">
        <f t="shared" si="54"/>
        <v>42</v>
      </c>
      <c r="AA486" s="60">
        <f t="shared" si="55"/>
        <v>31042</v>
      </c>
    </row>
    <row r="487" spans="1:27">
      <c r="A487" s="83" t="str">
        <f t="shared" si="50"/>
        <v>B928Hrose</v>
      </c>
      <c r="B487" s="83" t="str">
        <f t="shared" si="51"/>
        <v>31-043-34</v>
      </c>
      <c r="C487" s="109" t="s">
        <v>2314</v>
      </c>
      <c r="D487" s="109" t="s">
        <v>2315</v>
      </c>
      <c r="E487" s="109" t="s">
        <v>793</v>
      </c>
      <c r="F487" s="110">
        <v>0</v>
      </c>
      <c r="G487" s="109" t="s">
        <v>2316</v>
      </c>
      <c r="H487" s="109" t="s">
        <v>68</v>
      </c>
      <c r="I487" s="109" t="s">
        <v>796</v>
      </c>
      <c r="J487" s="109" t="s">
        <v>348</v>
      </c>
      <c r="K487" s="109" t="s">
        <v>387</v>
      </c>
      <c r="L487" s="109" t="s">
        <v>523</v>
      </c>
      <c r="M487" s="109" t="s">
        <v>388</v>
      </c>
      <c r="O487" s="109" t="s">
        <v>386</v>
      </c>
      <c r="P487" s="109" t="s">
        <v>826</v>
      </c>
      <c r="Q487" s="109" t="s">
        <v>2317</v>
      </c>
      <c r="R487" s="109" t="s">
        <v>68</v>
      </c>
      <c r="S487" s="83" t="str">
        <f t="shared" si="52"/>
        <v>B928H</v>
      </c>
      <c r="T487" s="83" t="str">
        <f t="shared" si="49"/>
        <v>CATALIN</v>
      </c>
      <c r="Y487" s="60">
        <f t="shared" si="53"/>
        <v>31</v>
      </c>
      <c r="Z487" s="49">
        <f t="shared" si="54"/>
        <v>43</v>
      </c>
      <c r="AA487" s="60">
        <f t="shared" si="55"/>
        <v>31043</v>
      </c>
    </row>
    <row r="488" spans="1:27">
      <c r="A488" s="83" t="str">
        <f t="shared" si="50"/>
        <v>B928Hwhite</v>
      </c>
      <c r="B488" s="83" t="str">
        <f t="shared" si="51"/>
        <v>31-043-17</v>
      </c>
      <c r="C488" s="109" t="s">
        <v>2318</v>
      </c>
      <c r="D488" s="109" t="s">
        <v>2319</v>
      </c>
      <c r="E488" s="109" t="s">
        <v>793</v>
      </c>
      <c r="F488" s="110">
        <v>0</v>
      </c>
      <c r="G488" s="109" t="s">
        <v>2316</v>
      </c>
      <c r="H488" s="109" t="s">
        <v>57</v>
      </c>
      <c r="I488" s="109" t="s">
        <v>796</v>
      </c>
      <c r="J488" s="109" t="s">
        <v>348</v>
      </c>
      <c r="K488" s="109" t="s">
        <v>387</v>
      </c>
      <c r="L488" s="109" t="s">
        <v>523</v>
      </c>
      <c r="M488" s="109" t="s">
        <v>388</v>
      </c>
      <c r="O488" s="109" t="s">
        <v>386</v>
      </c>
      <c r="P488" s="109" t="s">
        <v>826</v>
      </c>
      <c r="Q488" s="109" t="s">
        <v>840</v>
      </c>
      <c r="R488" s="109" t="s">
        <v>57</v>
      </c>
      <c r="S488" s="83" t="str">
        <f t="shared" si="52"/>
        <v>B928H</v>
      </c>
      <c r="T488" s="83" t="str">
        <f t="shared" si="49"/>
        <v>CATALIN</v>
      </c>
      <c r="Y488" s="60">
        <f t="shared" si="53"/>
        <v>31</v>
      </c>
      <c r="Z488" s="49">
        <f t="shared" si="54"/>
        <v>43</v>
      </c>
      <c r="AA488" s="60">
        <f t="shared" si="55"/>
        <v>31043</v>
      </c>
    </row>
    <row r="489" spans="1:27">
      <c r="A489" s="83" t="str">
        <f t="shared" si="50"/>
        <v>B932Hblack</v>
      </c>
      <c r="B489" s="83" t="str">
        <f t="shared" si="51"/>
        <v>31-044-09</v>
      </c>
      <c r="C489" s="109" t="s">
        <v>2320</v>
      </c>
      <c r="D489" s="109" t="s">
        <v>2321</v>
      </c>
      <c r="E489" s="109" t="s">
        <v>793</v>
      </c>
      <c r="F489" s="110">
        <v>0</v>
      </c>
      <c r="G489" s="109" t="s">
        <v>2322</v>
      </c>
      <c r="H489" s="109" t="s">
        <v>53</v>
      </c>
      <c r="I489" s="109" t="s">
        <v>796</v>
      </c>
      <c r="J489" s="109" t="s">
        <v>357</v>
      </c>
      <c r="K489" s="109" t="s">
        <v>387</v>
      </c>
      <c r="L489" s="109" t="s">
        <v>523</v>
      </c>
      <c r="M489" s="109" t="s">
        <v>388</v>
      </c>
      <c r="N489" s="109" t="s">
        <v>30</v>
      </c>
      <c r="O489" s="109" t="s">
        <v>386</v>
      </c>
      <c r="P489" s="109" t="s">
        <v>826</v>
      </c>
      <c r="Q489" s="109" t="s">
        <v>831</v>
      </c>
      <c r="R489" s="109" t="s">
        <v>53</v>
      </c>
      <c r="S489" s="83" t="str">
        <f t="shared" si="52"/>
        <v>B932H</v>
      </c>
      <c r="T489" s="83" t="str">
        <f t="shared" si="49"/>
        <v>NALDA</v>
      </c>
      <c r="Y489" s="60">
        <f t="shared" si="53"/>
        <v>31</v>
      </c>
      <c r="Z489" s="49">
        <f t="shared" si="54"/>
        <v>44</v>
      </c>
      <c r="AA489" s="60">
        <f t="shared" si="55"/>
        <v>31044</v>
      </c>
    </row>
    <row r="490" spans="1:27">
      <c r="A490" s="83" t="str">
        <f t="shared" si="50"/>
        <v>B932Hleopard</v>
      </c>
      <c r="B490" s="83" t="str">
        <f t="shared" si="51"/>
        <v>31-044-35</v>
      </c>
      <c r="C490" s="109" t="s">
        <v>2323</v>
      </c>
      <c r="D490" s="109" t="s">
        <v>2324</v>
      </c>
      <c r="E490" s="109" t="s">
        <v>793</v>
      </c>
      <c r="F490" s="110">
        <v>0</v>
      </c>
      <c r="G490" s="109" t="s">
        <v>2322</v>
      </c>
      <c r="H490" s="109" t="s">
        <v>209</v>
      </c>
      <c r="I490" s="109" t="s">
        <v>785</v>
      </c>
      <c r="J490" s="109" t="s">
        <v>357</v>
      </c>
      <c r="K490" s="109" t="s">
        <v>387</v>
      </c>
      <c r="L490" s="109" t="s">
        <v>523</v>
      </c>
      <c r="M490" s="109" t="s">
        <v>388</v>
      </c>
      <c r="N490" s="109" t="s">
        <v>30</v>
      </c>
      <c r="O490" s="109" t="s">
        <v>386</v>
      </c>
      <c r="P490" s="109" t="s">
        <v>826</v>
      </c>
      <c r="Q490" s="109" t="s">
        <v>1065</v>
      </c>
      <c r="R490" s="109" t="s">
        <v>209</v>
      </c>
      <c r="S490" s="83" t="str">
        <f t="shared" si="52"/>
        <v>B932H</v>
      </c>
      <c r="T490" s="83" t="str">
        <f t="shared" si="49"/>
        <v>NALDA</v>
      </c>
      <c r="Y490" s="60">
        <f t="shared" si="53"/>
        <v>31</v>
      </c>
      <c r="Z490" s="49">
        <f t="shared" si="54"/>
        <v>44</v>
      </c>
      <c r="AA490" s="60">
        <f t="shared" si="55"/>
        <v>31044</v>
      </c>
    </row>
    <row r="491" spans="1:27">
      <c r="A491" s="83" t="str">
        <f t="shared" si="50"/>
        <v>B932Htruered</v>
      </c>
      <c r="B491" s="83" t="str">
        <f t="shared" si="51"/>
        <v>31-044-18</v>
      </c>
      <c r="C491" s="109" t="s">
        <v>2325</v>
      </c>
      <c r="D491" s="109" t="s">
        <v>2326</v>
      </c>
      <c r="E491" s="109" t="s">
        <v>793</v>
      </c>
      <c r="F491" s="110">
        <v>0</v>
      </c>
      <c r="G491" s="109" t="s">
        <v>2322</v>
      </c>
      <c r="H491" s="109" t="s">
        <v>78</v>
      </c>
      <c r="I491" s="109" t="s">
        <v>785</v>
      </c>
      <c r="J491" s="109" t="s">
        <v>357</v>
      </c>
      <c r="K491" s="109" t="s">
        <v>387</v>
      </c>
      <c r="L491" s="109" t="s">
        <v>523</v>
      </c>
      <c r="M491" s="109" t="s">
        <v>388</v>
      </c>
      <c r="N491" s="109" t="s">
        <v>30</v>
      </c>
      <c r="O491" s="109" t="s">
        <v>386</v>
      </c>
      <c r="P491" s="109" t="s">
        <v>826</v>
      </c>
      <c r="Q491" s="109" t="s">
        <v>2327</v>
      </c>
      <c r="R491" s="109" t="s">
        <v>78</v>
      </c>
      <c r="S491" s="83" t="str">
        <f t="shared" si="52"/>
        <v>B932H</v>
      </c>
      <c r="T491" s="83" t="str">
        <f t="shared" si="49"/>
        <v>NALDA</v>
      </c>
      <c r="Y491" s="60">
        <f t="shared" si="53"/>
        <v>31</v>
      </c>
      <c r="Z491" s="49">
        <f t="shared" si="54"/>
        <v>44</v>
      </c>
      <c r="AA491" s="60">
        <f t="shared" si="55"/>
        <v>31044</v>
      </c>
    </row>
    <row r="492" spans="1:27">
      <c r="A492" s="83" t="str">
        <f t="shared" si="50"/>
        <v>B952Hblack</v>
      </c>
      <c r="B492" s="83" t="str">
        <f t="shared" si="51"/>
        <v>31-045-09</v>
      </c>
      <c r="C492" s="109" t="s">
        <v>2328</v>
      </c>
      <c r="D492" s="109" t="s">
        <v>2329</v>
      </c>
      <c r="E492" s="109" t="s">
        <v>793</v>
      </c>
      <c r="F492" s="110">
        <v>0</v>
      </c>
      <c r="G492" s="109" t="s">
        <v>1182</v>
      </c>
      <c r="H492" s="109" t="s">
        <v>53</v>
      </c>
      <c r="I492" s="109" t="s">
        <v>1183</v>
      </c>
      <c r="J492" s="109" t="s">
        <v>357</v>
      </c>
      <c r="K492" s="109" t="s">
        <v>387</v>
      </c>
      <c r="L492" s="109" t="s">
        <v>523</v>
      </c>
      <c r="M492" s="109" t="s">
        <v>388</v>
      </c>
      <c r="O492" s="109" t="s">
        <v>386</v>
      </c>
      <c r="P492" s="109" t="s">
        <v>826</v>
      </c>
      <c r="Q492" s="109" t="s">
        <v>831</v>
      </c>
      <c r="R492" s="109" t="s">
        <v>53</v>
      </c>
      <c r="S492" s="83" t="str">
        <f t="shared" si="52"/>
        <v>B952H</v>
      </c>
      <c r="T492" s="83" t="str">
        <f t="shared" si="49"/>
        <v>MAYA</v>
      </c>
      <c r="Y492" s="60">
        <f t="shared" si="53"/>
        <v>31</v>
      </c>
      <c r="Z492" s="49">
        <f t="shared" si="54"/>
        <v>45</v>
      </c>
      <c r="AA492" s="60">
        <f t="shared" si="55"/>
        <v>31045</v>
      </c>
    </row>
    <row r="493" spans="1:27">
      <c r="A493" s="83" t="str">
        <f t="shared" si="50"/>
        <v>B952Hbordeaux</v>
      </c>
      <c r="B493" s="83" t="str">
        <f t="shared" si="51"/>
        <v>31-045-12</v>
      </c>
      <c r="C493" s="109" t="s">
        <v>2330</v>
      </c>
      <c r="D493" s="109" t="s">
        <v>2331</v>
      </c>
      <c r="E493" s="109" t="s">
        <v>793</v>
      </c>
      <c r="F493" s="110">
        <v>0</v>
      </c>
      <c r="G493" s="109" t="s">
        <v>1182</v>
      </c>
      <c r="H493" s="109" t="s">
        <v>121</v>
      </c>
      <c r="I493" s="109" t="s">
        <v>1183</v>
      </c>
      <c r="J493" s="109" t="s">
        <v>357</v>
      </c>
      <c r="K493" s="109" t="s">
        <v>387</v>
      </c>
      <c r="L493" s="109" t="s">
        <v>523</v>
      </c>
      <c r="M493" s="109" t="s">
        <v>388</v>
      </c>
      <c r="O493" s="109" t="s">
        <v>386</v>
      </c>
      <c r="P493" s="109" t="s">
        <v>826</v>
      </c>
      <c r="Q493" s="109" t="s">
        <v>1073</v>
      </c>
      <c r="R493" s="109" t="s">
        <v>121</v>
      </c>
      <c r="S493" s="83" t="str">
        <f t="shared" si="52"/>
        <v>B952H</v>
      </c>
      <c r="T493" s="83" t="str">
        <f t="shared" si="49"/>
        <v>MAYA</v>
      </c>
      <c r="Y493" s="60">
        <f t="shared" si="53"/>
        <v>31</v>
      </c>
      <c r="Z493" s="49">
        <f t="shared" si="54"/>
        <v>45</v>
      </c>
      <c r="AA493" s="60">
        <f t="shared" si="55"/>
        <v>31045</v>
      </c>
    </row>
    <row r="494" spans="1:27">
      <c r="A494" s="83" t="str">
        <f t="shared" si="50"/>
        <v>B952Hcharcoal</v>
      </c>
      <c r="B494" s="83" t="str">
        <f t="shared" si="51"/>
        <v>31-045-08</v>
      </c>
      <c r="C494" s="109" t="s">
        <v>2332</v>
      </c>
      <c r="D494" s="109" t="s">
        <v>2333</v>
      </c>
      <c r="E494" s="109" t="s">
        <v>793</v>
      </c>
      <c r="F494" s="110">
        <v>0</v>
      </c>
      <c r="G494" s="109" t="s">
        <v>1182</v>
      </c>
      <c r="H494" s="109" t="s">
        <v>83</v>
      </c>
      <c r="I494" s="109" t="s">
        <v>1183</v>
      </c>
      <c r="J494" s="109" t="s">
        <v>357</v>
      </c>
      <c r="K494" s="109" t="s">
        <v>387</v>
      </c>
      <c r="L494" s="109" t="s">
        <v>523</v>
      </c>
      <c r="M494" s="109" t="s">
        <v>388</v>
      </c>
      <c r="O494" s="109" t="s">
        <v>386</v>
      </c>
      <c r="P494" s="109" t="s">
        <v>826</v>
      </c>
      <c r="Q494" s="109" t="s">
        <v>836</v>
      </c>
      <c r="R494" s="109" t="s">
        <v>83</v>
      </c>
      <c r="S494" s="83" t="str">
        <f t="shared" si="52"/>
        <v>B952H</v>
      </c>
      <c r="T494" s="83" t="str">
        <f t="shared" si="49"/>
        <v>MAYA</v>
      </c>
      <c r="Y494" s="60">
        <f t="shared" si="53"/>
        <v>31</v>
      </c>
      <c r="Z494" s="49">
        <f t="shared" si="54"/>
        <v>45</v>
      </c>
      <c r="AA494" s="60">
        <f t="shared" si="55"/>
        <v>31045</v>
      </c>
    </row>
    <row r="495" spans="1:27">
      <c r="A495" s="83" t="str">
        <f t="shared" si="50"/>
        <v>B952Hpurple</v>
      </c>
      <c r="B495" s="83" t="str">
        <f t="shared" si="51"/>
        <v>31-045-41</v>
      </c>
      <c r="C495" s="109" t="s">
        <v>2334</v>
      </c>
      <c r="D495" s="109" t="s">
        <v>2335</v>
      </c>
      <c r="E495" s="109" t="s">
        <v>793</v>
      </c>
      <c r="F495" s="110">
        <v>0</v>
      </c>
      <c r="G495" s="109" t="s">
        <v>1182</v>
      </c>
      <c r="H495" s="109" t="s">
        <v>286</v>
      </c>
      <c r="I495" s="109" t="s">
        <v>1183</v>
      </c>
      <c r="J495" s="109" t="s">
        <v>357</v>
      </c>
      <c r="K495" s="109" t="s">
        <v>387</v>
      </c>
      <c r="L495" s="109" t="s">
        <v>523</v>
      </c>
      <c r="M495" s="109" t="s">
        <v>388</v>
      </c>
      <c r="O495" s="109" t="s">
        <v>386</v>
      </c>
      <c r="P495" s="109" t="s">
        <v>826</v>
      </c>
      <c r="Q495" s="109" t="s">
        <v>2336</v>
      </c>
      <c r="R495" s="109" t="s">
        <v>286</v>
      </c>
      <c r="S495" s="83" t="str">
        <f t="shared" si="52"/>
        <v>B952H</v>
      </c>
      <c r="T495" s="83" t="str">
        <f t="shared" si="49"/>
        <v>MAYA</v>
      </c>
      <c r="Y495" s="60">
        <f t="shared" si="53"/>
        <v>31</v>
      </c>
      <c r="Z495" s="49">
        <f t="shared" si="54"/>
        <v>45</v>
      </c>
      <c r="AA495" s="60">
        <f t="shared" si="55"/>
        <v>31045</v>
      </c>
    </row>
    <row r="496" spans="1:27">
      <c r="A496" s="83" t="str">
        <f t="shared" si="50"/>
        <v>B987Hblack</v>
      </c>
      <c r="B496" s="83" t="str">
        <f t="shared" si="51"/>
        <v>31-046-09</v>
      </c>
      <c r="C496" s="109" t="s">
        <v>2337</v>
      </c>
      <c r="D496" s="109" t="s">
        <v>2338</v>
      </c>
      <c r="E496" s="109" t="s">
        <v>793</v>
      </c>
      <c r="F496" s="110">
        <v>0</v>
      </c>
      <c r="G496" s="109" t="s">
        <v>2339</v>
      </c>
      <c r="H496" s="109" t="s">
        <v>53</v>
      </c>
      <c r="I496" s="109" t="s">
        <v>796</v>
      </c>
      <c r="J496" s="109" t="s">
        <v>357</v>
      </c>
      <c r="K496" s="109" t="s">
        <v>387</v>
      </c>
      <c r="L496" s="109" t="s">
        <v>523</v>
      </c>
      <c r="M496" s="109" t="s">
        <v>388</v>
      </c>
      <c r="O496" s="109" t="s">
        <v>386</v>
      </c>
      <c r="P496" s="109" t="s">
        <v>826</v>
      </c>
      <c r="Q496" s="109" t="s">
        <v>831</v>
      </c>
      <c r="R496" s="109" t="s">
        <v>53</v>
      </c>
      <c r="S496" s="83" t="str">
        <f t="shared" si="52"/>
        <v>B987H</v>
      </c>
      <c r="T496" s="83" t="str">
        <f t="shared" si="49"/>
        <v>CAROL</v>
      </c>
      <c r="Y496" s="60">
        <f t="shared" si="53"/>
        <v>31</v>
      </c>
      <c r="Z496" s="49">
        <f t="shared" si="54"/>
        <v>46</v>
      </c>
      <c r="AA496" s="60">
        <f t="shared" si="55"/>
        <v>31046</v>
      </c>
    </row>
    <row r="497" spans="1:27">
      <c r="A497" s="83" t="str">
        <f t="shared" si="50"/>
        <v>B987Hleopard</v>
      </c>
      <c r="B497" s="83" t="str">
        <f t="shared" si="51"/>
        <v>31-046-35</v>
      </c>
      <c r="C497" s="109" t="s">
        <v>2340</v>
      </c>
      <c r="D497" s="109" t="s">
        <v>2341</v>
      </c>
      <c r="E497" s="109" t="s">
        <v>793</v>
      </c>
      <c r="F497" s="110">
        <v>0</v>
      </c>
      <c r="G497" s="109" t="s">
        <v>2339</v>
      </c>
      <c r="H497" s="109" t="s">
        <v>209</v>
      </c>
      <c r="I497" s="109" t="s">
        <v>796</v>
      </c>
      <c r="J497" s="109" t="s">
        <v>357</v>
      </c>
      <c r="K497" s="109" t="s">
        <v>387</v>
      </c>
      <c r="L497" s="109" t="s">
        <v>523</v>
      </c>
      <c r="M497" s="109" t="s">
        <v>389</v>
      </c>
      <c r="N497" s="109" t="s">
        <v>44</v>
      </c>
      <c r="O497" s="109" t="s">
        <v>386</v>
      </c>
      <c r="P497" s="109" t="s">
        <v>826</v>
      </c>
      <c r="Q497" s="109" t="s">
        <v>1065</v>
      </c>
      <c r="R497" s="109" t="s">
        <v>209</v>
      </c>
      <c r="S497" s="83" t="str">
        <f t="shared" si="52"/>
        <v>B987H</v>
      </c>
      <c r="T497" s="83" t="str">
        <f t="shared" si="49"/>
        <v>CAROL</v>
      </c>
      <c r="Y497" s="60">
        <f t="shared" si="53"/>
        <v>31</v>
      </c>
      <c r="Z497" s="49">
        <f t="shared" si="54"/>
        <v>46</v>
      </c>
      <c r="AA497" s="60">
        <f t="shared" si="55"/>
        <v>31046</v>
      </c>
    </row>
    <row r="498" spans="1:27">
      <c r="A498" s="83" t="str">
        <f t="shared" si="50"/>
        <v>B987Htruered</v>
      </c>
      <c r="B498" s="83" t="str">
        <f t="shared" si="51"/>
        <v>31-046-18</v>
      </c>
      <c r="C498" s="109" t="s">
        <v>2342</v>
      </c>
      <c r="D498" s="109" t="s">
        <v>2343</v>
      </c>
      <c r="E498" s="109" t="s">
        <v>793</v>
      </c>
      <c r="F498" s="110">
        <v>0</v>
      </c>
      <c r="G498" s="109" t="s">
        <v>2339</v>
      </c>
      <c r="H498" s="109" t="s">
        <v>78</v>
      </c>
      <c r="I498" s="109" t="s">
        <v>796</v>
      </c>
      <c r="J498" s="109" t="s">
        <v>357</v>
      </c>
      <c r="K498" s="109" t="s">
        <v>387</v>
      </c>
      <c r="L498" s="109" t="s">
        <v>523</v>
      </c>
      <c r="M498" s="109" t="s">
        <v>388</v>
      </c>
      <c r="O498" s="109" t="s">
        <v>386</v>
      </c>
      <c r="P498" s="109" t="s">
        <v>826</v>
      </c>
      <c r="Q498" s="109" t="s">
        <v>2327</v>
      </c>
      <c r="R498" s="109" t="s">
        <v>78</v>
      </c>
      <c r="S498" s="83" t="str">
        <f t="shared" si="52"/>
        <v>B987H</v>
      </c>
      <c r="T498" s="83" t="str">
        <f t="shared" si="49"/>
        <v>CAROL</v>
      </c>
      <c r="Y498" s="60">
        <f t="shared" si="53"/>
        <v>31</v>
      </c>
      <c r="Z498" s="49">
        <f t="shared" si="54"/>
        <v>46</v>
      </c>
      <c r="AA498" s="60">
        <f t="shared" si="55"/>
        <v>31046</v>
      </c>
    </row>
    <row r="499" spans="1:27">
      <c r="A499" s="83" t="str">
        <f t="shared" si="50"/>
        <v>B987Hwhite</v>
      </c>
      <c r="B499" s="83" t="str">
        <f t="shared" si="51"/>
        <v>31-046-17</v>
      </c>
      <c r="C499" s="109" t="s">
        <v>2344</v>
      </c>
      <c r="D499" s="109" t="s">
        <v>2345</v>
      </c>
      <c r="E499" s="109" t="s">
        <v>793</v>
      </c>
      <c r="F499" s="110">
        <v>0</v>
      </c>
      <c r="G499" s="109" t="s">
        <v>2339</v>
      </c>
      <c r="H499" s="109" t="s">
        <v>57</v>
      </c>
      <c r="I499" s="109" t="s">
        <v>796</v>
      </c>
      <c r="J499" s="109" t="s">
        <v>357</v>
      </c>
      <c r="K499" s="109" t="s">
        <v>387</v>
      </c>
      <c r="L499" s="109" t="s">
        <v>523</v>
      </c>
      <c r="M499" s="109" t="s">
        <v>388</v>
      </c>
      <c r="O499" s="109" t="s">
        <v>386</v>
      </c>
      <c r="P499" s="109" t="s">
        <v>826</v>
      </c>
      <c r="Q499" s="109" t="s">
        <v>840</v>
      </c>
      <c r="R499" s="109" t="s">
        <v>57</v>
      </c>
      <c r="S499" s="83" t="str">
        <f t="shared" si="52"/>
        <v>B987H</v>
      </c>
      <c r="T499" s="83" t="str">
        <f t="shared" si="49"/>
        <v>CAROL</v>
      </c>
      <c r="Y499" s="60">
        <f t="shared" si="53"/>
        <v>31</v>
      </c>
      <c r="Z499" s="49">
        <f t="shared" si="54"/>
        <v>46</v>
      </c>
      <c r="AA499" s="60">
        <f t="shared" si="55"/>
        <v>31046</v>
      </c>
    </row>
    <row r="500" spans="1:27">
      <c r="A500" s="83" t="str">
        <f t="shared" si="50"/>
        <v>B992Hblack</v>
      </c>
      <c r="B500" s="83" t="str">
        <f t="shared" si="51"/>
        <v>31-047-09</v>
      </c>
      <c r="C500" s="109" t="s">
        <v>2346</v>
      </c>
      <c r="D500" s="109" t="s">
        <v>2347</v>
      </c>
      <c r="E500" s="109" t="s">
        <v>793</v>
      </c>
      <c r="F500" s="110">
        <v>0</v>
      </c>
      <c r="G500" s="109" t="s">
        <v>2087</v>
      </c>
      <c r="H500" s="109" t="s">
        <v>53</v>
      </c>
      <c r="I500" s="109" t="s">
        <v>2088</v>
      </c>
      <c r="J500" s="109" t="s">
        <v>357</v>
      </c>
      <c r="K500" s="109" t="s">
        <v>387</v>
      </c>
      <c r="L500" s="109" t="s">
        <v>523</v>
      </c>
      <c r="M500" s="109" t="s">
        <v>388</v>
      </c>
      <c r="O500" s="109" t="s">
        <v>386</v>
      </c>
      <c r="P500" s="109" t="s">
        <v>826</v>
      </c>
      <c r="Q500" s="109" t="s">
        <v>831</v>
      </c>
      <c r="R500" s="109" t="s">
        <v>53</v>
      </c>
      <c r="S500" s="83" t="str">
        <f t="shared" si="52"/>
        <v>B992H</v>
      </c>
      <c r="T500" s="83" t="str">
        <f t="shared" si="49"/>
        <v>ARLENE</v>
      </c>
      <c r="Y500" s="60">
        <f t="shared" si="53"/>
        <v>31</v>
      </c>
      <c r="Z500" s="49">
        <f t="shared" si="54"/>
        <v>47</v>
      </c>
      <c r="AA500" s="60">
        <f t="shared" si="55"/>
        <v>31047</v>
      </c>
    </row>
    <row r="501" spans="1:27">
      <c r="A501" s="83" t="str">
        <f t="shared" si="50"/>
        <v>B992Htiger</v>
      </c>
      <c r="B501" s="83" t="str">
        <f t="shared" si="51"/>
        <v>31-047-02</v>
      </c>
      <c r="C501" s="109" t="s">
        <v>2348</v>
      </c>
      <c r="D501" s="109" t="s">
        <v>2349</v>
      </c>
      <c r="E501" s="109" t="s">
        <v>793</v>
      </c>
      <c r="F501" s="110">
        <v>0</v>
      </c>
      <c r="G501" s="109" t="s">
        <v>2087</v>
      </c>
      <c r="H501" s="109" t="s">
        <v>101</v>
      </c>
      <c r="I501" s="109" t="s">
        <v>2088</v>
      </c>
      <c r="J501" s="109" t="s">
        <v>357</v>
      </c>
      <c r="K501" s="109" t="s">
        <v>387</v>
      </c>
      <c r="L501" s="109" t="s">
        <v>523</v>
      </c>
      <c r="M501" s="109" t="s">
        <v>388</v>
      </c>
      <c r="N501" s="109" t="s">
        <v>44</v>
      </c>
      <c r="O501" s="109" t="s">
        <v>386</v>
      </c>
      <c r="P501" s="109" t="s">
        <v>826</v>
      </c>
      <c r="Q501" s="109" t="s">
        <v>2084</v>
      </c>
      <c r="R501" s="109" t="s">
        <v>63</v>
      </c>
      <c r="S501" s="83" t="str">
        <f t="shared" si="52"/>
        <v>B992H</v>
      </c>
      <c r="T501" s="83" t="str">
        <f t="shared" si="49"/>
        <v>ARLENE</v>
      </c>
      <c r="Y501" s="60">
        <f t="shared" si="53"/>
        <v>31</v>
      </c>
      <c r="Z501" s="49">
        <f t="shared" si="54"/>
        <v>47</v>
      </c>
      <c r="AA501" s="60">
        <f t="shared" si="55"/>
        <v>31047</v>
      </c>
    </row>
    <row r="502" spans="1:27">
      <c r="A502" s="83" t="str">
        <f t="shared" si="50"/>
        <v>B1117Hchambray</v>
      </c>
      <c r="B502" s="83" t="str">
        <f t="shared" si="51"/>
        <v>31-048-22</v>
      </c>
      <c r="C502" s="109" t="s">
        <v>2350</v>
      </c>
      <c r="D502" s="109" t="s">
        <v>2351</v>
      </c>
      <c r="E502" s="109" t="s">
        <v>793</v>
      </c>
      <c r="F502" s="110">
        <v>0</v>
      </c>
      <c r="G502" s="109" t="s">
        <v>2352</v>
      </c>
      <c r="H502" s="109" t="s">
        <v>233</v>
      </c>
      <c r="I502" s="109" t="s">
        <v>787</v>
      </c>
      <c r="J502" s="109" t="s">
        <v>360</v>
      </c>
      <c r="K502" s="109" t="s">
        <v>387</v>
      </c>
      <c r="L502" s="109" t="s">
        <v>523</v>
      </c>
      <c r="M502" s="109" t="s">
        <v>384</v>
      </c>
      <c r="N502" s="109" t="s">
        <v>43</v>
      </c>
      <c r="O502" s="109" t="s">
        <v>386</v>
      </c>
      <c r="P502" s="109" t="s">
        <v>826</v>
      </c>
      <c r="Q502" s="109" t="s">
        <v>895</v>
      </c>
      <c r="R502" s="109" t="s">
        <v>71</v>
      </c>
      <c r="S502" s="83" t="str">
        <f t="shared" si="52"/>
        <v>B1117H</v>
      </c>
      <c r="T502" s="83" t="str">
        <f t="shared" si="49"/>
        <v>Zoi</v>
      </c>
      <c r="Y502" s="60">
        <f t="shared" si="53"/>
        <v>31</v>
      </c>
      <c r="Z502" s="49">
        <f t="shared" si="54"/>
        <v>48</v>
      </c>
      <c r="AA502" s="60">
        <f t="shared" si="55"/>
        <v>31048</v>
      </c>
    </row>
    <row r="503" spans="1:27">
      <c r="A503" s="83" t="str">
        <f t="shared" si="50"/>
        <v>B1409Hwhite</v>
      </c>
      <c r="B503" s="83" t="str">
        <f t="shared" si="51"/>
        <v>31-049-17</v>
      </c>
      <c r="C503" s="109" t="s">
        <v>2353</v>
      </c>
      <c r="D503" s="109" t="s">
        <v>2354</v>
      </c>
      <c r="E503" s="109" t="s">
        <v>793</v>
      </c>
      <c r="F503" s="110">
        <v>0</v>
      </c>
      <c r="G503" s="109" t="s">
        <v>2355</v>
      </c>
      <c r="H503" s="109" t="s">
        <v>57</v>
      </c>
      <c r="I503" s="109" t="s">
        <v>787</v>
      </c>
      <c r="J503" s="109" t="s">
        <v>360</v>
      </c>
      <c r="K503" s="109" t="s">
        <v>387</v>
      </c>
      <c r="L503" s="109" t="s">
        <v>523</v>
      </c>
      <c r="M503" s="109" t="s">
        <v>384</v>
      </c>
      <c r="N503" s="109" t="s">
        <v>43</v>
      </c>
      <c r="O503" s="109" t="s">
        <v>386</v>
      </c>
      <c r="P503" s="109" t="s">
        <v>826</v>
      </c>
      <c r="Q503" s="109" t="s">
        <v>840</v>
      </c>
      <c r="R503" s="109" t="s">
        <v>57</v>
      </c>
      <c r="S503" s="83" t="str">
        <f t="shared" si="52"/>
        <v>B1409H</v>
      </c>
      <c r="T503" s="83" t="str">
        <f t="shared" si="49"/>
        <v>Sue</v>
      </c>
      <c r="Y503" s="60">
        <f t="shared" si="53"/>
        <v>31</v>
      </c>
      <c r="Z503" s="49">
        <f t="shared" si="54"/>
        <v>49</v>
      </c>
      <c r="AA503" s="60">
        <f t="shared" si="55"/>
        <v>31049</v>
      </c>
    </row>
    <row r="504" spans="1:27">
      <c r="A504" s="83" t="str">
        <f t="shared" si="50"/>
        <v>B1413Hivory</v>
      </c>
      <c r="B504" s="83" t="str">
        <f t="shared" si="51"/>
        <v>31-050-36</v>
      </c>
      <c r="C504" s="109" t="s">
        <v>2356</v>
      </c>
      <c r="D504" s="109" t="s">
        <v>2357</v>
      </c>
      <c r="E504" s="109" t="s">
        <v>793</v>
      </c>
      <c r="F504" s="110">
        <v>0</v>
      </c>
      <c r="G504" s="109" t="s">
        <v>2358</v>
      </c>
      <c r="H504" s="109" t="s">
        <v>187</v>
      </c>
      <c r="I504" s="109" t="s">
        <v>787</v>
      </c>
      <c r="J504" s="109" t="s">
        <v>360</v>
      </c>
      <c r="K504" s="109" t="s">
        <v>387</v>
      </c>
      <c r="L504" s="109" t="s">
        <v>523</v>
      </c>
      <c r="M504" s="109" t="s">
        <v>384</v>
      </c>
      <c r="N504" s="109" t="s">
        <v>43</v>
      </c>
      <c r="O504" s="109" t="s">
        <v>386</v>
      </c>
      <c r="P504" s="109" t="s">
        <v>826</v>
      </c>
      <c r="Q504" s="109" t="s">
        <v>843</v>
      </c>
      <c r="R504" s="109" t="s">
        <v>63</v>
      </c>
      <c r="S504" s="83" t="str">
        <f t="shared" si="52"/>
        <v>B1413H</v>
      </c>
      <c r="T504" s="83" t="str">
        <f t="shared" si="49"/>
        <v>Karla</v>
      </c>
      <c r="Y504" s="60">
        <f t="shared" si="53"/>
        <v>31</v>
      </c>
      <c r="Z504" s="49">
        <f t="shared" si="54"/>
        <v>50</v>
      </c>
      <c r="AA504" s="60">
        <f t="shared" si="55"/>
        <v>31050</v>
      </c>
    </row>
    <row r="505" spans="1:27">
      <c r="A505" s="83" t="str">
        <f t="shared" si="50"/>
        <v>B702Hpoppy</v>
      </c>
      <c r="B505" s="83" t="str">
        <f t="shared" si="51"/>
        <v>31-051-18</v>
      </c>
      <c r="C505" s="109" t="s">
        <v>2359</v>
      </c>
      <c r="D505" s="109" t="s">
        <v>2360</v>
      </c>
      <c r="E505" s="109" t="s">
        <v>793</v>
      </c>
      <c r="F505" s="110">
        <v>0</v>
      </c>
      <c r="G505" s="109" t="s">
        <v>2361</v>
      </c>
      <c r="H505" s="109" t="s">
        <v>78</v>
      </c>
      <c r="I505" s="109" t="s">
        <v>787</v>
      </c>
      <c r="J505" s="109" t="s">
        <v>360</v>
      </c>
      <c r="K505" s="109" t="s">
        <v>387</v>
      </c>
      <c r="L505" s="109" t="s">
        <v>523</v>
      </c>
      <c r="M505" s="109" t="s">
        <v>384</v>
      </c>
      <c r="N505" s="109" t="s">
        <v>43</v>
      </c>
      <c r="O505" s="109" t="s">
        <v>386</v>
      </c>
      <c r="P505" s="109" t="s">
        <v>826</v>
      </c>
      <c r="Q505" s="109" t="s">
        <v>996</v>
      </c>
      <c r="R505" s="109" t="s">
        <v>78</v>
      </c>
      <c r="S505" s="83" t="str">
        <f t="shared" si="52"/>
        <v>B702H</v>
      </c>
      <c r="T505" s="83" t="str">
        <f t="shared" si="49"/>
        <v>Aimee</v>
      </c>
      <c r="Y505" s="60">
        <f t="shared" si="53"/>
        <v>31</v>
      </c>
      <c r="Z505" s="49">
        <f t="shared" si="54"/>
        <v>51</v>
      </c>
      <c r="AA505" s="60">
        <f t="shared" si="55"/>
        <v>31051</v>
      </c>
    </row>
    <row r="506" spans="1:27">
      <c r="A506" s="83" t="str">
        <f t="shared" si="50"/>
        <v>B777Hnatural</v>
      </c>
      <c r="B506" s="83" t="str">
        <f t="shared" si="51"/>
        <v>31-052-56</v>
      </c>
      <c r="C506" s="109" t="s">
        <v>2362</v>
      </c>
      <c r="D506" s="109" t="s">
        <v>2363</v>
      </c>
      <c r="E506" s="109" t="s">
        <v>793</v>
      </c>
      <c r="F506" s="110">
        <v>0</v>
      </c>
      <c r="G506" s="109" t="s">
        <v>2364</v>
      </c>
      <c r="H506" s="109" t="s">
        <v>290</v>
      </c>
      <c r="I506" s="109" t="s">
        <v>787</v>
      </c>
      <c r="J506" s="109" t="s">
        <v>360</v>
      </c>
      <c r="K506" s="109" t="s">
        <v>387</v>
      </c>
      <c r="L506" s="109" t="s">
        <v>523</v>
      </c>
      <c r="M506" s="109" t="s">
        <v>384</v>
      </c>
      <c r="N506" s="109" t="s">
        <v>43</v>
      </c>
      <c r="O506" s="109" t="s">
        <v>386</v>
      </c>
      <c r="P506" s="109" t="s">
        <v>826</v>
      </c>
      <c r="Q506" s="109" t="s">
        <v>844</v>
      </c>
      <c r="R506" s="109" t="s">
        <v>195</v>
      </c>
      <c r="S506" s="83" t="str">
        <f t="shared" si="52"/>
        <v>B777H</v>
      </c>
      <c r="T506" s="83" t="str">
        <f t="shared" si="49"/>
        <v>Denise</v>
      </c>
      <c r="Y506" s="60">
        <f t="shared" si="53"/>
        <v>31</v>
      </c>
      <c r="Z506" s="49">
        <f t="shared" si="54"/>
        <v>52</v>
      </c>
      <c r="AA506" s="60">
        <f t="shared" si="55"/>
        <v>31052</v>
      </c>
    </row>
    <row r="507" spans="1:27">
      <c r="A507" s="83" t="str">
        <f t="shared" si="50"/>
        <v>B964navy</v>
      </c>
      <c r="B507" s="83" t="str">
        <f t="shared" si="51"/>
        <v>31-053-16</v>
      </c>
      <c r="C507" s="109" t="s">
        <v>2365</v>
      </c>
      <c r="D507" s="109" t="s">
        <v>2366</v>
      </c>
      <c r="E507" s="109" t="s">
        <v>793</v>
      </c>
      <c r="F507" s="110">
        <v>0</v>
      </c>
      <c r="G507" s="109" t="s">
        <v>1208</v>
      </c>
      <c r="H507" s="109" t="s">
        <v>55</v>
      </c>
      <c r="I507" s="109" t="s">
        <v>787</v>
      </c>
      <c r="J507" s="109" t="s">
        <v>360</v>
      </c>
      <c r="K507" s="109" t="s">
        <v>387</v>
      </c>
      <c r="L507" s="109" t="s">
        <v>523</v>
      </c>
      <c r="M507" s="109" t="s">
        <v>384</v>
      </c>
      <c r="N507" s="109" t="s">
        <v>43</v>
      </c>
      <c r="O507" s="109" t="s">
        <v>386</v>
      </c>
      <c r="P507" s="109" t="s">
        <v>826</v>
      </c>
      <c r="Q507" s="109" t="s">
        <v>829</v>
      </c>
      <c r="R507" s="109" t="s">
        <v>71</v>
      </c>
      <c r="S507" s="83" t="str">
        <f t="shared" si="52"/>
        <v>B964</v>
      </c>
      <c r="T507" s="83" t="str">
        <f t="shared" si="49"/>
        <v>FACE FRAMER</v>
      </c>
      <c r="Y507" s="60">
        <f t="shared" si="53"/>
        <v>31</v>
      </c>
      <c r="Z507" s="49">
        <f t="shared" si="54"/>
        <v>53</v>
      </c>
      <c r="AA507" s="60">
        <f t="shared" si="55"/>
        <v>31053</v>
      </c>
    </row>
    <row r="508" spans="1:27">
      <c r="A508" s="83" t="str">
        <f t="shared" si="50"/>
        <v>B986navy</v>
      </c>
      <c r="B508" s="83" t="str">
        <f t="shared" si="51"/>
        <v>31-054-16</v>
      </c>
      <c r="C508" s="109" t="s">
        <v>2367</v>
      </c>
      <c r="D508" s="109" t="s">
        <v>2368</v>
      </c>
      <c r="E508" s="109" t="s">
        <v>793</v>
      </c>
      <c r="F508" s="110">
        <v>0</v>
      </c>
      <c r="G508" s="109" t="s">
        <v>2369</v>
      </c>
      <c r="H508" s="109" t="s">
        <v>55</v>
      </c>
      <c r="I508" s="109" t="s">
        <v>787</v>
      </c>
      <c r="J508" s="109" t="s">
        <v>348</v>
      </c>
      <c r="K508" s="109" t="s">
        <v>387</v>
      </c>
      <c r="L508" s="109" t="s">
        <v>523</v>
      </c>
      <c r="M508" s="109" t="s">
        <v>384</v>
      </c>
      <c r="N508" s="109" t="s">
        <v>43</v>
      </c>
      <c r="O508" s="109" t="s">
        <v>386</v>
      </c>
      <c r="P508" s="109" t="s">
        <v>826</v>
      </c>
      <c r="Q508" s="109" t="s">
        <v>829</v>
      </c>
      <c r="R508" s="109" t="s">
        <v>71</v>
      </c>
      <c r="S508" s="83" t="str">
        <f t="shared" si="52"/>
        <v>B986</v>
      </c>
      <c r="T508" s="83" t="str">
        <f t="shared" si="49"/>
        <v>Blake Cap</v>
      </c>
      <c r="Y508" s="60">
        <f t="shared" si="53"/>
        <v>31</v>
      </c>
      <c r="Z508" s="49">
        <f t="shared" si="54"/>
        <v>54</v>
      </c>
      <c r="AA508" s="60">
        <f t="shared" si="55"/>
        <v>31054</v>
      </c>
    </row>
    <row r="509" spans="1:27">
      <c r="A509" s="83" t="str">
        <f t="shared" si="50"/>
        <v>B1143Hnatural</v>
      </c>
      <c r="B509" s="83" t="str">
        <f t="shared" si="51"/>
        <v>31-055-02</v>
      </c>
      <c r="C509" s="109" t="s">
        <v>2370</v>
      </c>
      <c r="D509" s="109" t="s">
        <v>2371</v>
      </c>
      <c r="E509" s="109" t="s">
        <v>793</v>
      </c>
      <c r="F509" s="110">
        <v>0</v>
      </c>
      <c r="G509" s="109" t="s">
        <v>2372</v>
      </c>
      <c r="H509" s="109" t="s">
        <v>63</v>
      </c>
      <c r="I509" s="109" t="s">
        <v>945</v>
      </c>
      <c r="J509" s="109" t="s">
        <v>351</v>
      </c>
      <c r="K509" s="109" t="s">
        <v>387</v>
      </c>
      <c r="L509" s="109" t="s">
        <v>523</v>
      </c>
      <c r="M509" s="109" t="s">
        <v>384</v>
      </c>
      <c r="N509" s="109" t="s">
        <v>36</v>
      </c>
      <c r="O509" s="109" t="s">
        <v>386</v>
      </c>
      <c r="P509" s="109" t="s">
        <v>826</v>
      </c>
      <c r="Q509" s="109" t="s">
        <v>844</v>
      </c>
      <c r="R509" s="109" t="s">
        <v>63</v>
      </c>
      <c r="S509" s="83" t="str">
        <f t="shared" si="52"/>
        <v>B1143H</v>
      </c>
      <c r="T509" s="83" t="str">
        <f t="shared" si="49"/>
        <v>Mila</v>
      </c>
      <c r="Y509" s="60">
        <f t="shared" si="53"/>
        <v>31</v>
      </c>
      <c r="Z509" s="49">
        <f t="shared" si="54"/>
        <v>55</v>
      </c>
      <c r="AA509" s="60">
        <f t="shared" si="55"/>
        <v>31055</v>
      </c>
    </row>
    <row r="510" spans="1:27">
      <c r="A510" s="83" t="str">
        <f t="shared" si="50"/>
        <v>B124rouge</v>
      </c>
      <c r="B510" s="83" t="str">
        <f t="shared" si="51"/>
        <v>31-056-02</v>
      </c>
      <c r="C510" s="109" t="s">
        <v>2373</v>
      </c>
      <c r="D510" s="109" t="s">
        <v>2374</v>
      </c>
      <c r="E510" s="109" t="s">
        <v>793</v>
      </c>
      <c r="F510" s="110">
        <v>0</v>
      </c>
      <c r="G510" s="109" t="s">
        <v>1442</v>
      </c>
      <c r="H510" s="109" t="s">
        <v>95</v>
      </c>
      <c r="I510" s="109" t="s">
        <v>792</v>
      </c>
      <c r="J510" s="109" t="s">
        <v>351</v>
      </c>
      <c r="K510" s="109" t="s">
        <v>387</v>
      </c>
      <c r="L510" s="109" t="s">
        <v>523</v>
      </c>
      <c r="M510" s="109" t="s">
        <v>384</v>
      </c>
      <c r="N510" s="109" t="s">
        <v>35</v>
      </c>
      <c r="O510" s="109" t="s">
        <v>386</v>
      </c>
      <c r="P510" s="109" t="s">
        <v>826</v>
      </c>
      <c r="Q510" s="109" t="s">
        <v>2375</v>
      </c>
      <c r="R510" s="109" t="s">
        <v>63</v>
      </c>
      <c r="S510" s="83" t="str">
        <f t="shared" si="52"/>
        <v>B124</v>
      </c>
      <c r="T510" s="83" t="str">
        <f t="shared" si="49"/>
        <v>Dunewood Visor</v>
      </c>
      <c r="Y510" s="60">
        <f t="shared" si="53"/>
        <v>31</v>
      </c>
      <c r="Z510" s="49">
        <f t="shared" si="54"/>
        <v>56</v>
      </c>
      <c r="AA510" s="60">
        <f t="shared" si="55"/>
        <v>31056</v>
      </c>
    </row>
    <row r="511" spans="1:27">
      <c r="A511" s="83" t="str">
        <f t="shared" si="50"/>
        <v>B1405Hchambray</v>
      </c>
      <c r="B511" s="83" t="str">
        <f t="shared" si="51"/>
        <v>31-057-02</v>
      </c>
      <c r="C511" s="109" t="s">
        <v>2376</v>
      </c>
      <c r="D511" s="109" t="s">
        <v>2377</v>
      </c>
      <c r="E511" s="109" t="s">
        <v>793</v>
      </c>
      <c r="F511" s="110">
        <v>0</v>
      </c>
      <c r="G511" s="109" t="s">
        <v>2378</v>
      </c>
      <c r="H511" s="109" t="s">
        <v>63</v>
      </c>
      <c r="I511" s="109" t="s">
        <v>2379</v>
      </c>
      <c r="J511" s="109" t="s">
        <v>351</v>
      </c>
      <c r="K511" s="109" t="s">
        <v>387</v>
      </c>
      <c r="L511" s="109" t="s">
        <v>523</v>
      </c>
      <c r="M511" s="109" t="s">
        <v>384</v>
      </c>
      <c r="N511" s="109" t="s">
        <v>35</v>
      </c>
      <c r="O511" s="109" t="s">
        <v>386</v>
      </c>
      <c r="P511" s="109" t="s">
        <v>826</v>
      </c>
      <c r="Q511" s="109" t="s">
        <v>895</v>
      </c>
      <c r="R511" s="109" t="s">
        <v>63</v>
      </c>
      <c r="S511" s="83" t="str">
        <f t="shared" si="52"/>
        <v>B1405H</v>
      </c>
      <c r="T511" s="83" t="str">
        <f t="shared" si="49"/>
        <v>Yana</v>
      </c>
      <c r="Y511" s="60">
        <f t="shared" si="53"/>
        <v>31</v>
      </c>
      <c r="Z511" s="49">
        <f t="shared" si="54"/>
        <v>57</v>
      </c>
      <c r="AA511" s="60">
        <f t="shared" si="55"/>
        <v>31057</v>
      </c>
    </row>
    <row r="512" spans="1:27">
      <c r="A512" s="83" t="str">
        <f t="shared" si="50"/>
        <v>B738Brattlesnake</v>
      </c>
      <c r="B512" s="83" t="str">
        <f t="shared" si="51"/>
        <v>31-058-02</v>
      </c>
      <c r="C512" s="109" t="s">
        <v>2380</v>
      </c>
      <c r="D512" s="109" t="s">
        <v>2381</v>
      </c>
      <c r="E512" s="109" t="s">
        <v>793</v>
      </c>
      <c r="F512" s="110">
        <v>0</v>
      </c>
      <c r="G512" s="109" t="s">
        <v>2382</v>
      </c>
      <c r="H512" s="109" t="s">
        <v>101</v>
      </c>
      <c r="I512" s="109" t="s">
        <v>887</v>
      </c>
      <c r="J512" s="109" t="s">
        <v>2383</v>
      </c>
      <c r="K512" s="109" t="s">
        <v>387</v>
      </c>
      <c r="L512" s="109" t="s">
        <v>523</v>
      </c>
      <c r="M512" s="109" t="s">
        <v>384</v>
      </c>
      <c r="N512" s="109" t="s">
        <v>36</v>
      </c>
      <c r="O512" s="109" t="s">
        <v>386</v>
      </c>
      <c r="P512" s="109" t="s">
        <v>826</v>
      </c>
      <c r="Q512" s="109" t="s">
        <v>938</v>
      </c>
      <c r="R512" s="109" t="s">
        <v>63</v>
      </c>
      <c r="S512" s="83" t="str">
        <f t="shared" si="52"/>
        <v>B738B</v>
      </c>
      <c r="T512" s="83" t="str">
        <f t="shared" si="49"/>
        <v>Braid Shopper</v>
      </c>
      <c r="Y512" s="60">
        <f t="shared" si="53"/>
        <v>31</v>
      </c>
      <c r="Z512" s="49">
        <f t="shared" si="54"/>
        <v>58</v>
      </c>
      <c r="AA512" s="60">
        <f t="shared" si="55"/>
        <v>31058</v>
      </c>
    </row>
    <row r="513" spans="1:27">
      <c r="A513" s="83" t="str">
        <f t="shared" si="50"/>
        <v>BH1531Nblack</v>
      </c>
      <c r="B513" s="83" t="str">
        <f t="shared" si="51"/>
        <v>31-059-09</v>
      </c>
      <c r="C513" s="109" t="s">
        <v>2384</v>
      </c>
      <c r="D513" s="109" t="s">
        <v>2385</v>
      </c>
      <c r="E513" s="109" t="s">
        <v>793</v>
      </c>
      <c r="F513" s="110">
        <v>0</v>
      </c>
      <c r="G513" s="109" t="s">
        <v>2386</v>
      </c>
      <c r="H513" s="109" t="s">
        <v>53</v>
      </c>
      <c r="I513" s="109" t="s">
        <v>887</v>
      </c>
      <c r="J513" s="109" t="s">
        <v>2383</v>
      </c>
      <c r="K513" s="109" t="s">
        <v>387</v>
      </c>
      <c r="L513" s="109" t="s">
        <v>523</v>
      </c>
      <c r="M513" s="109" t="s">
        <v>384</v>
      </c>
      <c r="N513" s="109" t="s">
        <v>36</v>
      </c>
      <c r="O513" s="109" t="s">
        <v>386</v>
      </c>
      <c r="P513" s="109" t="s">
        <v>826</v>
      </c>
      <c r="Q513" s="109" t="s">
        <v>831</v>
      </c>
      <c r="R513" s="109" t="s">
        <v>53</v>
      </c>
      <c r="S513" s="83" t="str">
        <f t="shared" si="52"/>
        <v>BH1531N</v>
      </c>
      <c r="T513" s="83" t="str">
        <f t="shared" si="49"/>
        <v>Braid Tote</v>
      </c>
      <c r="Y513" s="60">
        <f t="shared" si="53"/>
        <v>31</v>
      </c>
      <c r="Z513" s="49">
        <f t="shared" si="54"/>
        <v>59</v>
      </c>
      <c r="AA513" s="60">
        <f t="shared" si="55"/>
        <v>31059</v>
      </c>
    </row>
    <row r="514" spans="1:27">
      <c r="A514" s="83" t="str">
        <f t="shared" si="50"/>
        <v>BH1650Nrattlesnake</v>
      </c>
      <c r="B514" s="83" t="str">
        <f t="shared" si="51"/>
        <v>31-060-02</v>
      </c>
      <c r="C514" s="109" t="s">
        <v>2387</v>
      </c>
      <c r="D514" s="109" t="s">
        <v>2388</v>
      </c>
      <c r="E514" s="109" t="s">
        <v>793</v>
      </c>
      <c r="F514" s="110">
        <v>0</v>
      </c>
      <c r="G514" s="109" t="s">
        <v>2389</v>
      </c>
      <c r="H514" s="109" t="s">
        <v>101</v>
      </c>
      <c r="I514" s="109" t="s">
        <v>887</v>
      </c>
      <c r="J514" s="109" t="s">
        <v>2383</v>
      </c>
      <c r="K514" s="109" t="s">
        <v>387</v>
      </c>
      <c r="L514" s="109" t="s">
        <v>523</v>
      </c>
      <c r="M514" s="109" t="s">
        <v>384</v>
      </c>
      <c r="N514" s="109" t="s">
        <v>36</v>
      </c>
      <c r="O514" s="109" t="s">
        <v>386</v>
      </c>
      <c r="P514" s="109" t="s">
        <v>826</v>
      </c>
      <c r="Q514" s="109" t="s">
        <v>938</v>
      </c>
      <c r="R514" s="109" t="s">
        <v>63</v>
      </c>
      <c r="S514" s="83" t="str">
        <f t="shared" si="52"/>
        <v>BH1650N</v>
      </c>
      <c r="T514" s="83" t="str">
        <f t="shared" ref="T514:T577" si="56">IF(A514&lt;&gt;"",IF(FIND(" ",G514)&gt;=1,MID(G514,FIND(" ",G514)+1,LEN(G514)),""),"")</f>
        <v>Mini Hobo</v>
      </c>
      <c r="Y514" s="60">
        <f t="shared" si="53"/>
        <v>31</v>
      </c>
      <c r="Z514" s="49">
        <f t="shared" si="54"/>
        <v>60</v>
      </c>
      <c r="AA514" s="60">
        <f t="shared" si="55"/>
        <v>31060</v>
      </c>
    </row>
    <row r="515" spans="1:27">
      <c r="A515" s="83" t="str">
        <f t="shared" ref="A515:A578" si="57">IF(G515&amp;Q515&lt;&gt;"",S515&amp;Q515,"")</f>
        <v>B1096Hblack</v>
      </c>
      <c r="B515" s="83" t="str">
        <f t="shared" ref="B515:B578" si="58">IF(C515&lt;&gt;"",LEFT(C515,9),"")</f>
        <v>31-061-02</v>
      </c>
      <c r="C515" s="109" t="s">
        <v>2390</v>
      </c>
      <c r="D515" s="109" t="s">
        <v>2391</v>
      </c>
      <c r="E515" s="109" t="s">
        <v>793</v>
      </c>
      <c r="F515" s="110">
        <v>0</v>
      </c>
      <c r="G515" s="109" t="s">
        <v>1027</v>
      </c>
      <c r="H515" s="109" t="s">
        <v>101</v>
      </c>
      <c r="I515" s="109" t="s">
        <v>833</v>
      </c>
      <c r="J515" s="109" t="s">
        <v>357</v>
      </c>
      <c r="K515" s="109" t="s">
        <v>387</v>
      </c>
      <c r="L515" s="109" t="s">
        <v>523</v>
      </c>
      <c r="M515" s="109" t="s">
        <v>384</v>
      </c>
      <c r="O515" s="109" t="s">
        <v>386</v>
      </c>
      <c r="P515" s="109" t="s">
        <v>827</v>
      </c>
      <c r="Q515" s="109" t="s">
        <v>831</v>
      </c>
      <c r="R515" s="109" t="s">
        <v>63</v>
      </c>
      <c r="S515" s="83" t="str">
        <f t="shared" ref="S515:S578" si="59">IF(G515&lt;&gt;"",IF(FIND(" ",G515)&gt;=1,MID(G515,1,FIND(" ",G515)-1),G515),"")</f>
        <v>B1096H</v>
      </c>
      <c r="T515" s="83" t="str">
        <f t="shared" si="56"/>
        <v>TRICIA</v>
      </c>
      <c r="Y515" s="60">
        <f t="shared" ref="Y515:Y578" si="60">IFERROR(VALUE(MID($C515,1,2)),0)</f>
        <v>31</v>
      </c>
      <c r="Z515" s="49">
        <f t="shared" ref="Z515:Z578" si="61">IFERROR(VALUE(MID($C515,4,3)),0)</f>
        <v>61</v>
      </c>
      <c r="AA515" s="60">
        <f t="shared" ref="AA515:AA578" si="62">VALUE(RIGHT("00"&amp;Y515,2)&amp;RIGHT("000"&amp;Z515,3))</f>
        <v>31061</v>
      </c>
    </row>
    <row r="516" spans="1:27">
      <c r="A516" s="83" t="str">
        <f t="shared" si="57"/>
        <v>B1122Hkhaki</v>
      </c>
      <c r="B516" s="83" t="str">
        <f t="shared" si="58"/>
        <v>31-062-36</v>
      </c>
      <c r="C516" s="109" t="s">
        <v>2392</v>
      </c>
      <c r="D516" s="109" t="s">
        <v>2393</v>
      </c>
      <c r="E516" s="109" t="s">
        <v>793</v>
      </c>
      <c r="F516" s="110">
        <v>0</v>
      </c>
      <c r="G516" s="109" t="s">
        <v>2394</v>
      </c>
      <c r="H516" s="109" t="s">
        <v>187</v>
      </c>
      <c r="I516" s="109" t="s">
        <v>787</v>
      </c>
      <c r="J516" s="109" t="s">
        <v>323</v>
      </c>
      <c r="K516" s="109" t="s">
        <v>387</v>
      </c>
      <c r="L516" s="109" t="s">
        <v>523</v>
      </c>
      <c r="M516" s="109" t="s">
        <v>384</v>
      </c>
      <c r="N516" s="109" t="s">
        <v>43</v>
      </c>
      <c r="O516" s="109" t="s">
        <v>386</v>
      </c>
      <c r="P516" s="109" t="s">
        <v>826</v>
      </c>
      <c r="Q516" s="109" t="s">
        <v>993</v>
      </c>
      <c r="R516" s="109" t="s">
        <v>63</v>
      </c>
      <c r="S516" s="83" t="str">
        <f t="shared" si="59"/>
        <v>B1122H</v>
      </c>
      <c r="T516" s="83" t="str">
        <f t="shared" si="56"/>
        <v>Gemma</v>
      </c>
      <c r="Y516" s="60">
        <f t="shared" si="60"/>
        <v>31</v>
      </c>
      <c r="Z516" s="49">
        <f t="shared" si="61"/>
        <v>62</v>
      </c>
      <c r="AA516" s="60">
        <f t="shared" si="62"/>
        <v>31062</v>
      </c>
    </row>
    <row r="517" spans="1:27">
      <c r="A517" s="83" t="str">
        <f t="shared" si="57"/>
        <v>B1129Hnatural</v>
      </c>
      <c r="B517" s="83" t="str">
        <f t="shared" si="58"/>
        <v>31-063-02</v>
      </c>
      <c r="C517" s="109" t="s">
        <v>2395</v>
      </c>
      <c r="D517" s="109" t="s">
        <v>2396</v>
      </c>
      <c r="E517" s="109" t="s">
        <v>793</v>
      </c>
      <c r="F517" s="110">
        <v>0</v>
      </c>
      <c r="G517" s="109" t="s">
        <v>2397</v>
      </c>
      <c r="H517" s="109" t="s">
        <v>81</v>
      </c>
      <c r="I517" s="109" t="s">
        <v>795</v>
      </c>
      <c r="J517" s="109" t="s">
        <v>323</v>
      </c>
      <c r="K517" s="109" t="s">
        <v>387</v>
      </c>
      <c r="L517" s="109" t="s">
        <v>523</v>
      </c>
      <c r="M517" s="109" t="s">
        <v>384</v>
      </c>
      <c r="N517" s="109" t="s">
        <v>37</v>
      </c>
      <c r="O517" s="109" t="s">
        <v>386</v>
      </c>
      <c r="P517" s="109" t="s">
        <v>826</v>
      </c>
      <c r="Q517" s="109" t="s">
        <v>844</v>
      </c>
      <c r="R517" s="109" t="s">
        <v>63</v>
      </c>
      <c r="S517" s="83" t="str">
        <f t="shared" si="59"/>
        <v>B1129H</v>
      </c>
      <c r="T517" s="83" t="str">
        <f t="shared" si="56"/>
        <v>Abby</v>
      </c>
      <c r="Y517" s="60">
        <f t="shared" si="60"/>
        <v>31</v>
      </c>
      <c r="Z517" s="49">
        <f t="shared" si="61"/>
        <v>63</v>
      </c>
      <c r="AA517" s="60">
        <f t="shared" si="62"/>
        <v>31063</v>
      </c>
    </row>
    <row r="518" spans="1:27">
      <c r="A518" s="83" t="str">
        <f t="shared" si="57"/>
        <v>B1134Hpink</v>
      </c>
      <c r="B518" s="83" t="str">
        <f t="shared" si="58"/>
        <v>31-064-34</v>
      </c>
      <c r="C518" s="109" t="s">
        <v>2398</v>
      </c>
      <c r="D518" s="109" t="s">
        <v>2399</v>
      </c>
      <c r="E518" s="109" t="s">
        <v>793</v>
      </c>
      <c r="F518" s="110">
        <v>0</v>
      </c>
      <c r="G518" s="109" t="s">
        <v>944</v>
      </c>
      <c r="H518" s="109" t="s">
        <v>68</v>
      </c>
      <c r="I518" s="109" t="s">
        <v>945</v>
      </c>
      <c r="J518" s="109" t="s">
        <v>323</v>
      </c>
      <c r="K518" s="109" t="s">
        <v>387</v>
      </c>
      <c r="L518" s="109" t="s">
        <v>523</v>
      </c>
      <c r="M518" s="109" t="s">
        <v>384</v>
      </c>
      <c r="N518" s="109" t="s">
        <v>36</v>
      </c>
      <c r="O518" s="109" t="s">
        <v>386</v>
      </c>
      <c r="P518" s="109" t="s">
        <v>826</v>
      </c>
      <c r="Q518" s="109" t="s">
        <v>2260</v>
      </c>
      <c r="R518" s="109" t="s">
        <v>68</v>
      </c>
      <c r="S518" s="83" t="str">
        <f t="shared" si="59"/>
        <v>B1134H</v>
      </c>
      <c r="T518" s="83" t="str">
        <f t="shared" si="56"/>
        <v>RAMONA</v>
      </c>
      <c r="Y518" s="60">
        <f t="shared" si="60"/>
        <v>31</v>
      </c>
      <c r="Z518" s="49">
        <f t="shared" si="61"/>
        <v>64</v>
      </c>
      <c r="AA518" s="60">
        <f t="shared" si="62"/>
        <v>31064</v>
      </c>
    </row>
    <row r="519" spans="1:27">
      <c r="A519" s="83" t="str">
        <f t="shared" si="57"/>
        <v>B1146Hnatural</v>
      </c>
      <c r="B519" s="83" t="str">
        <f t="shared" si="58"/>
        <v>31-065-02</v>
      </c>
      <c r="C519" s="109" t="s">
        <v>2400</v>
      </c>
      <c r="D519" s="109" t="s">
        <v>2401</v>
      </c>
      <c r="E519" s="109" t="s">
        <v>793</v>
      </c>
      <c r="F519" s="110">
        <v>0</v>
      </c>
      <c r="G519" s="109" t="s">
        <v>2402</v>
      </c>
      <c r="H519" s="109" t="s">
        <v>63</v>
      </c>
      <c r="I519" s="109" t="s">
        <v>2379</v>
      </c>
      <c r="J519" s="109" t="s">
        <v>330</v>
      </c>
      <c r="K519" s="109" t="s">
        <v>387</v>
      </c>
      <c r="L519" s="109" t="s">
        <v>825</v>
      </c>
      <c r="M519" s="109" t="s">
        <v>384</v>
      </c>
      <c r="N519" s="109" t="s">
        <v>35</v>
      </c>
      <c r="O519" s="109" t="s">
        <v>386</v>
      </c>
      <c r="P519" s="109" t="s">
        <v>826</v>
      </c>
      <c r="Q519" s="109" t="s">
        <v>844</v>
      </c>
      <c r="R519" s="109" t="s">
        <v>63</v>
      </c>
      <c r="S519" s="83" t="str">
        <f t="shared" si="59"/>
        <v>B1146H</v>
      </c>
      <c r="T519" s="83" t="str">
        <f t="shared" si="56"/>
        <v>Liv</v>
      </c>
      <c r="Y519" s="60">
        <f t="shared" si="60"/>
        <v>31</v>
      </c>
      <c r="Z519" s="49">
        <f t="shared" si="61"/>
        <v>65</v>
      </c>
      <c r="AA519" s="60">
        <f t="shared" si="62"/>
        <v>31065</v>
      </c>
    </row>
    <row r="520" spans="1:27">
      <c r="A520" s="83" t="str">
        <f t="shared" si="57"/>
        <v>B1391Hnatural</v>
      </c>
      <c r="B520" s="83" t="str">
        <f t="shared" si="58"/>
        <v>31-066-02</v>
      </c>
      <c r="C520" s="109" t="s">
        <v>2403</v>
      </c>
      <c r="D520" s="109" t="s">
        <v>2404</v>
      </c>
      <c r="E520" s="109" t="s">
        <v>793</v>
      </c>
      <c r="F520" s="110">
        <v>0</v>
      </c>
      <c r="G520" s="109" t="s">
        <v>2405</v>
      </c>
      <c r="H520" s="109" t="s">
        <v>63</v>
      </c>
      <c r="I520" s="109" t="s">
        <v>2379</v>
      </c>
      <c r="J520" s="109" t="s">
        <v>357</v>
      </c>
      <c r="K520" s="109" t="s">
        <v>387</v>
      </c>
      <c r="L520" s="109" t="s">
        <v>825</v>
      </c>
      <c r="M520" s="109" t="s">
        <v>384</v>
      </c>
      <c r="N520" s="109" t="s">
        <v>35</v>
      </c>
      <c r="O520" s="109" t="s">
        <v>386</v>
      </c>
      <c r="P520" s="109" t="s">
        <v>826</v>
      </c>
      <c r="Q520" s="109" t="s">
        <v>844</v>
      </c>
      <c r="R520" s="109" t="s">
        <v>63</v>
      </c>
      <c r="S520" s="83" t="str">
        <f t="shared" si="59"/>
        <v>B1391H</v>
      </c>
      <c r="T520" s="83" t="str">
        <f t="shared" si="56"/>
        <v>Orianna</v>
      </c>
      <c r="Y520" s="60">
        <f t="shared" si="60"/>
        <v>31</v>
      </c>
      <c r="Z520" s="49">
        <f t="shared" si="61"/>
        <v>66</v>
      </c>
      <c r="AA520" s="60">
        <f t="shared" si="62"/>
        <v>31066</v>
      </c>
    </row>
    <row r="521" spans="1:27">
      <c r="A521" s="83" t="str">
        <f t="shared" si="57"/>
        <v>B1392Hnatural</v>
      </c>
      <c r="B521" s="83" t="str">
        <f t="shared" si="58"/>
        <v>31-067-02</v>
      </c>
      <c r="C521" s="109" t="s">
        <v>2406</v>
      </c>
      <c r="D521" s="109" t="s">
        <v>2407</v>
      </c>
      <c r="E521" s="109" t="s">
        <v>793</v>
      </c>
      <c r="F521" s="110">
        <v>0</v>
      </c>
      <c r="G521" s="109" t="s">
        <v>2408</v>
      </c>
      <c r="H521" s="109" t="s">
        <v>63</v>
      </c>
      <c r="I521" s="109" t="s">
        <v>2379</v>
      </c>
      <c r="J521" s="109" t="s">
        <v>323</v>
      </c>
      <c r="K521" s="109" t="s">
        <v>387</v>
      </c>
      <c r="L521" s="109" t="s">
        <v>825</v>
      </c>
      <c r="M521" s="109" t="s">
        <v>384</v>
      </c>
      <c r="N521" s="109" t="s">
        <v>35</v>
      </c>
      <c r="O521" s="109" t="s">
        <v>386</v>
      </c>
      <c r="P521" s="109" t="s">
        <v>826</v>
      </c>
      <c r="Q521" s="109" t="s">
        <v>844</v>
      </c>
      <c r="R521" s="109" t="s">
        <v>63</v>
      </c>
      <c r="S521" s="83" t="str">
        <f t="shared" si="59"/>
        <v>B1392H</v>
      </c>
      <c r="T521" s="83" t="str">
        <f t="shared" si="56"/>
        <v>Lupita</v>
      </c>
      <c r="Y521" s="60">
        <f t="shared" si="60"/>
        <v>31</v>
      </c>
      <c r="Z521" s="49">
        <f t="shared" si="61"/>
        <v>67</v>
      </c>
      <c r="AA521" s="60">
        <f t="shared" si="62"/>
        <v>31067</v>
      </c>
    </row>
    <row r="522" spans="1:27">
      <c r="A522" s="83" t="str">
        <f t="shared" si="57"/>
        <v>B1393Hrose</v>
      </c>
      <c r="B522" s="83" t="str">
        <f t="shared" si="58"/>
        <v>31-068-35</v>
      </c>
      <c r="C522" s="109" t="s">
        <v>2409</v>
      </c>
      <c r="D522" s="109" t="s">
        <v>2410</v>
      </c>
      <c r="E522" s="109" t="s">
        <v>793</v>
      </c>
      <c r="F522" s="110">
        <v>0</v>
      </c>
      <c r="G522" s="109" t="s">
        <v>2411</v>
      </c>
      <c r="H522" s="109" t="s">
        <v>209</v>
      </c>
      <c r="I522" s="109" t="s">
        <v>2379</v>
      </c>
      <c r="J522" s="109" t="s">
        <v>323</v>
      </c>
      <c r="K522" s="109" t="s">
        <v>387</v>
      </c>
      <c r="L522" s="109" t="s">
        <v>523</v>
      </c>
      <c r="M522" s="109" t="s">
        <v>384</v>
      </c>
      <c r="N522" s="109" t="s">
        <v>35</v>
      </c>
      <c r="O522" s="109" t="s">
        <v>386</v>
      </c>
      <c r="P522" s="109" t="s">
        <v>826</v>
      </c>
      <c r="Q522" s="109" t="s">
        <v>2317</v>
      </c>
      <c r="R522" s="109" t="s">
        <v>209</v>
      </c>
      <c r="S522" s="83" t="str">
        <f t="shared" si="59"/>
        <v>B1393H</v>
      </c>
      <c r="T522" s="83" t="str">
        <f t="shared" si="56"/>
        <v>Violet</v>
      </c>
      <c r="Y522" s="60">
        <f t="shared" si="60"/>
        <v>31</v>
      </c>
      <c r="Z522" s="49">
        <f t="shared" si="61"/>
        <v>68</v>
      </c>
      <c r="AA522" s="60">
        <f t="shared" si="62"/>
        <v>31068</v>
      </c>
    </row>
    <row r="523" spans="1:27">
      <c r="A523" s="83" t="str">
        <f t="shared" si="57"/>
        <v>B1395Hfuchsia</v>
      </c>
      <c r="B523" s="83" t="str">
        <f t="shared" si="58"/>
        <v>31-069-02</v>
      </c>
      <c r="C523" s="109" t="s">
        <v>2412</v>
      </c>
      <c r="D523" s="109" t="s">
        <v>2413</v>
      </c>
      <c r="E523" s="109" t="s">
        <v>793</v>
      </c>
      <c r="F523" s="110">
        <v>0</v>
      </c>
      <c r="G523" s="109" t="s">
        <v>2414</v>
      </c>
      <c r="H523" s="109" t="s">
        <v>95</v>
      </c>
      <c r="I523" s="109" t="s">
        <v>945</v>
      </c>
      <c r="J523" s="109" t="s">
        <v>323</v>
      </c>
      <c r="K523" s="109" t="s">
        <v>387</v>
      </c>
      <c r="L523" s="109" t="s">
        <v>523</v>
      </c>
      <c r="M523" s="109" t="s">
        <v>384</v>
      </c>
      <c r="N523" s="109" t="s">
        <v>36</v>
      </c>
      <c r="O523" s="109" t="s">
        <v>386</v>
      </c>
      <c r="P523" s="109" t="s">
        <v>826</v>
      </c>
      <c r="Q523" s="109" t="s">
        <v>1426</v>
      </c>
      <c r="R523" s="109" t="s">
        <v>63</v>
      </c>
      <c r="S523" s="83" t="str">
        <f t="shared" si="59"/>
        <v>B1395H</v>
      </c>
      <c r="T523" s="83" t="str">
        <f t="shared" si="56"/>
        <v>Bjorn</v>
      </c>
      <c r="Y523" s="60">
        <f t="shared" si="60"/>
        <v>31</v>
      </c>
      <c r="Z523" s="49">
        <f t="shared" si="61"/>
        <v>69</v>
      </c>
      <c r="AA523" s="60">
        <f t="shared" si="62"/>
        <v>31069</v>
      </c>
    </row>
    <row r="524" spans="1:27">
      <c r="A524" s="83" t="str">
        <f t="shared" si="57"/>
        <v>B1399Hblue</v>
      </c>
      <c r="B524" s="83" t="str">
        <f t="shared" si="58"/>
        <v>31-070-08</v>
      </c>
      <c r="C524" s="109" t="s">
        <v>2415</v>
      </c>
      <c r="D524" s="109" t="s">
        <v>2416</v>
      </c>
      <c r="E524" s="109" t="s">
        <v>793</v>
      </c>
      <c r="F524" s="110">
        <v>0</v>
      </c>
      <c r="G524" s="109" t="s">
        <v>2417</v>
      </c>
      <c r="H524" s="109" t="s">
        <v>83</v>
      </c>
      <c r="I524" s="109" t="s">
        <v>790</v>
      </c>
      <c r="J524" s="109" t="s">
        <v>330</v>
      </c>
      <c r="K524" s="109" t="s">
        <v>387</v>
      </c>
      <c r="L524" s="109" t="s">
        <v>523</v>
      </c>
      <c r="M524" s="109" t="s">
        <v>384</v>
      </c>
      <c r="N524" s="109" t="s">
        <v>36</v>
      </c>
      <c r="O524" s="109" t="s">
        <v>386</v>
      </c>
      <c r="P524" s="109" t="s">
        <v>826</v>
      </c>
      <c r="Q524" s="109" t="s">
        <v>877</v>
      </c>
      <c r="R524" s="109" t="s">
        <v>83</v>
      </c>
      <c r="S524" s="83" t="str">
        <f t="shared" si="59"/>
        <v>B1399H</v>
      </c>
      <c r="T524" s="83" t="str">
        <f t="shared" si="56"/>
        <v>Peyton</v>
      </c>
      <c r="Y524" s="60">
        <f t="shared" si="60"/>
        <v>31</v>
      </c>
      <c r="Z524" s="49">
        <f t="shared" si="61"/>
        <v>70</v>
      </c>
      <c r="AA524" s="60">
        <f t="shared" si="62"/>
        <v>31070</v>
      </c>
    </row>
    <row r="525" spans="1:27">
      <c r="A525" s="83" t="str">
        <f t="shared" si="57"/>
        <v>B1401Hnavy</v>
      </c>
      <c r="B525" s="83" t="str">
        <f t="shared" si="58"/>
        <v>31-071-16</v>
      </c>
      <c r="C525" s="109" t="s">
        <v>2418</v>
      </c>
      <c r="D525" s="109" t="s">
        <v>2419</v>
      </c>
      <c r="E525" s="109" t="s">
        <v>793</v>
      </c>
      <c r="F525" s="110">
        <v>0</v>
      </c>
      <c r="G525" s="109" t="s">
        <v>2420</v>
      </c>
      <c r="H525" s="109" t="s">
        <v>55</v>
      </c>
      <c r="I525" s="109" t="s">
        <v>945</v>
      </c>
      <c r="J525" s="109" t="s">
        <v>357</v>
      </c>
      <c r="K525" s="109" t="s">
        <v>387</v>
      </c>
      <c r="L525" s="109" t="s">
        <v>523</v>
      </c>
      <c r="M525" s="109" t="s">
        <v>384</v>
      </c>
      <c r="N525" s="109" t="s">
        <v>36</v>
      </c>
      <c r="O525" s="109" t="s">
        <v>386</v>
      </c>
      <c r="P525" s="109" t="s">
        <v>826</v>
      </c>
      <c r="Q525" s="109" t="s">
        <v>829</v>
      </c>
      <c r="R525" s="109" t="s">
        <v>71</v>
      </c>
      <c r="S525" s="83" t="str">
        <f t="shared" si="59"/>
        <v>B1401H</v>
      </c>
      <c r="T525" s="83" t="str">
        <f t="shared" si="56"/>
        <v>Alysia</v>
      </c>
      <c r="Y525" s="60">
        <f t="shared" si="60"/>
        <v>31</v>
      </c>
      <c r="Z525" s="49">
        <f t="shared" si="61"/>
        <v>71</v>
      </c>
      <c r="AA525" s="60">
        <f t="shared" si="62"/>
        <v>31071</v>
      </c>
    </row>
    <row r="526" spans="1:27">
      <c r="A526" s="83" t="str">
        <f t="shared" si="57"/>
        <v>B1402Hchambray</v>
      </c>
      <c r="B526" s="83" t="str">
        <f t="shared" si="58"/>
        <v>31-072-02</v>
      </c>
      <c r="C526" s="109" t="s">
        <v>2421</v>
      </c>
      <c r="D526" s="109" t="s">
        <v>2422</v>
      </c>
      <c r="E526" s="109" t="s">
        <v>793</v>
      </c>
      <c r="F526" s="110">
        <v>0</v>
      </c>
      <c r="G526" s="109" t="s">
        <v>2423</v>
      </c>
      <c r="H526" s="109" t="s">
        <v>96</v>
      </c>
      <c r="I526" s="109" t="s">
        <v>792</v>
      </c>
      <c r="J526" s="109" t="s">
        <v>323</v>
      </c>
      <c r="K526" s="109" t="s">
        <v>387</v>
      </c>
      <c r="L526" s="109" t="s">
        <v>523</v>
      </c>
      <c r="M526" s="109" t="s">
        <v>384</v>
      </c>
      <c r="N526" s="109" t="s">
        <v>35</v>
      </c>
      <c r="O526" s="109" t="s">
        <v>386</v>
      </c>
      <c r="P526" s="109" t="s">
        <v>826</v>
      </c>
      <c r="Q526" s="109" t="s">
        <v>895</v>
      </c>
      <c r="R526" s="109" t="s">
        <v>63</v>
      </c>
      <c r="S526" s="83" t="str">
        <f t="shared" si="59"/>
        <v>B1402H</v>
      </c>
      <c r="T526" s="83" t="str">
        <f t="shared" si="56"/>
        <v>Giorgia</v>
      </c>
      <c r="Y526" s="60">
        <f t="shared" si="60"/>
        <v>31</v>
      </c>
      <c r="Z526" s="49">
        <f t="shared" si="61"/>
        <v>72</v>
      </c>
      <c r="AA526" s="60">
        <f t="shared" si="62"/>
        <v>31072</v>
      </c>
    </row>
    <row r="527" spans="1:27">
      <c r="A527" s="83" t="str">
        <f t="shared" si="57"/>
        <v>B1403Hnatural</v>
      </c>
      <c r="B527" s="83" t="str">
        <f t="shared" si="58"/>
        <v>31-073-02</v>
      </c>
      <c r="C527" s="109" t="s">
        <v>2424</v>
      </c>
      <c r="D527" s="109" t="s">
        <v>2425</v>
      </c>
      <c r="E527" s="109" t="s">
        <v>793</v>
      </c>
      <c r="F527" s="110">
        <v>0</v>
      </c>
      <c r="G527" s="109" t="s">
        <v>2426</v>
      </c>
      <c r="H527" s="109" t="s">
        <v>63</v>
      </c>
      <c r="I527" s="109" t="s">
        <v>945</v>
      </c>
      <c r="J527" s="109" t="s">
        <v>323</v>
      </c>
      <c r="K527" s="109" t="s">
        <v>387</v>
      </c>
      <c r="L527" s="109" t="s">
        <v>523</v>
      </c>
      <c r="M527" s="109" t="s">
        <v>384</v>
      </c>
      <c r="N527" s="109" t="s">
        <v>36</v>
      </c>
      <c r="O527" s="109" t="s">
        <v>386</v>
      </c>
      <c r="P527" s="109" t="s">
        <v>826</v>
      </c>
      <c r="Q527" s="109" t="s">
        <v>844</v>
      </c>
      <c r="R527" s="109" t="s">
        <v>63</v>
      </c>
      <c r="S527" s="83" t="str">
        <f t="shared" si="59"/>
        <v>B1403H</v>
      </c>
      <c r="T527" s="83" t="str">
        <f t="shared" si="56"/>
        <v>Emiry</v>
      </c>
      <c r="Y527" s="60">
        <f t="shared" si="60"/>
        <v>31</v>
      </c>
      <c r="Z527" s="49">
        <f t="shared" si="61"/>
        <v>73</v>
      </c>
      <c r="AA527" s="60">
        <f t="shared" si="62"/>
        <v>31073</v>
      </c>
    </row>
    <row r="528" spans="1:27">
      <c r="A528" s="83" t="str">
        <f t="shared" si="57"/>
        <v>B1404Hwhite</v>
      </c>
      <c r="B528" s="83" t="str">
        <f t="shared" si="58"/>
        <v>31-074-17</v>
      </c>
      <c r="C528" s="109" t="s">
        <v>2427</v>
      </c>
      <c r="D528" s="109" t="s">
        <v>2428</v>
      </c>
      <c r="E528" s="109" t="s">
        <v>793</v>
      </c>
      <c r="F528" s="110">
        <v>0</v>
      </c>
      <c r="G528" s="109" t="s">
        <v>2429</v>
      </c>
      <c r="H528" s="109" t="s">
        <v>57</v>
      </c>
      <c r="I528" s="109" t="s">
        <v>787</v>
      </c>
      <c r="J528" s="109" t="s">
        <v>357</v>
      </c>
      <c r="K528" s="109" t="s">
        <v>387</v>
      </c>
      <c r="L528" s="109" t="s">
        <v>523</v>
      </c>
      <c r="M528" s="109" t="s">
        <v>384</v>
      </c>
      <c r="N528" s="109" t="s">
        <v>43</v>
      </c>
      <c r="O528" s="109" t="s">
        <v>386</v>
      </c>
      <c r="P528" s="109" t="s">
        <v>826</v>
      </c>
      <c r="Q528" s="109" t="s">
        <v>840</v>
      </c>
      <c r="R528" s="109" t="s">
        <v>57</v>
      </c>
      <c r="S528" s="83" t="str">
        <f t="shared" si="59"/>
        <v>B1404H</v>
      </c>
      <c r="T528" s="83" t="str">
        <f t="shared" si="56"/>
        <v>Drew</v>
      </c>
      <c r="Y528" s="60">
        <f t="shared" si="60"/>
        <v>31</v>
      </c>
      <c r="Z528" s="49">
        <f t="shared" si="61"/>
        <v>74</v>
      </c>
      <c r="AA528" s="60">
        <f t="shared" si="62"/>
        <v>31074</v>
      </c>
    </row>
    <row r="529" spans="1:27">
      <c r="A529" s="83" t="str">
        <f t="shared" si="57"/>
        <v>B1406Hpoppy</v>
      </c>
      <c r="B529" s="83" t="str">
        <f t="shared" si="58"/>
        <v>31-075-18</v>
      </c>
      <c r="C529" s="109" t="s">
        <v>2430</v>
      </c>
      <c r="D529" s="109" t="s">
        <v>2431</v>
      </c>
      <c r="E529" s="109" t="s">
        <v>793</v>
      </c>
      <c r="F529" s="110">
        <v>0</v>
      </c>
      <c r="G529" s="109" t="s">
        <v>2432</v>
      </c>
      <c r="H529" s="109" t="s">
        <v>78</v>
      </c>
      <c r="I529" s="109" t="s">
        <v>787</v>
      </c>
      <c r="J529" s="109" t="s">
        <v>357</v>
      </c>
      <c r="K529" s="109" t="s">
        <v>387</v>
      </c>
      <c r="L529" s="109" t="s">
        <v>523</v>
      </c>
      <c r="M529" s="109" t="s">
        <v>384</v>
      </c>
      <c r="N529" s="109" t="s">
        <v>43</v>
      </c>
      <c r="O529" s="109" t="s">
        <v>386</v>
      </c>
      <c r="P529" s="109" t="s">
        <v>826</v>
      </c>
      <c r="Q529" s="109" t="s">
        <v>996</v>
      </c>
      <c r="R529" s="109" t="s">
        <v>78</v>
      </c>
      <c r="S529" s="83" t="str">
        <f t="shared" si="59"/>
        <v>B1406H</v>
      </c>
      <c r="T529" s="83" t="str">
        <f t="shared" si="56"/>
        <v>Mily</v>
      </c>
      <c r="Y529" s="60">
        <f t="shared" si="60"/>
        <v>31</v>
      </c>
      <c r="Z529" s="49">
        <f t="shared" si="61"/>
        <v>75</v>
      </c>
      <c r="AA529" s="60">
        <f t="shared" si="62"/>
        <v>31075</v>
      </c>
    </row>
    <row r="530" spans="1:27">
      <c r="A530" s="83" t="str">
        <f t="shared" si="57"/>
        <v>B1416HCocoa</v>
      </c>
      <c r="B530" s="83" t="str">
        <f t="shared" si="58"/>
        <v>31-076-04</v>
      </c>
      <c r="C530" s="109" t="s">
        <v>2433</v>
      </c>
      <c r="D530" s="109" t="s">
        <v>2434</v>
      </c>
      <c r="E530" s="109" t="s">
        <v>793</v>
      </c>
      <c r="F530" s="110">
        <v>0</v>
      </c>
      <c r="G530" s="109" t="s">
        <v>2435</v>
      </c>
      <c r="H530" s="109" t="s">
        <v>142</v>
      </c>
      <c r="I530" s="109" t="s">
        <v>848</v>
      </c>
      <c r="J530" s="109" t="s">
        <v>323</v>
      </c>
      <c r="K530" s="109" t="s">
        <v>387</v>
      </c>
      <c r="L530" s="109" t="s">
        <v>523</v>
      </c>
      <c r="M530" s="109" t="s">
        <v>384</v>
      </c>
      <c r="N530" s="109" t="s">
        <v>36</v>
      </c>
      <c r="O530" s="109" t="s">
        <v>386</v>
      </c>
      <c r="P530" s="109" t="s">
        <v>826</v>
      </c>
      <c r="Q530" s="109" t="s">
        <v>869</v>
      </c>
      <c r="R530" s="109" t="s">
        <v>65</v>
      </c>
      <c r="S530" s="83" t="str">
        <f t="shared" si="59"/>
        <v>B1416H</v>
      </c>
      <c r="T530" s="83" t="str">
        <f t="shared" si="56"/>
        <v>Shanti</v>
      </c>
      <c r="Y530" s="60">
        <f t="shared" si="60"/>
        <v>31</v>
      </c>
      <c r="Z530" s="49">
        <f t="shared" si="61"/>
        <v>76</v>
      </c>
      <c r="AA530" s="60">
        <f t="shared" si="62"/>
        <v>31076</v>
      </c>
    </row>
    <row r="531" spans="1:27">
      <c r="A531" s="83" t="str">
        <f t="shared" si="57"/>
        <v>B1417Hnatural</v>
      </c>
      <c r="B531" s="83" t="str">
        <f t="shared" si="58"/>
        <v>31-077-02</v>
      </c>
      <c r="C531" s="109" t="s">
        <v>2436</v>
      </c>
      <c r="D531" s="109" t="s">
        <v>2437</v>
      </c>
      <c r="E531" s="109" t="s">
        <v>793</v>
      </c>
      <c r="F531" s="110">
        <v>0</v>
      </c>
      <c r="G531" s="109" t="s">
        <v>1987</v>
      </c>
      <c r="H531" s="109" t="s">
        <v>63</v>
      </c>
      <c r="I531" s="109" t="s">
        <v>848</v>
      </c>
      <c r="J531" s="109" t="s">
        <v>323</v>
      </c>
      <c r="K531" s="109" t="s">
        <v>387</v>
      </c>
      <c r="L531" s="109" t="s">
        <v>523</v>
      </c>
      <c r="M531" s="109" t="s">
        <v>384</v>
      </c>
      <c r="N531" s="109" t="s">
        <v>36</v>
      </c>
      <c r="O531" s="109" t="s">
        <v>386</v>
      </c>
      <c r="P531" s="109" t="s">
        <v>826</v>
      </c>
      <c r="Q531" s="109" t="s">
        <v>844</v>
      </c>
      <c r="R531" s="109" t="s">
        <v>63</v>
      </c>
      <c r="S531" s="83" t="str">
        <f t="shared" si="59"/>
        <v>B1417H</v>
      </c>
      <c r="T531" s="83" t="str">
        <f t="shared" si="56"/>
        <v>Kali</v>
      </c>
      <c r="Y531" s="60">
        <f t="shared" si="60"/>
        <v>31</v>
      </c>
      <c r="Z531" s="49">
        <f t="shared" si="61"/>
        <v>77</v>
      </c>
      <c r="AA531" s="60">
        <f t="shared" si="62"/>
        <v>31077</v>
      </c>
    </row>
    <row r="532" spans="1:27">
      <c r="A532" s="83" t="str">
        <f t="shared" si="57"/>
        <v>B1431Hwhite.navy</v>
      </c>
      <c r="B532" s="83" t="str">
        <f t="shared" si="58"/>
        <v>31-078-17</v>
      </c>
      <c r="C532" s="109" t="s">
        <v>2438</v>
      </c>
      <c r="D532" s="109" t="s">
        <v>2439</v>
      </c>
      <c r="E532" s="109" t="s">
        <v>793</v>
      </c>
      <c r="F532" s="110">
        <v>0</v>
      </c>
      <c r="G532" s="109" t="s">
        <v>948</v>
      </c>
      <c r="H532" s="109" t="s">
        <v>116</v>
      </c>
      <c r="I532" s="109" t="s">
        <v>945</v>
      </c>
      <c r="J532" s="109" t="s">
        <v>323</v>
      </c>
      <c r="K532" s="109" t="s">
        <v>387</v>
      </c>
      <c r="L532" s="109" t="s">
        <v>523</v>
      </c>
      <c r="M532" s="109" t="s">
        <v>384</v>
      </c>
      <c r="N532" s="109" t="s">
        <v>36</v>
      </c>
      <c r="O532" s="109" t="s">
        <v>386</v>
      </c>
      <c r="P532" s="109" t="s">
        <v>827</v>
      </c>
      <c r="Q532" s="109" t="s">
        <v>930</v>
      </c>
      <c r="R532" s="109" t="s">
        <v>57</v>
      </c>
      <c r="S532" s="83" t="str">
        <f t="shared" si="59"/>
        <v>B1431H</v>
      </c>
      <c r="T532" s="83" t="str">
        <f t="shared" si="56"/>
        <v>DEMETRIA</v>
      </c>
      <c r="Y532" s="60">
        <f t="shared" si="60"/>
        <v>31</v>
      </c>
      <c r="Z532" s="49">
        <f t="shared" si="61"/>
        <v>78</v>
      </c>
      <c r="AA532" s="60">
        <f t="shared" si="62"/>
        <v>31078</v>
      </c>
    </row>
    <row r="533" spans="1:27">
      <c r="A533" s="83" t="str">
        <f t="shared" si="57"/>
        <v>B1434Hblack</v>
      </c>
      <c r="B533" s="83" t="str">
        <f t="shared" si="58"/>
        <v>31-079-08</v>
      </c>
      <c r="C533" s="109" t="s">
        <v>2440</v>
      </c>
      <c r="D533" s="109" t="s">
        <v>2441</v>
      </c>
      <c r="E533" s="109" t="s">
        <v>793</v>
      </c>
      <c r="F533" s="110">
        <v>0</v>
      </c>
      <c r="G533" s="109" t="s">
        <v>2442</v>
      </c>
      <c r="H533" s="109" t="s">
        <v>246</v>
      </c>
      <c r="I533" s="109" t="s">
        <v>945</v>
      </c>
      <c r="J533" s="109" t="s">
        <v>357</v>
      </c>
      <c r="K533" s="109" t="s">
        <v>387</v>
      </c>
      <c r="L533" s="109" t="s">
        <v>523</v>
      </c>
      <c r="M533" s="109" t="s">
        <v>384</v>
      </c>
      <c r="N533" s="109" t="s">
        <v>36</v>
      </c>
      <c r="O533" s="109" t="s">
        <v>386</v>
      </c>
      <c r="P533" s="109" t="s">
        <v>826</v>
      </c>
      <c r="Q533" s="109" t="s">
        <v>831</v>
      </c>
      <c r="R533" s="109" t="s">
        <v>83</v>
      </c>
      <c r="S533" s="83" t="str">
        <f t="shared" si="59"/>
        <v>B1434H</v>
      </c>
      <c r="T533" s="83" t="str">
        <f t="shared" si="56"/>
        <v>Inge</v>
      </c>
      <c r="Y533" s="60">
        <f t="shared" si="60"/>
        <v>31</v>
      </c>
      <c r="Z533" s="49">
        <f t="shared" si="61"/>
        <v>79</v>
      </c>
      <c r="AA533" s="60">
        <f t="shared" si="62"/>
        <v>31079</v>
      </c>
    </row>
    <row r="534" spans="1:27">
      <c r="A534" s="83" t="str">
        <f t="shared" si="57"/>
        <v>B1440HFuchia</v>
      </c>
      <c r="B534" s="83" t="str">
        <f t="shared" si="58"/>
        <v>31-080-34</v>
      </c>
      <c r="C534" s="109" t="s">
        <v>2443</v>
      </c>
      <c r="D534" s="109" t="s">
        <v>2444</v>
      </c>
      <c r="E534" s="109" t="s">
        <v>793</v>
      </c>
      <c r="F534" s="110">
        <v>0</v>
      </c>
      <c r="G534" s="109" t="s">
        <v>1234</v>
      </c>
      <c r="H534" s="109" t="s">
        <v>210</v>
      </c>
      <c r="I534" s="109" t="s">
        <v>945</v>
      </c>
      <c r="J534" s="109" t="s">
        <v>323</v>
      </c>
      <c r="K534" s="109" t="s">
        <v>387</v>
      </c>
      <c r="L534" s="109" t="s">
        <v>523</v>
      </c>
      <c r="M534" s="109" t="s">
        <v>384</v>
      </c>
      <c r="N534" s="109" t="s">
        <v>36</v>
      </c>
      <c r="O534" s="109" t="s">
        <v>386</v>
      </c>
      <c r="P534" s="109" t="s">
        <v>826</v>
      </c>
      <c r="Q534" s="109" t="s">
        <v>2445</v>
      </c>
      <c r="R534" s="109" t="s">
        <v>68</v>
      </c>
      <c r="S534" s="83" t="str">
        <f t="shared" si="59"/>
        <v>B1440H</v>
      </c>
      <c r="T534" s="83" t="str">
        <f t="shared" si="56"/>
        <v>Perla</v>
      </c>
      <c r="Y534" s="60">
        <f t="shared" si="60"/>
        <v>31</v>
      </c>
      <c r="Z534" s="49">
        <f t="shared" si="61"/>
        <v>80</v>
      </c>
      <c r="AA534" s="60">
        <f t="shared" si="62"/>
        <v>31080</v>
      </c>
    </row>
    <row r="535" spans="1:27">
      <c r="A535" s="83" t="str">
        <f t="shared" si="57"/>
        <v>B1449Hrattlesnake</v>
      </c>
      <c r="B535" s="83" t="str">
        <f t="shared" si="58"/>
        <v>31-081-02</v>
      </c>
      <c r="C535" s="109" t="s">
        <v>2446</v>
      </c>
      <c r="D535" s="109" t="s">
        <v>2447</v>
      </c>
      <c r="E535" s="109" t="s">
        <v>793</v>
      </c>
      <c r="F535" s="110">
        <v>0</v>
      </c>
      <c r="G535" s="109" t="s">
        <v>952</v>
      </c>
      <c r="H535" s="109" t="s">
        <v>101</v>
      </c>
      <c r="I535" s="109" t="s">
        <v>832</v>
      </c>
      <c r="J535" s="109" t="s">
        <v>329</v>
      </c>
      <c r="K535" s="109" t="s">
        <v>387</v>
      </c>
      <c r="L535" s="109" t="s">
        <v>523</v>
      </c>
      <c r="M535" s="109" t="s">
        <v>384</v>
      </c>
      <c r="N535" s="109" t="s">
        <v>36</v>
      </c>
      <c r="O535" s="109" t="s">
        <v>386</v>
      </c>
      <c r="P535" s="109" t="s">
        <v>827</v>
      </c>
      <c r="Q535" s="109" t="s">
        <v>938</v>
      </c>
      <c r="R535" s="109" t="s">
        <v>63</v>
      </c>
      <c r="S535" s="83" t="str">
        <f t="shared" si="59"/>
        <v>B1449H</v>
      </c>
      <c r="T535" s="83" t="str">
        <f t="shared" si="56"/>
        <v>JOANNE</v>
      </c>
      <c r="Y535" s="60">
        <f t="shared" si="60"/>
        <v>31</v>
      </c>
      <c r="Z535" s="49">
        <f t="shared" si="61"/>
        <v>81</v>
      </c>
      <c r="AA535" s="60">
        <f t="shared" si="62"/>
        <v>31081</v>
      </c>
    </row>
    <row r="536" spans="1:27">
      <c r="A536" s="83" t="str">
        <f t="shared" si="57"/>
        <v>B1450Hgold</v>
      </c>
      <c r="B536" s="83" t="str">
        <f t="shared" si="58"/>
        <v>31-082-20</v>
      </c>
      <c r="C536" s="109" t="s">
        <v>2448</v>
      </c>
      <c r="D536" s="109" t="s">
        <v>2449</v>
      </c>
      <c r="E536" s="109" t="s">
        <v>793</v>
      </c>
      <c r="F536" s="110">
        <v>0</v>
      </c>
      <c r="G536" s="109" t="s">
        <v>2450</v>
      </c>
      <c r="H536" s="109" t="s">
        <v>156</v>
      </c>
      <c r="I536" s="109" t="s">
        <v>847</v>
      </c>
      <c r="J536" s="109" t="s">
        <v>323</v>
      </c>
      <c r="K536" s="109" t="s">
        <v>387</v>
      </c>
      <c r="L536" s="109" t="s">
        <v>523</v>
      </c>
      <c r="M536" s="109" t="s">
        <v>384</v>
      </c>
      <c r="N536" s="109" t="s">
        <v>36</v>
      </c>
      <c r="O536" s="109" t="s">
        <v>386</v>
      </c>
      <c r="P536" s="109" t="s">
        <v>826</v>
      </c>
      <c r="Q536" s="109" t="s">
        <v>2451</v>
      </c>
      <c r="R536" s="109" t="s">
        <v>65</v>
      </c>
      <c r="S536" s="83" t="str">
        <f t="shared" si="59"/>
        <v>B1450H</v>
      </c>
      <c r="T536" s="83" t="str">
        <f t="shared" si="56"/>
        <v>Fleur</v>
      </c>
      <c r="Y536" s="60">
        <f t="shared" si="60"/>
        <v>31</v>
      </c>
      <c r="Z536" s="49">
        <f t="shared" si="61"/>
        <v>82</v>
      </c>
      <c r="AA536" s="60">
        <f t="shared" si="62"/>
        <v>31082</v>
      </c>
    </row>
    <row r="537" spans="1:27">
      <c r="A537" s="83" t="str">
        <f t="shared" si="57"/>
        <v>B166coral</v>
      </c>
      <c r="B537" s="83" t="str">
        <f t="shared" si="58"/>
        <v>31-083-34</v>
      </c>
      <c r="C537" s="109" t="s">
        <v>2452</v>
      </c>
      <c r="D537" s="109" t="s">
        <v>2453</v>
      </c>
      <c r="E537" s="109" t="s">
        <v>793</v>
      </c>
      <c r="F537" s="110">
        <v>0</v>
      </c>
      <c r="G537" s="109" t="s">
        <v>965</v>
      </c>
      <c r="H537" s="109" t="s">
        <v>68</v>
      </c>
      <c r="I537" s="109" t="s">
        <v>966</v>
      </c>
      <c r="J537" s="109" t="s">
        <v>323</v>
      </c>
      <c r="K537" s="109" t="s">
        <v>387</v>
      </c>
      <c r="L537" s="109" t="s">
        <v>523</v>
      </c>
      <c r="M537" s="109" t="s">
        <v>384</v>
      </c>
      <c r="N537" s="109" t="s">
        <v>36</v>
      </c>
      <c r="O537" s="109" t="s">
        <v>386</v>
      </c>
      <c r="P537" s="109" t="s">
        <v>826</v>
      </c>
      <c r="Q537" s="109" t="s">
        <v>1215</v>
      </c>
      <c r="R537" s="109" t="s">
        <v>68</v>
      </c>
      <c r="S537" s="83" t="str">
        <f t="shared" si="59"/>
        <v>B166</v>
      </c>
      <c r="T537" s="83" t="str">
        <f t="shared" si="56"/>
        <v>CLASSIC ROLL UP</v>
      </c>
      <c r="Y537" s="60">
        <f t="shared" si="60"/>
        <v>31</v>
      </c>
      <c r="Z537" s="49">
        <f t="shared" si="61"/>
        <v>83</v>
      </c>
      <c r="AA537" s="60">
        <f t="shared" si="62"/>
        <v>31083</v>
      </c>
    </row>
    <row r="538" spans="1:27">
      <c r="A538" s="83" t="str">
        <f t="shared" si="57"/>
        <v>B176black multi</v>
      </c>
      <c r="B538" s="83" t="str">
        <f t="shared" si="58"/>
        <v>31-084-09</v>
      </c>
      <c r="C538" s="109" t="s">
        <v>2454</v>
      </c>
      <c r="D538" s="109" t="s">
        <v>2455</v>
      </c>
      <c r="E538" s="109" t="s">
        <v>793</v>
      </c>
      <c r="F538" s="110">
        <v>0</v>
      </c>
      <c r="G538" s="109" t="s">
        <v>1007</v>
      </c>
      <c r="H538" s="109" t="s">
        <v>293</v>
      </c>
      <c r="I538" s="109" t="s">
        <v>887</v>
      </c>
      <c r="J538" s="109" t="s">
        <v>357</v>
      </c>
      <c r="K538" s="109" t="s">
        <v>387</v>
      </c>
      <c r="L538" s="109" t="s">
        <v>523</v>
      </c>
      <c r="M538" s="109" t="s">
        <v>384</v>
      </c>
      <c r="N538" s="109" t="s">
        <v>36</v>
      </c>
      <c r="O538" s="109" t="s">
        <v>386</v>
      </c>
      <c r="P538" s="109" t="s">
        <v>827</v>
      </c>
      <c r="Q538" s="109" t="s">
        <v>881</v>
      </c>
      <c r="R538" s="109" t="s">
        <v>53</v>
      </c>
      <c r="S538" s="83" t="str">
        <f t="shared" si="59"/>
        <v>B176</v>
      </c>
      <c r="T538" s="83" t="str">
        <f t="shared" si="56"/>
        <v>GOSSAMER</v>
      </c>
      <c r="Y538" s="60">
        <f t="shared" si="60"/>
        <v>31</v>
      </c>
      <c r="Z538" s="49">
        <f t="shared" si="61"/>
        <v>84</v>
      </c>
      <c r="AA538" s="60">
        <f t="shared" si="62"/>
        <v>31084</v>
      </c>
    </row>
    <row r="539" spans="1:27">
      <c r="A539" s="83" t="str">
        <f t="shared" si="57"/>
        <v>B213rouge</v>
      </c>
      <c r="B539" s="83" t="str">
        <f t="shared" si="58"/>
        <v>31-085-34</v>
      </c>
      <c r="C539" s="109" t="s">
        <v>2456</v>
      </c>
      <c r="D539" s="109" t="s">
        <v>2457</v>
      </c>
      <c r="E539" s="109" t="s">
        <v>793</v>
      </c>
      <c r="F539" s="110">
        <v>0</v>
      </c>
      <c r="G539" s="109" t="s">
        <v>1422</v>
      </c>
      <c r="H539" s="109" t="s">
        <v>68</v>
      </c>
      <c r="I539" s="109" t="s">
        <v>1423</v>
      </c>
      <c r="J539" s="109" t="s">
        <v>323</v>
      </c>
      <c r="K539" s="109" t="s">
        <v>387</v>
      </c>
      <c r="L539" s="109" t="s">
        <v>523</v>
      </c>
      <c r="M539" s="109" t="s">
        <v>384</v>
      </c>
      <c r="O539" s="109" t="s">
        <v>386</v>
      </c>
      <c r="P539" s="109" t="s">
        <v>826</v>
      </c>
      <c r="Q539" s="109" t="s">
        <v>2375</v>
      </c>
      <c r="R539" s="109" t="s">
        <v>68</v>
      </c>
      <c r="S539" s="83" t="str">
        <f t="shared" si="59"/>
        <v>B213</v>
      </c>
      <c r="T539" s="83" t="str">
        <f t="shared" si="56"/>
        <v>CLASSIC SUNSHADE</v>
      </c>
      <c r="Y539" s="60">
        <f t="shared" si="60"/>
        <v>31</v>
      </c>
      <c r="Z539" s="49">
        <f t="shared" si="61"/>
        <v>85</v>
      </c>
      <c r="AA539" s="60">
        <f t="shared" si="62"/>
        <v>31085</v>
      </c>
    </row>
    <row r="540" spans="1:27">
      <c r="A540" s="83" t="str">
        <f t="shared" si="57"/>
        <v>B318Hnatural</v>
      </c>
      <c r="B540" s="83" t="str">
        <f t="shared" si="58"/>
        <v>31-086-02</v>
      </c>
      <c r="C540" s="109" t="s">
        <v>2458</v>
      </c>
      <c r="D540" s="109" t="s">
        <v>2459</v>
      </c>
      <c r="E540" s="109" t="s">
        <v>793</v>
      </c>
      <c r="F540" s="110">
        <v>0</v>
      </c>
      <c r="G540" s="109" t="s">
        <v>2460</v>
      </c>
      <c r="H540" s="109" t="s">
        <v>63</v>
      </c>
      <c r="I540" s="109" t="s">
        <v>2379</v>
      </c>
      <c r="J540" s="109" t="s">
        <v>323</v>
      </c>
      <c r="K540" s="109" t="s">
        <v>387</v>
      </c>
      <c r="L540" s="109" t="s">
        <v>523</v>
      </c>
      <c r="M540" s="109" t="s">
        <v>384</v>
      </c>
      <c r="N540" s="109" t="s">
        <v>35</v>
      </c>
      <c r="O540" s="109" t="s">
        <v>386</v>
      </c>
      <c r="P540" s="109" t="s">
        <v>826</v>
      </c>
      <c r="Q540" s="109" t="s">
        <v>844</v>
      </c>
      <c r="R540" s="109" t="s">
        <v>63</v>
      </c>
      <c r="S540" s="83" t="str">
        <f t="shared" si="59"/>
        <v>B318H</v>
      </c>
      <c r="T540" s="83" t="str">
        <f t="shared" si="56"/>
        <v>Ocean Drive</v>
      </c>
      <c r="Y540" s="60">
        <f t="shared" si="60"/>
        <v>31</v>
      </c>
      <c r="Z540" s="49">
        <f t="shared" si="61"/>
        <v>86</v>
      </c>
      <c r="AA540" s="60">
        <f t="shared" si="62"/>
        <v>31086</v>
      </c>
    </row>
    <row r="541" spans="1:27">
      <c r="A541" s="83" t="str">
        <f t="shared" si="57"/>
        <v>B3261natural</v>
      </c>
      <c r="B541" s="83" t="str">
        <f t="shared" si="58"/>
        <v>31-087-36</v>
      </c>
      <c r="C541" s="109" t="s">
        <v>2461</v>
      </c>
      <c r="D541" s="109" t="s">
        <v>2462</v>
      </c>
      <c r="E541" s="109" t="s">
        <v>793</v>
      </c>
      <c r="F541" s="110">
        <v>0</v>
      </c>
      <c r="G541" s="109" t="s">
        <v>1295</v>
      </c>
      <c r="H541" s="109" t="s">
        <v>187</v>
      </c>
      <c r="I541" s="109" t="s">
        <v>794</v>
      </c>
      <c r="J541" s="109" t="s">
        <v>323</v>
      </c>
      <c r="K541" s="109" t="s">
        <v>387</v>
      </c>
      <c r="L541" s="109" t="s">
        <v>523</v>
      </c>
      <c r="M541" s="109" t="s">
        <v>384</v>
      </c>
      <c r="O541" s="109" t="s">
        <v>386</v>
      </c>
      <c r="P541" s="109" t="s">
        <v>827</v>
      </c>
      <c r="Q541" s="109" t="s">
        <v>844</v>
      </c>
      <c r="R541" s="109" t="s">
        <v>63</v>
      </c>
      <c r="S541" s="83" t="str">
        <f t="shared" si="59"/>
        <v>B3261</v>
      </c>
      <c r="T541" s="83" t="str">
        <f t="shared" si="56"/>
        <v>COCONUT RING SAFARI</v>
      </c>
      <c r="Y541" s="60">
        <f t="shared" si="60"/>
        <v>31</v>
      </c>
      <c r="Z541" s="49">
        <f t="shared" si="61"/>
        <v>87</v>
      </c>
      <c r="AA541" s="60">
        <f t="shared" si="62"/>
        <v>31087</v>
      </c>
    </row>
    <row r="542" spans="1:27">
      <c r="A542" s="83" t="str">
        <f t="shared" si="57"/>
        <v>B687Hnatural</v>
      </c>
      <c r="B542" s="83" t="str">
        <f t="shared" si="58"/>
        <v>31-088-02</v>
      </c>
      <c r="C542" s="109" t="s">
        <v>2463</v>
      </c>
      <c r="D542" s="109" t="s">
        <v>2464</v>
      </c>
      <c r="E542" s="109" t="s">
        <v>793</v>
      </c>
      <c r="F542" s="110">
        <v>0</v>
      </c>
      <c r="G542" s="109" t="s">
        <v>2465</v>
      </c>
      <c r="H542" s="109" t="s">
        <v>101</v>
      </c>
      <c r="I542" s="109" t="s">
        <v>1783</v>
      </c>
      <c r="J542" s="109" t="s">
        <v>357</v>
      </c>
      <c r="K542" s="109" t="s">
        <v>387</v>
      </c>
      <c r="L542" s="109" t="s">
        <v>523</v>
      </c>
      <c r="M542" s="109" t="s">
        <v>384</v>
      </c>
      <c r="N542" s="109" t="s">
        <v>36</v>
      </c>
      <c r="O542" s="109" t="s">
        <v>386</v>
      </c>
      <c r="P542" s="109" t="s">
        <v>826</v>
      </c>
      <c r="Q542" s="109" t="s">
        <v>844</v>
      </c>
      <c r="R542" s="109" t="s">
        <v>63</v>
      </c>
      <c r="S542" s="83" t="str">
        <f t="shared" si="59"/>
        <v>B687H</v>
      </c>
      <c r="T542" s="83" t="str">
        <f t="shared" si="56"/>
        <v>Maribel</v>
      </c>
      <c r="Y542" s="60">
        <f t="shared" si="60"/>
        <v>31</v>
      </c>
      <c r="Z542" s="49">
        <f t="shared" si="61"/>
        <v>88</v>
      </c>
      <c r="AA542" s="60">
        <f t="shared" si="62"/>
        <v>31088</v>
      </c>
    </row>
    <row r="543" spans="1:27">
      <c r="A543" s="83" t="str">
        <f t="shared" si="57"/>
        <v>B880Hblack</v>
      </c>
      <c r="B543" s="83" t="str">
        <f t="shared" si="58"/>
        <v>31-089-09</v>
      </c>
      <c r="C543" s="109" t="s">
        <v>2466</v>
      </c>
      <c r="D543" s="109" t="s">
        <v>2467</v>
      </c>
      <c r="E543" s="109" t="s">
        <v>793</v>
      </c>
      <c r="F543" s="110">
        <v>0</v>
      </c>
      <c r="G543" s="109" t="s">
        <v>2468</v>
      </c>
      <c r="H543" s="109" t="s">
        <v>292</v>
      </c>
      <c r="I543" s="109" t="s">
        <v>2469</v>
      </c>
      <c r="J543" s="109" t="s">
        <v>323</v>
      </c>
      <c r="K543" s="109" t="s">
        <v>387</v>
      </c>
      <c r="L543" s="109" t="s">
        <v>825</v>
      </c>
      <c r="M543" s="109" t="s">
        <v>384</v>
      </c>
      <c r="N543" s="109" t="s">
        <v>36</v>
      </c>
      <c r="O543" s="109" t="s">
        <v>386</v>
      </c>
      <c r="P543" s="109" t="s">
        <v>826</v>
      </c>
      <c r="Q543" s="109" t="s">
        <v>831</v>
      </c>
      <c r="R543" s="109" t="s">
        <v>53</v>
      </c>
      <c r="S543" s="83" t="str">
        <f t="shared" si="59"/>
        <v>B880H</v>
      </c>
      <c r="T543" s="83" t="str">
        <f t="shared" si="56"/>
        <v>Donna</v>
      </c>
      <c r="Y543" s="60">
        <f t="shared" si="60"/>
        <v>31</v>
      </c>
      <c r="Z543" s="49">
        <f t="shared" si="61"/>
        <v>89</v>
      </c>
      <c r="AA543" s="60">
        <f t="shared" si="62"/>
        <v>31089</v>
      </c>
    </row>
    <row r="544" spans="1:27">
      <c r="A544" s="83" t="str">
        <f t="shared" si="57"/>
        <v>B962poppy</v>
      </c>
      <c r="B544" s="83" t="str">
        <f t="shared" si="58"/>
        <v>31-090-18</v>
      </c>
      <c r="C544" s="109" t="s">
        <v>2470</v>
      </c>
      <c r="D544" s="109" t="s">
        <v>2471</v>
      </c>
      <c r="E544" s="109" t="s">
        <v>793</v>
      </c>
      <c r="F544" s="110">
        <v>0</v>
      </c>
      <c r="G544" s="109" t="s">
        <v>1224</v>
      </c>
      <c r="H544" s="109" t="s">
        <v>78</v>
      </c>
      <c r="I544" s="109" t="s">
        <v>787</v>
      </c>
      <c r="J544" s="109" t="s">
        <v>325</v>
      </c>
      <c r="K544" s="109" t="s">
        <v>387</v>
      </c>
      <c r="L544" s="109" t="s">
        <v>523</v>
      </c>
      <c r="M544" s="109" t="s">
        <v>384</v>
      </c>
      <c r="N544" s="109" t="s">
        <v>43</v>
      </c>
      <c r="O544" s="109" t="s">
        <v>386</v>
      </c>
      <c r="P544" s="109" t="s">
        <v>826</v>
      </c>
      <c r="Q544" s="109" t="s">
        <v>996</v>
      </c>
      <c r="R544" s="109" t="s">
        <v>78</v>
      </c>
      <c r="S544" s="83" t="str">
        <f t="shared" si="59"/>
        <v>B962</v>
      </c>
      <c r="T544" s="83" t="str">
        <f t="shared" si="56"/>
        <v>KNOTTED CLOCHE</v>
      </c>
      <c r="Y544" s="60">
        <f t="shared" si="60"/>
        <v>31</v>
      </c>
      <c r="Z544" s="49">
        <f t="shared" si="61"/>
        <v>90</v>
      </c>
      <c r="AA544" s="60">
        <f t="shared" si="62"/>
        <v>31090</v>
      </c>
    </row>
    <row r="545" spans="1:27">
      <c r="A545" s="83" t="str">
        <f t="shared" si="57"/>
        <v>B1511Hblack</v>
      </c>
      <c r="B545" s="83" t="str">
        <f t="shared" si="58"/>
        <v>31-096-09</v>
      </c>
      <c r="C545" s="109" t="s">
        <v>2472</v>
      </c>
      <c r="D545" s="109" t="s">
        <v>2473</v>
      </c>
      <c r="E545" s="109" t="s">
        <v>793</v>
      </c>
      <c r="F545" s="110">
        <v>0</v>
      </c>
      <c r="G545" s="109" t="s">
        <v>2474</v>
      </c>
      <c r="H545" s="109" t="s">
        <v>53</v>
      </c>
      <c r="I545" s="109" t="s">
        <v>2475</v>
      </c>
      <c r="J545" s="109" t="s">
        <v>348</v>
      </c>
      <c r="K545" s="109" t="s">
        <v>387</v>
      </c>
      <c r="L545" s="109" t="s">
        <v>523</v>
      </c>
      <c r="M545" s="109" t="s">
        <v>388</v>
      </c>
      <c r="N545" s="109" t="s">
        <v>44</v>
      </c>
      <c r="O545" s="109" t="s">
        <v>386</v>
      </c>
      <c r="P545" s="109" t="s">
        <v>826</v>
      </c>
      <c r="Q545" s="109" t="s">
        <v>831</v>
      </c>
      <c r="R545" s="109" t="s">
        <v>53</v>
      </c>
      <c r="S545" s="83" t="str">
        <f t="shared" si="59"/>
        <v>B1511H</v>
      </c>
      <c r="T545" s="83" t="str">
        <f t="shared" si="56"/>
        <v>Faye</v>
      </c>
      <c r="Y545" s="60">
        <f t="shared" si="60"/>
        <v>31</v>
      </c>
      <c r="Z545" s="49">
        <f t="shared" si="61"/>
        <v>96</v>
      </c>
      <c r="AA545" s="60">
        <f t="shared" si="62"/>
        <v>31096</v>
      </c>
    </row>
    <row r="546" spans="1:27">
      <c r="A546" s="83" t="str">
        <f t="shared" si="57"/>
        <v>B1249Hblue</v>
      </c>
      <c r="B546" s="83" t="str">
        <f t="shared" si="58"/>
        <v>31-008-16</v>
      </c>
      <c r="C546" s="109" t="s">
        <v>2476</v>
      </c>
      <c r="D546" s="109" t="s">
        <v>2477</v>
      </c>
      <c r="E546" s="109" t="s">
        <v>793</v>
      </c>
      <c r="F546" s="110">
        <v>0</v>
      </c>
      <c r="G546" s="109" t="s">
        <v>1104</v>
      </c>
      <c r="H546" s="109" t="s">
        <v>55</v>
      </c>
      <c r="I546" s="109" t="s">
        <v>785</v>
      </c>
      <c r="J546" s="109" t="s">
        <v>330</v>
      </c>
      <c r="K546" s="109" t="s">
        <v>387</v>
      </c>
      <c r="L546" s="109" t="s">
        <v>523</v>
      </c>
      <c r="M546" s="109" t="s">
        <v>388</v>
      </c>
      <c r="N546" s="109" t="s">
        <v>44</v>
      </c>
      <c r="O546" s="109" t="s">
        <v>386</v>
      </c>
      <c r="P546" s="109" t="s">
        <v>826</v>
      </c>
      <c r="Q546" s="109" t="s">
        <v>877</v>
      </c>
      <c r="R546" s="109" t="s">
        <v>71</v>
      </c>
      <c r="S546" s="83" t="str">
        <f t="shared" si="59"/>
        <v>B1249H</v>
      </c>
      <c r="T546" s="83" t="str">
        <f t="shared" si="56"/>
        <v>DARCY</v>
      </c>
      <c r="Y546" s="60">
        <f t="shared" si="60"/>
        <v>31</v>
      </c>
      <c r="Z546" s="49">
        <f t="shared" si="61"/>
        <v>8</v>
      </c>
      <c r="AA546" s="60">
        <f t="shared" si="62"/>
        <v>31008</v>
      </c>
    </row>
    <row r="547" spans="1:27">
      <c r="A547" s="83" t="str">
        <f t="shared" si="57"/>
        <v>B545Hblue</v>
      </c>
      <c r="B547" s="83" t="str">
        <f t="shared" si="58"/>
        <v>31-037-16</v>
      </c>
      <c r="C547" s="109" t="s">
        <v>2478</v>
      </c>
      <c r="D547" s="109" t="s">
        <v>2479</v>
      </c>
      <c r="E547" s="109" t="s">
        <v>793</v>
      </c>
      <c r="F547" s="110">
        <v>0</v>
      </c>
      <c r="G547" s="109" t="s">
        <v>1178</v>
      </c>
      <c r="H547" s="109" t="s">
        <v>55</v>
      </c>
      <c r="I547" s="109" t="s">
        <v>785</v>
      </c>
      <c r="J547" s="109" t="s">
        <v>357</v>
      </c>
      <c r="K547" s="109" t="s">
        <v>387</v>
      </c>
      <c r="L547" s="109" t="s">
        <v>523</v>
      </c>
      <c r="M547" s="109" t="s">
        <v>388</v>
      </c>
      <c r="N547" s="109" t="s">
        <v>44</v>
      </c>
      <c r="O547" s="109" t="s">
        <v>386</v>
      </c>
      <c r="P547" s="109" t="s">
        <v>826</v>
      </c>
      <c r="Q547" s="109" t="s">
        <v>877</v>
      </c>
      <c r="R547" s="109" t="s">
        <v>71</v>
      </c>
      <c r="S547" s="83" t="str">
        <f t="shared" si="59"/>
        <v>B545H</v>
      </c>
      <c r="T547" s="83" t="str">
        <f t="shared" si="56"/>
        <v>ALEXANDRITE</v>
      </c>
      <c r="Y547" s="60">
        <f t="shared" si="60"/>
        <v>31</v>
      </c>
      <c r="Z547" s="49">
        <f t="shared" si="61"/>
        <v>37</v>
      </c>
      <c r="AA547" s="60">
        <f t="shared" si="62"/>
        <v>31037</v>
      </c>
    </row>
    <row r="548" spans="1:27">
      <c r="A548" s="83" t="str">
        <f t="shared" si="57"/>
        <v>B1485Hblack</v>
      </c>
      <c r="B548" s="83" t="str">
        <f t="shared" si="58"/>
        <v>31-109-09</v>
      </c>
      <c r="C548" s="109" t="s">
        <v>2480</v>
      </c>
      <c r="D548" s="109" t="s">
        <v>2481</v>
      </c>
      <c r="E548" s="109" t="s">
        <v>793</v>
      </c>
      <c r="F548" s="110">
        <v>0</v>
      </c>
      <c r="G548" s="109" t="s">
        <v>2015</v>
      </c>
      <c r="H548" s="109" t="s">
        <v>53</v>
      </c>
      <c r="I548" s="109" t="s">
        <v>785</v>
      </c>
      <c r="J548" s="109" t="s">
        <v>330</v>
      </c>
      <c r="K548" s="109" t="s">
        <v>387</v>
      </c>
      <c r="L548" s="109" t="s">
        <v>523</v>
      </c>
      <c r="M548" s="109" t="s">
        <v>388</v>
      </c>
      <c r="N548" s="109" t="s">
        <v>30</v>
      </c>
      <c r="O548" s="109" t="s">
        <v>386</v>
      </c>
      <c r="P548" s="109" t="s">
        <v>826</v>
      </c>
      <c r="Q548" s="109" t="s">
        <v>831</v>
      </c>
      <c r="R548" s="109" t="s">
        <v>53</v>
      </c>
      <c r="S548" s="83" t="str">
        <f t="shared" si="59"/>
        <v>B1485H</v>
      </c>
      <c r="T548" s="83" t="str">
        <f t="shared" si="56"/>
        <v>Janis</v>
      </c>
      <c r="Y548" s="60">
        <f t="shared" si="60"/>
        <v>31</v>
      </c>
      <c r="Z548" s="49">
        <f t="shared" si="61"/>
        <v>109</v>
      </c>
      <c r="AA548" s="60">
        <f t="shared" si="62"/>
        <v>31109</v>
      </c>
    </row>
    <row r="549" spans="1:27">
      <c r="A549" s="83" t="str">
        <f t="shared" si="57"/>
        <v>B1485Hblue</v>
      </c>
      <c r="B549" s="83" t="str">
        <f t="shared" si="58"/>
        <v>31-109-16</v>
      </c>
      <c r="C549" s="109" t="s">
        <v>2482</v>
      </c>
      <c r="D549" s="109" t="s">
        <v>2483</v>
      </c>
      <c r="E549" s="109" t="s">
        <v>793</v>
      </c>
      <c r="F549" s="110">
        <v>0</v>
      </c>
      <c r="G549" s="109" t="s">
        <v>2015</v>
      </c>
      <c r="H549" s="109" t="s">
        <v>55</v>
      </c>
      <c r="I549" s="109" t="s">
        <v>785</v>
      </c>
      <c r="J549" s="109" t="s">
        <v>330</v>
      </c>
      <c r="K549" s="109" t="s">
        <v>387</v>
      </c>
      <c r="L549" s="109" t="s">
        <v>523</v>
      </c>
      <c r="M549" s="109" t="s">
        <v>388</v>
      </c>
      <c r="N549" s="109" t="s">
        <v>30</v>
      </c>
      <c r="O549" s="109" t="s">
        <v>386</v>
      </c>
      <c r="P549" s="109" t="s">
        <v>826</v>
      </c>
      <c r="Q549" s="109" t="s">
        <v>877</v>
      </c>
      <c r="R549" s="109" t="s">
        <v>71</v>
      </c>
      <c r="S549" s="83" t="str">
        <f t="shared" si="59"/>
        <v>B1485H</v>
      </c>
      <c r="T549" s="83" t="str">
        <f t="shared" si="56"/>
        <v>Janis</v>
      </c>
      <c r="Y549" s="60">
        <f t="shared" si="60"/>
        <v>31</v>
      </c>
      <c r="Z549" s="49">
        <f t="shared" si="61"/>
        <v>109</v>
      </c>
      <c r="AA549" s="60">
        <f t="shared" si="62"/>
        <v>31109</v>
      </c>
    </row>
    <row r="550" spans="1:27">
      <c r="A550" s="83" t="str">
        <f t="shared" si="57"/>
        <v>B1482Hblue</v>
      </c>
      <c r="B550" s="83" t="str">
        <f t="shared" si="58"/>
        <v>31-099-16</v>
      </c>
      <c r="C550" s="109" t="s">
        <v>2484</v>
      </c>
      <c r="D550" s="109" t="s">
        <v>2485</v>
      </c>
      <c r="E550" s="109" t="s">
        <v>793</v>
      </c>
      <c r="F550" s="110">
        <v>0</v>
      </c>
      <c r="G550" s="109" t="s">
        <v>2486</v>
      </c>
      <c r="H550" s="109" t="s">
        <v>55</v>
      </c>
      <c r="I550" s="109" t="s">
        <v>785</v>
      </c>
      <c r="J550" s="109" t="s">
        <v>323</v>
      </c>
      <c r="K550" s="109" t="s">
        <v>387</v>
      </c>
      <c r="L550" s="109" t="s">
        <v>523</v>
      </c>
      <c r="M550" s="109" t="s">
        <v>388</v>
      </c>
      <c r="N550" s="109" t="s">
        <v>44</v>
      </c>
      <c r="O550" s="109" t="s">
        <v>386</v>
      </c>
      <c r="P550" s="109" t="s">
        <v>826</v>
      </c>
      <c r="Q550" s="109" t="s">
        <v>877</v>
      </c>
      <c r="R550" s="109" t="s">
        <v>71</v>
      </c>
      <c r="S550" s="83" t="str">
        <f t="shared" si="59"/>
        <v>B1482H</v>
      </c>
      <c r="T550" s="83" t="str">
        <f t="shared" si="56"/>
        <v>Rory</v>
      </c>
      <c r="Y550" s="60">
        <f t="shared" si="60"/>
        <v>31</v>
      </c>
      <c r="Z550" s="49">
        <f t="shared" si="61"/>
        <v>99</v>
      </c>
      <c r="AA550" s="60">
        <f t="shared" si="62"/>
        <v>31099</v>
      </c>
    </row>
    <row r="551" spans="1:27">
      <c r="A551" s="83" t="str">
        <f t="shared" si="57"/>
        <v>B1484Hblack</v>
      </c>
      <c r="B551" s="83" t="str">
        <f t="shared" si="58"/>
        <v>31-100-09</v>
      </c>
      <c r="C551" s="109" t="s">
        <v>2487</v>
      </c>
      <c r="D551" s="109" t="s">
        <v>2488</v>
      </c>
      <c r="E551" s="109" t="s">
        <v>793</v>
      </c>
      <c r="F551" s="110">
        <v>0</v>
      </c>
      <c r="G551" s="109" t="s">
        <v>2489</v>
      </c>
      <c r="H551" s="109" t="s">
        <v>53</v>
      </c>
      <c r="I551" s="109" t="s">
        <v>785</v>
      </c>
      <c r="J551" s="109" t="s">
        <v>323</v>
      </c>
      <c r="K551" s="109" t="s">
        <v>387</v>
      </c>
      <c r="L551" s="109" t="s">
        <v>523</v>
      </c>
      <c r="M551" s="109" t="s">
        <v>388</v>
      </c>
      <c r="N551" s="109" t="s">
        <v>44</v>
      </c>
      <c r="O551" s="109" t="s">
        <v>386</v>
      </c>
      <c r="P551" s="109" t="s">
        <v>826</v>
      </c>
      <c r="Q551" s="109" t="s">
        <v>831</v>
      </c>
      <c r="R551" s="109" t="s">
        <v>53</v>
      </c>
      <c r="S551" s="83" t="str">
        <f t="shared" si="59"/>
        <v>B1484H</v>
      </c>
      <c r="T551" s="83" t="str">
        <f t="shared" si="56"/>
        <v>Joan</v>
      </c>
      <c r="Y551" s="60">
        <f t="shared" si="60"/>
        <v>31</v>
      </c>
      <c r="Z551" s="49">
        <f t="shared" si="61"/>
        <v>100</v>
      </c>
      <c r="AA551" s="60">
        <f t="shared" si="62"/>
        <v>31100</v>
      </c>
    </row>
    <row r="552" spans="1:27">
      <c r="A552" s="83" t="str">
        <f t="shared" si="57"/>
        <v>B1484Hcranberry</v>
      </c>
      <c r="B552" s="83" t="str">
        <f t="shared" si="58"/>
        <v>31-100-12</v>
      </c>
      <c r="C552" s="109" t="s">
        <v>2490</v>
      </c>
      <c r="D552" s="109" t="s">
        <v>2491</v>
      </c>
      <c r="E552" s="109" t="s">
        <v>793</v>
      </c>
      <c r="F552" s="110">
        <v>0</v>
      </c>
      <c r="G552" s="109" t="s">
        <v>2489</v>
      </c>
      <c r="H552" s="109" t="s">
        <v>121</v>
      </c>
      <c r="I552" s="109" t="s">
        <v>785</v>
      </c>
      <c r="J552" s="109" t="s">
        <v>323</v>
      </c>
      <c r="K552" s="109" t="s">
        <v>387</v>
      </c>
      <c r="L552" s="109" t="s">
        <v>523</v>
      </c>
      <c r="M552" s="109" t="s">
        <v>388</v>
      </c>
      <c r="N552" s="109" t="s">
        <v>44</v>
      </c>
      <c r="O552" s="109" t="s">
        <v>386</v>
      </c>
      <c r="P552" s="109" t="s">
        <v>826</v>
      </c>
      <c r="Q552" s="109" t="s">
        <v>1168</v>
      </c>
      <c r="R552" s="109" t="s">
        <v>121</v>
      </c>
      <c r="S552" s="83" t="str">
        <f t="shared" si="59"/>
        <v>B1484H</v>
      </c>
      <c r="T552" s="83" t="str">
        <f t="shared" si="56"/>
        <v>Joan</v>
      </c>
      <c r="Y552" s="60">
        <f t="shared" si="60"/>
        <v>31</v>
      </c>
      <c r="Z552" s="49">
        <f t="shared" si="61"/>
        <v>100</v>
      </c>
      <c r="AA552" s="60">
        <f t="shared" si="62"/>
        <v>31100</v>
      </c>
    </row>
    <row r="553" spans="1:27">
      <c r="A553" s="83" t="str">
        <f t="shared" si="57"/>
        <v>B1521Hblack</v>
      </c>
      <c r="B553" s="83" t="str">
        <f t="shared" si="58"/>
        <v>31-115-09</v>
      </c>
      <c r="C553" s="109" t="s">
        <v>2492</v>
      </c>
      <c r="D553" s="109" t="s">
        <v>2493</v>
      </c>
      <c r="E553" s="109" t="s">
        <v>798</v>
      </c>
      <c r="F553" s="110">
        <v>56</v>
      </c>
      <c r="G553" s="109" t="s">
        <v>2036</v>
      </c>
      <c r="H553" s="109" t="s">
        <v>53</v>
      </c>
      <c r="I553" s="109" t="s">
        <v>785</v>
      </c>
      <c r="J553" s="109" t="s">
        <v>323</v>
      </c>
      <c r="K553" s="109" t="s">
        <v>387</v>
      </c>
      <c r="L553" s="109" t="s">
        <v>523</v>
      </c>
      <c r="M553" s="109" t="s">
        <v>388</v>
      </c>
      <c r="N553" s="109" t="s">
        <v>44</v>
      </c>
      <c r="O553" s="109" t="s">
        <v>445</v>
      </c>
      <c r="P553" s="109" t="s">
        <v>826</v>
      </c>
      <c r="Q553" s="109" t="s">
        <v>831</v>
      </c>
      <c r="R553" s="109" t="s">
        <v>53</v>
      </c>
      <c r="S553" s="83" t="str">
        <f t="shared" si="59"/>
        <v>B1521H</v>
      </c>
      <c r="T553" s="83" t="str">
        <f t="shared" si="56"/>
        <v>CINDY</v>
      </c>
      <c r="Y553" s="60">
        <f t="shared" si="60"/>
        <v>31</v>
      </c>
      <c r="Z553" s="49">
        <f t="shared" si="61"/>
        <v>115</v>
      </c>
      <c r="AA553" s="60">
        <f t="shared" si="62"/>
        <v>31115</v>
      </c>
    </row>
    <row r="554" spans="1:27">
      <c r="A554" s="83" t="str">
        <f t="shared" si="57"/>
        <v>B1521Hblack</v>
      </c>
      <c r="B554" s="83" t="str">
        <f t="shared" si="58"/>
        <v>31-115-09</v>
      </c>
      <c r="C554" s="109" t="s">
        <v>2494</v>
      </c>
      <c r="D554" s="109" t="s">
        <v>2493</v>
      </c>
      <c r="E554" s="109" t="s">
        <v>791</v>
      </c>
      <c r="F554" s="110">
        <v>58</v>
      </c>
      <c r="G554" s="109" t="s">
        <v>2036</v>
      </c>
      <c r="H554" s="109" t="s">
        <v>53</v>
      </c>
      <c r="I554" s="109" t="s">
        <v>785</v>
      </c>
      <c r="J554" s="109" t="s">
        <v>323</v>
      </c>
      <c r="K554" s="109" t="s">
        <v>387</v>
      </c>
      <c r="L554" s="109" t="s">
        <v>523</v>
      </c>
      <c r="M554" s="109" t="s">
        <v>388</v>
      </c>
      <c r="N554" s="109" t="s">
        <v>44</v>
      </c>
      <c r="O554" s="109" t="s">
        <v>445</v>
      </c>
      <c r="P554" s="109" t="s">
        <v>826</v>
      </c>
      <c r="Q554" s="109" t="s">
        <v>831</v>
      </c>
      <c r="R554" s="109" t="s">
        <v>53</v>
      </c>
      <c r="S554" s="83" t="str">
        <f t="shared" si="59"/>
        <v>B1521H</v>
      </c>
      <c r="T554" s="83" t="str">
        <f t="shared" si="56"/>
        <v>CINDY</v>
      </c>
      <c r="Y554" s="60">
        <f t="shared" si="60"/>
        <v>31</v>
      </c>
      <c r="Z554" s="49">
        <f t="shared" si="61"/>
        <v>115</v>
      </c>
      <c r="AA554" s="60">
        <f t="shared" si="62"/>
        <v>31115</v>
      </c>
    </row>
    <row r="555" spans="1:27">
      <c r="A555" s="83" t="str">
        <f t="shared" si="57"/>
        <v>B1521Hcranberry</v>
      </c>
      <c r="B555" s="83" t="str">
        <f t="shared" si="58"/>
        <v>31-115-12</v>
      </c>
      <c r="C555" s="109" t="s">
        <v>2495</v>
      </c>
      <c r="D555" s="109" t="s">
        <v>2496</v>
      </c>
      <c r="E555" s="109" t="s">
        <v>798</v>
      </c>
      <c r="F555" s="110">
        <v>56</v>
      </c>
      <c r="G555" s="109" t="s">
        <v>2036</v>
      </c>
      <c r="H555" s="109" t="s">
        <v>121</v>
      </c>
      <c r="I555" s="109" t="s">
        <v>785</v>
      </c>
      <c r="J555" s="109" t="s">
        <v>323</v>
      </c>
      <c r="K555" s="109" t="s">
        <v>387</v>
      </c>
      <c r="L555" s="109" t="s">
        <v>523</v>
      </c>
      <c r="M555" s="109" t="s">
        <v>388</v>
      </c>
      <c r="N555" s="109" t="s">
        <v>44</v>
      </c>
      <c r="O555" s="109" t="s">
        <v>445</v>
      </c>
      <c r="P555" s="109" t="s">
        <v>826</v>
      </c>
      <c r="Q555" s="109" t="s">
        <v>1168</v>
      </c>
      <c r="R555" s="109" t="s">
        <v>121</v>
      </c>
      <c r="S555" s="83" t="str">
        <f t="shared" si="59"/>
        <v>B1521H</v>
      </c>
      <c r="T555" s="83" t="str">
        <f t="shared" si="56"/>
        <v>CINDY</v>
      </c>
      <c r="Y555" s="60">
        <f t="shared" si="60"/>
        <v>31</v>
      </c>
      <c r="Z555" s="49">
        <f t="shared" si="61"/>
        <v>115</v>
      </c>
      <c r="AA555" s="60">
        <f t="shared" si="62"/>
        <v>31115</v>
      </c>
    </row>
    <row r="556" spans="1:27">
      <c r="A556" s="83" t="str">
        <f t="shared" si="57"/>
        <v>B1521Hcranberry</v>
      </c>
      <c r="B556" s="83" t="str">
        <f t="shared" si="58"/>
        <v>31-115-12</v>
      </c>
      <c r="C556" s="109" t="s">
        <v>2497</v>
      </c>
      <c r="D556" s="109" t="s">
        <v>2496</v>
      </c>
      <c r="E556" s="109" t="s">
        <v>791</v>
      </c>
      <c r="F556" s="110">
        <v>58</v>
      </c>
      <c r="G556" s="109" t="s">
        <v>2036</v>
      </c>
      <c r="H556" s="109" t="s">
        <v>121</v>
      </c>
      <c r="I556" s="109" t="s">
        <v>785</v>
      </c>
      <c r="J556" s="109" t="s">
        <v>323</v>
      </c>
      <c r="K556" s="109" t="s">
        <v>387</v>
      </c>
      <c r="L556" s="109" t="s">
        <v>523</v>
      </c>
      <c r="M556" s="109" t="s">
        <v>388</v>
      </c>
      <c r="N556" s="109" t="s">
        <v>44</v>
      </c>
      <c r="O556" s="109" t="s">
        <v>445</v>
      </c>
      <c r="P556" s="109" t="s">
        <v>826</v>
      </c>
      <c r="Q556" s="109" t="s">
        <v>1168</v>
      </c>
      <c r="R556" s="109" t="s">
        <v>121</v>
      </c>
      <c r="S556" s="83" t="str">
        <f t="shared" si="59"/>
        <v>B1521H</v>
      </c>
      <c r="T556" s="83" t="str">
        <f t="shared" si="56"/>
        <v>CINDY</v>
      </c>
      <c r="Y556" s="60">
        <f t="shared" si="60"/>
        <v>31</v>
      </c>
      <c r="Z556" s="49">
        <f t="shared" si="61"/>
        <v>115</v>
      </c>
      <c r="AA556" s="60">
        <f t="shared" si="62"/>
        <v>31115</v>
      </c>
    </row>
    <row r="557" spans="1:27">
      <c r="A557" s="83" t="str">
        <f t="shared" si="57"/>
        <v>B1521Hteal</v>
      </c>
      <c r="B557" s="83" t="str">
        <f t="shared" si="58"/>
        <v>31-115-06</v>
      </c>
      <c r="C557" s="109" t="s">
        <v>2498</v>
      </c>
      <c r="D557" s="109" t="s">
        <v>2499</v>
      </c>
      <c r="E557" s="109" t="s">
        <v>798</v>
      </c>
      <c r="F557" s="110">
        <v>56</v>
      </c>
      <c r="G557" s="109" t="s">
        <v>2036</v>
      </c>
      <c r="H557" s="109" t="s">
        <v>269</v>
      </c>
      <c r="I557" s="109" t="s">
        <v>785</v>
      </c>
      <c r="J557" s="109" t="s">
        <v>323</v>
      </c>
      <c r="K557" s="109" t="s">
        <v>387</v>
      </c>
      <c r="L557" s="109" t="s">
        <v>523</v>
      </c>
      <c r="M557" s="109" t="s">
        <v>388</v>
      </c>
      <c r="N557" s="109" t="s">
        <v>44</v>
      </c>
      <c r="O557" s="109" t="s">
        <v>445</v>
      </c>
      <c r="P557" s="109" t="s">
        <v>826</v>
      </c>
      <c r="Q557" s="109" t="s">
        <v>1574</v>
      </c>
      <c r="R557" s="109" t="s">
        <v>60</v>
      </c>
      <c r="S557" s="83" t="str">
        <f t="shared" si="59"/>
        <v>B1521H</v>
      </c>
      <c r="T557" s="83" t="str">
        <f t="shared" si="56"/>
        <v>CINDY</v>
      </c>
      <c r="Y557" s="60">
        <f t="shared" si="60"/>
        <v>31</v>
      </c>
      <c r="Z557" s="49">
        <f t="shared" si="61"/>
        <v>115</v>
      </c>
      <c r="AA557" s="60">
        <f t="shared" si="62"/>
        <v>31115</v>
      </c>
    </row>
    <row r="558" spans="1:27">
      <c r="A558" s="83" t="str">
        <f t="shared" si="57"/>
        <v>B1521Hteal</v>
      </c>
      <c r="B558" s="83" t="str">
        <f t="shared" si="58"/>
        <v>31-115-06</v>
      </c>
      <c r="C558" s="109" t="s">
        <v>2500</v>
      </c>
      <c r="D558" s="109" t="s">
        <v>2499</v>
      </c>
      <c r="E558" s="109" t="s">
        <v>791</v>
      </c>
      <c r="F558" s="110">
        <v>58</v>
      </c>
      <c r="G558" s="109" t="s">
        <v>2036</v>
      </c>
      <c r="H558" s="109" t="s">
        <v>269</v>
      </c>
      <c r="I558" s="109" t="s">
        <v>785</v>
      </c>
      <c r="J558" s="109" t="s">
        <v>323</v>
      </c>
      <c r="K558" s="109" t="s">
        <v>387</v>
      </c>
      <c r="L558" s="109" t="s">
        <v>523</v>
      </c>
      <c r="M558" s="109" t="s">
        <v>388</v>
      </c>
      <c r="N558" s="109" t="s">
        <v>44</v>
      </c>
      <c r="O558" s="109" t="s">
        <v>445</v>
      </c>
      <c r="P558" s="109" t="s">
        <v>826</v>
      </c>
      <c r="Q558" s="109" t="s">
        <v>1574</v>
      </c>
      <c r="R558" s="109" t="s">
        <v>60</v>
      </c>
      <c r="S558" s="83" t="str">
        <f t="shared" si="59"/>
        <v>B1521H</v>
      </c>
      <c r="T558" s="83" t="str">
        <f t="shared" si="56"/>
        <v>CINDY</v>
      </c>
      <c r="Y558" s="60">
        <f t="shared" si="60"/>
        <v>31</v>
      </c>
      <c r="Z558" s="49">
        <f t="shared" si="61"/>
        <v>115</v>
      </c>
      <c r="AA558" s="60">
        <f t="shared" si="62"/>
        <v>31115</v>
      </c>
    </row>
    <row r="559" spans="1:27">
      <c r="A559" s="83" t="str">
        <f t="shared" si="57"/>
        <v>B1524Hblack</v>
      </c>
      <c r="B559" s="83" t="str">
        <f t="shared" si="58"/>
        <v>31-116-09</v>
      </c>
      <c r="C559" s="109" t="s">
        <v>2501</v>
      </c>
      <c r="D559" s="109" t="s">
        <v>2502</v>
      </c>
      <c r="E559" s="109" t="s">
        <v>798</v>
      </c>
      <c r="F559" s="110">
        <v>56</v>
      </c>
      <c r="G559" s="109" t="s">
        <v>2503</v>
      </c>
      <c r="H559" s="109" t="s">
        <v>53</v>
      </c>
      <c r="I559" s="109" t="s">
        <v>785</v>
      </c>
      <c r="J559" s="109" t="s">
        <v>330</v>
      </c>
      <c r="K559" s="109" t="s">
        <v>387</v>
      </c>
      <c r="L559" s="109" t="s">
        <v>523</v>
      </c>
      <c r="M559" s="109" t="s">
        <v>388</v>
      </c>
      <c r="N559" s="109" t="s">
        <v>30</v>
      </c>
      <c r="O559" s="109" t="s">
        <v>445</v>
      </c>
      <c r="P559" s="109" t="s">
        <v>827</v>
      </c>
      <c r="Q559" s="109" t="s">
        <v>831</v>
      </c>
      <c r="R559" s="109" t="s">
        <v>53</v>
      </c>
      <c r="S559" s="83" t="str">
        <f t="shared" si="59"/>
        <v>B1524H</v>
      </c>
      <c r="T559" s="83" t="str">
        <f t="shared" si="56"/>
        <v>IZETTE II</v>
      </c>
      <c r="Y559" s="60">
        <f t="shared" si="60"/>
        <v>31</v>
      </c>
      <c r="Z559" s="49">
        <f t="shared" si="61"/>
        <v>116</v>
      </c>
      <c r="AA559" s="60">
        <f t="shared" si="62"/>
        <v>31116</v>
      </c>
    </row>
    <row r="560" spans="1:27">
      <c r="A560" s="83" t="str">
        <f t="shared" si="57"/>
        <v>B1524Hblack</v>
      </c>
      <c r="B560" s="83" t="str">
        <f t="shared" si="58"/>
        <v>31-116-09</v>
      </c>
      <c r="C560" s="109" t="s">
        <v>2504</v>
      </c>
      <c r="D560" s="109" t="s">
        <v>2502</v>
      </c>
      <c r="E560" s="109" t="s">
        <v>791</v>
      </c>
      <c r="F560" s="110">
        <v>58</v>
      </c>
      <c r="G560" s="109" t="s">
        <v>2503</v>
      </c>
      <c r="H560" s="109" t="s">
        <v>53</v>
      </c>
      <c r="I560" s="109" t="s">
        <v>785</v>
      </c>
      <c r="J560" s="109" t="s">
        <v>330</v>
      </c>
      <c r="K560" s="109" t="s">
        <v>387</v>
      </c>
      <c r="L560" s="109" t="s">
        <v>523</v>
      </c>
      <c r="M560" s="109" t="s">
        <v>388</v>
      </c>
      <c r="N560" s="109" t="s">
        <v>30</v>
      </c>
      <c r="O560" s="109" t="s">
        <v>445</v>
      </c>
      <c r="P560" s="109" t="s">
        <v>827</v>
      </c>
      <c r="Q560" s="109" t="s">
        <v>831</v>
      </c>
      <c r="R560" s="109" t="s">
        <v>53</v>
      </c>
      <c r="S560" s="83" t="str">
        <f t="shared" si="59"/>
        <v>B1524H</v>
      </c>
      <c r="T560" s="83" t="str">
        <f t="shared" si="56"/>
        <v>IZETTE II</v>
      </c>
      <c r="Y560" s="60">
        <f t="shared" si="60"/>
        <v>31</v>
      </c>
      <c r="Z560" s="49">
        <f t="shared" si="61"/>
        <v>116</v>
      </c>
      <c r="AA560" s="60">
        <f t="shared" si="62"/>
        <v>31116</v>
      </c>
    </row>
    <row r="561" spans="1:27">
      <c r="A561" s="83" t="str">
        <f t="shared" si="57"/>
        <v>B1524Hplum</v>
      </c>
      <c r="B561" s="83" t="str">
        <f t="shared" si="58"/>
        <v>31-116-41</v>
      </c>
      <c r="C561" s="109" t="s">
        <v>2505</v>
      </c>
      <c r="D561" s="109" t="s">
        <v>2506</v>
      </c>
      <c r="E561" s="109" t="s">
        <v>798</v>
      </c>
      <c r="F561" s="110">
        <v>56</v>
      </c>
      <c r="G561" s="109" t="s">
        <v>2503</v>
      </c>
      <c r="H561" s="109" t="s">
        <v>286</v>
      </c>
      <c r="I561" s="109" t="s">
        <v>785</v>
      </c>
      <c r="J561" s="109" t="s">
        <v>330</v>
      </c>
      <c r="K561" s="109" t="s">
        <v>387</v>
      </c>
      <c r="L561" s="109" t="s">
        <v>523</v>
      </c>
      <c r="M561" s="109" t="s">
        <v>388</v>
      </c>
      <c r="N561" s="109" t="s">
        <v>44</v>
      </c>
      <c r="O561" s="109" t="s">
        <v>445</v>
      </c>
      <c r="P561" s="109" t="s">
        <v>826</v>
      </c>
      <c r="Q561" s="109" t="s">
        <v>1163</v>
      </c>
      <c r="R561" s="109" t="s">
        <v>286</v>
      </c>
      <c r="S561" s="83" t="str">
        <f t="shared" si="59"/>
        <v>B1524H</v>
      </c>
      <c r="T561" s="83" t="str">
        <f t="shared" si="56"/>
        <v>IZETTE II</v>
      </c>
      <c r="Y561" s="60">
        <f t="shared" si="60"/>
        <v>31</v>
      </c>
      <c r="Z561" s="49">
        <f t="shared" si="61"/>
        <v>116</v>
      </c>
      <c r="AA561" s="60">
        <f t="shared" si="62"/>
        <v>31116</v>
      </c>
    </row>
    <row r="562" spans="1:27">
      <c r="A562" s="83" t="str">
        <f t="shared" si="57"/>
        <v>B1524Hplum</v>
      </c>
      <c r="B562" s="83" t="str">
        <f t="shared" si="58"/>
        <v>31-116-41</v>
      </c>
      <c r="C562" s="109" t="s">
        <v>2507</v>
      </c>
      <c r="D562" s="109" t="s">
        <v>2506</v>
      </c>
      <c r="E562" s="109" t="s">
        <v>791</v>
      </c>
      <c r="F562" s="110">
        <v>58</v>
      </c>
      <c r="G562" s="109" t="s">
        <v>2503</v>
      </c>
      <c r="H562" s="109" t="s">
        <v>286</v>
      </c>
      <c r="I562" s="109" t="s">
        <v>785</v>
      </c>
      <c r="J562" s="109" t="s">
        <v>330</v>
      </c>
      <c r="K562" s="109" t="s">
        <v>387</v>
      </c>
      <c r="L562" s="109" t="s">
        <v>523</v>
      </c>
      <c r="M562" s="109" t="s">
        <v>388</v>
      </c>
      <c r="N562" s="109" t="s">
        <v>44</v>
      </c>
      <c r="O562" s="109" t="s">
        <v>445</v>
      </c>
      <c r="P562" s="109" t="s">
        <v>826</v>
      </c>
      <c r="Q562" s="109" t="s">
        <v>1163</v>
      </c>
      <c r="R562" s="109" t="s">
        <v>286</v>
      </c>
      <c r="S562" s="83" t="str">
        <f t="shared" si="59"/>
        <v>B1524H</v>
      </c>
      <c r="T562" s="83" t="str">
        <f t="shared" si="56"/>
        <v>IZETTE II</v>
      </c>
      <c r="Y562" s="60">
        <f t="shared" si="60"/>
        <v>31</v>
      </c>
      <c r="Z562" s="49">
        <f t="shared" si="61"/>
        <v>116</v>
      </c>
      <c r="AA562" s="60">
        <f t="shared" si="62"/>
        <v>31116</v>
      </c>
    </row>
    <row r="563" spans="1:27">
      <c r="A563" s="83" t="str">
        <f t="shared" si="57"/>
        <v>B1524Hwalnut</v>
      </c>
      <c r="B563" s="83" t="str">
        <f t="shared" si="58"/>
        <v>31-116-14</v>
      </c>
      <c r="C563" s="109" t="s">
        <v>2508</v>
      </c>
      <c r="D563" s="109" t="s">
        <v>2509</v>
      </c>
      <c r="E563" s="109" t="s">
        <v>791</v>
      </c>
      <c r="F563" s="110">
        <v>58</v>
      </c>
      <c r="G563" s="109" t="s">
        <v>2503</v>
      </c>
      <c r="H563" s="109" t="s">
        <v>86</v>
      </c>
      <c r="I563" s="109" t="s">
        <v>785</v>
      </c>
      <c r="J563" s="109" t="s">
        <v>330</v>
      </c>
      <c r="K563" s="109" t="s">
        <v>387</v>
      </c>
      <c r="L563" s="109" t="s">
        <v>523</v>
      </c>
      <c r="M563" s="109" t="s">
        <v>388</v>
      </c>
      <c r="N563" s="109" t="s">
        <v>44</v>
      </c>
      <c r="O563" s="109" t="s">
        <v>445</v>
      </c>
      <c r="P563" s="109" t="s">
        <v>826</v>
      </c>
      <c r="Q563" s="109" t="s">
        <v>886</v>
      </c>
      <c r="R563" s="109" t="s">
        <v>86</v>
      </c>
      <c r="S563" s="83" t="str">
        <f t="shared" si="59"/>
        <v>B1524H</v>
      </c>
      <c r="T563" s="83" t="str">
        <f t="shared" si="56"/>
        <v>IZETTE II</v>
      </c>
      <c r="Y563" s="60">
        <f t="shared" si="60"/>
        <v>31</v>
      </c>
      <c r="Z563" s="49">
        <f t="shared" si="61"/>
        <v>116</v>
      </c>
      <c r="AA563" s="60">
        <f t="shared" si="62"/>
        <v>31116</v>
      </c>
    </row>
    <row r="564" spans="1:27">
      <c r="A564" s="83" t="str">
        <f t="shared" si="57"/>
        <v>B1524Hwalnut</v>
      </c>
      <c r="B564" s="83" t="str">
        <f t="shared" si="58"/>
        <v>31-116-14</v>
      </c>
      <c r="C564" s="109" t="s">
        <v>2510</v>
      </c>
      <c r="D564" s="109" t="s">
        <v>2509</v>
      </c>
      <c r="E564" s="109" t="s">
        <v>798</v>
      </c>
      <c r="F564" s="110">
        <v>56</v>
      </c>
      <c r="G564" s="109" t="s">
        <v>2503</v>
      </c>
      <c r="H564" s="109" t="s">
        <v>86</v>
      </c>
      <c r="I564" s="109" t="s">
        <v>785</v>
      </c>
      <c r="J564" s="109" t="s">
        <v>330</v>
      </c>
      <c r="K564" s="109" t="s">
        <v>387</v>
      </c>
      <c r="L564" s="109" t="s">
        <v>523</v>
      </c>
      <c r="M564" s="109" t="s">
        <v>388</v>
      </c>
      <c r="N564" s="109" t="s">
        <v>44</v>
      </c>
      <c r="O564" s="109" t="s">
        <v>445</v>
      </c>
      <c r="P564" s="109" t="s">
        <v>826</v>
      </c>
      <c r="Q564" s="109" t="s">
        <v>886</v>
      </c>
      <c r="R564" s="109" t="s">
        <v>86</v>
      </c>
      <c r="S564" s="83" t="str">
        <f t="shared" si="59"/>
        <v>B1524H</v>
      </c>
      <c r="T564" s="83" t="str">
        <f t="shared" si="56"/>
        <v>IZETTE II</v>
      </c>
      <c r="Y564" s="60">
        <f t="shared" si="60"/>
        <v>31</v>
      </c>
      <c r="Z564" s="49">
        <f t="shared" si="61"/>
        <v>116</v>
      </c>
      <c r="AA564" s="60">
        <f t="shared" si="62"/>
        <v>31116</v>
      </c>
    </row>
    <row r="565" spans="1:27">
      <c r="A565" s="83" t="str">
        <f t="shared" si="57"/>
        <v>B1520Hblack</v>
      </c>
      <c r="B565" s="83" t="str">
        <f t="shared" si="58"/>
        <v>31-117-09</v>
      </c>
      <c r="C565" s="109" t="s">
        <v>2511</v>
      </c>
      <c r="D565" s="109" t="s">
        <v>2512</v>
      </c>
      <c r="E565" s="109" t="s">
        <v>798</v>
      </c>
      <c r="F565" s="110">
        <v>56</v>
      </c>
      <c r="G565" s="109" t="s">
        <v>2513</v>
      </c>
      <c r="H565" s="109" t="s">
        <v>53</v>
      </c>
      <c r="I565" s="109" t="s">
        <v>785</v>
      </c>
      <c r="J565" s="109" t="s">
        <v>330</v>
      </c>
      <c r="K565" s="109" t="s">
        <v>387</v>
      </c>
      <c r="L565" s="109" t="s">
        <v>523</v>
      </c>
      <c r="M565" s="109" t="s">
        <v>388</v>
      </c>
      <c r="N565" s="109" t="s">
        <v>44</v>
      </c>
      <c r="O565" s="109" t="s">
        <v>445</v>
      </c>
      <c r="P565" s="109" t="s">
        <v>826</v>
      </c>
      <c r="Q565" s="109" t="s">
        <v>831</v>
      </c>
      <c r="R565" s="109" t="s">
        <v>53</v>
      </c>
      <c r="S565" s="83" t="str">
        <f t="shared" si="59"/>
        <v>B1520H</v>
      </c>
      <c r="T565" s="83" t="str">
        <f t="shared" si="56"/>
        <v>CHARLIE</v>
      </c>
      <c r="Y565" s="60">
        <f t="shared" si="60"/>
        <v>31</v>
      </c>
      <c r="Z565" s="49">
        <f t="shared" si="61"/>
        <v>117</v>
      </c>
      <c r="AA565" s="60">
        <f t="shared" si="62"/>
        <v>31117</v>
      </c>
    </row>
    <row r="566" spans="1:27">
      <c r="A566" s="83" t="str">
        <f t="shared" si="57"/>
        <v>B1520Hblack</v>
      </c>
      <c r="B566" s="83" t="str">
        <f t="shared" si="58"/>
        <v>31-117-09</v>
      </c>
      <c r="C566" s="109" t="s">
        <v>2514</v>
      </c>
      <c r="D566" s="109" t="s">
        <v>2512</v>
      </c>
      <c r="E566" s="109" t="s">
        <v>791</v>
      </c>
      <c r="F566" s="110">
        <v>58</v>
      </c>
      <c r="G566" s="109" t="s">
        <v>2513</v>
      </c>
      <c r="H566" s="109" t="s">
        <v>53</v>
      </c>
      <c r="I566" s="109" t="s">
        <v>785</v>
      </c>
      <c r="J566" s="109" t="s">
        <v>330</v>
      </c>
      <c r="K566" s="109" t="s">
        <v>387</v>
      </c>
      <c r="L566" s="109" t="s">
        <v>523</v>
      </c>
      <c r="M566" s="109" t="s">
        <v>388</v>
      </c>
      <c r="N566" s="109" t="s">
        <v>44</v>
      </c>
      <c r="O566" s="109" t="s">
        <v>445</v>
      </c>
      <c r="P566" s="109" t="s">
        <v>826</v>
      </c>
      <c r="Q566" s="109" t="s">
        <v>831</v>
      </c>
      <c r="R566" s="109" t="s">
        <v>53</v>
      </c>
      <c r="S566" s="83" t="str">
        <f t="shared" si="59"/>
        <v>B1520H</v>
      </c>
      <c r="T566" s="83" t="str">
        <f t="shared" si="56"/>
        <v>CHARLIE</v>
      </c>
      <c r="Y566" s="60">
        <f t="shared" si="60"/>
        <v>31</v>
      </c>
      <c r="Z566" s="49">
        <f t="shared" si="61"/>
        <v>117</v>
      </c>
      <c r="AA566" s="60">
        <f t="shared" si="62"/>
        <v>31117</v>
      </c>
    </row>
    <row r="567" spans="1:27">
      <c r="A567" s="83" t="str">
        <f t="shared" si="57"/>
        <v>B1520Hwalnut</v>
      </c>
      <c r="B567" s="83" t="str">
        <f t="shared" si="58"/>
        <v>31-117-14</v>
      </c>
      <c r="C567" s="109" t="s">
        <v>2515</v>
      </c>
      <c r="D567" s="109" t="s">
        <v>2516</v>
      </c>
      <c r="E567" s="109" t="s">
        <v>798</v>
      </c>
      <c r="F567" s="110">
        <v>56</v>
      </c>
      <c r="G567" s="109" t="s">
        <v>2513</v>
      </c>
      <c r="H567" s="109" t="s">
        <v>86</v>
      </c>
      <c r="I567" s="109" t="s">
        <v>785</v>
      </c>
      <c r="J567" s="109" t="s">
        <v>330</v>
      </c>
      <c r="K567" s="109" t="s">
        <v>387</v>
      </c>
      <c r="L567" s="109" t="s">
        <v>523</v>
      </c>
      <c r="M567" s="109" t="s">
        <v>388</v>
      </c>
      <c r="N567" s="109" t="s">
        <v>44</v>
      </c>
      <c r="O567" s="109" t="s">
        <v>445</v>
      </c>
      <c r="P567" s="109" t="s">
        <v>826</v>
      </c>
      <c r="Q567" s="109" t="s">
        <v>886</v>
      </c>
      <c r="R567" s="109" t="s">
        <v>86</v>
      </c>
      <c r="S567" s="83" t="str">
        <f t="shared" si="59"/>
        <v>B1520H</v>
      </c>
      <c r="T567" s="83" t="str">
        <f t="shared" si="56"/>
        <v>CHARLIE</v>
      </c>
      <c r="Y567" s="60">
        <f t="shared" si="60"/>
        <v>31</v>
      </c>
      <c r="Z567" s="49">
        <f t="shared" si="61"/>
        <v>117</v>
      </c>
      <c r="AA567" s="60">
        <f t="shared" si="62"/>
        <v>31117</v>
      </c>
    </row>
    <row r="568" spans="1:27">
      <c r="A568" s="83" t="str">
        <f t="shared" si="57"/>
        <v>B1520Hwalnut</v>
      </c>
      <c r="B568" s="83" t="str">
        <f t="shared" si="58"/>
        <v>31-117-14</v>
      </c>
      <c r="C568" s="109" t="s">
        <v>2517</v>
      </c>
      <c r="D568" s="109" t="s">
        <v>2516</v>
      </c>
      <c r="E568" s="109" t="s">
        <v>791</v>
      </c>
      <c r="F568" s="110">
        <v>58</v>
      </c>
      <c r="G568" s="109" t="s">
        <v>2513</v>
      </c>
      <c r="H568" s="109" t="s">
        <v>86</v>
      </c>
      <c r="I568" s="109" t="s">
        <v>785</v>
      </c>
      <c r="J568" s="109" t="s">
        <v>330</v>
      </c>
      <c r="K568" s="109" t="s">
        <v>387</v>
      </c>
      <c r="L568" s="109" t="s">
        <v>523</v>
      </c>
      <c r="M568" s="109" t="s">
        <v>388</v>
      </c>
      <c r="N568" s="109" t="s">
        <v>44</v>
      </c>
      <c r="O568" s="109" t="s">
        <v>445</v>
      </c>
      <c r="P568" s="109" t="s">
        <v>826</v>
      </c>
      <c r="Q568" s="109" t="s">
        <v>886</v>
      </c>
      <c r="R568" s="109" t="s">
        <v>86</v>
      </c>
      <c r="S568" s="83" t="str">
        <f t="shared" si="59"/>
        <v>B1520H</v>
      </c>
      <c r="T568" s="83" t="str">
        <f t="shared" si="56"/>
        <v>CHARLIE</v>
      </c>
      <c r="Y568" s="60">
        <f t="shared" si="60"/>
        <v>31</v>
      </c>
      <c r="Z568" s="49">
        <f t="shared" si="61"/>
        <v>117</v>
      </c>
      <c r="AA568" s="60">
        <f t="shared" si="62"/>
        <v>31117</v>
      </c>
    </row>
    <row r="569" spans="1:27">
      <c r="A569" s="83" t="str">
        <f t="shared" si="57"/>
        <v>B1607Hblack</v>
      </c>
      <c r="B569" s="83" t="str">
        <f t="shared" si="58"/>
        <v>31-118-09</v>
      </c>
      <c r="C569" s="109" t="s">
        <v>2518</v>
      </c>
      <c r="D569" s="109" t="s">
        <v>2519</v>
      </c>
      <c r="E569" s="109" t="s">
        <v>791</v>
      </c>
      <c r="F569" s="110">
        <v>58</v>
      </c>
      <c r="G569" s="109" t="s">
        <v>2520</v>
      </c>
      <c r="H569" s="109" t="s">
        <v>53</v>
      </c>
      <c r="I569" s="109" t="s">
        <v>792</v>
      </c>
      <c r="J569" s="109" t="s">
        <v>330</v>
      </c>
      <c r="K569" s="109" t="s">
        <v>387</v>
      </c>
      <c r="L569" s="109" t="s">
        <v>523</v>
      </c>
      <c r="M569" s="109" t="s">
        <v>384</v>
      </c>
      <c r="N569" s="109" t="s">
        <v>35</v>
      </c>
      <c r="O569" s="109" t="s">
        <v>445</v>
      </c>
      <c r="P569" s="109" t="s">
        <v>826</v>
      </c>
      <c r="Q569" s="109" t="s">
        <v>831</v>
      </c>
      <c r="R569" s="109" t="s">
        <v>53</v>
      </c>
      <c r="S569" s="83" t="str">
        <f t="shared" si="59"/>
        <v>B1607H</v>
      </c>
      <c r="T569" s="83" t="str">
        <f t="shared" si="56"/>
        <v>JOVANA</v>
      </c>
      <c r="Y569" s="60">
        <f t="shared" si="60"/>
        <v>31</v>
      </c>
      <c r="Z569" s="49">
        <f t="shared" si="61"/>
        <v>118</v>
      </c>
      <c r="AA569" s="60">
        <f t="shared" si="62"/>
        <v>31118</v>
      </c>
    </row>
    <row r="570" spans="1:27">
      <c r="A570" s="83" t="str">
        <f t="shared" si="57"/>
        <v>B1481Hblack</v>
      </c>
      <c r="B570" s="83" t="str">
        <f t="shared" si="58"/>
        <v>31-091-09</v>
      </c>
      <c r="C570" s="109" t="s">
        <v>2521</v>
      </c>
      <c r="D570" s="109" t="s">
        <v>2522</v>
      </c>
      <c r="E570" s="109" t="s">
        <v>793</v>
      </c>
      <c r="F570" s="110">
        <v>0</v>
      </c>
      <c r="G570" s="109" t="s">
        <v>2523</v>
      </c>
      <c r="H570" s="109" t="s">
        <v>53</v>
      </c>
      <c r="I570" s="109" t="s">
        <v>785</v>
      </c>
      <c r="J570" s="109" t="s">
        <v>360</v>
      </c>
      <c r="K570" s="109" t="s">
        <v>387</v>
      </c>
      <c r="L570" s="109" t="s">
        <v>523</v>
      </c>
      <c r="M570" s="109" t="s">
        <v>388</v>
      </c>
      <c r="N570" s="109" t="s">
        <v>44</v>
      </c>
      <c r="O570" s="109" t="s">
        <v>386</v>
      </c>
      <c r="P570" s="109" t="s">
        <v>826</v>
      </c>
      <c r="Q570" s="109" t="s">
        <v>831</v>
      </c>
      <c r="R570" s="109" t="s">
        <v>53</v>
      </c>
      <c r="S570" s="83" t="str">
        <f t="shared" si="59"/>
        <v>B1481H</v>
      </c>
      <c r="T570" s="83" t="str">
        <f t="shared" si="56"/>
        <v>Kiley</v>
      </c>
      <c r="Y570" s="60">
        <f t="shared" si="60"/>
        <v>31</v>
      </c>
      <c r="Z570" s="49">
        <f t="shared" si="61"/>
        <v>91</v>
      </c>
      <c r="AA570" s="60">
        <f t="shared" si="62"/>
        <v>31091</v>
      </c>
    </row>
    <row r="571" spans="1:27">
      <c r="A571" s="83" t="str">
        <f t="shared" si="57"/>
        <v>B1496Holive</v>
      </c>
      <c r="B571" s="83" t="str">
        <f t="shared" si="58"/>
        <v>31-092-03</v>
      </c>
      <c r="C571" s="109" t="s">
        <v>2524</v>
      </c>
      <c r="D571" s="109" t="s">
        <v>2525</v>
      </c>
      <c r="E571" s="109" t="s">
        <v>793</v>
      </c>
      <c r="F571" s="110">
        <v>0</v>
      </c>
      <c r="G571" s="109" t="s">
        <v>2526</v>
      </c>
      <c r="H571" s="109" t="s">
        <v>195</v>
      </c>
      <c r="I571" s="109" t="s">
        <v>849</v>
      </c>
      <c r="J571" s="109" t="s">
        <v>360</v>
      </c>
      <c r="K571" s="109" t="s">
        <v>387</v>
      </c>
      <c r="L571" s="109" t="s">
        <v>523</v>
      </c>
      <c r="M571" s="109" t="s">
        <v>388</v>
      </c>
      <c r="N571" s="109" t="s">
        <v>44</v>
      </c>
      <c r="O571" s="109" t="s">
        <v>386</v>
      </c>
      <c r="P571" s="109" t="s">
        <v>826</v>
      </c>
      <c r="Q571" s="109" t="s">
        <v>838</v>
      </c>
      <c r="R571" s="109" t="s">
        <v>195</v>
      </c>
      <c r="S571" s="83" t="str">
        <f t="shared" si="59"/>
        <v>B1496H</v>
      </c>
      <c r="T571" s="83" t="str">
        <f t="shared" si="56"/>
        <v>Maureen</v>
      </c>
      <c r="Y571" s="60">
        <f t="shared" si="60"/>
        <v>31</v>
      </c>
      <c r="Z571" s="49">
        <f t="shared" si="61"/>
        <v>92</v>
      </c>
      <c r="AA571" s="60">
        <f t="shared" si="62"/>
        <v>31092</v>
      </c>
    </row>
    <row r="572" spans="1:27">
      <c r="A572" s="83" t="str">
        <f t="shared" si="57"/>
        <v>B1499Hblack</v>
      </c>
      <c r="B572" s="83" t="str">
        <f t="shared" si="58"/>
        <v>31-093-09</v>
      </c>
      <c r="C572" s="109" t="s">
        <v>2527</v>
      </c>
      <c r="D572" s="109" t="s">
        <v>2528</v>
      </c>
      <c r="E572" s="109" t="s">
        <v>793</v>
      </c>
      <c r="F572" s="110">
        <v>0</v>
      </c>
      <c r="G572" s="109" t="s">
        <v>2529</v>
      </c>
      <c r="H572" s="109" t="s">
        <v>53</v>
      </c>
      <c r="I572" s="109" t="s">
        <v>2530</v>
      </c>
      <c r="J572" s="109" t="s">
        <v>348</v>
      </c>
      <c r="K572" s="109" t="s">
        <v>387</v>
      </c>
      <c r="L572" s="109" t="s">
        <v>523</v>
      </c>
      <c r="M572" s="109" t="s">
        <v>388</v>
      </c>
      <c r="N572" s="109" t="s">
        <v>44</v>
      </c>
      <c r="O572" s="109" t="s">
        <v>386</v>
      </c>
      <c r="P572" s="109" t="s">
        <v>826</v>
      </c>
      <c r="Q572" s="109" t="s">
        <v>831</v>
      </c>
      <c r="R572" s="109" t="s">
        <v>53</v>
      </c>
      <c r="S572" s="83" t="str">
        <f t="shared" si="59"/>
        <v>B1499H</v>
      </c>
      <c r="T572" s="83" t="str">
        <f t="shared" si="56"/>
        <v>Caron</v>
      </c>
      <c r="Y572" s="60">
        <f t="shared" si="60"/>
        <v>31</v>
      </c>
      <c r="Z572" s="49">
        <f t="shared" si="61"/>
        <v>93</v>
      </c>
      <c r="AA572" s="60">
        <f t="shared" si="62"/>
        <v>31093</v>
      </c>
    </row>
    <row r="573" spans="1:27">
      <c r="A573" s="83" t="str">
        <f t="shared" si="57"/>
        <v>B1504Hblack</v>
      </c>
      <c r="B573" s="83" t="str">
        <f t="shared" si="58"/>
        <v>31-094-09</v>
      </c>
      <c r="C573" s="109" t="s">
        <v>2531</v>
      </c>
      <c r="D573" s="109" t="s">
        <v>2532</v>
      </c>
      <c r="E573" s="109" t="s">
        <v>793</v>
      </c>
      <c r="F573" s="110">
        <v>0</v>
      </c>
      <c r="G573" s="109" t="s">
        <v>2533</v>
      </c>
      <c r="H573" s="109" t="s">
        <v>53</v>
      </c>
      <c r="I573" s="109" t="s">
        <v>2534</v>
      </c>
      <c r="J573" s="109" t="s">
        <v>360</v>
      </c>
      <c r="K573" s="109" t="s">
        <v>387</v>
      </c>
      <c r="L573" s="109" t="s">
        <v>523</v>
      </c>
      <c r="M573" s="109" t="s">
        <v>388</v>
      </c>
      <c r="N573" s="109" t="s">
        <v>44</v>
      </c>
      <c r="O573" s="109" t="s">
        <v>386</v>
      </c>
      <c r="P573" s="109" t="s">
        <v>826</v>
      </c>
      <c r="Q573" s="109" t="s">
        <v>831</v>
      </c>
      <c r="R573" s="109" t="s">
        <v>53</v>
      </c>
      <c r="S573" s="83" t="str">
        <f t="shared" si="59"/>
        <v>B1504H</v>
      </c>
      <c r="T573" s="83" t="str">
        <f t="shared" si="56"/>
        <v>Oria</v>
      </c>
      <c r="Y573" s="60">
        <f t="shared" si="60"/>
        <v>31</v>
      </c>
      <c r="Z573" s="49">
        <f t="shared" si="61"/>
        <v>94</v>
      </c>
      <c r="AA573" s="60">
        <f t="shared" si="62"/>
        <v>31094</v>
      </c>
    </row>
    <row r="574" spans="1:27">
      <c r="A574" s="83" t="str">
        <f t="shared" si="57"/>
        <v>B1508Hgrey</v>
      </c>
      <c r="B574" s="83" t="str">
        <f t="shared" si="58"/>
        <v>31-095-08</v>
      </c>
      <c r="C574" s="109" t="s">
        <v>2535</v>
      </c>
      <c r="D574" s="109" t="s">
        <v>2536</v>
      </c>
      <c r="E574" s="109" t="s">
        <v>793</v>
      </c>
      <c r="F574" s="110">
        <v>0</v>
      </c>
      <c r="G574" s="109" t="s">
        <v>2537</v>
      </c>
      <c r="H574" s="109" t="s">
        <v>83</v>
      </c>
      <c r="I574" s="109" t="s">
        <v>2538</v>
      </c>
      <c r="J574" s="109" t="s">
        <v>360</v>
      </c>
      <c r="K574" s="109" t="s">
        <v>387</v>
      </c>
      <c r="L574" s="109" t="s">
        <v>523</v>
      </c>
      <c r="M574" s="109" t="s">
        <v>388</v>
      </c>
      <c r="N574" s="109" t="s">
        <v>44</v>
      </c>
      <c r="O574" s="109" t="s">
        <v>386</v>
      </c>
      <c r="P574" s="109" t="s">
        <v>826</v>
      </c>
      <c r="Q574" s="109" t="s">
        <v>788</v>
      </c>
      <c r="R574" s="109" t="s">
        <v>83</v>
      </c>
      <c r="S574" s="83" t="str">
        <f t="shared" si="59"/>
        <v>B1508H</v>
      </c>
      <c r="T574" s="83" t="str">
        <f t="shared" si="56"/>
        <v>Savannah</v>
      </c>
      <c r="Y574" s="60">
        <f t="shared" si="60"/>
        <v>31</v>
      </c>
      <c r="Z574" s="49">
        <f t="shared" si="61"/>
        <v>95</v>
      </c>
      <c r="AA574" s="60">
        <f t="shared" si="62"/>
        <v>31095</v>
      </c>
    </row>
    <row r="575" spans="1:27">
      <c r="A575" s="83" t="str">
        <f t="shared" si="57"/>
        <v>B1511Htaupe</v>
      </c>
      <c r="B575" s="83" t="str">
        <f t="shared" si="58"/>
        <v>31-096-14</v>
      </c>
      <c r="C575" s="109" t="s">
        <v>2539</v>
      </c>
      <c r="D575" s="109" t="s">
        <v>2540</v>
      </c>
      <c r="E575" s="109" t="s">
        <v>793</v>
      </c>
      <c r="F575" s="110">
        <v>0</v>
      </c>
      <c r="G575" s="109" t="s">
        <v>2474</v>
      </c>
      <c r="H575" s="109" t="s">
        <v>86</v>
      </c>
      <c r="I575" s="109" t="s">
        <v>785</v>
      </c>
      <c r="J575" s="109" t="s">
        <v>348</v>
      </c>
      <c r="K575" s="109" t="s">
        <v>387</v>
      </c>
      <c r="L575" s="109" t="s">
        <v>523</v>
      </c>
      <c r="M575" s="109" t="s">
        <v>388</v>
      </c>
      <c r="N575" s="109" t="s">
        <v>44</v>
      </c>
      <c r="O575" s="109" t="s">
        <v>386</v>
      </c>
      <c r="P575" s="109" t="s">
        <v>826</v>
      </c>
      <c r="Q575" s="109" t="s">
        <v>859</v>
      </c>
      <c r="R575" s="109" t="s">
        <v>86</v>
      </c>
      <c r="S575" s="83" t="str">
        <f t="shared" si="59"/>
        <v>B1511H</v>
      </c>
      <c r="T575" s="83" t="str">
        <f t="shared" si="56"/>
        <v>Faye</v>
      </c>
      <c r="Y575" s="60">
        <f t="shared" si="60"/>
        <v>31</v>
      </c>
      <c r="Z575" s="49">
        <f t="shared" si="61"/>
        <v>96</v>
      </c>
      <c r="AA575" s="60">
        <f t="shared" si="62"/>
        <v>31096</v>
      </c>
    </row>
    <row r="576" spans="1:27">
      <c r="A576" s="83" t="str">
        <f t="shared" si="57"/>
        <v>B1506Hgrey</v>
      </c>
      <c r="B576" s="83" t="str">
        <f t="shared" si="58"/>
        <v>31-098-08</v>
      </c>
      <c r="C576" s="109" t="s">
        <v>2541</v>
      </c>
      <c r="D576" s="109" t="s">
        <v>2542</v>
      </c>
      <c r="E576" s="109" t="s">
        <v>793</v>
      </c>
      <c r="F576" s="110">
        <v>0</v>
      </c>
      <c r="G576" s="109" t="s">
        <v>2543</v>
      </c>
      <c r="H576" s="109" t="s">
        <v>83</v>
      </c>
      <c r="I576" s="109" t="s">
        <v>2544</v>
      </c>
      <c r="J576" s="109" t="s">
        <v>340</v>
      </c>
      <c r="K576" s="109" t="s">
        <v>387</v>
      </c>
      <c r="L576" s="109" t="s">
        <v>523</v>
      </c>
      <c r="M576" s="109" t="s">
        <v>388</v>
      </c>
      <c r="N576" s="109" t="s">
        <v>44</v>
      </c>
      <c r="O576" s="109" t="s">
        <v>386</v>
      </c>
      <c r="P576" s="109" t="s">
        <v>826</v>
      </c>
      <c r="Q576" s="109" t="s">
        <v>788</v>
      </c>
      <c r="R576" s="109" t="s">
        <v>83</v>
      </c>
      <c r="S576" s="83" t="str">
        <f t="shared" si="59"/>
        <v>B1506H</v>
      </c>
      <c r="T576" s="83" t="str">
        <f t="shared" si="56"/>
        <v>Shaina</v>
      </c>
      <c r="Y576" s="60">
        <f t="shared" si="60"/>
        <v>31</v>
      </c>
      <c r="Z576" s="49">
        <f t="shared" si="61"/>
        <v>98</v>
      </c>
      <c r="AA576" s="60">
        <f t="shared" si="62"/>
        <v>31098</v>
      </c>
    </row>
    <row r="577" spans="1:27">
      <c r="A577" s="83" t="str">
        <f t="shared" si="57"/>
        <v>B1482Hblack</v>
      </c>
      <c r="B577" s="83" t="str">
        <f t="shared" si="58"/>
        <v>31-099-09</v>
      </c>
      <c r="C577" s="109" t="s">
        <v>2545</v>
      </c>
      <c r="D577" s="109" t="s">
        <v>2546</v>
      </c>
      <c r="E577" s="109" t="s">
        <v>793</v>
      </c>
      <c r="F577" s="110">
        <v>0</v>
      </c>
      <c r="G577" s="109" t="s">
        <v>2486</v>
      </c>
      <c r="H577" s="109" t="s">
        <v>53</v>
      </c>
      <c r="I577" s="109" t="s">
        <v>785</v>
      </c>
      <c r="J577" s="109" t="s">
        <v>323</v>
      </c>
      <c r="K577" s="109" t="s">
        <v>387</v>
      </c>
      <c r="L577" s="109" t="s">
        <v>523</v>
      </c>
      <c r="M577" s="109" t="s">
        <v>388</v>
      </c>
      <c r="N577" s="109" t="s">
        <v>44</v>
      </c>
      <c r="O577" s="109" t="s">
        <v>386</v>
      </c>
      <c r="P577" s="109" t="s">
        <v>826</v>
      </c>
      <c r="Q577" s="109" t="s">
        <v>831</v>
      </c>
      <c r="R577" s="109" t="s">
        <v>53</v>
      </c>
      <c r="S577" s="83" t="str">
        <f t="shared" si="59"/>
        <v>B1482H</v>
      </c>
      <c r="T577" s="83" t="str">
        <f t="shared" si="56"/>
        <v>Rory</v>
      </c>
      <c r="Y577" s="60">
        <f t="shared" si="60"/>
        <v>31</v>
      </c>
      <c r="Z577" s="49">
        <f t="shared" si="61"/>
        <v>99</v>
      </c>
      <c r="AA577" s="60">
        <f t="shared" si="62"/>
        <v>31099</v>
      </c>
    </row>
    <row r="578" spans="1:27">
      <c r="A578" s="83" t="str">
        <f t="shared" si="57"/>
        <v>B1484Hblue</v>
      </c>
      <c r="B578" s="83" t="str">
        <f t="shared" si="58"/>
        <v>31-100-06</v>
      </c>
      <c r="C578" s="109" t="s">
        <v>2547</v>
      </c>
      <c r="D578" s="109" t="s">
        <v>2548</v>
      </c>
      <c r="E578" s="109" t="s">
        <v>793</v>
      </c>
      <c r="F578" s="110">
        <v>0</v>
      </c>
      <c r="G578" s="109" t="s">
        <v>2489</v>
      </c>
      <c r="H578" s="109" t="s">
        <v>55</v>
      </c>
      <c r="I578" s="109" t="s">
        <v>785</v>
      </c>
      <c r="J578" s="109" t="s">
        <v>323</v>
      </c>
      <c r="K578" s="109" t="s">
        <v>387</v>
      </c>
      <c r="L578" s="109" t="s">
        <v>523</v>
      </c>
      <c r="M578" s="109" t="s">
        <v>388</v>
      </c>
      <c r="N578" s="109" t="s">
        <v>44</v>
      </c>
      <c r="O578" s="109" t="s">
        <v>386</v>
      </c>
      <c r="P578" s="109" t="s">
        <v>826</v>
      </c>
      <c r="Q578" s="109" t="s">
        <v>877</v>
      </c>
      <c r="R578" s="109" t="s">
        <v>71</v>
      </c>
      <c r="S578" s="83" t="str">
        <f t="shared" si="59"/>
        <v>B1484H</v>
      </c>
      <c r="T578" s="83" t="str">
        <f t="shared" ref="T578:T641" si="63">IF(A578&lt;&gt;"",IF(FIND(" ",G578)&gt;=1,MID(G578,FIND(" ",G578)+1,LEN(G578)),""),"")</f>
        <v>Joan</v>
      </c>
      <c r="Y578" s="60">
        <f t="shared" si="60"/>
        <v>31</v>
      </c>
      <c r="Z578" s="49">
        <f t="shared" si="61"/>
        <v>100</v>
      </c>
      <c r="AA578" s="60">
        <f t="shared" si="62"/>
        <v>31100</v>
      </c>
    </row>
    <row r="579" spans="1:27">
      <c r="A579" s="83" t="str">
        <f t="shared" ref="A579:A642" si="64">IF(G579&amp;Q579&lt;&gt;"",S579&amp;Q579,"")</f>
        <v>B1492Hcamel</v>
      </c>
      <c r="B579" s="83" t="str">
        <f t="shared" ref="B579:B642" si="65">IF(C579&lt;&gt;"",LEFT(C579,9),"")</f>
        <v>31-101-02</v>
      </c>
      <c r="C579" s="109" t="s">
        <v>2549</v>
      </c>
      <c r="D579" s="109" t="s">
        <v>2550</v>
      </c>
      <c r="E579" s="109" t="s">
        <v>793</v>
      </c>
      <c r="F579" s="110">
        <v>0</v>
      </c>
      <c r="G579" s="109" t="s">
        <v>2551</v>
      </c>
      <c r="H579" s="109" t="s">
        <v>63</v>
      </c>
      <c r="I579" s="109" t="s">
        <v>785</v>
      </c>
      <c r="J579" s="109" t="s">
        <v>323</v>
      </c>
      <c r="K579" s="109" t="s">
        <v>387</v>
      </c>
      <c r="L579" s="109" t="s">
        <v>523</v>
      </c>
      <c r="M579" s="109" t="s">
        <v>388</v>
      </c>
      <c r="N579" s="109" t="s">
        <v>44</v>
      </c>
      <c r="O579" s="109" t="s">
        <v>386</v>
      </c>
      <c r="P579" s="109" t="s">
        <v>826</v>
      </c>
      <c r="Q579" s="109" t="s">
        <v>834</v>
      </c>
      <c r="R579" s="109" t="s">
        <v>63</v>
      </c>
      <c r="S579" s="83" t="str">
        <f t="shared" ref="S579:S642" si="66">IF(G579&lt;&gt;"",IF(FIND(" ",G579)&gt;=1,MID(G579,1,FIND(" ",G579)-1),G579),"")</f>
        <v>B1492H</v>
      </c>
      <c r="T579" s="83" t="str">
        <f t="shared" si="63"/>
        <v>Bethany</v>
      </c>
      <c r="Y579" s="60">
        <f t="shared" ref="Y579:Y642" si="67">IFERROR(VALUE(MID($C579,1,2)),0)</f>
        <v>31</v>
      </c>
      <c r="Z579" s="49">
        <f t="shared" ref="Z579:Z642" si="68">IFERROR(VALUE(MID($C579,4,3)),0)</f>
        <v>101</v>
      </c>
      <c r="AA579" s="60">
        <f t="shared" ref="AA579:AA642" si="69">VALUE(RIGHT("00"&amp;Y579,2)&amp;RIGHT("000"&amp;Z579,3))</f>
        <v>31101</v>
      </c>
    </row>
    <row r="580" spans="1:27">
      <c r="A580" s="83" t="str">
        <f t="shared" si="64"/>
        <v>B026Hblack</v>
      </c>
      <c r="B580" s="83" t="str">
        <f t="shared" si="65"/>
        <v>31-003-09</v>
      </c>
      <c r="C580" s="109" t="s">
        <v>2552</v>
      </c>
      <c r="D580" s="109" t="s">
        <v>2553</v>
      </c>
      <c r="E580" s="109" t="s">
        <v>793</v>
      </c>
      <c r="F580" s="110">
        <v>0</v>
      </c>
      <c r="G580" s="109" t="s">
        <v>1775</v>
      </c>
      <c r="H580" s="109" t="s">
        <v>53</v>
      </c>
      <c r="I580" s="109" t="s">
        <v>1776</v>
      </c>
      <c r="J580" s="109" t="s">
        <v>357</v>
      </c>
      <c r="K580" s="109" t="s">
        <v>387</v>
      </c>
      <c r="L580" s="109" t="s">
        <v>523</v>
      </c>
      <c r="M580" s="109" t="s">
        <v>388</v>
      </c>
      <c r="O580" s="109" t="s">
        <v>539</v>
      </c>
      <c r="P580" s="109" t="s">
        <v>826</v>
      </c>
      <c r="Q580" s="109" t="s">
        <v>831</v>
      </c>
      <c r="R580" s="109" t="s">
        <v>53</v>
      </c>
      <c r="S580" s="83" t="str">
        <f t="shared" si="66"/>
        <v>B026H</v>
      </c>
      <c r="T580" s="83" t="str">
        <f t="shared" si="63"/>
        <v>ELLA</v>
      </c>
      <c r="Y580" s="60">
        <f t="shared" si="67"/>
        <v>31</v>
      </c>
      <c r="Z580" s="49">
        <f t="shared" si="68"/>
        <v>3</v>
      </c>
      <c r="AA580" s="60">
        <f t="shared" si="69"/>
        <v>31003</v>
      </c>
    </row>
    <row r="581" spans="1:27">
      <c r="A581" s="83" t="str">
        <f t="shared" si="64"/>
        <v>B1476Hblack</v>
      </c>
      <c r="B581" s="83" t="str">
        <f t="shared" si="65"/>
        <v>31-102-09</v>
      </c>
      <c r="C581" s="109" t="s">
        <v>2554</v>
      </c>
      <c r="D581" s="109" t="s">
        <v>2555</v>
      </c>
      <c r="E581" s="109" t="s">
        <v>793</v>
      </c>
      <c r="F581" s="110">
        <v>0</v>
      </c>
      <c r="G581" s="109" t="s">
        <v>2556</v>
      </c>
      <c r="H581" s="109" t="s">
        <v>53</v>
      </c>
      <c r="I581" s="109" t="s">
        <v>2557</v>
      </c>
      <c r="J581" s="109" t="s">
        <v>357</v>
      </c>
      <c r="K581" s="109" t="s">
        <v>387</v>
      </c>
      <c r="L581" s="109" t="s">
        <v>523</v>
      </c>
      <c r="M581" s="109" t="s">
        <v>388</v>
      </c>
      <c r="O581" s="109" t="s">
        <v>386</v>
      </c>
      <c r="P581" s="109" t="s">
        <v>826</v>
      </c>
      <c r="Q581" s="109" t="s">
        <v>831</v>
      </c>
      <c r="R581" s="109" t="s">
        <v>53</v>
      </c>
      <c r="S581" s="83" t="str">
        <f t="shared" si="66"/>
        <v>B1476H</v>
      </c>
      <c r="T581" s="83" t="str">
        <f t="shared" si="63"/>
        <v>Reesa</v>
      </c>
      <c r="Y581" s="60">
        <f t="shared" si="67"/>
        <v>31</v>
      </c>
      <c r="Z581" s="49">
        <f t="shared" si="68"/>
        <v>102</v>
      </c>
      <c r="AA581" s="60">
        <f t="shared" si="69"/>
        <v>31102</v>
      </c>
    </row>
    <row r="582" spans="1:27">
      <c r="A582" s="83" t="str">
        <f t="shared" si="64"/>
        <v>B1503Hblack</v>
      </c>
      <c r="B582" s="83" t="str">
        <f t="shared" si="65"/>
        <v>31-103-09</v>
      </c>
      <c r="C582" s="109" t="s">
        <v>2558</v>
      </c>
      <c r="D582" s="109" t="s">
        <v>2559</v>
      </c>
      <c r="E582" s="109" t="s">
        <v>793</v>
      </c>
      <c r="F582" s="110">
        <v>0</v>
      </c>
      <c r="G582" s="109" t="s">
        <v>2560</v>
      </c>
      <c r="H582" s="109" t="s">
        <v>53</v>
      </c>
      <c r="I582" s="109" t="s">
        <v>2561</v>
      </c>
      <c r="J582" s="109" t="s">
        <v>357</v>
      </c>
      <c r="K582" s="109" t="s">
        <v>387</v>
      </c>
      <c r="L582" s="109" t="s">
        <v>523</v>
      </c>
      <c r="M582" s="109" t="s">
        <v>388</v>
      </c>
      <c r="N582" s="109" t="s">
        <v>44</v>
      </c>
      <c r="O582" s="109" t="s">
        <v>386</v>
      </c>
      <c r="P582" s="109" t="s">
        <v>826</v>
      </c>
      <c r="Q582" s="109" t="s">
        <v>831</v>
      </c>
      <c r="R582" s="109" t="s">
        <v>53</v>
      </c>
      <c r="S582" s="83" t="str">
        <f t="shared" si="66"/>
        <v>B1503H</v>
      </c>
      <c r="T582" s="83" t="str">
        <f t="shared" si="63"/>
        <v>Nell</v>
      </c>
      <c r="Y582" s="60">
        <f t="shared" si="67"/>
        <v>31</v>
      </c>
      <c r="Z582" s="49">
        <f t="shared" si="68"/>
        <v>103</v>
      </c>
      <c r="AA582" s="60">
        <f t="shared" si="69"/>
        <v>31103</v>
      </c>
    </row>
    <row r="583" spans="1:27">
      <c r="A583" s="83" t="str">
        <f t="shared" si="64"/>
        <v>B1510Hgrey</v>
      </c>
      <c r="B583" s="83" t="str">
        <f t="shared" si="65"/>
        <v>31-104-08</v>
      </c>
      <c r="C583" s="109" t="s">
        <v>2562</v>
      </c>
      <c r="D583" s="109" t="s">
        <v>2563</v>
      </c>
      <c r="E583" s="109" t="s">
        <v>793</v>
      </c>
      <c r="F583" s="110">
        <v>0</v>
      </c>
      <c r="G583" s="109" t="s">
        <v>2564</v>
      </c>
      <c r="H583" s="109" t="s">
        <v>83</v>
      </c>
      <c r="I583" s="109" t="s">
        <v>2565</v>
      </c>
      <c r="J583" s="109" t="s">
        <v>357</v>
      </c>
      <c r="K583" s="109" t="s">
        <v>387</v>
      </c>
      <c r="L583" s="109" t="s">
        <v>523</v>
      </c>
      <c r="M583" s="109" t="s">
        <v>388</v>
      </c>
      <c r="N583" s="109" t="s">
        <v>44</v>
      </c>
      <c r="O583" s="109" t="s">
        <v>386</v>
      </c>
      <c r="P583" s="109" t="s">
        <v>826</v>
      </c>
      <c r="Q583" s="109" t="s">
        <v>788</v>
      </c>
      <c r="R583" s="109" t="s">
        <v>83</v>
      </c>
      <c r="S583" s="83" t="str">
        <f t="shared" si="66"/>
        <v>B1510H</v>
      </c>
      <c r="T583" s="83" t="str">
        <f t="shared" si="63"/>
        <v>Walene</v>
      </c>
      <c r="Y583" s="60">
        <f t="shared" si="67"/>
        <v>31</v>
      </c>
      <c r="Z583" s="49">
        <f t="shared" si="68"/>
        <v>104</v>
      </c>
      <c r="AA583" s="60">
        <f t="shared" si="69"/>
        <v>31104</v>
      </c>
    </row>
    <row r="584" spans="1:27">
      <c r="A584" s="83" t="str">
        <f t="shared" si="64"/>
        <v>B1515Hblack</v>
      </c>
      <c r="B584" s="83" t="str">
        <f t="shared" si="65"/>
        <v>31-105-09</v>
      </c>
      <c r="C584" s="109" t="s">
        <v>2566</v>
      </c>
      <c r="D584" s="109" t="s">
        <v>2567</v>
      </c>
      <c r="E584" s="109" t="s">
        <v>793</v>
      </c>
      <c r="F584" s="110">
        <v>0</v>
      </c>
      <c r="G584" s="109" t="s">
        <v>2568</v>
      </c>
      <c r="H584" s="109" t="s">
        <v>53</v>
      </c>
      <c r="I584" s="109" t="s">
        <v>2569</v>
      </c>
      <c r="J584" s="109" t="s">
        <v>357</v>
      </c>
      <c r="K584" s="109" t="s">
        <v>387</v>
      </c>
      <c r="L584" s="109" t="s">
        <v>523</v>
      </c>
      <c r="M584" s="109" t="s">
        <v>388</v>
      </c>
      <c r="N584" s="109" t="s">
        <v>44</v>
      </c>
      <c r="O584" s="109" t="s">
        <v>386</v>
      </c>
      <c r="P584" s="109" t="s">
        <v>826</v>
      </c>
      <c r="Q584" s="109" t="s">
        <v>831</v>
      </c>
      <c r="R584" s="109" t="s">
        <v>53</v>
      </c>
      <c r="S584" s="83" t="str">
        <f t="shared" si="66"/>
        <v>B1515H</v>
      </c>
      <c r="T584" s="83" t="str">
        <f t="shared" si="63"/>
        <v>Pat</v>
      </c>
      <c r="Y584" s="60">
        <f t="shared" si="67"/>
        <v>31</v>
      </c>
      <c r="Z584" s="49">
        <f t="shared" si="68"/>
        <v>105</v>
      </c>
      <c r="AA584" s="60">
        <f t="shared" si="69"/>
        <v>31105</v>
      </c>
    </row>
    <row r="585" spans="1:27">
      <c r="A585" s="83" t="str">
        <f t="shared" si="64"/>
        <v>B1523Hblack</v>
      </c>
      <c r="B585" s="83" t="str">
        <f t="shared" si="65"/>
        <v>31-106-09</v>
      </c>
      <c r="C585" s="109" t="s">
        <v>2570</v>
      </c>
      <c r="D585" s="109" t="s">
        <v>2571</v>
      </c>
      <c r="E585" s="109" t="s">
        <v>793</v>
      </c>
      <c r="F585" s="110">
        <v>0</v>
      </c>
      <c r="G585" s="109" t="s">
        <v>2572</v>
      </c>
      <c r="H585" s="109" t="s">
        <v>53</v>
      </c>
      <c r="I585" s="109" t="s">
        <v>2573</v>
      </c>
      <c r="J585" s="109" t="s">
        <v>345</v>
      </c>
      <c r="K585" s="109" t="s">
        <v>387</v>
      </c>
      <c r="L585" s="109" t="s">
        <v>523</v>
      </c>
      <c r="M585" s="109" t="s">
        <v>388</v>
      </c>
      <c r="O585" s="109" t="s">
        <v>386</v>
      </c>
      <c r="P585" s="109" t="s">
        <v>826</v>
      </c>
      <c r="Q585" s="109" t="s">
        <v>831</v>
      </c>
      <c r="R585" s="109" t="s">
        <v>53</v>
      </c>
      <c r="S585" s="83" t="str">
        <f t="shared" si="66"/>
        <v>B1523H</v>
      </c>
      <c r="T585" s="83" t="str">
        <f t="shared" si="63"/>
        <v>Kathy</v>
      </c>
      <c r="Y585" s="60">
        <f t="shared" si="67"/>
        <v>31</v>
      </c>
      <c r="Z585" s="49">
        <f t="shared" si="68"/>
        <v>106</v>
      </c>
      <c r="AA585" s="60">
        <f t="shared" si="69"/>
        <v>31106</v>
      </c>
    </row>
    <row r="586" spans="1:27">
      <c r="A586" s="83" t="str">
        <f t="shared" si="64"/>
        <v>B1479Hjade</v>
      </c>
      <c r="B586" s="83" t="str">
        <f t="shared" si="65"/>
        <v>31-108-07</v>
      </c>
      <c r="C586" s="109" t="s">
        <v>2574</v>
      </c>
      <c r="D586" s="109" t="s">
        <v>2575</v>
      </c>
      <c r="E586" s="109" t="s">
        <v>793</v>
      </c>
      <c r="F586" s="110">
        <v>0</v>
      </c>
      <c r="G586" s="109" t="s">
        <v>2576</v>
      </c>
      <c r="H586" s="109" t="s">
        <v>269</v>
      </c>
      <c r="I586" s="109" t="s">
        <v>2577</v>
      </c>
      <c r="J586" s="109" t="s">
        <v>330</v>
      </c>
      <c r="K586" s="109" t="s">
        <v>387</v>
      </c>
      <c r="L586" s="109" t="s">
        <v>523</v>
      </c>
      <c r="M586" s="109" t="s">
        <v>388</v>
      </c>
      <c r="O586" s="109" t="s">
        <v>386</v>
      </c>
      <c r="P586" s="109" t="s">
        <v>826</v>
      </c>
      <c r="Q586" s="109" t="s">
        <v>2171</v>
      </c>
      <c r="R586" s="109" t="s">
        <v>60</v>
      </c>
      <c r="S586" s="83" t="str">
        <f t="shared" si="66"/>
        <v>B1479H</v>
      </c>
      <c r="T586" s="83" t="str">
        <f t="shared" si="63"/>
        <v>Evans</v>
      </c>
      <c r="Y586" s="60">
        <f t="shared" si="67"/>
        <v>31</v>
      </c>
      <c r="Z586" s="49">
        <f t="shared" si="68"/>
        <v>108</v>
      </c>
      <c r="AA586" s="60">
        <f t="shared" si="69"/>
        <v>31108</v>
      </c>
    </row>
    <row r="587" spans="1:27">
      <c r="A587" s="83" t="str">
        <f t="shared" si="64"/>
        <v>B1485Holive</v>
      </c>
      <c r="B587" s="83" t="str">
        <f t="shared" si="65"/>
        <v>31-109-03</v>
      </c>
      <c r="C587" s="109" t="s">
        <v>2578</v>
      </c>
      <c r="D587" s="109" t="s">
        <v>2579</v>
      </c>
      <c r="E587" s="109" t="s">
        <v>793</v>
      </c>
      <c r="F587" s="110">
        <v>0</v>
      </c>
      <c r="G587" s="109" t="s">
        <v>2015</v>
      </c>
      <c r="H587" s="109" t="s">
        <v>195</v>
      </c>
      <c r="I587" s="109" t="s">
        <v>785</v>
      </c>
      <c r="J587" s="109" t="s">
        <v>330</v>
      </c>
      <c r="K587" s="109" t="s">
        <v>387</v>
      </c>
      <c r="L587" s="109" t="s">
        <v>523</v>
      </c>
      <c r="M587" s="109" t="s">
        <v>388</v>
      </c>
      <c r="N587" s="109" t="s">
        <v>30</v>
      </c>
      <c r="O587" s="109" t="s">
        <v>386</v>
      </c>
      <c r="P587" s="109" t="s">
        <v>826</v>
      </c>
      <c r="Q587" s="109" t="s">
        <v>838</v>
      </c>
      <c r="R587" s="109" t="s">
        <v>195</v>
      </c>
      <c r="S587" s="83" t="str">
        <f t="shared" si="66"/>
        <v>B1485H</v>
      </c>
      <c r="T587" s="83" t="str">
        <f t="shared" si="63"/>
        <v>Janis</v>
      </c>
      <c r="Y587" s="60">
        <f t="shared" si="67"/>
        <v>31</v>
      </c>
      <c r="Z587" s="49">
        <f t="shared" si="68"/>
        <v>109</v>
      </c>
      <c r="AA587" s="60">
        <f t="shared" si="69"/>
        <v>31109</v>
      </c>
    </row>
    <row r="588" spans="1:27">
      <c r="A588" s="83" t="str">
        <f t="shared" si="64"/>
        <v>B1509Hgrey</v>
      </c>
      <c r="B588" s="83" t="str">
        <f t="shared" si="65"/>
        <v>31-110-08</v>
      </c>
      <c r="C588" s="109" t="s">
        <v>2580</v>
      </c>
      <c r="D588" s="109" t="s">
        <v>2581</v>
      </c>
      <c r="E588" s="109" t="s">
        <v>793</v>
      </c>
      <c r="F588" s="110">
        <v>0</v>
      </c>
      <c r="G588" s="109" t="s">
        <v>2582</v>
      </c>
      <c r="H588" s="109" t="s">
        <v>83</v>
      </c>
      <c r="I588" s="109" t="s">
        <v>2565</v>
      </c>
      <c r="J588" s="109" t="s">
        <v>330</v>
      </c>
      <c r="K588" s="109" t="s">
        <v>387</v>
      </c>
      <c r="L588" s="109" t="s">
        <v>523</v>
      </c>
      <c r="M588" s="109" t="s">
        <v>388</v>
      </c>
      <c r="N588" s="109" t="s">
        <v>44</v>
      </c>
      <c r="O588" s="109" t="s">
        <v>386</v>
      </c>
      <c r="P588" s="109" t="s">
        <v>826</v>
      </c>
      <c r="Q588" s="109" t="s">
        <v>788</v>
      </c>
      <c r="R588" s="109" t="s">
        <v>83</v>
      </c>
      <c r="S588" s="83" t="str">
        <f t="shared" si="66"/>
        <v>B1509H</v>
      </c>
      <c r="T588" s="83" t="str">
        <f t="shared" si="63"/>
        <v>Scarlett</v>
      </c>
      <c r="Y588" s="60">
        <f t="shared" si="67"/>
        <v>31</v>
      </c>
      <c r="Z588" s="49">
        <f t="shared" si="68"/>
        <v>110</v>
      </c>
      <c r="AA588" s="60">
        <f t="shared" si="69"/>
        <v>31110</v>
      </c>
    </row>
    <row r="589" spans="1:27">
      <c r="A589" s="83" t="str">
        <f t="shared" si="64"/>
        <v>B1337Hwalnut</v>
      </c>
      <c r="B589" s="83" t="str">
        <f t="shared" si="65"/>
        <v>31-028-14</v>
      </c>
      <c r="C589" s="109" t="s">
        <v>2583</v>
      </c>
      <c r="D589" s="109" t="s">
        <v>2584</v>
      </c>
      <c r="E589" s="109" t="s">
        <v>793</v>
      </c>
      <c r="F589" s="110">
        <v>0</v>
      </c>
      <c r="G589" s="109" t="s">
        <v>2232</v>
      </c>
      <c r="H589" s="109" t="s">
        <v>86</v>
      </c>
      <c r="I589" s="109" t="s">
        <v>785</v>
      </c>
      <c r="J589" s="109" t="s">
        <v>357</v>
      </c>
      <c r="K589" s="109" t="s">
        <v>387</v>
      </c>
      <c r="L589" s="109" t="s">
        <v>523</v>
      </c>
      <c r="M589" s="109" t="s">
        <v>388</v>
      </c>
      <c r="N589" s="109" t="s">
        <v>30</v>
      </c>
      <c r="O589" s="109" t="s">
        <v>445</v>
      </c>
      <c r="P589" s="109" t="s">
        <v>826</v>
      </c>
      <c r="Q589" s="109" t="s">
        <v>886</v>
      </c>
      <c r="R589" s="109" t="s">
        <v>86</v>
      </c>
      <c r="S589" s="83" t="str">
        <f t="shared" si="66"/>
        <v>B1337H</v>
      </c>
      <c r="T589" s="83" t="str">
        <f t="shared" si="63"/>
        <v>MADRI</v>
      </c>
      <c r="Y589" s="60">
        <f t="shared" si="67"/>
        <v>31</v>
      </c>
      <c r="Z589" s="49">
        <f t="shared" si="68"/>
        <v>28</v>
      </c>
      <c r="AA589" s="60">
        <f t="shared" si="69"/>
        <v>31028</v>
      </c>
    </row>
    <row r="590" spans="1:27">
      <c r="A590" s="83" t="str">
        <f t="shared" si="64"/>
        <v>B1249Hputty</v>
      </c>
      <c r="B590" s="83" t="str">
        <f t="shared" si="65"/>
        <v>31-008-02</v>
      </c>
      <c r="C590" s="109" t="s">
        <v>2585</v>
      </c>
      <c r="D590" s="109" t="s">
        <v>2586</v>
      </c>
      <c r="E590" s="109" t="s">
        <v>793</v>
      </c>
      <c r="F590" s="110">
        <v>0</v>
      </c>
      <c r="G590" s="109" t="s">
        <v>1104</v>
      </c>
      <c r="H590" s="109" t="s">
        <v>63</v>
      </c>
      <c r="I590" s="109" t="s">
        <v>785</v>
      </c>
      <c r="J590" s="109" t="s">
        <v>330</v>
      </c>
      <c r="K590" s="109" t="s">
        <v>387</v>
      </c>
      <c r="L590" s="109" t="s">
        <v>523</v>
      </c>
      <c r="M590" s="109" t="s">
        <v>388</v>
      </c>
      <c r="N590" s="109" t="s">
        <v>30</v>
      </c>
      <c r="O590" s="109" t="s">
        <v>386</v>
      </c>
      <c r="P590" s="109" t="s">
        <v>826</v>
      </c>
      <c r="Q590" s="109" t="s">
        <v>839</v>
      </c>
      <c r="R590" s="109" t="s">
        <v>63</v>
      </c>
      <c r="S590" s="83" t="str">
        <f t="shared" si="66"/>
        <v>B1249H</v>
      </c>
      <c r="T590" s="83" t="str">
        <f t="shared" si="63"/>
        <v>DARCY</v>
      </c>
      <c r="Y590" s="60">
        <f t="shared" si="67"/>
        <v>31</v>
      </c>
      <c r="Z590" s="49">
        <f t="shared" si="68"/>
        <v>8</v>
      </c>
      <c r="AA590" s="60">
        <f t="shared" si="69"/>
        <v>31008</v>
      </c>
    </row>
    <row r="591" spans="1:27">
      <c r="A591" s="83" t="str">
        <f t="shared" si="64"/>
        <v>B1310Hrust</v>
      </c>
      <c r="B591" s="83" t="str">
        <f t="shared" si="65"/>
        <v>31-023-14</v>
      </c>
      <c r="C591" s="109" t="s">
        <v>2587</v>
      </c>
      <c r="D591" s="109" t="s">
        <v>2588</v>
      </c>
      <c r="E591" s="109" t="s">
        <v>793</v>
      </c>
      <c r="F591" s="110">
        <v>0</v>
      </c>
      <c r="G591" s="109" t="s">
        <v>2205</v>
      </c>
      <c r="H591" s="109" t="s">
        <v>86</v>
      </c>
      <c r="I591" s="109" t="s">
        <v>849</v>
      </c>
      <c r="J591" s="109" t="s">
        <v>360</v>
      </c>
      <c r="K591" s="109" t="s">
        <v>387</v>
      </c>
      <c r="L591" s="109" t="s">
        <v>523</v>
      </c>
      <c r="M591" s="109" t="s">
        <v>388</v>
      </c>
      <c r="N591" s="109" t="s">
        <v>44</v>
      </c>
      <c r="O591" s="109" t="s">
        <v>386</v>
      </c>
      <c r="P591" s="109" t="s">
        <v>826</v>
      </c>
      <c r="Q591" s="109" t="s">
        <v>852</v>
      </c>
      <c r="R591" s="109" t="s">
        <v>86</v>
      </c>
      <c r="S591" s="83" t="str">
        <f t="shared" si="66"/>
        <v>B1310H</v>
      </c>
      <c r="T591" s="83" t="str">
        <f t="shared" si="63"/>
        <v>MELANIA</v>
      </c>
      <c r="Y591" s="60">
        <f t="shared" si="67"/>
        <v>31</v>
      </c>
      <c r="Z591" s="49">
        <f t="shared" si="68"/>
        <v>23</v>
      </c>
      <c r="AA591" s="60">
        <f t="shared" si="69"/>
        <v>31023</v>
      </c>
    </row>
    <row r="592" spans="1:27">
      <c r="A592" s="83" t="str">
        <f t="shared" si="64"/>
        <v>B011Hgrey</v>
      </c>
      <c r="B592" s="83" t="str">
        <f t="shared" si="65"/>
        <v>31-002-08</v>
      </c>
      <c r="C592" s="109" t="s">
        <v>2589</v>
      </c>
      <c r="D592" s="109" t="s">
        <v>2590</v>
      </c>
      <c r="E592" s="109" t="s">
        <v>793</v>
      </c>
      <c r="F592" s="110">
        <v>0</v>
      </c>
      <c r="G592" s="109" t="s">
        <v>1080</v>
      </c>
      <c r="H592" s="109" t="s">
        <v>83</v>
      </c>
      <c r="I592" s="109" t="s">
        <v>853</v>
      </c>
      <c r="J592" s="109" t="s">
        <v>348</v>
      </c>
      <c r="K592" s="109" t="s">
        <v>387</v>
      </c>
      <c r="L592" s="109" t="s">
        <v>523</v>
      </c>
      <c r="M592" s="109" t="s">
        <v>388</v>
      </c>
      <c r="N592" s="109" t="s">
        <v>44</v>
      </c>
      <c r="O592" s="109" t="s">
        <v>386</v>
      </c>
      <c r="P592" s="109" t="s">
        <v>826</v>
      </c>
      <c r="Q592" s="109" t="s">
        <v>788</v>
      </c>
      <c r="R592" s="109" t="s">
        <v>83</v>
      </c>
      <c r="S592" s="83" t="str">
        <f t="shared" si="66"/>
        <v>B011H</v>
      </c>
      <c r="T592" s="83" t="str">
        <f t="shared" si="63"/>
        <v>ADELE</v>
      </c>
      <c r="Y592" s="60">
        <f t="shared" si="67"/>
        <v>31</v>
      </c>
      <c r="Z592" s="49">
        <f t="shared" si="68"/>
        <v>2</v>
      </c>
      <c r="AA592" s="60">
        <f t="shared" si="69"/>
        <v>31002</v>
      </c>
    </row>
    <row r="593" spans="1:27">
      <c r="A593" s="83" t="str">
        <f t="shared" si="64"/>
        <v>B515mink</v>
      </c>
      <c r="B593" s="83" t="str">
        <f t="shared" si="65"/>
        <v>31-034-02</v>
      </c>
      <c r="C593" s="109" t="s">
        <v>2591</v>
      </c>
      <c r="D593" s="109" t="s">
        <v>2592</v>
      </c>
      <c r="E593" s="109" t="s">
        <v>793</v>
      </c>
      <c r="F593" s="110">
        <v>0</v>
      </c>
      <c r="G593" s="109" t="s">
        <v>1076</v>
      </c>
      <c r="H593" s="109" t="s">
        <v>63</v>
      </c>
      <c r="I593" s="109" t="s">
        <v>796</v>
      </c>
      <c r="J593" s="109" t="s">
        <v>334</v>
      </c>
      <c r="K593" s="109" t="s">
        <v>387</v>
      </c>
      <c r="L593" s="109" t="s">
        <v>523</v>
      </c>
      <c r="M593" s="109" t="s">
        <v>388</v>
      </c>
      <c r="N593" s="109" t="s">
        <v>44</v>
      </c>
      <c r="O593" s="109" t="s">
        <v>386</v>
      </c>
      <c r="P593" s="109" t="s">
        <v>826</v>
      </c>
      <c r="Q593" s="109" t="s">
        <v>858</v>
      </c>
      <c r="R593" s="109" t="s">
        <v>63</v>
      </c>
      <c r="S593" s="83" t="str">
        <f t="shared" si="66"/>
        <v>B515</v>
      </c>
      <c r="T593" s="83" t="str">
        <f t="shared" si="63"/>
        <v>FLOWER BERET</v>
      </c>
      <c r="Y593" s="60">
        <f t="shared" si="67"/>
        <v>31</v>
      </c>
      <c r="Z593" s="49">
        <f t="shared" si="68"/>
        <v>34</v>
      </c>
      <c r="AA593" s="60">
        <f t="shared" si="69"/>
        <v>31034</v>
      </c>
    </row>
    <row r="594" spans="1:27">
      <c r="A594" s="83" t="str">
        <f t="shared" si="64"/>
        <v>B515red</v>
      </c>
      <c r="B594" s="83" t="str">
        <f t="shared" si="65"/>
        <v>31-034-18</v>
      </c>
      <c r="C594" s="109" t="s">
        <v>2593</v>
      </c>
      <c r="D594" s="109" t="s">
        <v>2594</v>
      </c>
      <c r="E594" s="109" t="s">
        <v>793</v>
      </c>
      <c r="F594" s="110">
        <v>0</v>
      </c>
      <c r="G594" s="109" t="s">
        <v>1076</v>
      </c>
      <c r="H594" s="109" t="s">
        <v>78</v>
      </c>
      <c r="I594" s="109" t="s">
        <v>796</v>
      </c>
      <c r="J594" s="109" t="s">
        <v>334</v>
      </c>
      <c r="K594" s="109" t="s">
        <v>387</v>
      </c>
      <c r="L594" s="109" t="s">
        <v>523</v>
      </c>
      <c r="M594" s="109" t="s">
        <v>389</v>
      </c>
      <c r="N594" s="109" t="s">
        <v>44</v>
      </c>
      <c r="O594" s="109" t="s">
        <v>386</v>
      </c>
      <c r="P594" s="109" t="s">
        <v>827</v>
      </c>
      <c r="Q594" s="109" t="s">
        <v>875</v>
      </c>
      <c r="R594" s="109" t="s">
        <v>78</v>
      </c>
      <c r="S594" s="83" t="str">
        <f t="shared" si="66"/>
        <v>B515</v>
      </c>
      <c r="T594" s="83" t="str">
        <f t="shared" si="63"/>
        <v>FLOWER BERET</v>
      </c>
      <c r="Y594" s="60">
        <f t="shared" si="67"/>
        <v>31</v>
      </c>
      <c r="Z594" s="49">
        <f t="shared" si="68"/>
        <v>34</v>
      </c>
      <c r="AA594" s="60">
        <f t="shared" si="69"/>
        <v>31034</v>
      </c>
    </row>
    <row r="595" spans="1:27">
      <c r="A595" s="83" t="str">
        <f t="shared" si="64"/>
        <v>B523camel</v>
      </c>
      <c r="B595" s="83" t="str">
        <f t="shared" si="65"/>
        <v>31-036-02</v>
      </c>
      <c r="C595" s="109" t="s">
        <v>2595</v>
      </c>
      <c r="D595" s="109" t="s">
        <v>2596</v>
      </c>
      <c r="E595" s="109" t="s">
        <v>793</v>
      </c>
      <c r="F595" s="110">
        <v>0</v>
      </c>
      <c r="G595" s="109" t="s">
        <v>2281</v>
      </c>
      <c r="H595" s="109" t="s">
        <v>63</v>
      </c>
      <c r="I595" s="109" t="s">
        <v>796</v>
      </c>
      <c r="J595" s="109" t="s">
        <v>350</v>
      </c>
      <c r="K595" s="109" t="s">
        <v>387</v>
      </c>
      <c r="L595" s="109" t="s">
        <v>523</v>
      </c>
      <c r="M595" s="109" t="s">
        <v>388</v>
      </c>
      <c r="N595" s="109" t="s">
        <v>44</v>
      </c>
      <c r="O595" s="109" t="s">
        <v>386</v>
      </c>
      <c r="P595" s="109" t="s">
        <v>826</v>
      </c>
      <c r="Q595" s="109" t="s">
        <v>834</v>
      </c>
      <c r="R595" s="109" t="s">
        <v>63</v>
      </c>
      <c r="S595" s="83" t="str">
        <f t="shared" si="66"/>
        <v>B523</v>
      </c>
      <c r="T595" s="83" t="str">
        <f t="shared" si="63"/>
        <v>Ridge Flower Cap</v>
      </c>
      <c r="Y595" s="60">
        <f t="shared" si="67"/>
        <v>31</v>
      </c>
      <c r="Z595" s="49">
        <f t="shared" si="68"/>
        <v>36</v>
      </c>
      <c r="AA595" s="60">
        <f t="shared" si="69"/>
        <v>31036</v>
      </c>
    </row>
    <row r="596" spans="1:27">
      <c r="A596" s="83" t="str">
        <f t="shared" si="64"/>
        <v>B523green</v>
      </c>
      <c r="B596" s="83" t="str">
        <f t="shared" si="65"/>
        <v>31-036-11</v>
      </c>
      <c r="C596" s="109" t="s">
        <v>2597</v>
      </c>
      <c r="D596" s="109" t="s">
        <v>2598</v>
      </c>
      <c r="E596" s="109" t="s">
        <v>793</v>
      </c>
      <c r="F596" s="110">
        <v>0</v>
      </c>
      <c r="G596" s="109" t="s">
        <v>2281</v>
      </c>
      <c r="H596" s="109" t="s">
        <v>60</v>
      </c>
      <c r="I596" s="109" t="s">
        <v>799</v>
      </c>
      <c r="J596" s="109" t="s">
        <v>350</v>
      </c>
      <c r="K596" s="109" t="s">
        <v>387</v>
      </c>
      <c r="L596" s="109" t="s">
        <v>523</v>
      </c>
      <c r="M596" s="109" t="s">
        <v>388</v>
      </c>
      <c r="N596" s="109" t="s">
        <v>44</v>
      </c>
      <c r="O596" s="109" t="s">
        <v>386</v>
      </c>
      <c r="P596" s="109" t="s">
        <v>826</v>
      </c>
      <c r="Q596" s="109" t="s">
        <v>902</v>
      </c>
      <c r="R596" s="109" t="s">
        <v>60</v>
      </c>
      <c r="S596" s="83" t="str">
        <f t="shared" si="66"/>
        <v>B523</v>
      </c>
      <c r="T596" s="83" t="str">
        <f t="shared" si="63"/>
        <v>Ridge Flower Cap</v>
      </c>
      <c r="Y596" s="60">
        <f t="shared" si="67"/>
        <v>31</v>
      </c>
      <c r="Z596" s="49">
        <f t="shared" si="68"/>
        <v>36</v>
      </c>
      <c r="AA596" s="60">
        <f t="shared" si="69"/>
        <v>31036</v>
      </c>
    </row>
    <row r="597" spans="1:27">
      <c r="A597" s="83" t="str">
        <f t="shared" si="64"/>
        <v>B523true red</v>
      </c>
      <c r="B597" s="83" t="str">
        <f t="shared" si="65"/>
        <v>31-036-18</v>
      </c>
      <c r="C597" s="109" t="s">
        <v>2599</v>
      </c>
      <c r="D597" s="109" t="s">
        <v>2600</v>
      </c>
      <c r="E597" s="109" t="s">
        <v>793</v>
      </c>
      <c r="F597" s="110">
        <v>0</v>
      </c>
      <c r="G597" s="109" t="s">
        <v>2281</v>
      </c>
      <c r="H597" s="109" t="s">
        <v>78</v>
      </c>
      <c r="I597" s="109" t="s">
        <v>796</v>
      </c>
      <c r="J597" s="109" t="s">
        <v>350</v>
      </c>
      <c r="K597" s="109" t="s">
        <v>387</v>
      </c>
      <c r="L597" s="109" t="s">
        <v>523</v>
      </c>
      <c r="M597" s="109" t="s">
        <v>388</v>
      </c>
      <c r="N597" s="109" t="s">
        <v>44</v>
      </c>
      <c r="O597" s="109" t="s">
        <v>386</v>
      </c>
      <c r="P597" s="109" t="s">
        <v>826</v>
      </c>
      <c r="Q597" s="109" t="s">
        <v>870</v>
      </c>
      <c r="R597" s="109" t="s">
        <v>78</v>
      </c>
      <c r="S597" s="83" t="str">
        <f t="shared" si="66"/>
        <v>B523</v>
      </c>
      <c r="T597" s="83" t="str">
        <f t="shared" si="63"/>
        <v>Ridge Flower Cap</v>
      </c>
      <c r="Y597" s="60">
        <f t="shared" si="67"/>
        <v>31</v>
      </c>
      <c r="Z597" s="49">
        <f t="shared" si="68"/>
        <v>36</v>
      </c>
      <c r="AA597" s="60">
        <f t="shared" si="69"/>
        <v>31036</v>
      </c>
    </row>
    <row r="598" spans="1:27">
      <c r="A598" s="83" t="str">
        <f t="shared" si="64"/>
        <v>B1652Hblack</v>
      </c>
      <c r="B598" s="83" t="str">
        <f t="shared" si="65"/>
        <v>31-121-09</v>
      </c>
      <c r="C598" s="109" t="s">
        <v>2601</v>
      </c>
      <c r="D598" s="109" t="s">
        <v>2602</v>
      </c>
      <c r="E598" s="109" t="s">
        <v>793</v>
      </c>
      <c r="F598" s="110">
        <v>0</v>
      </c>
      <c r="G598" s="109" t="s">
        <v>2043</v>
      </c>
      <c r="H598" s="109" t="s">
        <v>53</v>
      </c>
      <c r="I598" s="109" t="s">
        <v>2290</v>
      </c>
      <c r="J598" s="109" t="s">
        <v>348</v>
      </c>
      <c r="K598" s="109" t="s">
        <v>387</v>
      </c>
      <c r="L598" s="109" t="s">
        <v>523</v>
      </c>
      <c r="M598" s="109" t="s">
        <v>388</v>
      </c>
      <c r="N598" s="109" t="s">
        <v>44</v>
      </c>
      <c r="O598" s="109" t="s">
        <v>386</v>
      </c>
      <c r="P598" s="109" t="s">
        <v>826</v>
      </c>
      <c r="Q598" s="109" t="s">
        <v>831</v>
      </c>
      <c r="R598" s="109" t="s">
        <v>53</v>
      </c>
      <c r="S598" s="83" t="str">
        <f t="shared" si="66"/>
        <v>B1652H</v>
      </c>
      <c r="T598" s="83" t="str">
        <f t="shared" si="63"/>
        <v>CAMERON</v>
      </c>
      <c r="Y598" s="60">
        <f t="shared" si="67"/>
        <v>31</v>
      </c>
      <c r="Z598" s="49">
        <f t="shared" si="68"/>
        <v>121</v>
      </c>
      <c r="AA598" s="60">
        <f t="shared" si="69"/>
        <v>31121</v>
      </c>
    </row>
    <row r="599" spans="1:27">
      <c r="A599" s="83" t="str">
        <f t="shared" si="64"/>
        <v>B1665Hblack</v>
      </c>
      <c r="B599" s="83" t="str">
        <f t="shared" si="65"/>
        <v>31-139-09</v>
      </c>
      <c r="C599" s="109" t="s">
        <v>2603</v>
      </c>
      <c r="D599" s="109" t="s">
        <v>2604</v>
      </c>
      <c r="E599" s="109" t="s">
        <v>793</v>
      </c>
      <c r="F599" s="110">
        <v>0</v>
      </c>
      <c r="G599" s="109" t="s">
        <v>2003</v>
      </c>
      <c r="H599" s="109" t="s">
        <v>53</v>
      </c>
      <c r="I599" s="109" t="s">
        <v>2004</v>
      </c>
      <c r="J599" s="109" t="s">
        <v>348</v>
      </c>
      <c r="K599" s="109" t="s">
        <v>387</v>
      </c>
      <c r="L599" s="109" t="s">
        <v>523</v>
      </c>
      <c r="M599" s="109" t="s">
        <v>388</v>
      </c>
      <c r="N599" s="109" t="s">
        <v>44</v>
      </c>
      <c r="O599" s="109" t="s">
        <v>386</v>
      </c>
      <c r="P599" s="109" t="s">
        <v>826</v>
      </c>
      <c r="Q599" s="109" t="s">
        <v>831</v>
      </c>
      <c r="R599" s="109" t="s">
        <v>53</v>
      </c>
      <c r="S599" s="83" t="str">
        <f t="shared" si="66"/>
        <v>B1665H</v>
      </c>
      <c r="T599" s="83" t="str">
        <f t="shared" si="63"/>
        <v>STEPHANIE</v>
      </c>
      <c r="Y599" s="60">
        <f t="shared" si="67"/>
        <v>31</v>
      </c>
      <c r="Z599" s="49">
        <f t="shared" si="68"/>
        <v>139</v>
      </c>
      <c r="AA599" s="60">
        <f t="shared" si="69"/>
        <v>31139</v>
      </c>
    </row>
    <row r="600" spans="1:27">
      <c r="A600" s="83" t="str">
        <f t="shared" si="64"/>
        <v>B1666Hbordeaux</v>
      </c>
      <c r="B600" s="83" t="str">
        <f t="shared" si="65"/>
        <v>31-123-12</v>
      </c>
      <c r="C600" s="109" t="s">
        <v>2605</v>
      </c>
      <c r="D600" s="109" t="s">
        <v>2606</v>
      </c>
      <c r="E600" s="109" t="s">
        <v>793</v>
      </c>
      <c r="F600" s="110">
        <v>0</v>
      </c>
      <c r="G600" s="109" t="s">
        <v>2051</v>
      </c>
      <c r="H600" s="109" t="s">
        <v>121</v>
      </c>
      <c r="I600" s="109" t="s">
        <v>794</v>
      </c>
      <c r="J600" s="109" t="s">
        <v>348</v>
      </c>
      <c r="K600" s="109" t="s">
        <v>387</v>
      </c>
      <c r="L600" s="109" t="s">
        <v>523</v>
      </c>
      <c r="M600" s="109" t="s">
        <v>388</v>
      </c>
      <c r="O600" s="109" t="s">
        <v>386</v>
      </c>
      <c r="P600" s="109" t="s">
        <v>826</v>
      </c>
      <c r="Q600" s="109" t="s">
        <v>1073</v>
      </c>
      <c r="R600" s="109" t="s">
        <v>121</v>
      </c>
      <c r="S600" s="83" t="str">
        <f t="shared" si="66"/>
        <v>B1666H</v>
      </c>
      <c r="T600" s="83" t="str">
        <f t="shared" si="63"/>
        <v>MULHOUSE</v>
      </c>
      <c r="Y600" s="60">
        <f t="shared" si="67"/>
        <v>31</v>
      </c>
      <c r="Z600" s="49">
        <f t="shared" si="68"/>
        <v>123</v>
      </c>
      <c r="AA600" s="60">
        <f t="shared" si="69"/>
        <v>31123</v>
      </c>
    </row>
    <row r="601" spans="1:27">
      <c r="A601" s="83" t="str">
        <f t="shared" si="64"/>
        <v>B562bordeaux</v>
      </c>
      <c r="B601" s="83" t="str">
        <f t="shared" si="65"/>
        <v>31-038-12</v>
      </c>
      <c r="C601" s="109" t="s">
        <v>2607</v>
      </c>
      <c r="D601" s="109" t="s">
        <v>2608</v>
      </c>
      <c r="E601" s="109" t="s">
        <v>793</v>
      </c>
      <c r="F601" s="110">
        <v>0</v>
      </c>
      <c r="G601" s="109" t="s">
        <v>1100</v>
      </c>
      <c r="H601" s="109" t="s">
        <v>286</v>
      </c>
      <c r="I601" s="109" t="s">
        <v>2290</v>
      </c>
      <c r="J601" s="109" t="s">
        <v>348</v>
      </c>
      <c r="K601" s="109" t="s">
        <v>387</v>
      </c>
      <c r="L601" s="109" t="s">
        <v>523</v>
      </c>
      <c r="M601" s="109" t="s">
        <v>388</v>
      </c>
      <c r="N601" s="109" t="s">
        <v>44</v>
      </c>
      <c r="O601" s="109" t="s">
        <v>386</v>
      </c>
      <c r="P601" s="109" t="s">
        <v>826</v>
      </c>
      <c r="Q601" s="109" t="s">
        <v>1073</v>
      </c>
      <c r="R601" s="109" t="s">
        <v>286</v>
      </c>
      <c r="S601" s="83" t="str">
        <f t="shared" si="66"/>
        <v>B562</v>
      </c>
      <c r="T601" s="83" t="str">
        <f t="shared" si="63"/>
        <v>BOY MEETS GIRL</v>
      </c>
      <c r="Y601" s="60">
        <f t="shared" si="67"/>
        <v>31</v>
      </c>
      <c r="Z601" s="49">
        <f t="shared" si="68"/>
        <v>38</v>
      </c>
      <c r="AA601" s="60">
        <f t="shared" si="69"/>
        <v>31038</v>
      </c>
    </row>
    <row r="602" spans="1:27">
      <c r="A602" s="83" t="str">
        <f t="shared" si="64"/>
        <v>B521camel</v>
      </c>
      <c r="B602" s="83" t="str">
        <f t="shared" si="65"/>
        <v>31-035-02</v>
      </c>
      <c r="C602" s="109" t="s">
        <v>2609</v>
      </c>
      <c r="D602" s="109" t="s">
        <v>2610</v>
      </c>
      <c r="E602" s="109" t="s">
        <v>793</v>
      </c>
      <c r="F602" s="110">
        <v>0</v>
      </c>
      <c r="G602" s="109" t="s">
        <v>1096</v>
      </c>
      <c r="H602" s="109" t="s">
        <v>63</v>
      </c>
      <c r="I602" s="109" t="s">
        <v>796</v>
      </c>
      <c r="J602" s="109" t="s">
        <v>348</v>
      </c>
      <c r="K602" s="109" t="s">
        <v>387</v>
      </c>
      <c r="L602" s="109" t="s">
        <v>523</v>
      </c>
      <c r="M602" s="109" t="s">
        <v>388</v>
      </c>
      <c r="N602" s="109" t="s">
        <v>44</v>
      </c>
      <c r="O602" s="109" t="s">
        <v>386</v>
      </c>
      <c r="P602" s="109" t="s">
        <v>826</v>
      </c>
      <c r="Q602" s="109" t="s">
        <v>834</v>
      </c>
      <c r="R602" s="109" t="s">
        <v>63</v>
      </c>
      <c r="S602" s="83" t="str">
        <f t="shared" si="66"/>
        <v>B521</v>
      </c>
      <c r="T602" s="83" t="str">
        <f t="shared" si="63"/>
        <v>RHINESTONE CAP</v>
      </c>
      <c r="Y602" s="60">
        <f t="shared" si="67"/>
        <v>31</v>
      </c>
      <c r="Z602" s="49">
        <f t="shared" si="68"/>
        <v>35</v>
      </c>
      <c r="AA602" s="60">
        <f t="shared" si="69"/>
        <v>31035</v>
      </c>
    </row>
    <row r="603" spans="1:27">
      <c r="A603" s="83" t="str">
        <f t="shared" si="64"/>
        <v>B521grey</v>
      </c>
      <c r="B603" s="83" t="str">
        <f t="shared" si="65"/>
        <v>31-035-08</v>
      </c>
      <c r="C603" s="109" t="s">
        <v>2611</v>
      </c>
      <c r="D603" s="109" t="s">
        <v>2612</v>
      </c>
      <c r="E603" s="109" t="s">
        <v>793</v>
      </c>
      <c r="F603" s="110">
        <v>0</v>
      </c>
      <c r="G603" s="109" t="s">
        <v>1096</v>
      </c>
      <c r="H603" s="109" t="s">
        <v>83</v>
      </c>
      <c r="I603" s="109" t="s">
        <v>796</v>
      </c>
      <c r="J603" s="109" t="s">
        <v>348</v>
      </c>
      <c r="K603" s="109" t="s">
        <v>387</v>
      </c>
      <c r="L603" s="109" t="s">
        <v>523</v>
      </c>
      <c r="M603" s="109" t="s">
        <v>388</v>
      </c>
      <c r="N603" s="109" t="s">
        <v>44</v>
      </c>
      <c r="O603" s="109" t="s">
        <v>386</v>
      </c>
      <c r="P603" s="109" t="s">
        <v>826</v>
      </c>
      <c r="Q603" s="109" t="s">
        <v>788</v>
      </c>
      <c r="R603" s="109" t="s">
        <v>83</v>
      </c>
      <c r="S603" s="83" t="str">
        <f t="shared" si="66"/>
        <v>B521</v>
      </c>
      <c r="T603" s="83" t="str">
        <f t="shared" si="63"/>
        <v>RHINESTONE CAP</v>
      </c>
      <c r="Y603" s="60">
        <f t="shared" si="67"/>
        <v>31</v>
      </c>
      <c r="Z603" s="49">
        <f t="shared" si="68"/>
        <v>35</v>
      </c>
      <c r="AA603" s="60">
        <f t="shared" si="69"/>
        <v>31035</v>
      </c>
    </row>
    <row r="604" spans="1:27">
      <c r="A604" s="83" t="str">
        <f t="shared" si="64"/>
        <v>B008Hheather grey</v>
      </c>
      <c r="B604" s="83" t="str">
        <f t="shared" si="65"/>
        <v>31-001-01</v>
      </c>
      <c r="C604" s="109" t="s">
        <v>2613</v>
      </c>
      <c r="D604" s="109" t="s">
        <v>2614</v>
      </c>
      <c r="E604" s="109" t="s">
        <v>793</v>
      </c>
      <c r="F604" s="110">
        <v>0</v>
      </c>
      <c r="G604" s="109" t="s">
        <v>1489</v>
      </c>
      <c r="H604" s="109" t="s">
        <v>231</v>
      </c>
      <c r="I604" s="109" t="s">
        <v>2004</v>
      </c>
      <c r="J604" s="109" t="s">
        <v>348</v>
      </c>
      <c r="K604" s="109" t="s">
        <v>387</v>
      </c>
      <c r="L604" s="109" t="s">
        <v>523</v>
      </c>
      <c r="M604" s="109" t="s">
        <v>388</v>
      </c>
      <c r="O604" s="109" t="s">
        <v>386</v>
      </c>
      <c r="P604" s="109" t="s">
        <v>826</v>
      </c>
      <c r="Q604" s="109" t="s">
        <v>1143</v>
      </c>
      <c r="R604" s="109" t="s">
        <v>83</v>
      </c>
      <c r="S604" s="83" t="str">
        <f t="shared" si="66"/>
        <v>B008H</v>
      </c>
      <c r="T604" s="83" t="str">
        <f t="shared" si="63"/>
        <v>LYDIA</v>
      </c>
      <c r="Y604" s="60">
        <f t="shared" si="67"/>
        <v>31</v>
      </c>
      <c r="Z604" s="49">
        <f t="shared" si="68"/>
        <v>1</v>
      </c>
      <c r="AA604" s="60">
        <f t="shared" si="69"/>
        <v>31001</v>
      </c>
    </row>
    <row r="605" spans="1:27">
      <c r="A605" s="83" t="str">
        <f t="shared" si="64"/>
        <v>B008Holive</v>
      </c>
      <c r="B605" s="83" t="str">
        <f t="shared" si="65"/>
        <v>31-001-03</v>
      </c>
      <c r="C605" s="109" t="s">
        <v>2615</v>
      </c>
      <c r="D605" s="109" t="s">
        <v>2616</v>
      </c>
      <c r="E605" s="109" t="s">
        <v>793</v>
      </c>
      <c r="F605" s="110">
        <v>0</v>
      </c>
      <c r="G605" s="109" t="s">
        <v>1489</v>
      </c>
      <c r="H605" s="109" t="s">
        <v>195</v>
      </c>
      <c r="I605" s="109" t="s">
        <v>2004</v>
      </c>
      <c r="J605" s="109" t="s">
        <v>348</v>
      </c>
      <c r="K605" s="109" t="s">
        <v>387</v>
      </c>
      <c r="L605" s="109" t="s">
        <v>523</v>
      </c>
      <c r="M605" s="109" t="s">
        <v>388</v>
      </c>
      <c r="O605" s="109" t="s">
        <v>386</v>
      </c>
      <c r="P605" s="109" t="s">
        <v>826</v>
      </c>
      <c r="Q605" s="109" t="s">
        <v>838</v>
      </c>
      <c r="R605" s="109" t="s">
        <v>195</v>
      </c>
      <c r="S605" s="83" t="str">
        <f t="shared" si="66"/>
        <v>B008H</v>
      </c>
      <c r="T605" s="83" t="str">
        <f t="shared" si="63"/>
        <v>LYDIA</v>
      </c>
      <c r="Y605" s="60">
        <f t="shared" si="67"/>
        <v>31</v>
      </c>
      <c r="Z605" s="49">
        <f t="shared" si="68"/>
        <v>1</v>
      </c>
      <c r="AA605" s="60">
        <f t="shared" si="69"/>
        <v>31001</v>
      </c>
    </row>
    <row r="606" spans="1:27">
      <c r="A606" s="83" t="str">
        <f t="shared" si="64"/>
        <v>B1284Htrue red</v>
      </c>
      <c r="B606" s="83" t="str">
        <f t="shared" si="65"/>
        <v>31-014-18</v>
      </c>
      <c r="C606" s="109" t="s">
        <v>2617</v>
      </c>
      <c r="D606" s="109" t="s">
        <v>2618</v>
      </c>
      <c r="E606" s="109" t="s">
        <v>793</v>
      </c>
      <c r="F606" s="110">
        <v>0</v>
      </c>
      <c r="G606" s="109" t="s">
        <v>2158</v>
      </c>
      <c r="H606" s="109" t="s">
        <v>78</v>
      </c>
      <c r="I606" s="109" t="s">
        <v>796</v>
      </c>
      <c r="J606" s="109" t="s">
        <v>348</v>
      </c>
      <c r="K606" s="109" t="s">
        <v>387</v>
      </c>
      <c r="L606" s="109" t="s">
        <v>523</v>
      </c>
      <c r="M606" s="109" t="s">
        <v>388</v>
      </c>
      <c r="N606" s="109" t="s">
        <v>44</v>
      </c>
      <c r="O606" s="109" t="s">
        <v>386</v>
      </c>
      <c r="P606" s="109" t="s">
        <v>827</v>
      </c>
      <c r="Q606" s="109" t="s">
        <v>870</v>
      </c>
      <c r="R606" s="109" t="s">
        <v>78</v>
      </c>
      <c r="S606" s="83" t="str">
        <f t="shared" si="66"/>
        <v>B1284H</v>
      </c>
      <c r="T606" s="83" t="str">
        <f t="shared" si="63"/>
        <v>LYNN</v>
      </c>
      <c r="Y606" s="60">
        <f t="shared" si="67"/>
        <v>31</v>
      </c>
      <c r="Z606" s="49">
        <f t="shared" si="68"/>
        <v>14</v>
      </c>
      <c r="AA606" s="60">
        <f t="shared" si="69"/>
        <v>31014</v>
      </c>
    </row>
    <row r="607" spans="1:27">
      <c r="A607" s="83" t="str">
        <f t="shared" si="64"/>
        <v>B1496Hblack</v>
      </c>
      <c r="B607" s="83" t="str">
        <f t="shared" si="65"/>
        <v>31-092-09</v>
      </c>
      <c r="C607" s="109" t="s">
        <v>2619</v>
      </c>
      <c r="D607" s="109" t="s">
        <v>2620</v>
      </c>
      <c r="E607" s="109" t="s">
        <v>793</v>
      </c>
      <c r="F607" s="110">
        <v>0</v>
      </c>
      <c r="G607" s="109" t="s">
        <v>2526</v>
      </c>
      <c r="H607" s="109" t="s">
        <v>53</v>
      </c>
      <c r="I607" s="109" t="s">
        <v>849</v>
      </c>
      <c r="J607" s="109" t="s">
        <v>360</v>
      </c>
      <c r="K607" s="109" t="s">
        <v>387</v>
      </c>
      <c r="L607" s="109" t="s">
        <v>523</v>
      </c>
      <c r="M607" s="109" t="s">
        <v>388</v>
      </c>
      <c r="N607" s="109" t="s">
        <v>44</v>
      </c>
      <c r="O607" s="109" t="s">
        <v>386</v>
      </c>
      <c r="P607" s="109" t="s">
        <v>826</v>
      </c>
      <c r="Q607" s="109" t="s">
        <v>831</v>
      </c>
      <c r="R607" s="109" t="s">
        <v>53</v>
      </c>
      <c r="S607" s="83" t="str">
        <f t="shared" si="66"/>
        <v>B1496H</v>
      </c>
      <c r="T607" s="83" t="str">
        <f t="shared" si="63"/>
        <v>Maureen</v>
      </c>
      <c r="Y607" s="60">
        <f t="shared" si="67"/>
        <v>31</v>
      </c>
      <c r="Z607" s="49">
        <f t="shared" si="68"/>
        <v>92</v>
      </c>
      <c r="AA607" s="60">
        <f t="shared" si="69"/>
        <v>31092</v>
      </c>
    </row>
    <row r="608" spans="1:27">
      <c r="A608" s="83" t="str">
        <f t="shared" si="64"/>
        <v>B1496Hcamel</v>
      </c>
      <c r="B608" s="83" t="str">
        <f t="shared" si="65"/>
        <v>31-092-02</v>
      </c>
      <c r="C608" s="109" t="s">
        <v>2621</v>
      </c>
      <c r="D608" s="109" t="s">
        <v>2622</v>
      </c>
      <c r="E608" s="109" t="s">
        <v>793</v>
      </c>
      <c r="F608" s="110">
        <v>0</v>
      </c>
      <c r="G608" s="109" t="s">
        <v>2526</v>
      </c>
      <c r="H608" s="109" t="s">
        <v>63</v>
      </c>
      <c r="I608" s="109" t="s">
        <v>849</v>
      </c>
      <c r="J608" s="109" t="s">
        <v>360</v>
      </c>
      <c r="K608" s="109" t="s">
        <v>387</v>
      </c>
      <c r="L608" s="109" t="s">
        <v>523</v>
      </c>
      <c r="M608" s="109" t="s">
        <v>388</v>
      </c>
      <c r="N608" s="109" t="s">
        <v>44</v>
      </c>
      <c r="O608" s="109" t="s">
        <v>386</v>
      </c>
      <c r="P608" s="109" t="s">
        <v>826</v>
      </c>
      <c r="Q608" s="109" t="s">
        <v>834</v>
      </c>
      <c r="R608" s="109" t="s">
        <v>63</v>
      </c>
      <c r="S608" s="83" t="str">
        <f t="shared" si="66"/>
        <v>B1496H</v>
      </c>
      <c r="T608" s="83" t="str">
        <f t="shared" si="63"/>
        <v>Maureen</v>
      </c>
      <c r="Y608" s="60">
        <f t="shared" si="67"/>
        <v>31</v>
      </c>
      <c r="Z608" s="49">
        <f t="shared" si="68"/>
        <v>92</v>
      </c>
      <c r="AA608" s="60">
        <f t="shared" si="69"/>
        <v>31092</v>
      </c>
    </row>
    <row r="609" spans="1:27">
      <c r="A609" s="83" t="str">
        <f t="shared" si="64"/>
        <v>B1488Hblack</v>
      </c>
      <c r="B609" s="83" t="str">
        <f t="shared" si="65"/>
        <v>31-142-09</v>
      </c>
      <c r="C609" s="109" t="s">
        <v>2623</v>
      </c>
      <c r="D609" s="109" t="s">
        <v>2624</v>
      </c>
      <c r="E609" s="109" t="s">
        <v>793</v>
      </c>
      <c r="F609" s="110">
        <v>0</v>
      </c>
      <c r="G609" s="109" t="s">
        <v>1107</v>
      </c>
      <c r="H609" s="109" t="s">
        <v>53</v>
      </c>
      <c r="I609" s="109" t="s">
        <v>785</v>
      </c>
      <c r="J609" s="109" t="s">
        <v>357</v>
      </c>
      <c r="K609" s="109" t="s">
        <v>387</v>
      </c>
      <c r="L609" s="109" t="s">
        <v>523</v>
      </c>
      <c r="M609" s="109" t="s">
        <v>388</v>
      </c>
      <c r="N609" s="109" t="s">
        <v>30</v>
      </c>
      <c r="O609" s="109" t="s">
        <v>386</v>
      </c>
      <c r="P609" s="109" t="s">
        <v>827</v>
      </c>
      <c r="Q609" s="109" t="s">
        <v>831</v>
      </c>
      <c r="R609" s="109" t="s">
        <v>53</v>
      </c>
      <c r="S609" s="83" t="str">
        <f t="shared" si="66"/>
        <v>B1488H</v>
      </c>
      <c r="T609" s="83" t="str">
        <f t="shared" si="63"/>
        <v>CHRISTINA</v>
      </c>
      <c r="Y609" s="60">
        <f t="shared" si="67"/>
        <v>31</v>
      </c>
      <c r="Z609" s="49">
        <f t="shared" si="68"/>
        <v>142</v>
      </c>
      <c r="AA609" s="60">
        <f t="shared" si="69"/>
        <v>31142</v>
      </c>
    </row>
    <row r="610" spans="1:27">
      <c r="A610" s="83" t="str">
        <f t="shared" si="64"/>
        <v>B1675Hblush</v>
      </c>
      <c r="B610" s="83" t="str">
        <f t="shared" si="65"/>
        <v>31-143-34</v>
      </c>
      <c r="C610" s="109" t="s">
        <v>2625</v>
      </c>
      <c r="D610" s="109" t="s">
        <v>2626</v>
      </c>
      <c r="E610" s="109" t="s">
        <v>798</v>
      </c>
      <c r="F610" s="110">
        <v>56</v>
      </c>
      <c r="G610" s="109" t="s">
        <v>2627</v>
      </c>
      <c r="H610" s="109" t="s">
        <v>68</v>
      </c>
      <c r="I610" s="109" t="s">
        <v>785</v>
      </c>
      <c r="J610" s="109" t="s">
        <v>357</v>
      </c>
      <c r="K610" s="109" t="s">
        <v>387</v>
      </c>
      <c r="L610" s="109" t="s">
        <v>523</v>
      </c>
      <c r="M610" s="109" t="s">
        <v>388</v>
      </c>
      <c r="N610" s="109" t="s">
        <v>30</v>
      </c>
      <c r="O610" s="109" t="s">
        <v>445</v>
      </c>
      <c r="P610" s="109" t="s">
        <v>826</v>
      </c>
      <c r="Q610" s="109" t="s">
        <v>1279</v>
      </c>
      <c r="R610" s="109" t="s">
        <v>68</v>
      </c>
      <c r="S610" s="83" t="str">
        <f t="shared" si="66"/>
        <v>B1675H</v>
      </c>
      <c r="T610" s="83" t="str">
        <f t="shared" si="63"/>
        <v>MARY</v>
      </c>
      <c r="Y610" s="60">
        <f t="shared" si="67"/>
        <v>31</v>
      </c>
      <c r="Z610" s="49">
        <f t="shared" si="68"/>
        <v>143</v>
      </c>
      <c r="AA610" s="60">
        <f t="shared" si="69"/>
        <v>31143</v>
      </c>
    </row>
    <row r="611" spans="1:27">
      <c r="A611" s="83" t="str">
        <f t="shared" si="64"/>
        <v>B545Hblush</v>
      </c>
      <c r="B611" s="83" t="str">
        <f t="shared" si="65"/>
        <v>31-037-02</v>
      </c>
      <c r="C611" s="109" t="s">
        <v>2628</v>
      </c>
      <c r="D611" s="109" t="s">
        <v>2629</v>
      </c>
      <c r="E611" s="109" t="s">
        <v>793</v>
      </c>
      <c r="F611" s="110">
        <v>0</v>
      </c>
      <c r="G611" s="109" t="s">
        <v>1178</v>
      </c>
      <c r="H611" s="109" t="s">
        <v>68</v>
      </c>
      <c r="I611" s="109" t="s">
        <v>785</v>
      </c>
      <c r="J611" s="109" t="s">
        <v>357</v>
      </c>
      <c r="K611" s="109" t="s">
        <v>387</v>
      </c>
      <c r="L611" s="109" t="s">
        <v>523</v>
      </c>
      <c r="M611" s="109" t="s">
        <v>388</v>
      </c>
      <c r="N611" s="109" t="s">
        <v>30</v>
      </c>
      <c r="O611" s="109" t="s">
        <v>386</v>
      </c>
      <c r="P611" s="109" t="s">
        <v>827</v>
      </c>
      <c r="Q611" s="109" t="s">
        <v>1279</v>
      </c>
      <c r="R611" s="109" t="s">
        <v>68</v>
      </c>
      <c r="S611" s="83" t="str">
        <f t="shared" si="66"/>
        <v>B545H</v>
      </c>
      <c r="T611" s="83" t="str">
        <f t="shared" si="63"/>
        <v>ALEXANDRITE</v>
      </c>
      <c r="Y611" s="60">
        <f t="shared" si="67"/>
        <v>31</v>
      </c>
      <c r="Z611" s="49">
        <f t="shared" si="68"/>
        <v>37</v>
      </c>
      <c r="AA611" s="60">
        <f t="shared" si="69"/>
        <v>31037</v>
      </c>
    </row>
    <row r="612" spans="1:27">
      <c r="A612" s="83" t="str">
        <f t="shared" si="64"/>
        <v>B1488Hcranberry</v>
      </c>
      <c r="B612" s="83" t="str">
        <f t="shared" si="65"/>
        <v>31-142-12</v>
      </c>
      <c r="C612" s="109" t="s">
        <v>2630</v>
      </c>
      <c r="D612" s="109" t="s">
        <v>2631</v>
      </c>
      <c r="E612" s="109" t="s">
        <v>793</v>
      </c>
      <c r="F612" s="110">
        <v>0</v>
      </c>
      <c r="G612" s="109" t="s">
        <v>1107</v>
      </c>
      <c r="H612" s="109" t="s">
        <v>121</v>
      </c>
      <c r="I612" s="109" t="s">
        <v>785</v>
      </c>
      <c r="J612" s="109" t="s">
        <v>357</v>
      </c>
      <c r="K612" s="109" t="s">
        <v>387</v>
      </c>
      <c r="L612" s="109" t="s">
        <v>523</v>
      </c>
      <c r="M612" s="109" t="s">
        <v>388</v>
      </c>
      <c r="N612" s="109" t="s">
        <v>30</v>
      </c>
      <c r="O612" s="109" t="s">
        <v>386</v>
      </c>
      <c r="P612" s="109" t="s">
        <v>826</v>
      </c>
      <c r="Q612" s="109" t="s">
        <v>1168</v>
      </c>
      <c r="R612" s="109" t="s">
        <v>121</v>
      </c>
      <c r="S612" s="83" t="str">
        <f t="shared" si="66"/>
        <v>B1488H</v>
      </c>
      <c r="T612" s="83" t="str">
        <f t="shared" si="63"/>
        <v>CHRISTINA</v>
      </c>
      <c r="Y612" s="60">
        <f t="shared" si="67"/>
        <v>31</v>
      </c>
      <c r="Z612" s="49">
        <f t="shared" si="68"/>
        <v>142</v>
      </c>
      <c r="AA612" s="60">
        <f t="shared" si="69"/>
        <v>31142</v>
      </c>
    </row>
    <row r="613" spans="1:27">
      <c r="A613" s="83" t="str">
        <f t="shared" si="64"/>
        <v>B1488Hred</v>
      </c>
      <c r="B613" s="83" t="str">
        <f t="shared" si="65"/>
        <v>31-142-18</v>
      </c>
      <c r="C613" s="109" t="s">
        <v>2632</v>
      </c>
      <c r="D613" s="109" t="s">
        <v>2633</v>
      </c>
      <c r="E613" s="109" t="s">
        <v>793</v>
      </c>
      <c r="F613" s="110">
        <v>0</v>
      </c>
      <c r="G613" s="109" t="s">
        <v>1107</v>
      </c>
      <c r="H613" s="109" t="s">
        <v>78</v>
      </c>
      <c r="I613" s="109" t="s">
        <v>785</v>
      </c>
      <c r="J613" s="109" t="s">
        <v>357</v>
      </c>
      <c r="K613" s="109" t="s">
        <v>387</v>
      </c>
      <c r="L613" s="109" t="s">
        <v>523</v>
      </c>
      <c r="M613" s="109" t="s">
        <v>388</v>
      </c>
      <c r="N613" s="109" t="s">
        <v>30</v>
      </c>
      <c r="O613" s="109" t="s">
        <v>386</v>
      </c>
      <c r="P613" s="109" t="s">
        <v>826</v>
      </c>
      <c r="Q613" s="109" t="s">
        <v>875</v>
      </c>
      <c r="R613" s="109" t="s">
        <v>78</v>
      </c>
      <c r="S613" s="83" t="str">
        <f t="shared" si="66"/>
        <v>B1488H</v>
      </c>
      <c r="T613" s="83" t="str">
        <f t="shared" si="63"/>
        <v>CHRISTINA</v>
      </c>
      <c r="Y613" s="60">
        <f t="shared" si="67"/>
        <v>31</v>
      </c>
      <c r="Z613" s="49">
        <f t="shared" si="68"/>
        <v>142</v>
      </c>
      <c r="AA613" s="60">
        <f t="shared" si="69"/>
        <v>31142</v>
      </c>
    </row>
    <row r="614" spans="1:27">
      <c r="A614" s="83" t="str">
        <f t="shared" si="64"/>
        <v>B1675Hscarlet</v>
      </c>
      <c r="B614" s="83" t="str">
        <f t="shared" si="65"/>
        <v>31-143-18</v>
      </c>
      <c r="C614" s="109" t="s">
        <v>2634</v>
      </c>
      <c r="D614" s="109" t="s">
        <v>2635</v>
      </c>
      <c r="E614" s="109" t="s">
        <v>798</v>
      </c>
      <c r="F614" s="110">
        <v>56</v>
      </c>
      <c r="G614" s="109" t="s">
        <v>2627</v>
      </c>
      <c r="H614" s="109" t="s">
        <v>78</v>
      </c>
      <c r="I614" s="109" t="s">
        <v>785</v>
      </c>
      <c r="J614" s="109" t="s">
        <v>357</v>
      </c>
      <c r="K614" s="109" t="s">
        <v>387</v>
      </c>
      <c r="L614" s="109" t="s">
        <v>523</v>
      </c>
      <c r="M614" s="109" t="s">
        <v>388</v>
      </c>
      <c r="N614" s="109" t="s">
        <v>30</v>
      </c>
      <c r="O614" s="109" t="s">
        <v>445</v>
      </c>
      <c r="P614" s="109" t="s">
        <v>826</v>
      </c>
      <c r="Q614" s="109" t="s">
        <v>896</v>
      </c>
      <c r="R614" s="109" t="s">
        <v>78</v>
      </c>
      <c r="S614" s="83" t="str">
        <f t="shared" si="66"/>
        <v>B1675H</v>
      </c>
      <c r="T614" s="83" t="str">
        <f t="shared" si="63"/>
        <v>MARY</v>
      </c>
      <c r="Y614" s="60">
        <f t="shared" si="67"/>
        <v>31</v>
      </c>
      <c r="Z614" s="49">
        <f t="shared" si="68"/>
        <v>143</v>
      </c>
      <c r="AA614" s="60">
        <f t="shared" si="69"/>
        <v>31143</v>
      </c>
    </row>
    <row r="615" spans="1:27">
      <c r="A615" s="83" t="str">
        <f t="shared" si="64"/>
        <v>B1675Hscarlet</v>
      </c>
      <c r="B615" s="83" t="str">
        <f t="shared" si="65"/>
        <v>31-143-18</v>
      </c>
      <c r="C615" s="109" t="s">
        <v>2636</v>
      </c>
      <c r="D615" s="109" t="s">
        <v>2635</v>
      </c>
      <c r="E615" s="109" t="s">
        <v>791</v>
      </c>
      <c r="F615" s="110">
        <v>58</v>
      </c>
      <c r="G615" s="109" t="s">
        <v>2627</v>
      </c>
      <c r="H615" s="109" t="s">
        <v>78</v>
      </c>
      <c r="I615" s="109" t="s">
        <v>785</v>
      </c>
      <c r="J615" s="109" t="s">
        <v>357</v>
      </c>
      <c r="K615" s="109" t="s">
        <v>387</v>
      </c>
      <c r="L615" s="109" t="s">
        <v>523</v>
      </c>
      <c r="M615" s="109" t="s">
        <v>388</v>
      </c>
      <c r="N615" s="109" t="s">
        <v>30</v>
      </c>
      <c r="O615" s="109" t="s">
        <v>445</v>
      </c>
      <c r="P615" s="109" t="s">
        <v>826</v>
      </c>
      <c r="Q615" s="109" t="s">
        <v>896</v>
      </c>
      <c r="R615" s="109" t="s">
        <v>78</v>
      </c>
      <c r="S615" s="83" t="str">
        <f t="shared" si="66"/>
        <v>B1675H</v>
      </c>
      <c r="T615" s="83" t="str">
        <f t="shared" si="63"/>
        <v>MARY</v>
      </c>
      <c r="Y615" s="60">
        <f t="shared" si="67"/>
        <v>31</v>
      </c>
      <c r="Z615" s="49">
        <f t="shared" si="68"/>
        <v>143</v>
      </c>
      <c r="AA615" s="60">
        <f t="shared" si="69"/>
        <v>31143</v>
      </c>
    </row>
    <row r="616" spans="1:27">
      <c r="A616" s="83" t="str">
        <f t="shared" si="64"/>
        <v>B1677Hblack</v>
      </c>
      <c r="B616" s="83" t="str">
        <f t="shared" si="65"/>
        <v>31-145-09</v>
      </c>
      <c r="C616" s="109" t="s">
        <v>2637</v>
      </c>
      <c r="D616" s="109" t="s">
        <v>2638</v>
      </c>
      <c r="E616" s="109" t="s">
        <v>798</v>
      </c>
      <c r="F616" s="110">
        <v>56</v>
      </c>
      <c r="G616" s="109" t="s">
        <v>1528</v>
      </c>
      <c r="H616" s="109" t="s">
        <v>53</v>
      </c>
      <c r="I616" s="109" t="s">
        <v>785</v>
      </c>
      <c r="J616" s="109" t="s">
        <v>323</v>
      </c>
      <c r="K616" s="109" t="s">
        <v>387</v>
      </c>
      <c r="L616" s="109" t="s">
        <v>523</v>
      </c>
      <c r="M616" s="109" t="s">
        <v>388</v>
      </c>
      <c r="N616" s="109" t="s">
        <v>30</v>
      </c>
      <c r="O616" s="109" t="s">
        <v>445</v>
      </c>
      <c r="P616" s="109" t="s">
        <v>827</v>
      </c>
      <c r="Q616" s="109" t="s">
        <v>831</v>
      </c>
      <c r="R616" s="109" t="s">
        <v>53</v>
      </c>
      <c r="S616" s="83" t="str">
        <f t="shared" si="66"/>
        <v>B1677H</v>
      </c>
      <c r="T616" s="83" t="str">
        <f t="shared" si="63"/>
        <v>HANNAH</v>
      </c>
      <c r="Y616" s="60">
        <f t="shared" si="67"/>
        <v>31</v>
      </c>
      <c r="Z616" s="49">
        <f t="shared" si="68"/>
        <v>145</v>
      </c>
      <c r="AA616" s="60">
        <f t="shared" si="69"/>
        <v>31145</v>
      </c>
    </row>
    <row r="617" spans="1:27">
      <c r="A617" s="83" t="str">
        <f t="shared" si="64"/>
        <v>B1677Hblack</v>
      </c>
      <c r="B617" s="83" t="str">
        <f t="shared" si="65"/>
        <v>31-145-09</v>
      </c>
      <c r="C617" s="109" t="s">
        <v>2639</v>
      </c>
      <c r="D617" s="109" t="s">
        <v>2638</v>
      </c>
      <c r="E617" s="109" t="s">
        <v>791</v>
      </c>
      <c r="F617" s="110">
        <v>58</v>
      </c>
      <c r="G617" s="109" t="s">
        <v>1528</v>
      </c>
      <c r="H617" s="109" t="s">
        <v>53</v>
      </c>
      <c r="I617" s="109" t="s">
        <v>785</v>
      </c>
      <c r="J617" s="109" t="s">
        <v>323</v>
      </c>
      <c r="K617" s="109" t="s">
        <v>387</v>
      </c>
      <c r="L617" s="109" t="s">
        <v>523</v>
      </c>
      <c r="M617" s="109" t="s">
        <v>388</v>
      </c>
      <c r="N617" s="109" t="s">
        <v>30</v>
      </c>
      <c r="O617" s="109" t="s">
        <v>445</v>
      </c>
      <c r="P617" s="109" t="s">
        <v>827</v>
      </c>
      <c r="Q617" s="109" t="s">
        <v>831</v>
      </c>
      <c r="R617" s="109" t="s">
        <v>53</v>
      </c>
      <c r="S617" s="83" t="str">
        <f t="shared" si="66"/>
        <v>B1677H</v>
      </c>
      <c r="T617" s="83" t="str">
        <f t="shared" si="63"/>
        <v>HANNAH</v>
      </c>
      <c r="Y617" s="60">
        <f t="shared" si="67"/>
        <v>31</v>
      </c>
      <c r="Z617" s="49">
        <f t="shared" si="68"/>
        <v>145</v>
      </c>
      <c r="AA617" s="60">
        <f t="shared" si="69"/>
        <v>31145</v>
      </c>
    </row>
    <row r="618" spans="1:27">
      <c r="A618" s="83" t="str">
        <f t="shared" si="64"/>
        <v>B1677Hcamel</v>
      </c>
      <c r="B618" s="83" t="str">
        <f t="shared" si="65"/>
        <v>31-145-02</v>
      </c>
      <c r="C618" s="109" t="s">
        <v>2640</v>
      </c>
      <c r="D618" s="109" t="s">
        <v>2641</v>
      </c>
      <c r="E618" s="109" t="s">
        <v>798</v>
      </c>
      <c r="F618" s="110">
        <v>56</v>
      </c>
      <c r="G618" s="109" t="s">
        <v>1528</v>
      </c>
      <c r="H618" s="109" t="s">
        <v>63</v>
      </c>
      <c r="I618" s="109" t="s">
        <v>785</v>
      </c>
      <c r="J618" s="109" t="s">
        <v>323</v>
      </c>
      <c r="K618" s="109" t="s">
        <v>387</v>
      </c>
      <c r="L618" s="109" t="s">
        <v>523</v>
      </c>
      <c r="M618" s="109" t="s">
        <v>388</v>
      </c>
      <c r="N618" s="109" t="s">
        <v>30</v>
      </c>
      <c r="O618" s="109" t="s">
        <v>445</v>
      </c>
      <c r="P618" s="109" t="s">
        <v>827</v>
      </c>
      <c r="Q618" s="109" t="s">
        <v>834</v>
      </c>
      <c r="R618" s="109" t="s">
        <v>63</v>
      </c>
      <c r="S618" s="83" t="str">
        <f t="shared" si="66"/>
        <v>B1677H</v>
      </c>
      <c r="T618" s="83" t="str">
        <f t="shared" si="63"/>
        <v>HANNAH</v>
      </c>
      <c r="Y618" s="60">
        <f t="shared" si="67"/>
        <v>31</v>
      </c>
      <c r="Z618" s="49">
        <f t="shared" si="68"/>
        <v>145</v>
      </c>
      <c r="AA618" s="60">
        <f t="shared" si="69"/>
        <v>31145</v>
      </c>
    </row>
    <row r="619" spans="1:27">
      <c r="A619" s="83" t="str">
        <f t="shared" si="64"/>
        <v>B1677Hcamel</v>
      </c>
      <c r="B619" s="83" t="str">
        <f t="shared" si="65"/>
        <v>31-145-02</v>
      </c>
      <c r="C619" s="109" t="s">
        <v>2642</v>
      </c>
      <c r="D619" s="109" t="s">
        <v>2641</v>
      </c>
      <c r="E619" s="109" t="s">
        <v>791</v>
      </c>
      <c r="F619" s="110">
        <v>58</v>
      </c>
      <c r="G619" s="109" t="s">
        <v>1528</v>
      </c>
      <c r="H619" s="109" t="s">
        <v>63</v>
      </c>
      <c r="I619" s="109" t="s">
        <v>785</v>
      </c>
      <c r="J619" s="109" t="s">
        <v>323</v>
      </c>
      <c r="K619" s="109" t="s">
        <v>387</v>
      </c>
      <c r="L619" s="109" t="s">
        <v>523</v>
      </c>
      <c r="M619" s="109" t="s">
        <v>388</v>
      </c>
      <c r="N619" s="109" t="s">
        <v>30</v>
      </c>
      <c r="O619" s="109" t="s">
        <v>445</v>
      </c>
      <c r="P619" s="109" t="s">
        <v>827</v>
      </c>
      <c r="Q619" s="109" t="s">
        <v>834</v>
      </c>
      <c r="R619" s="109" t="s">
        <v>63</v>
      </c>
      <c r="S619" s="83" t="str">
        <f t="shared" si="66"/>
        <v>B1677H</v>
      </c>
      <c r="T619" s="83" t="str">
        <f t="shared" si="63"/>
        <v>HANNAH</v>
      </c>
      <c r="Y619" s="60">
        <f t="shared" si="67"/>
        <v>31</v>
      </c>
      <c r="Z619" s="49">
        <f t="shared" si="68"/>
        <v>145</v>
      </c>
      <c r="AA619" s="60">
        <f t="shared" si="69"/>
        <v>31145</v>
      </c>
    </row>
    <row r="620" spans="1:27">
      <c r="A620" s="83" t="str">
        <f t="shared" si="64"/>
        <v>B1677Holive</v>
      </c>
      <c r="B620" s="83" t="str">
        <f t="shared" si="65"/>
        <v>31-145-03</v>
      </c>
      <c r="C620" s="109" t="s">
        <v>2643</v>
      </c>
      <c r="D620" s="109" t="s">
        <v>2644</v>
      </c>
      <c r="E620" s="109" t="s">
        <v>798</v>
      </c>
      <c r="F620" s="110">
        <v>56</v>
      </c>
      <c r="G620" s="109" t="s">
        <v>1528</v>
      </c>
      <c r="H620" s="109" t="s">
        <v>195</v>
      </c>
      <c r="I620" s="109" t="s">
        <v>785</v>
      </c>
      <c r="J620" s="109" t="s">
        <v>323</v>
      </c>
      <c r="K620" s="109" t="s">
        <v>387</v>
      </c>
      <c r="L620" s="109" t="s">
        <v>523</v>
      </c>
      <c r="M620" s="109" t="s">
        <v>388</v>
      </c>
      <c r="N620" s="109" t="s">
        <v>30</v>
      </c>
      <c r="O620" s="109" t="s">
        <v>445</v>
      </c>
      <c r="P620" s="109" t="s">
        <v>826</v>
      </c>
      <c r="Q620" s="109" t="s">
        <v>838</v>
      </c>
      <c r="R620" s="109" t="s">
        <v>195</v>
      </c>
      <c r="S620" s="83" t="str">
        <f t="shared" si="66"/>
        <v>B1677H</v>
      </c>
      <c r="T620" s="83" t="str">
        <f t="shared" si="63"/>
        <v>HANNAH</v>
      </c>
      <c r="Y620" s="60">
        <f t="shared" si="67"/>
        <v>31</v>
      </c>
      <c r="Z620" s="49">
        <f t="shared" si="68"/>
        <v>145</v>
      </c>
      <c r="AA620" s="60">
        <f t="shared" si="69"/>
        <v>31145</v>
      </c>
    </row>
    <row r="621" spans="1:27">
      <c r="A621" s="83" t="str">
        <f t="shared" si="64"/>
        <v>B1677Holive</v>
      </c>
      <c r="B621" s="83" t="str">
        <f t="shared" si="65"/>
        <v>31-145-03</v>
      </c>
      <c r="C621" s="109" t="s">
        <v>2645</v>
      </c>
      <c r="D621" s="109" t="s">
        <v>2644</v>
      </c>
      <c r="E621" s="109" t="s">
        <v>791</v>
      </c>
      <c r="F621" s="110">
        <v>58</v>
      </c>
      <c r="G621" s="109" t="s">
        <v>1528</v>
      </c>
      <c r="H621" s="109" t="s">
        <v>195</v>
      </c>
      <c r="I621" s="109" t="s">
        <v>785</v>
      </c>
      <c r="J621" s="109" t="s">
        <v>323</v>
      </c>
      <c r="K621" s="109" t="s">
        <v>387</v>
      </c>
      <c r="L621" s="109" t="s">
        <v>523</v>
      </c>
      <c r="M621" s="109" t="s">
        <v>388</v>
      </c>
      <c r="N621" s="109" t="s">
        <v>30</v>
      </c>
      <c r="O621" s="109" t="s">
        <v>445</v>
      </c>
      <c r="P621" s="109" t="s">
        <v>826</v>
      </c>
      <c r="Q621" s="109" t="s">
        <v>838</v>
      </c>
      <c r="R621" s="109" t="s">
        <v>195</v>
      </c>
      <c r="S621" s="83" t="str">
        <f t="shared" si="66"/>
        <v>B1677H</v>
      </c>
      <c r="T621" s="83" t="str">
        <f t="shared" si="63"/>
        <v>HANNAH</v>
      </c>
      <c r="Y621" s="60">
        <f t="shared" si="67"/>
        <v>31</v>
      </c>
      <c r="Z621" s="49">
        <f t="shared" si="68"/>
        <v>145</v>
      </c>
      <c r="AA621" s="60">
        <f t="shared" si="69"/>
        <v>31145</v>
      </c>
    </row>
    <row r="622" spans="1:27">
      <c r="A622" s="83" t="str">
        <f t="shared" si="64"/>
        <v>B1643Hblack</v>
      </c>
      <c r="B622" s="83" t="str">
        <f t="shared" si="65"/>
        <v>31-146-09</v>
      </c>
      <c r="C622" s="109" t="s">
        <v>2646</v>
      </c>
      <c r="D622" s="109" t="s">
        <v>2647</v>
      </c>
      <c r="E622" s="109" t="s">
        <v>793</v>
      </c>
      <c r="F622" s="110">
        <v>0</v>
      </c>
      <c r="G622" s="109" t="s">
        <v>2022</v>
      </c>
      <c r="H622" s="109" t="s">
        <v>53</v>
      </c>
      <c r="I622" s="109" t="s">
        <v>785</v>
      </c>
      <c r="J622" s="109" t="s">
        <v>330</v>
      </c>
      <c r="K622" s="109" t="s">
        <v>387</v>
      </c>
      <c r="L622" s="109" t="s">
        <v>523</v>
      </c>
      <c r="M622" s="109" t="s">
        <v>388</v>
      </c>
      <c r="N622" s="109" t="s">
        <v>30</v>
      </c>
      <c r="O622" s="109" t="s">
        <v>386</v>
      </c>
      <c r="P622" s="109" t="s">
        <v>826</v>
      </c>
      <c r="Q622" s="109" t="s">
        <v>831</v>
      </c>
      <c r="R622" s="109" t="s">
        <v>53</v>
      </c>
      <c r="S622" s="83" t="str">
        <f t="shared" si="66"/>
        <v>B1643H</v>
      </c>
      <c r="T622" s="83" t="str">
        <f t="shared" si="63"/>
        <v>RAVEN</v>
      </c>
      <c r="Y622" s="60">
        <f t="shared" si="67"/>
        <v>31</v>
      </c>
      <c r="Z622" s="49">
        <f t="shared" si="68"/>
        <v>146</v>
      </c>
      <c r="AA622" s="60">
        <f t="shared" si="69"/>
        <v>31146</v>
      </c>
    </row>
    <row r="623" spans="1:27">
      <c r="A623" s="83" t="str">
        <f t="shared" si="64"/>
        <v>B1671Hburgundy</v>
      </c>
      <c r="B623" s="83" t="str">
        <f t="shared" si="65"/>
        <v>31-124-12</v>
      </c>
      <c r="C623" s="109" t="s">
        <v>2648</v>
      </c>
      <c r="D623" s="109" t="s">
        <v>2649</v>
      </c>
      <c r="E623" s="109" t="s">
        <v>798</v>
      </c>
      <c r="F623" s="110">
        <v>56</v>
      </c>
      <c r="G623" s="109" t="s">
        <v>2055</v>
      </c>
      <c r="H623" s="109" t="s">
        <v>121</v>
      </c>
      <c r="I623" s="109" t="s">
        <v>785</v>
      </c>
      <c r="J623" s="109" t="s">
        <v>330</v>
      </c>
      <c r="K623" s="109" t="s">
        <v>387</v>
      </c>
      <c r="L623" s="109" t="s">
        <v>523</v>
      </c>
      <c r="M623" s="109" t="s">
        <v>388</v>
      </c>
      <c r="N623" s="109" t="s">
        <v>30</v>
      </c>
      <c r="O623" s="109" t="s">
        <v>445</v>
      </c>
      <c r="P623" s="109" t="s">
        <v>827</v>
      </c>
      <c r="Q623" s="109" t="s">
        <v>856</v>
      </c>
      <c r="R623" s="109" t="s">
        <v>121</v>
      </c>
      <c r="S623" s="83" t="str">
        <f t="shared" si="66"/>
        <v>B1671H</v>
      </c>
      <c r="T623" s="83" t="str">
        <f t="shared" si="63"/>
        <v>TESSA</v>
      </c>
      <c r="Y623" s="60">
        <f t="shared" si="67"/>
        <v>31</v>
      </c>
      <c r="Z623" s="49">
        <f t="shared" si="68"/>
        <v>124</v>
      </c>
      <c r="AA623" s="60">
        <f t="shared" si="69"/>
        <v>31124</v>
      </c>
    </row>
    <row r="624" spans="1:27">
      <c r="A624" s="83" t="str">
        <f t="shared" si="64"/>
        <v>B1671Hburgundy</v>
      </c>
      <c r="B624" s="83" t="str">
        <f t="shared" si="65"/>
        <v>31-124-12</v>
      </c>
      <c r="C624" s="109" t="s">
        <v>2650</v>
      </c>
      <c r="D624" s="109" t="s">
        <v>2649</v>
      </c>
      <c r="E624" s="109" t="s">
        <v>791</v>
      </c>
      <c r="F624" s="110">
        <v>58</v>
      </c>
      <c r="G624" s="109" t="s">
        <v>2055</v>
      </c>
      <c r="H624" s="109" t="s">
        <v>121</v>
      </c>
      <c r="I624" s="109" t="s">
        <v>785</v>
      </c>
      <c r="J624" s="109" t="s">
        <v>330</v>
      </c>
      <c r="K624" s="109" t="s">
        <v>387</v>
      </c>
      <c r="L624" s="109" t="s">
        <v>523</v>
      </c>
      <c r="M624" s="109" t="s">
        <v>388</v>
      </c>
      <c r="N624" s="109" t="s">
        <v>30</v>
      </c>
      <c r="O624" s="109" t="s">
        <v>445</v>
      </c>
      <c r="P624" s="109" t="s">
        <v>827</v>
      </c>
      <c r="Q624" s="109" t="s">
        <v>856</v>
      </c>
      <c r="R624" s="109" t="s">
        <v>121</v>
      </c>
      <c r="S624" s="83" t="str">
        <f t="shared" si="66"/>
        <v>B1671H</v>
      </c>
      <c r="T624" s="83" t="str">
        <f t="shared" si="63"/>
        <v>TESSA</v>
      </c>
      <c r="Y624" s="60">
        <f t="shared" si="67"/>
        <v>31</v>
      </c>
      <c r="Z624" s="49">
        <f t="shared" si="68"/>
        <v>124</v>
      </c>
      <c r="AA624" s="60">
        <f t="shared" si="69"/>
        <v>31124</v>
      </c>
    </row>
    <row r="625" spans="1:27">
      <c r="A625" s="83" t="str">
        <f t="shared" si="64"/>
        <v>B1674Hchestnut roast</v>
      </c>
      <c r="B625" s="83" t="str">
        <f t="shared" si="65"/>
        <v>31-125-12</v>
      </c>
      <c r="C625" s="109" t="s">
        <v>2651</v>
      </c>
      <c r="D625" s="109" t="s">
        <v>2652</v>
      </c>
      <c r="E625" s="109" t="s">
        <v>798</v>
      </c>
      <c r="F625" s="110">
        <v>56</v>
      </c>
      <c r="G625" s="109" t="s">
        <v>2059</v>
      </c>
      <c r="H625" s="109" t="s">
        <v>121</v>
      </c>
      <c r="I625" s="109" t="s">
        <v>785</v>
      </c>
      <c r="J625" s="109" t="s">
        <v>330</v>
      </c>
      <c r="K625" s="109" t="s">
        <v>387</v>
      </c>
      <c r="L625" s="109" t="s">
        <v>523</v>
      </c>
      <c r="M625" s="109" t="s">
        <v>388</v>
      </c>
      <c r="N625" s="109" t="s">
        <v>30</v>
      </c>
      <c r="O625" s="109" t="s">
        <v>445</v>
      </c>
      <c r="P625" s="109" t="s">
        <v>826</v>
      </c>
      <c r="Q625" s="109" t="s">
        <v>2653</v>
      </c>
      <c r="R625" s="109" t="s">
        <v>121</v>
      </c>
      <c r="S625" s="83" t="str">
        <f t="shared" si="66"/>
        <v>B1674H</v>
      </c>
      <c r="T625" s="83" t="str">
        <f t="shared" si="63"/>
        <v>COLLEEN</v>
      </c>
      <c r="Y625" s="60">
        <f t="shared" si="67"/>
        <v>31</v>
      </c>
      <c r="Z625" s="49">
        <f t="shared" si="68"/>
        <v>125</v>
      </c>
      <c r="AA625" s="60">
        <f t="shared" si="69"/>
        <v>31125</v>
      </c>
    </row>
    <row r="626" spans="1:27">
      <c r="A626" s="83" t="str">
        <f t="shared" si="64"/>
        <v>B1674Hchestnut roast</v>
      </c>
      <c r="B626" s="83" t="str">
        <f t="shared" si="65"/>
        <v>31-125-12</v>
      </c>
      <c r="C626" s="109" t="s">
        <v>2654</v>
      </c>
      <c r="D626" s="109" t="s">
        <v>2652</v>
      </c>
      <c r="E626" s="109" t="s">
        <v>791</v>
      </c>
      <c r="F626" s="110">
        <v>58</v>
      </c>
      <c r="G626" s="109" t="s">
        <v>2059</v>
      </c>
      <c r="H626" s="109" t="s">
        <v>121</v>
      </c>
      <c r="I626" s="109" t="s">
        <v>785</v>
      </c>
      <c r="J626" s="109" t="s">
        <v>330</v>
      </c>
      <c r="K626" s="109" t="s">
        <v>387</v>
      </c>
      <c r="L626" s="109" t="s">
        <v>523</v>
      </c>
      <c r="M626" s="109" t="s">
        <v>388</v>
      </c>
      <c r="N626" s="109" t="s">
        <v>30</v>
      </c>
      <c r="O626" s="109" t="s">
        <v>445</v>
      </c>
      <c r="P626" s="109" t="s">
        <v>826</v>
      </c>
      <c r="Q626" s="109" t="s">
        <v>2653</v>
      </c>
      <c r="R626" s="109" t="s">
        <v>121</v>
      </c>
      <c r="S626" s="83" t="str">
        <f t="shared" si="66"/>
        <v>B1674H</v>
      </c>
      <c r="T626" s="83" t="str">
        <f t="shared" si="63"/>
        <v>COLLEEN</v>
      </c>
      <c r="Y626" s="60">
        <f t="shared" si="67"/>
        <v>31</v>
      </c>
      <c r="Z626" s="49">
        <f t="shared" si="68"/>
        <v>125</v>
      </c>
      <c r="AA626" s="60">
        <f t="shared" si="69"/>
        <v>31125</v>
      </c>
    </row>
    <row r="627" spans="1:27">
      <c r="A627" s="83" t="str">
        <f t="shared" si="64"/>
        <v>B1524Hcranberry</v>
      </c>
      <c r="B627" s="83" t="str">
        <f t="shared" si="65"/>
        <v>31-116-12</v>
      </c>
      <c r="C627" s="109" t="s">
        <v>2655</v>
      </c>
      <c r="D627" s="109" t="s">
        <v>2656</v>
      </c>
      <c r="E627" s="109" t="s">
        <v>798</v>
      </c>
      <c r="F627" s="110">
        <v>56</v>
      </c>
      <c r="G627" s="109" t="s">
        <v>2503</v>
      </c>
      <c r="H627" s="109" t="s">
        <v>261</v>
      </c>
      <c r="I627" s="109" t="s">
        <v>785</v>
      </c>
      <c r="J627" s="109" t="s">
        <v>330</v>
      </c>
      <c r="K627" s="109" t="s">
        <v>387</v>
      </c>
      <c r="L627" s="109" t="s">
        <v>523</v>
      </c>
      <c r="M627" s="109" t="s">
        <v>388</v>
      </c>
      <c r="N627" s="109" t="s">
        <v>30</v>
      </c>
      <c r="O627" s="109" t="s">
        <v>445</v>
      </c>
      <c r="P627" s="109" t="s">
        <v>827</v>
      </c>
      <c r="Q627" s="109" t="s">
        <v>1168</v>
      </c>
      <c r="R627" s="109" t="s">
        <v>286</v>
      </c>
      <c r="S627" s="83" t="str">
        <f t="shared" si="66"/>
        <v>B1524H</v>
      </c>
      <c r="T627" s="83" t="str">
        <f t="shared" si="63"/>
        <v>IZETTE II</v>
      </c>
      <c r="Y627" s="60">
        <f t="shared" si="67"/>
        <v>31</v>
      </c>
      <c r="Z627" s="49">
        <f t="shared" si="68"/>
        <v>116</v>
      </c>
      <c r="AA627" s="60">
        <f t="shared" si="69"/>
        <v>31116</v>
      </c>
    </row>
    <row r="628" spans="1:27">
      <c r="A628" s="83" t="str">
        <f t="shared" si="64"/>
        <v>B1524Hcranberry</v>
      </c>
      <c r="B628" s="83" t="str">
        <f t="shared" si="65"/>
        <v>31-116-12</v>
      </c>
      <c r="C628" s="109" t="s">
        <v>2657</v>
      </c>
      <c r="D628" s="109" t="s">
        <v>2656</v>
      </c>
      <c r="E628" s="109" t="s">
        <v>791</v>
      </c>
      <c r="F628" s="110">
        <v>58</v>
      </c>
      <c r="G628" s="109" t="s">
        <v>2503</v>
      </c>
      <c r="H628" s="109" t="s">
        <v>261</v>
      </c>
      <c r="I628" s="109" t="s">
        <v>785</v>
      </c>
      <c r="J628" s="109" t="s">
        <v>330</v>
      </c>
      <c r="K628" s="109" t="s">
        <v>387</v>
      </c>
      <c r="L628" s="109" t="s">
        <v>523</v>
      </c>
      <c r="M628" s="109" t="s">
        <v>388</v>
      </c>
      <c r="N628" s="109" t="s">
        <v>30</v>
      </c>
      <c r="O628" s="109" t="s">
        <v>445</v>
      </c>
      <c r="P628" s="109" t="s">
        <v>827</v>
      </c>
      <c r="Q628" s="109" t="s">
        <v>1168</v>
      </c>
      <c r="R628" s="109" t="s">
        <v>286</v>
      </c>
      <c r="S628" s="83" t="str">
        <f t="shared" si="66"/>
        <v>B1524H</v>
      </c>
      <c r="T628" s="83" t="str">
        <f t="shared" si="63"/>
        <v>IZETTE II</v>
      </c>
      <c r="Y628" s="60">
        <f t="shared" si="67"/>
        <v>31</v>
      </c>
      <c r="Z628" s="49">
        <f t="shared" si="68"/>
        <v>116</v>
      </c>
      <c r="AA628" s="60">
        <f t="shared" si="69"/>
        <v>31116</v>
      </c>
    </row>
    <row r="629" spans="1:27">
      <c r="A629" s="83" t="str">
        <f t="shared" si="64"/>
        <v>B1524Hnavy</v>
      </c>
      <c r="B629" s="83" t="str">
        <f t="shared" si="65"/>
        <v>31-116-16</v>
      </c>
      <c r="C629" s="109" t="s">
        <v>2658</v>
      </c>
      <c r="D629" s="109" t="s">
        <v>2659</v>
      </c>
      <c r="E629" s="109" t="s">
        <v>798</v>
      </c>
      <c r="F629" s="110">
        <v>56</v>
      </c>
      <c r="G629" s="109" t="s">
        <v>2503</v>
      </c>
      <c r="H629" s="109" t="s">
        <v>55</v>
      </c>
      <c r="I629" s="109" t="s">
        <v>785</v>
      </c>
      <c r="J629" s="109" t="s">
        <v>330</v>
      </c>
      <c r="K629" s="109" t="s">
        <v>387</v>
      </c>
      <c r="L629" s="109" t="s">
        <v>523</v>
      </c>
      <c r="M629" s="109" t="s">
        <v>388</v>
      </c>
      <c r="N629" s="109" t="s">
        <v>30</v>
      </c>
      <c r="O629" s="109" t="s">
        <v>445</v>
      </c>
      <c r="P629" s="109" t="s">
        <v>827</v>
      </c>
      <c r="Q629" s="109" t="s">
        <v>829</v>
      </c>
      <c r="R629" s="109" t="s">
        <v>71</v>
      </c>
      <c r="S629" s="83" t="str">
        <f t="shared" si="66"/>
        <v>B1524H</v>
      </c>
      <c r="T629" s="83" t="str">
        <f t="shared" si="63"/>
        <v>IZETTE II</v>
      </c>
      <c r="Y629" s="60">
        <f t="shared" si="67"/>
        <v>31</v>
      </c>
      <c r="Z629" s="49">
        <f t="shared" si="68"/>
        <v>116</v>
      </c>
      <c r="AA629" s="60">
        <f t="shared" si="69"/>
        <v>31116</v>
      </c>
    </row>
    <row r="630" spans="1:27">
      <c r="A630" s="83" t="str">
        <f t="shared" si="64"/>
        <v>B1524Hnavy</v>
      </c>
      <c r="B630" s="83" t="str">
        <f t="shared" si="65"/>
        <v>31-116-16</v>
      </c>
      <c r="C630" s="109" t="s">
        <v>2660</v>
      </c>
      <c r="D630" s="109" t="s">
        <v>2659</v>
      </c>
      <c r="E630" s="109" t="s">
        <v>791</v>
      </c>
      <c r="F630" s="110">
        <v>58</v>
      </c>
      <c r="G630" s="109" t="s">
        <v>2503</v>
      </c>
      <c r="H630" s="109" t="s">
        <v>55</v>
      </c>
      <c r="I630" s="109" t="s">
        <v>785</v>
      </c>
      <c r="J630" s="109" t="s">
        <v>330</v>
      </c>
      <c r="K630" s="109" t="s">
        <v>387</v>
      </c>
      <c r="L630" s="109" t="s">
        <v>523</v>
      </c>
      <c r="M630" s="109" t="s">
        <v>388</v>
      </c>
      <c r="N630" s="109" t="s">
        <v>30</v>
      </c>
      <c r="O630" s="109" t="s">
        <v>445</v>
      </c>
      <c r="P630" s="109" t="s">
        <v>827</v>
      </c>
      <c r="Q630" s="109" t="s">
        <v>829</v>
      </c>
      <c r="R630" s="109" t="s">
        <v>71</v>
      </c>
      <c r="S630" s="83" t="str">
        <f t="shared" si="66"/>
        <v>B1524H</v>
      </c>
      <c r="T630" s="83" t="str">
        <f t="shared" si="63"/>
        <v>IZETTE II</v>
      </c>
      <c r="Y630" s="60">
        <f t="shared" si="67"/>
        <v>31</v>
      </c>
      <c r="Z630" s="49">
        <f t="shared" si="68"/>
        <v>116</v>
      </c>
      <c r="AA630" s="60">
        <f t="shared" si="69"/>
        <v>31116</v>
      </c>
    </row>
    <row r="631" spans="1:27">
      <c r="A631" s="83" t="str">
        <f t="shared" si="64"/>
        <v>B1134Hbubblegum</v>
      </c>
      <c r="B631" s="83" t="str">
        <f t="shared" si="65"/>
        <v>31-064-86</v>
      </c>
      <c r="C631" s="109" t="s">
        <v>2661</v>
      </c>
      <c r="D631" s="109" t="s">
        <v>2662</v>
      </c>
      <c r="E631" s="109" t="s">
        <v>793</v>
      </c>
      <c r="F631" s="110">
        <v>0</v>
      </c>
      <c r="G631" s="109" t="s">
        <v>944</v>
      </c>
      <c r="H631" s="109" t="s">
        <v>230</v>
      </c>
      <c r="I631" s="109" t="s">
        <v>945</v>
      </c>
      <c r="J631" s="109" t="s">
        <v>323</v>
      </c>
      <c r="K631" s="109" t="s">
        <v>387</v>
      </c>
      <c r="L631" s="109" t="s">
        <v>523</v>
      </c>
      <c r="M631" s="109" t="s">
        <v>384</v>
      </c>
      <c r="N631" s="109" t="s">
        <v>36</v>
      </c>
      <c r="O631" s="109" t="s">
        <v>386</v>
      </c>
      <c r="P631" s="109" t="s">
        <v>826</v>
      </c>
      <c r="Q631" s="109" t="s">
        <v>2663</v>
      </c>
      <c r="R631" s="109" t="s">
        <v>68</v>
      </c>
      <c r="S631" s="83" t="str">
        <f t="shared" si="66"/>
        <v>B1134H</v>
      </c>
      <c r="T631" s="83" t="str">
        <f t="shared" si="63"/>
        <v>RAMONA</v>
      </c>
      <c r="Y631" s="60">
        <f t="shared" si="67"/>
        <v>31</v>
      </c>
      <c r="Z631" s="49">
        <f t="shared" si="68"/>
        <v>64</v>
      </c>
      <c r="AA631" s="60">
        <f t="shared" si="69"/>
        <v>31064</v>
      </c>
    </row>
    <row r="632" spans="1:27">
      <c r="A632" s="83" t="str">
        <f t="shared" si="64"/>
        <v>B124natural.white</v>
      </c>
      <c r="B632" s="83" t="str">
        <f t="shared" si="65"/>
        <v>31-056-17</v>
      </c>
      <c r="C632" s="109" t="s">
        <v>2664</v>
      </c>
      <c r="D632" s="109" t="s">
        <v>2665</v>
      </c>
      <c r="E632" s="109" t="s">
        <v>793</v>
      </c>
      <c r="F632" s="110">
        <v>0</v>
      </c>
      <c r="G632" s="109" t="s">
        <v>1442</v>
      </c>
      <c r="H632" s="109" t="s">
        <v>66</v>
      </c>
      <c r="I632" s="109" t="s">
        <v>792</v>
      </c>
      <c r="J632" s="109" t="s">
        <v>351</v>
      </c>
      <c r="K632" s="109" t="s">
        <v>387</v>
      </c>
      <c r="L632" s="109" t="s">
        <v>523</v>
      </c>
      <c r="M632" s="109" t="s">
        <v>384</v>
      </c>
      <c r="N632" s="109" t="s">
        <v>35</v>
      </c>
      <c r="O632" s="109" t="s">
        <v>386</v>
      </c>
      <c r="P632" s="109" t="s">
        <v>827</v>
      </c>
      <c r="Q632" s="109" t="s">
        <v>928</v>
      </c>
      <c r="R632" s="109" t="s">
        <v>63</v>
      </c>
      <c r="S632" s="83" t="str">
        <f t="shared" si="66"/>
        <v>B124</v>
      </c>
      <c r="T632" s="83" t="str">
        <f t="shared" si="63"/>
        <v>Dunewood Visor</v>
      </c>
      <c r="Y632" s="60">
        <f t="shared" si="67"/>
        <v>31</v>
      </c>
      <c r="Z632" s="49">
        <f t="shared" si="68"/>
        <v>56</v>
      </c>
      <c r="AA632" s="60">
        <f t="shared" si="69"/>
        <v>31056</v>
      </c>
    </row>
    <row r="633" spans="1:27">
      <c r="A633" s="83" t="str">
        <f t="shared" si="64"/>
        <v>B1431Hnatural.bubblegum</v>
      </c>
      <c r="B633" s="83" t="str">
        <f t="shared" si="65"/>
        <v>31-078-34</v>
      </c>
      <c r="C633" s="109" t="s">
        <v>2666</v>
      </c>
      <c r="D633" s="109" t="s">
        <v>2667</v>
      </c>
      <c r="E633" s="109" t="s">
        <v>793</v>
      </c>
      <c r="F633" s="110">
        <v>0</v>
      </c>
      <c r="G633" s="109" t="s">
        <v>948</v>
      </c>
      <c r="H633" s="109" t="s">
        <v>95</v>
      </c>
      <c r="I633" s="109" t="s">
        <v>945</v>
      </c>
      <c r="J633" s="109" t="s">
        <v>323</v>
      </c>
      <c r="K633" s="109" t="s">
        <v>387</v>
      </c>
      <c r="L633" s="109" t="s">
        <v>523</v>
      </c>
      <c r="M633" s="109" t="s">
        <v>384</v>
      </c>
      <c r="N633" s="109" t="s">
        <v>36</v>
      </c>
      <c r="O633" s="109" t="s">
        <v>386</v>
      </c>
      <c r="P633" s="109" t="s">
        <v>826</v>
      </c>
      <c r="Q633" s="109" t="s">
        <v>2668</v>
      </c>
      <c r="R633" s="109" t="s">
        <v>63</v>
      </c>
      <c r="S633" s="83" t="str">
        <f t="shared" si="66"/>
        <v>B1431H</v>
      </c>
      <c r="T633" s="83" t="str">
        <f t="shared" si="63"/>
        <v>DEMETRIA</v>
      </c>
      <c r="Y633" s="60">
        <f t="shared" si="67"/>
        <v>31</v>
      </c>
      <c r="Z633" s="49">
        <f t="shared" si="68"/>
        <v>78</v>
      </c>
      <c r="AA633" s="60">
        <f t="shared" si="69"/>
        <v>31078</v>
      </c>
    </row>
    <row r="634" spans="1:27">
      <c r="A634" s="83" t="str">
        <f t="shared" si="64"/>
        <v>B1440Hwhite.ltblue</v>
      </c>
      <c r="B634" s="83" t="str">
        <f t="shared" si="65"/>
        <v>31-080-22</v>
      </c>
      <c r="C634" s="109" t="s">
        <v>2669</v>
      </c>
      <c r="D634" s="109" t="s">
        <v>2670</v>
      </c>
      <c r="E634" s="109" t="s">
        <v>793</v>
      </c>
      <c r="F634" s="110">
        <v>0</v>
      </c>
      <c r="G634" s="109" t="s">
        <v>1234</v>
      </c>
      <c r="H634" s="109" t="s">
        <v>107</v>
      </c>
      <c r="I634" s="109" t="s">
        <v>945</v>
      </c>
      <c r="J634" s="109" t="s">
        <v>323</v>
      </c>
      <c r="K634" s="109" t="s">
        <v>387</v>
      </c>
      <c r="L634" s="109" t="s">
        <v>523</v>
      </c>
      <c r="M634" s="109" t="s">
        <v>384</v>
      </c>
      <c r="N634" s="109" t="s">
        <v>36</v>
      </c>
      <c r="O634" s="109" t="s">
        <v>386</v>
      </c>
      <c r="P634" s="109" t="s">
        <v>826</v>
      </c>
      <c r="Q634" s="109" t="s">
        <v>2671</v>
      </c>
      <c r="R634" s="109" t="s">
        <v>57</v>
      </c>
      <c r="S634" s="83" t="str">
        <f t="shared" si="66"/>
        <v>B1440H</v>
      </c>
      <c r="T634" s="83" t="str">
        <f t="shared" si="63"/>
        <v>Perla</v>
      </c>
      <c r="Y634" s="60">
        <f t="shared" si="67"/>
        <v>31</v>
      </c>
      <c r="Z634" s="49">
        <f t="shared" si="68"/>
        <v>80</v>
      </c>
      <c r="AA634" s="60">
        <f t="shared" si="69"/>
        <v>31080</v>
      </c>
    </row>
    <row r="635" spans="1:27">
      <c r="A635" s="83" t="str">
        <f t="shared" si="64"/>
        <v>B1449Hlt.blue</v>
      </c>
      <c r="B635" s="83" t="str">
        <f t="shared" si="65"/>
        <v>31-081-19</v>
      </c>
      <c r="C635" s="109" t="s">
        <v>2672</v>
      </c>
      <c r="D635" s="109" t="s">
        <v>2673</v>
      </c>
      <c r="E635" s="109" t="s">
        <v>793</v>
      </c>
      <c r="F635" s="110">
        <v>0</v>
      </c>
      <c r="G635" s="109" t="s">
        <v>952</v>
      </c>
      <c r="H635" s="109" t="s">
        <v>91</v>
      </c>
      <c r="I635" s="109" t="s">
        <v>832</v>
      </c>
      <c r="J635" s="109" t="s">
        <v>329</v>
      </c>
      <c r="K635" s="109" t="s">
        <v>387</v>
      </c>
      <c r="L635" s="109" t="s">
        <v>523</v>
      </c>
      <c r="M635" s="109" t="s">
        <v>384</v>
      </c>
      <c r="N635" s="109" t="s">
        <v>36</v>
      </c>
      <c r="O635" s="109" t="s">
        <v>386</v>
      </c>
      <c r="P635" s="109" t="s">
        <v>826</v>
      </c>
      <c r="Q635" s="109" t="s">
        <v>969</v>
      </c>
      <c r="R635" s="109" t="s">
        <v>91</v>
      </c>
      <c r="S635" s="83" t="str">
        <f t="shared" si="66"/>
        <v>B1449H</v>
      </c>
      <c r="T635" s="83" t="str">
        <f t="shared" si="63"/>
        <v>JOANNE</v>
      </c>
      <c r="Y635" s="60">
        <f t="shared" si="67"/>
        <v>31</v>
      </c>
      <c r="Z635" s="49">
        <f t="shared" si="68"/>
        <v>81</v>
      </c>
      <c r="AA635" s="60">
        <f t="shared" si="69"/>
        <v>31081</v>
      </c>
    </row>
    <row r="636" spans="1:27">
      <c r="A636" s="83" t="str">
        <f t="shared" si="64"/>
        <v>B1551Hwhite</v>
      </c>
      <c r="B636" s="83" t="str">
        <f t="shared" si="65"/>
        <v>31-147-17</v>
      </c>
      <c r="C636" s="109" t="s">
        <v>2674</v>
      </c>
      <c r="D636" s="109" t="s">
        <v>2675</v>
      </c>
      <c r="E636" s="109" t="s">
        <v>793</v>
      </c>
      <c r="F636" s="110">
        <v>0</v>
      </c>
      <c r="G636" s="109" t="s">
        <v>2676</v>
      </c>
      <c r="H636" s="109" t="s">
        <v>57</v>
      </c>
      <c r="I636" s="109" t="s">
        <v>945</v>
      </c>
      <c r="J636" s="109" t="s">
        <v>357</v>
      </c>
      <c r="K636" s="109" t="s">
        <v>387</v>
      </c>
      <c r="L636" s="109" t="s">
        <v>523</v>
      </c>
      <c r="M636" s="109" t="s">
        <v>384</v>
      </c>
      <c r="N636" s="109" t="s">
        <v>36</v>
      </c>
      <c r="O636" s="109" t="s">
        <v>386</v>
      </c>
      <c r="P636" s="109" t="s">
        <v>826</v>
      </c>
      <c r="Q636" s="109" t="s">
        <v>840</v>
      </c>
      <c r="R636" s="109" t="s">
        <v>57</v>
      </c>
      <c r="S636" s="83" t="str">
        <f t="shared" si="66"/>
        <v>B1551H</v>
      </c>
      <c r="T636" s="83" t="str">
        <f t="shared" si="63"/>
        <v>Alexia</v>
      </c>
      <c r="Y636" s="60">
        <f t="shared" si="67"/>
        <v>31</v>
      </c>
      <c r="Z636" s="49">
        <f t="shared" si="68"/>
        <v>147</v>
      </c>
      <c r="AA636" s="60">
        <f t="shared" si="69"/>
        <v>31147</v>
      </c>
    </row>
    <row r="637" spans="1:27">
      <c r="A637" s="83" t="str">
        <f t="shared" si="64"/>
        <v>B1555Hwhite</v>
      </c>
      <c r="B637" s="83" t="str">
        <f t="shared" si="65"/>
        <v>31-137-17</v>
      </c>
      <c r="C637" s="109" t="s">
        <v>2677</v>
      </c>
      <c r="D637" s="109" t="s">
        <v>2678</v>
      </c>
      <c r="E637" s="109" t="s">
        <v>793</v>
      </c>
      <c r="F637" s="110">
        <v>0</v>
      </c>
      <c r="G637" s="109" t="s">
        <v>2077</v>
      </c>
      <c r="H637" s="109" t="s">
        <v>57</v>
      </c>
      <c r="I637" s="109" t="s">
        <v>891</v>
      </c>
      <c r="J637" s="109" t="s">
        <v>330</v>
      </c>
      <c r="K637" s="109" t="s">
        <v>387</v>
      </c>
      <c r="L637" s="109" t="s">
        <v>523</v>
      </c>
      <c r="M637" s="109" t="s">
        <v>384</v>
      </c>
      <c r="N637" s="109" t="s">
        <v>36</v>
      </c>
      <c r="O637" s="109" t="s">
        <v>386</v>
      </c>
      <c r="P637" s="109" t="s">
        <v>826</v>
      </c>
      <c r="Q637" s="109" t="s">
        <v>840</v>
      </c>
      <c r="R637" s="109" t="s">
        <v>57</v>
      </c>
      <c r="S637" s="83" t="str">
        <f t="shared" si="66"/>
        <v>B1555H</v>
      </c>
      <c r="T637" s="83" t="str">
        <f t="shared" si="63"/>
        <v>TIA</v>
      </c>
      <c r="Y637" s="60">
        <f t="shared" si="67"/>
        <v>31</v>
      </c>
      <c r="Z637" s="49">
        <f t="shared" si="68"/>
        <v>137</v>
      </c>
      <c r="AA637" s="60">
        <f t="shared" si="69"/>
        <v>31137</v>
      </c>
    </row>
    <row r="638" spans="1:27">
      <c r="A638" s="83" t="str">
        <f t="shared" si="64"/>
        <v>B1557Hwhite.blush</v>
      </c>
      <c r="B638" s="83" t="str">
        <f t="shared" si="65"/>
        <v>31-128-17</v>
      </c>
      <c r="C638" s="109" t="s">
        <v>2679</v>
      </c>
      <c r="D638" s="109" t="s">
        <v>2680</v>
      </c>
      <c r="E638" s="109" t="s">
        <v>793</v>
      </c>
      <c r="F638" s="110">
        <v>0</v>
      </c>
      <c r="G638" s="109" t="s">
        <v>955</v>
      </c>
      <c r="H638" s="109" t="s">
        <v>114</v>
      </c>
      <c r="I638" s="109" t="s">
        <v>790</v>
      </c>
      <c r="J638" s="109" t="s">
        <v>323</v>
      </c>
      <c r="K638" s="109" t="s">
        <v>387</v>
      </c>
      <c r="L638" s="109" t="s">
        <v>523</v>
      </c>
      <c r="M638" s="109" t="s">
        <v>384</v>
      </c>
      <c r="N638" s="109" t="s">
        <v>36</v>
      </c>
      <c r="O638" s="109" t="s">
        <v>386</v>
      </c>
      <c r="P638" s="109" t="s">
        <v>826</v>
      </c>
      <c r="Q638" s="109" t="s">
        <v>2681</v>
      </c>
      <c r="R638" s="109" t="s">
        <v>57</v>
      </c>
      <c r="S638" s="83" t="str">
        <f t="shared" si="66"/>
        <v>B1557H</v>
      </c>
      <c r="T638" s="83" t="str">
        <f t="shared" si="63"/>
        <v>LORA</v>
      </c>
      <c r="Y638" s="60">
        <f t="shared" si="67"/>
        <v>31</v>
      </c>
      <c r="Z638" s="49">
        <f t="shared" si="68"/>
        <v>128</v>
      </c>
      <c r="AA638" s="60">
        <f t="shared" si="69"/>
        <v>31128</v>
      </c>
    </row>
    <row r="639" spans="1:27">
      <c r="A639" s="83" t="str">
        <f t="shared" si="64"/>
        <v>B1582Hseafoam</v>
      </c>
      <c r="B639" s="83" t="str">
        <f t="shared" si="65"/>
        <v>31-148-19</v>
      </c>
      <c r="C639" s="109" t="s">
        <v>2682</v>
      </c>
      <c r="D639" s="109" t="s">
        <v>2683</v>
      </c>
      <c r="E639" s="109" t="s">
        <v>793</v>
      </c>
      <c r="F639" s="110">
        <v>0</v>
      </c>
      <c r="G639" s="109" t="s">
        <v>2684</v>
      </c>
      <c r="H639" s="109" t="s">
        <v>91</v>
      </c>
      <c r="I639" s="109" t="s">
        <v>794</v>
      </c>
      <c r="J639" s="109" t="s">
        <v>323</v>
      </c>
      <c r="K639" s="109" t="s">
        <v>387</v>
      </c>
      <c r="L639" s="109" t="s">
        <v>523</v>
      </c>
      <c r="M639" s="109" t="s">
        <v>384</v>
      </c>
      <c r="O639" s="109" t="s">
        <v>386</v>
      </c>
      <c r="P639" s="109" t="s">
        <v>826</v>
      </c>
      <c r="Q639" s="109" t="s">
        <v>2685</v>
      </c>
      <c r="R639" s="109" t="s">
        <v>91</v>
      </c>
      <c r="S639" s="83" t="str">
        <f t="shared" si="66"/>
        <v>B1582H</v>
      </c>
      <c r="T639" s="83" t="str">
        <f t="shared" si="63"/>
        <v>Suellen</v>
      </c>
      <c r="Y639" s="60">
        <f t="shared" si="67"/>
        <v>31</v>
      </c>
      <c r="Z639" s="49">
        <f t="shared" si="68"/>
        <v>148</v>
      </c>
      <c r="AA639" s="60">
        <f t="shared" si="69"/>
        <v>31148</v>
      </c>
    </row>
    <row r="640" spans="1:27">
      <c r="A640" s="83" t="str">
        <f t="shared" si="64"/>
        <v>B1609Hivory.blue</v>
      </c>
      <c r="B640" s="83" t="str">
        <f t="shared" si="65"/>
        <v>31-132-19</v>
      </c>
      <c r="C640" s="109" t="s">
        <v>2686</v>
      </c>
      <c r="D640" s="109" t="s">
        <v>2687</v>
      </c>
      <c r="E640" s="109" t="s">
        <v>798</v>
      </c>
      <c r="F640" s="110">
        <v>56</v>
      </c>
      <c r="G640" s="109" t="s">
        <v>961</v>
      </c>
      <c r="H640" s="109" t="s">
        <v>107</v>
      </c>
      <c r="I640" s="109" t="s">
        <v>792</v>
      </c>
      <c r="J640" s="109" t="s">
        <v>330</v>
      </c>
      <c r="K640" s="109" t="s">
        <v>387</v>
      </c>
      <c r="L640" s="109" t="s">
        <v>523</v>
      </c>
      <c r="M640" s="109" t="s">
        <v>384</v>
      </c>
      <c r="N640" s="109" t="s">
        <v>35</v>
      </c>
      <c r="O640" s="109" t="s">
        <v>445</v>
      </c>
      <c r="P640" s="109" t="s">
        <v>826</v>
      </c>
      <c r="Q640" s="109" t="s">
        <v>2688</v>
      </c>
      <c r="R640" s="109" t="s">
        <v>57</v>
      </c>
      <c r="S640" s="83" t="str">
        <f t="shared" si="66"/>
        <v>B1609H</v>
      </c>
      <c r="T640" s="83" t="str">
        <f t="shared" si="63"/>
        <v>LAURA II</v>
      </c>
      <c r="Y640" s="60">
        <f t="shared" si="67"/>
        <v>31</v>
      </c>
      <c r="Z640" s="49">
        <f t="shared" si="68"/>
        <v>132</v>
      </c>
      <c r="AA640" s="60">
        <f t="shared" si="69"/>
        <v>31132</v>
      </c>
    </row>
    <row r="641" spans="1:27">
      <c r="A641" s="83" t="str">
        <f t="shared" si="64"/>
        <v>B1609Hivory.blue</v>
      </c>
      <c r="B641" s="83" t="str">
        <f t="shared" si="65"/>
        <v>31-132-19</v>
      </c>
      <c r="C641" s="109" t="s">
        <v>2689</v>
      </c>
      <c r="D641" s="109" t="s">
        <v>2687</v>
      </c>
      <c r="E641" s="109" t="s">
        <v>791</v>
      </c>
      <c r="F641" s="110">
        <v>0</v>
      </c>
      <c r="G641" s="109" t="s">
        <v>961</v>
      </c>
      <c r="H641" s="109" t="s">
        <v>107</v>
      </c>
      <c r="I641" s="109" t="s">
        <v>792</v>
      </c>
      <c r="J641" s="109" t="s">
        <v>330</v>
      </c>
      <c r="K641" s="109" t="s">
        <v>387</v>
      </c>
      <c r="L641" s="109" t="s">
        <v>523</v>
      </c>
      <c r="M641" s="109" t="s">
        <v>384</v>
      </c>
      <c r="N641" s="109" t="s">
        <v>35</v>
      </c>
      <c r="O641" s="109" t="s">
        <v>445</v>
      </c>
      <c r="P641" s="109" t="s">
        <v>826</v>
      </c>
      <c r="Q641" s="109" t="s">
        <v>2688</v>
      </c>
      <c r="R641" s="109" t="s">
        <v>57</v>
      </c>
      <c r="S641" s="83" t="str">
        <f t="shared" si="66"/>
        <v>B1609H</v>
      </c>
      <c r="T641" s="83" t="str">
        <f t="shared" si="63"/>
        <v>LAURA II</v>
      </c>
      <c r="Y641" s="60">
        <f t="shared" si="67"/>
        <v>31</v>
      </c>
      <c r="Z641" s="49">
        <f t="shared" si="68"/>
        <v>132</v>
      </c>
      <c r="AA641" s="60">
        <f t="shared" si="69"/>
        <v>31132</v>
      </c>
    </row>
    <row r="642" spans="1:27">
      <c r="A642" s="83" t="str">
        <f t="shared" si="64"/>
        <v>B166lt.pink</v>
      </c>
      <c r="B642" s="83" t="str">
        <f t="shared" si="65"/>
        <v>31-083-32</v>
      </c>
      <c r="C642" s="109" t="s">
        <v>2690</v>
      </c>
      <c r="D642" s="109" t="s">
        <v>2691</v>
      </c>
      <c r="E642" s="109" t="s">
        <v>793</v>
      </c>
      <c r="F642" s="110">
        <v>0</v>
      </c>
      <c r="G642" s="109" t="s">
        <v>965</v>
      </c>
      <c r="H642" s="109" t="s">
        <v>230</v>
      </c>
      <c r="I642" s="109" t="s">
        <v>966</v>
      </c>
      <c r="J642" s="109" t="s">
        <v>323</v>
      </c>
      <c r="K642" s="109" t="s">
        <v>387</v>
      </c>
      <c r="L642" s="109" t="s">
        <v>523</v>
      </c>
      <c r="M642" s="109" t="s">
        <v>384</v>
      </c>
      <c r="N642" s="109" t="s">
        <v>36</v>
      </c>
      <c r="O642" s="109" t="s">
        <v>386</v>
      </c>
      <c r="P642" s="109" t="s">
        <v>826</v>
      </c>
      <c r="Q642" s="109" t="s">
        <v>1008</v>
      </c>
      <c r="R642" s="109" t="s">
        <v>68</v>
      </c>
      <c r="S642" s="83" t="str">
        <f t="shared" si="66"/>
        <v>B166</v>
      </c>
      <c r="T642" s="83" t="str">
        <f t="shared" ref="T642:T705" si="70">IF(A642&lt;&gt;"",IF(FIND(" ",G642)&gt;=1,MID(G642,FIND(" ",G642)+1,LEN(G642)),""),"")</f>
        <v>CLASSIC ROLL UP</v>
      </c>
      <c r="Y642" s="60">
        <f t="shared" si="67"/>
        <v>31</v>
      </c>
      <c r="Z642" s="49">
        <f t="shared" si="68"/>
        <v>83</v>
      </c>
      <c r="AA642" s="60">
        <f t="shared" si="69"/>
        <v>31083</v>
      </c>
    </row>
    <row r="643" spans="1:27">
      <c r="A643" s="83" t="str">
        <f t="shared" ref="A643:A706" si="71">IF(G643&amp;Q643&lt;&gt;"",S643&amp;Q643,"")</f>
        <v>B1700Hnatural.black</v>
      </c>
      <c r="B643" s="83" t="str">
        <f t="shared" ref="B643:B706" si="72">IF(C643&lt;&gt;"",LEFT(C643,9),"")</f>
        <v>31-149-53</v>
      </c>
      <c r="C643" s="109" t="s">
        <v>2692</v>
      </c>
      <c r="D643" s="109" t="s">
        <v>2693</v>
      </c>
      <c r="E643" s="109" t="s">
        <v>793</v>
      </c>
      <c r="F643" s="110">
        <v>0</v>
      </c>
      <c r="G643" s="109" t="s">
        <v>972</v>
      </c>
      <c r="H643" s="109" t="s">
        <v>101</v>
      </c>
      <c r="I643" s="109" t="s">
        <v>790</v>
      </c>
      <c r="J643" s="109" t="s">
        <v>330</v>
      </c>
      <c r="K643" s="109" t="s">
        <v>387</v>
      </c>
      <c r="L643" s="109" t="s">
        <v>523</v>
      </c>
      <c r="M643" s="109" t="s">
        <v>384</v>
      </c>
      <c r="N643" s="109" t="s">
        <v>36</v>
      </c>
      <c r="O643" s="109" t="s">
        <v>386</v>
      </c>
      <c r="P643" s="109" t="s">
        <v>826</v>
      </c>
      <c r="Q643" s="109" t="s">
        <v>888</v>
      </c>
      <c r="R643" s="109" t="s">
        <v>63</v>
      </c>
      <c r="S643" s="83" t="str">
        <f t="shared" ref="S643:S706" si="73">IF(G643&lt;&gt;"",IF(FIND(" ",G643)&gt;=1,MID(G643,1,FIND(" ",G643)-1),G643),"")</f>
        <v>B1700H</v>
      </c>
      <c r="T643" s="83" t="str">
        <f t="shared" si="70"/>
        <v>SIERRA</v>
      </c>
      <c r="Y643" s="60">
        <f t="shared" ref="Y643:Y706" si="74">IFERROR(VALUE(MID($C643,1,2)),0)</f>
        <v>31</v>
      </c>
      <c r="Z643" s="49">
        <f t="shared" ref="Z643:Z706" si="75">IFERROR(VALUE(MID($C643,4,3)),0)</f>
        <v>149</v>
      </c>
      <c r="AA643" s="60">
        <f t="shared" ref="AA643:AA706" si="76">VALUE(RIGHT("00"&amp;Y643,2)&amp;RIGHT("000"&amp;Z643,3))</f>
        <v>31149</v>
      </c>
    </row>
    <row r="644" spans="1:27">
      <c r="A644" s="83" t="str">
        <f t="shared" si="71"/>
        <v>B1701Hwhite</v>
      </c>
      <c r="B644" s="83" t="str">
        <f t="shared" si="72"/>
        <v>31-150-17</v>
      </c>
      <c r="C644" s="109" t="s">
        <v>2694</v>
      </c>
      <c r="D644" s="109" t="s">
        <v>2695</v>
      </c>
      <c r="E644" s="109" t="s">
        <v>793</v>
      </c>
      <c r="F644" s="110">
        <v>0</v>
      </c>
      <c r="G644" s="109" t="s">
        <v>976</v>
      </c>
      <c r="H644" s="109" t="s">
        <v>57</v>
      </c>
      <c r="I644" s="109" t="s">
        <v>945</v>
      </c>
      <c r="J644" s="109" t="s">
        <v>323</v>
      </c>
      <c r="K644" s="109" t="s">
        <v>387</v>
      </c>
      <c r="L644" s="109" t="s">
        <v>523</v>
      </c>
      <c r="M644" s="109" t="s">
        <v>384</v>
      </c>
      <c r="N644" s="109" t="s">
        <v>36</v>
      </c>
      <c r="O644" s="109" t="s">
        <v>386</v>
      </c>
      <c r="P644" s="109" t="s">
        <v>827</v>
      </c>
      <c r="Q644" s="109" t="s">
        <v>840</v>
      </c>
      <c r="R644" s="109" t="s">
        <v>57</v>
      </c>
      <c r="S644" s="83" t="str">
        <f t="shared" si="73"/>
        <v>B1701H</v>
      </c>
      <c r="T644" s="83" t="str">
        <f t="shared" si="70"/>
        <v>SELENA</v>
      </c>
      <c r="Y644" s="60">
        <f t="shared" si="74"/>
        <v>31</v>
      </c>
      <c r="Z644" s="49">
        <f t="shared" si="75"/>
        <v>150</v>
      </c>
      <c r="AA644" s="60">
        <f t="shared" si="76"/>
        <v>31150</v>
      </c>
    </row>
    <row r="645" spans="1:27">
      <c r="A645" s="83" t="str">
        <f t="shared" si="71"/>
        <v>B1702Hwhite.natural</v>
      </c>
      <c r="B645" s="83" t="str">
        <f t="shared" si="72"/>
        <v>31-151-00</v>
      </c>
      <c r="C645" s="109" t="s">
        <v>2696</v>
      </c>
      <c r="D645" s="109" t="s">
        <v>2697</v>
      </c>
      <c r="E645" s="109" t="s">
        <v>793</v>
      </c>
      <c r="F645" s="110">
        <v>0</v>
      </c>
      <c r="G645" s="109" t="s">
        <v>981</v>
      </c>
      <c r="H645" s="109" t="s">
        <v>66</v>
      </c>
      <c r="I645" s="109" t="s">
        <v>891</v>
      </c>
      <c r="J645" s="109" t="s">
        <v>357</v>
      </c>
      <c r="K645" s="109" t="s">
        <v>387</v>
      </c>
      <c r="L645" s="109" t="s">
        <v>523</v>
      </c>
      <c r="M645" s="109" t="s">
        <v>384</v>
      </c>
      <c r="N645" s="109" t="s">
        <v>36</v>
      </c>
      <c r="O645" s="109" t="s">
        <v>386</v>
      </c>
      <c r="P645" s="109" t="s">
        <v>826</v>
      </c>
      <c r="Q645" s="109" t="s">
        <v>934</v>
      </c>
      <c r="R645" s="109" t="s">
        <v>63</v>
      </c>
      <c r="S645" s="83" t="str">
        <f t="shared" si="73"/>
        <v>B1702H</v>
      </c>
      <c r="T645" s="83" t="str">
        <f t="shared" si="70"/>
        <v>KATE</v>
      </c>
      <c r="Y645" s="60">
        <f t="shared" si="74"/>
        <v>31</v>
      </c>
      <c r="Z645" s="49">
        <f t="shared" si="75"/>
        <v>151</v>
      </c>
      <c r="AA645" s="60">
        <f t="shared" si="76"/>
        <v>31151</v>
      </c>
    </row>
    <row r="646" spans="1:27">
      <c r="A646" s="83" t="str">
        <f t="shared" si="71"/>
        <v>B1703Hwhite.natural</v>
      </c>
      <c r="B646" s="83" t="str">
        <f t="shared" si="72"/>
        <v>31-152-00</v>
      </c>
      <c r="C646" s="109" t="s">
        <v>2698</v>
      </c>
      <c r="D646" s="109" t="s">
        <v>2699</v>
      </c>
      <c r="E646" s="109" t="s">
        <v>793</v>
      </c>
      <c r="F646" s="110">
        <v>0</v>
      </c>
      <c r="G646" s="109" t="s">
        <v>984</v>
      </c>
      <c r="H646" s="109" t="s">
        <v>66</v>
      </c>
      <c r="I646" s="109" t="s">
        <v>887</v>
      </c>
      <c r="J646" s="109" t="s">
        <v>323</v>
      </c>
      <c r="K646" s="109" t="s">
        <v>387</v>
      </c>
      <c r="L646" s="109" t="s">
        <v>523</v>
      </c>
      <c r="M646" s="109" t="s">
        <v>384</v>
      </c>
      <c r="N646" s="109" t="s">
        <v>36</v>
      </c>
      <c r="O646" s="109" t="s">
        <v>386</v>
      </c>
      <c r="P646" s="109" t="s">
        <v>827</v>
      </c>
      <c r="Q646" s="109" t="s">
        <v>934</v>
      </c>
      <c r="R646" s="109" t="s">
        <v>63</v>
      </c>
      <c r="S646" s="83" t="str">
        <f t="shared" si="73"/>
        <v>B1703H</v>
      </c>
      <c r="T646" s="83" t="str">
        <f t="shared" si="70"/>
        <v>PORTO</v>
      </c>
      <c r="Y646" s="60">
        <f t="shared" si="74"/>
        <v>31</v>
      </c>
      <c r="Z646" s="49">
        <f t="shared" si="75"/>
        <v>152</v>
      </c>
      <c r="AA646" s="60">
        <f t="shared" si="76"/>
        <v>31152</v>
      </c>
    </row>
    <row r="647" spans="1:27">
      <c r="A647" s="83" t="str">
        <f t="shared" si="71"/>
        <v>B1705Hivory.black</v>
      </c>
      <c r="B647" s="83" t="str">
        <f t="shared" si="72"/>
        <v>31-153-48</v>
      </c>
      <c r="C647" s="109" t="s">
        <v>2700</v>
      </c>
      <c r="D647" s="109" t="s">
        <v>2701</v>
      </c>
      <c r="E647" s="109" t="s">
        <v>793</v>
      </c>
      <c r="F647" s="110">
        <v>0</v>
      </c>
      <c r="G647" s="109" t="s">
        <v>2702</v>
      </c>
      <c r="H647" s="109" t="s">
        <v>119</v>
      </c>
      <c r="I647" s="109" t="s">
        <v>790</v>
      </c>
      <c r="J647" s="109" t="s">
        <v>330</v>
      </c>
      <c r="K647" s="109" t="s">
        <v>387</v>
      </c>
      <c r="L647" s="109" t="s">
        <v>523</v>
      </c>
      <c r="M647" s="109" t="s">
        <v>384</v>
      </c>
      <c r="N647" s="109" t="s">
        <v>36</v>
      </c>
      <c r="O647" s="109" t="s">
        <v>386</v>
      </c>
      <c r="P647" s="109" t="s">
        <v>826</v>
      </c>
      <c r="Q647" s="109" t="s">
        <v>931</v>
      </c>
      <c r="R647" s="109" t="s">
        <v>57</v>
      </c>
      <c r="S647" s="83" t="str">
        <f t="shared" si="73"/>
        <v>B1705H</v>
      </c>
      <c r="T647" s="83" t="str">
        <f t="shared" si="70"/>
        <v>MONACO</v>
      </c>
      <c r="Y647" s="60">
        <f t="shared" si="74"/>
        <v>31</v>
      </c>
      <c r="Z647" s="49">
        <f t="shared" si="75"/>
        <v>153</v>
      </c>
      <c r="AA647" s="60">
        <f t="shared" si="76"/>
        <v>31153</v>
      </c>
    </row>
    <row r="648" spans="1:27">
      <c r="A648" s="83" t="str">
        <f t="shared" si="71"/>
        <v>B1706Hivory.navy</v>
      </c>
      <c r="B648" s="83" t="str">
        <f t="shared" si="72"/>
        <v>31-154-38</v>
      </c>
      <c r="C648" s="109" t="s">
        <v>2703</v>
      </c>
      <c r="D648" s="109" t="s">
        <v>2704</v>
      </c>
      <c r="E648" s="109" t="s">
        <v>791</v>
      </c>
      <c r="F648" s="110">
        <v>58</v>
      </c>
      <c r="G648" s="109" t="s">
        <v>988</v>
      </c>
      <c r="H648" s="109" t="s">
        <v>116</v>
      </c>
      <c r="I648" s="109" t="s">
        <v>790</v>
      </c>
      <c r="J648" s="109" t="s">
        <v>321</v>
      </c>
      <c r="K648" s="109" t="s">
        <v>387</v>
      </c>
      <c r="L648" s="109" t="s">
        <v>523</v>
      </c>
      <c r="M648" s="109" t="s">
        <v>384</v>
      </c>
      <c r="N648" s="109" t="s">
        <v>36</v>
      </c>
      <c r="O648" s="109" t="s">
        <v>445</v>
      </c>
      <c r="P648" s="109" t="s">
        <v>826</v>
      </c>
      <c r="Q648" s="109" t="s">
        <v>2705</v>
      </c>
      <c r="R648" s="109" t="s">
        <v>57</v>
      </c>
      <c r="S648" s="83" t="str">
        <f t="shared" si="73"/>
        <v>B1706H</v>
      </c>
      <c r="T648" s="83" t="str">
        <f t="shared" si="70"/>
        <v>ESTHER</v>
      </c>
      <c r="Y648" s="60">
        <f t="shared" si="74"/>
        <v>31</v>
      </c>
      <c r="Z648" s="49">
        <f t="shared" si="75"/>
        <v>154</v>
      </c>
      <c r="AA648" s="60">
        <f t="shared" si="76"/>
        <v>31154</v>
      </c>
    </row>
    <row r="649" spans="1:27">
      <c r="A649" s="83" t="str">
        <f t="shared" si="71"/>
        <v>B1706Hivory.navy</v>
      </c>
      <c r="B649" s="83" t="str">
        <f t="shared" si="72"/>
        <v>31-154-38</v>
      </c>
      <c r="C649" s="109" t="s">
        <v>2706</v>
      </c>
      <c r="D649" s="109" t="s">
        <v>2704</v>
      </c>
      <c r="E649" s="109" t="s">
        <v>798</v>
      </c>
      <c r="F649" s="110">
        <v>56</v>
      </c>
      <c r="G649" s="109" t="s">
        <v>988</v>
      </c>
      <c r="H649" s="109" t="s">
        <v>116</v>
      </c>
      <c r="I649" s="109" t="s">
        <v>790</v>
      </c>
      <c r="J649" s="109" t="s">
        <v>321</v>
      </c>
      <c r="K649" s="109" t="s">
        <v>387</v>
      </c>
      <c r="L649" s="109" t="s">
        <v>523</v>
      </c>
      <c r="M649" s="109" t="s">
        <v>384</v>
      </c>
      <c r="N649" s="109" t="s">
        <v>36</v>
      </c>
      <c r="O649" s="109" t="s">
        <v>445</v>
      </c>
      <c r="P649" s="109" t="s">
        <v>826</v>
      </c>
      <c r="Q649" s="109" t="s">
        <v>2705</v>
      </c>
      <c r="R649" s="109" t="s">
        <v>57</v>
      </c>
      <c r="S649" s="83" t="str">
        <f t="shared" si="73"/>
        <v>B1706H</v>
      </c>
      <c r="T649" s="83" t="str">
        <f t="shared" si="70"/>
        <v>ESTHER</v>
      </c>
      <c r="Y649" s="60">
        <f t="shared" si="74"/>
        <v>31</v>
      </c>
      <c r="Z649" s="49">
        <f t="shared" si="75"/>
        <v>154</v>
      </c>
      <c r="AA649" s="60">
        <f t="shared" si="76"/>
        <v>31154</v>
      </c>
    </row>
    <row r="650" spans="1:27">
      <c r="A650" s="83" t="str">
        <f t="shared" si="71"/>
        <v>B1708Hblack</v>
      </c>
      <c r="B650" s="83" t="str">
        <f t="shared" si="72"/>
        <v>31-155-09</v>
      </c>
      <c r="C650" s="109" t="s">
        <v>2707</v>
      </c>
      <c r="D650" s="109" t="s">
        <v>2708</v>
      </c>
      <c r="E650" s="109" t="s">
        <v>793</v>
      </c>
      <c r="F650" s="110">
        <v>0</v>
      </c>
      <c r="G650" s="109" t="s">
        <v>992</v>
      </c>
      <c r="H650" s="109" t="s">
        <v>53</v>
      </c>
      <c r="I650" s="109" t="s">
        <v>787</v>
      </c>
      <c r="J650" s="109" t="s">
        <v>348</v>
      </c>
      <c r="K650" s="109" t="s">
        <v>387</v>
      </c>
      <c r="L650" s="109" t="s">
        <v>523</v>
      </c>
      <c r="M650" s="109" t="s">
        <v>384</v>
      </c>
      <c r="N650" s="109" t="s">
        <v>43</v>
      </c>
      <c r="O650" s="109" t="s">
        <v>386</v>
      </c>
      <c r="P650" s="109" t="s">
        <v>826</v>
      </c>
      <c r="Q650" s="109" t="s">
        <v>831</v>
      </c>
      <c r="R650" s="109" t="s">
        <v>53</v>
      </c>
      <c r="S650" s="83" t="str">
        <f t="shared" si="73"/>
        <v>B1708H</v>
      </c>
      <c r="T650" s="83" t="str">
        <f t="shared" si="70"/>
        <v>FISHERMAN CAP</v>
      </c>
      <c r="Y650" s="60">
        <f t="shared" si="74"/>
        <v>31</v>
      </c>
      <c r="Z650" s="49">
        <f t="shared" si="75"/>
        <v>155</v>
      </c>
      <c r="AA650" s="60">
        <f t="shared" si="76"/>
        <v>31155</v>
      </c>
    </row>
    <row r="651" spans="1:27">
      <c r="A651" s="83" t="str">
        <f t="shared" si="71"/>
        <v>B1709Hwhite</v>
      </c>
      <c r="B651" s="83" t="str">
        <f t="shared" si="72"/>
        <v>31-156-17</v>
      </c>
      <c r="C651" s="109" t="s">
        <v>2709</v>
      </c>
      <c r="D651" s="109" t="s">
        <v>2710</v>
      </c>
      <c r="E651" s="109" t="s">
        <v>793</v>
      </c>
      <c r="F651" s="110">
        <v>0</v>
      </c>
      <c r="G651" s="109" t="s">
        <v>2711</v>
      </c>
      <c r="H651" s="109" t="s">
        <v>57</v>
      </c>
      <c r="I651" s="109" t="s">
        <v>787</v>
      </c>
      <c r="J651" s="109" t="s">
        <v>348</v>
      </c>
      <c r="K651" s="109" t="s">
        <v>387</v>
      </c>
      <c r="L651" s="109" t="s">
        <v>523</v>
      </c>
      <c r="M651" s="109" t="s">
        <v>384</v>
      </c>
      <c r="N651" s="109" t="s">
        <v>43</v>
      </c>
      <c r="O651" s="109" t="s">
        <v>386</v>
      </c>
      <c r="P651" s="109" t="s">
        <v>826</v>
      </c>
      <c r="Q651" s="109" t="s">
        <v>840</v>
      </c>
      <c r="R651" s="109" t="s">
        <v>57</v>
      </c>
      <c r="S651" s="83" t="str">
        <f t="shared" si="73"/>
        <v>B1709H</v>
      </c>
      <c r="T651" s="83" t="str">
        <f t="shared" si="70"/>
        <v>Rhinestop Cap II</v>
      </c>
      <c r="Y651" s="60">
        <f t="shared" si="74"/>
        <v>31</v>
      </c>
      <c r="Z651" s="49">
        <f t="shared" si="75"/>
        <v>156</v>
      </c>
      <c r="AA651" s="60">
        <f t="shared" si="76"/>
        <v>31156</v>
      </c>
    </row>
    <row r="652" spans="1:27">
      <c r="A652" s="83" t="str">
        <f t="shared" si="71"/>
        <v>B1710Hnavy</v>
      </c>
      <c r="B652" s="83" t="str">
        <f t="shared" si="72"/>
        <v>31-157-16</v>
      </c>
      <c r="C652" s="109" t="s">
        <v>2712</v>
      </c>
      <c r="D652" s="109" t="s">
        <v>2713</v>
      </c>
      <c r="E652" s="109" t="s">
        <v>793</v>
      </c>
      <c r="F652" s="110">
        <v>0</v>
      </c>
      <c r="G652" s="109" t="s">
        <v>1214</v>
      </c>
      <c r="H652" s="109" t="s">
        <v>55</v>
      </c>
      <c r="I652" s="109" t="s">
        <v>787</v>
      </c>
      <c r="J652" s="109" t="s">
        <v>325</v>
      </c>
      <c r="K652" s="109" t="s">
        <v>387</v>
      </c>
      <c r="L652" s="109" t="s">
        <v>523</v>
      </c>
      <c r="M652" s="109" t="s">
        <v>384</v>
      </c>
      <c r="N652" s="109" t="s">
        <v>43</v>
      </c>
      <c r="O652" s="109" t="s">
        <v>386</v>
      </c>
      <c r="P652" s="109" t="s">
        <v>826</v>
      </c>
      <c r="Q652" s="109" t="s">
        <v>829</v>
      </c>
      <c r="R652" s="109" t="s">
        <v>71</v>
      </c>
      <c r="S652" s="83" t="str">
        <f t="shared" si="73"/>
        <v>B1710H</v>
      </c>
      <c r="T652" s="83" t="str">
        <f t="shared" si="70"/>
        <v>GIGI</v>
      </c>
      <c r="Y652" s="60">
        <f t="shared" si="74"/>
        <v>31</v>
      </c>
      <c r="Z652" s="49">
        <f t="shared" si="75"/>
        <v>157</v>
      </c>
      <c r="AA652" s="60">
        <f t="shared" si="76"/>
        <v>31157</v>
      </c>
    </row>
    <row r="653" spans="1:27">
      <c r="A653" s="83" t="str">
        <f t="shared" si="71"/>
        <v>B1711Hnatural.floral</v>
      </c>
      <c r="B653" s="83" t="str">
        <f t="shared" si="72"/>
        <v>31-158-32</v>
      </c>
      <c r="C653" s="109" t="s">
        <v>2714</v>
      </c>
      <c r="D653" s="109" t="s">
        <v>2715</v>
      </c>
      <c r="E653" s="109" t="s">
        <v>793</v>
      </c>
      <c r="F653" s="110">
        <v>0</v>
      </c>
      <c r="G653" s="109" t="s">
        <v>2716</v>
      </c>
      <c r="H653" s="109" t="s">
        <v>74</v>
      </c>
      <c r="I653" s="109" t="s">
        <v>790</v>
      </c>
      <c r="J653" s="109" t="s">
        <v>351</v>
      </c>
      <c r="K653" s="109" t="s">
        <v>387</v>
      </c>
      <c r="L653" s="109" t="s">
        <v>523</v>
      </c>
      <c r="M653" s="109" t="s">
        <v>384</v>
      </c>
      <c r="N653" s="109" t="s">
        <v>36</v>
      </c>
      <c r="O653" s="109" t="s">
        <v>386</v>
      </c>
      <c r="P653" s="109" t="s">
        <v>826</v>
      </c>
      <c r="Q653" s="109" t="s">
        <v>2717</v>
      </c>
      <c r="R653" s="109" t="s">
        <v>63</v>
      </c>
      <c r="S653" s="83" t="str">
        <f t="shared" si="73"/>
        <v>B1711H</v>
      </c>
      <c r="T653" s="83" t="str">
        <f t="shared" si="70"/>
        <v>Cannes</v>
      </c>
      <c r="Y653" s="60">
        <f t="shared" si="74"/>
        <v>31</v>
      </c>
      <c r="Z653" s="49">
        <f t="shared" si="75"/>
        <v>158</v>
      </c>
      <c r="AA653" s="60">
        <f t="shared" si="76"/>
        <v>31158</v>
      </c>
    </row>
    <row r="654" spans="1:27">
      <c r="A654" s="83" t="str">
        <f t="shared" si="71"/>
        <v>B1712Hwhite.navy</v>
      </c>
      <c r="B654" s="83" t="str">
        <f t="shared" si="72"/>
        <v>31-159-38</v>
      </c>
      <c r="C654" s="109" t="s">
        <v>2718</v>
      </c>
      <c r="D654" s="109" t="s">
        <v>2719</v>
      </c>
      <c r="E654" s="109" t="s">
        <v>793</v>
      </c>
      <c r="F654" s="110">
        <v>0</v>
      </c>
      <c r="G654" s="109" t="s">
        <v>2720</v>
      </c>
      <c r="H654" s="109" t="s">
        <v>116</v>
      </c>
      <c r="I654" s="109" t="s">
        <v>787</v>
      </c>
      <c r="J654" s="109" t="s">
        <v>325</v>
      </c>
      <c r="K654" s="109" t="s">
        <v>387</v>
      </c>
      <c r="L654" s="109" t="s">
        <v>523</v>
      </c>
      <c r="M654" s="109" t="s">
        <v>384</v>
      </c>
      <c r="N654" s="109" t="s">
        <v>43</v>
      </c>
      <c r="O654" s="109" t="s">
        <v>386</v>
      </c>
      <c r="P654" s="109" t="s">
        <v>826</v>
      </c>
      <c r="Q654" s="109" t="s">
        <v>930</v>
      </c>
      <c r="R654" s="109" t="s">
        <v>57</v>
      </c>
      <c r="S654" s="83" t="str">
        <f t="shared" si="73"/>
        <v>B1712H</v>
      </c>
      <c r="T654" s="83" t="str">
        <f t="shared" si="70"/>
        <v>Adeline</v>
      </c>
      <c r="Y654" s="60">
        <f t="shared" si="74"/>
        <v>31</v>
      </c>
      <c r="Z654" s="49">
        <f t="shared" si="75"/>
        <v>159</v>
      </c>
      <c r="AA654" s="60">
        <f t="shared" si="76"/>
        <v>31159</v>
      </c>
    </row>
    <row r="655" spans="1:27">
      <c r="A655" s="83" t="str">
        <f t="shared" si="71"/>
        <v>B1713Hfloral</v>
      </c>
      <c r="B655" s="83" t="str">
        <f t="shared" si="72"/>
        <v>31-160-00</v>
      </c>
      <c r="C655" s="109" t="s">
        <v>2721</v>
      </c>
      <c r="D655" s="109" t="s">
        <v>2722</v>
      </c>
      <c r="E655" s="109" t="s">
        <v>793</v>
      </c>
      <c r="F655" s="110">
        <v>0</v>
      </c>
      <c r="G655" s="109" t="s">
        <v>2723</v>
      </c>
      <c r="H655" s="109" t="s">
        <v>111</v>
      </c>
      <c r="I655" s="109" t="s">
        <v>787</v>
      </c>
      <c r="J655" s="109" t="s">
        <v>325</v>
      </c>
      <c r="K655" s="109" t="s">
        <v>387</v>
      </c>
      <c r="L655" s="109" t="s">
        <v>523</v>
      </c>
      <c r="M655" s="109" t="s">
        <v>384</v>
      </c>
      <c r="N655" s="109" t="s">
        <v>43</v>
      </c>
      <c r="O655" s="109" t="s">
        <v>386</v>
      </c>
      <c r="P655" s="109" t="s">
        <v>826</v>
      </c>
      <c r="Q655" s="109" t="s">
        <v>2724</v>
      </c>
      <c r="R655" s="109" t="s">
        <v>57</v>
      </c>
      <c r="S655" s="83" t="str">
        <f t="shared" si="73"/>
        <v>B1713H</v>
      </c>
      <c r="T655" s="83" t="str">
        <f t="shared" si="70"/>
        <v>FELICITY</v>
      </c>
      <c r="Y655" s="60">
        <f t="shared" si="74"/>
        <v>31</v>
      </c>
      <c r="Z655" s="49">
        <f t="shared" si="75"/>
        <v>160</v>
      </c>
      <c r="AA655" s="60">
        <f t="shared" si="76"/>
        <v>31160</v>
      </c>
    </row>
    <row r="656" spans="1:27">
      <c r="A656" s="83" t="str">
        <f t="shared" si="71"/>
        <v>B1714Hwhite.red</v>
      </c>
      <c r="B656" s="83" t="str">
        <f t="shared" si="72"/>
        <v>31-161-00</v>
      </c>
      <c r="C656" s="109" t="s">
        <v>2725</v>
      </c>
      <c r="D656" s="109" t="s">
        <v>2726</v>
      </c>
      <c r="E656" s="109" t="s">
        <v>793</v>
      </c>
      <c r="F656" s="110">
        <v>0</v>
      </c>
      <c r="G656" s="109" t="s">
        <v>2727</v>
      </c>
      <c r="H656" s="109" t="s">
        <v>111</v>
      </c>
      <c r="I656" s="109" t="s">
        <v>787</v>
      </c>
      <c r="J656" s="109" t="s">
        <v>325</v>
      </c>
      <c r="K656" s="109" t="s">
        <v>387</v>
      </c>
      <c r="L656" s="109" t="s">
        <v>523</v>
      </c>
      <c r="M656" s="109" t="s">
        <v>384</v>
      </c>
      <c r="N656" s="109" t="s">
        <v>43</v>
      </c>
      <c r="O656" s="109" t="s">
        <v>386</v>
      </c>
      <c r="P656" s="109" t="s">
        <v>826</v>
      </c>
      <c r="Q656" s="109" t="s">
        <v>1790</v>
      </c>
      <c r="R656" s="109" t="s">
        <v>57</v>
      </c>
      <c r="S656" s="83" t="str">
        <f t="shared" si="73"/>
        <v>B1714H</v>
      </c>
      <c r="T656" s="83" t="str">
        <f t="shared" si="70"/>
        <v>Ava</v>
      </c>
      <c r="Y656" s="60">
        <f t="shared" si="74"/>
        <v>31</v>
      </c>
      <c r="Z656" s="49">
        <f t="shared" si="75"/>
        <v>161</v>
      </c>
      <c r="AA656" s="60">
        <f t="shared" si="76"/>
        <v>31161</v>
      </c>
    </row>
    <row r="657" spans="1:27">
      <c r="A657" s="83" t="str">
        <f t="shared" si="71"/>
        <v>B1717Hnatural.black</v>
      </c>
      <c r="B657" s="83" t="str">
        <f t="shared" si="72"/>
        <v>31-162-53</v>
      </c>
      <c r="C657" s="109" t="s">
        <v>2728</v>
      </c>
      <c r="D657" s="109" t="s">
        <v>2729</v>
      </c>
      <c r="E657" s="109" t="s">
        <v>793</v>
      </c>
      <c r="F657" s="110">
        <v>0</v>
      </c>
      <c r="G657" s="109" t="s">
        <v>2730</v>
      </c>
      <c r="H657" s="109" t="s">
        <v>101</v>
      </c>
      <c r="I657" s="109" t="s">
        <v>790</v>
      </c>
      <c r="J657" s="109" t="s">
        <v>357</v>
      </c>
      <c r="K657" s="109" t="s">
        <v>387</v>
      </c>
      <c r="L657" s="109" t="s">
        <v>523</v>
      </c>
      <c r="M657" s="109" t="s">
        <v>384</v>
      </c>
      <c r="N657" s="109" t="s">
        <v>36</v>
      </c>
      <c r="O657" s="109" t="s">
        <v>386</v>
      </c>
      <c r="P657" s="109" t="s">
        <v>826</v>
      </c>
      <c r="Q657" s="109" t="s">
        <v>888</v>
      </c>
      <c r="R657" s="109" t="s">
        <v>63</v>
      </c>
      <c r="S657" s="83" t="str">
        <f t="shared" si="73"/>
        <v>B1717H</v>
      </c>
      <c r="T657" s="83" t="str">
        <f t="shared" si="70"/>
        <v>Bridgitte</v>
      </c>
      <c r="Y657" s="60">
        <f t="shared" si="74"/>
        <v>31</v>
      </c>
      <c r="Z657" s="49">
        <f t="shared" si="75"/>
        <v>162</v>
      </c>
      <c r="AA657" s="60">
        <f t="shared" si="76"/>
        <v>31162</v>
      </c>
    </row>
    <row r="658" spans="1:27">
      <c r="A658" s="83" t="str">
        <f t="shared" si="71"/>
        <v>B1718Hnatural.white</v>
      </c>
      <c r="B658" s="83" t="str">
        <f t="shared" si="72"/>
        <v>31-163-00</v>
      </c>
      <c r="C658" s="109" t="s">
        <v>2731</v>
      </c>
      <c r="D658" s="109" t="s">
        <v>2732</v>
      </c>
      <c r="E658" s="109" t="s">
        <v>793</v>
      </c>
      <c r="F658" s="110">
        <v>0</v>
      </c>
      <c r="G658" s="109" t="s">
        <v>1036</v>
      </c>
      <c r="H658" s="109" t="s">
        <v>66</v>
      </c>
      <c r="I658" s="109" t="s">
        <v>868</v>
      </c>
      <c r="J658" s="109" t="s">
        <v>323</v>
      </c>
      <c r="K658" s="109" t="s">
        <v>387</v>
      </c>
      <c r="L658" s="109" t="s">
        <v>523</v>
      </c>
      <c r="M658" s="109" t="s">
        <v>384</v>
      </c>
      <c r="N658" s="109" t="s">
        <v>36</v>
      </c>
      <c r="O658" s="109" t="s">
        <v>386</v>
      </c>
      <c r="P658" s="109" t="s">
        <v>826</v>
      </c>
      <c r="Q658" s="109" t="s">
        <v>928</v>
      </c>
      <c r="R658" s="109" t="s">
        <v>63</v>
      </c>
      <c r="S658" s="83" t="str">
        <f t="shared" si="73"/>
        <v>B1718H</v>
      </c>
      <c r="T658" s="83" t="str">
        <f t="shared" si="70"/>
        <v>CORSICA</v>
      </c>
      <c r="Y658" s="60">
        <f t="shared" si="74"/>
        <v>31</v>
      </c>
      <c r="Z658" s="49">
        <f t="shared" si="75"/>
        <v>163</v>
      </c>
      <c r="AA658" s="60">
        <f t="shared" si="76"/>
        <v>31163</v>
      </c>
    </row>
    <row r="659" spans="1:27">
      <c r="A659" s="83" t="str">
        <f t="shared" si="71"/>
        <v>B1719Hlt.blue.white</v>
      </c>
      <c r="B659" s="83" t="str">
        <f t="shared" si="72"/>
        <v>31-164-19</v>
      </c>
      <c r="C659" s="109" t="s">
        <v>2733</v>
      </c>
      <c r="D659" s="109" t="s">
        <v>2734</v>
      </c>
      <c r="E659" s="109" t="s">
        <v>793</v>
      </c>
      <c r="F659" s="110">
        <v>0</v>
      </c>
      <c r="G659" s="109" t="s">
        <v>2735</v>
      </c>
      <c r="H659" s="109" t="s">
        <v>130</v>
      </c>
      <c r="I659" s="109" t="s">
        <v>794</v>
      </c>
      <c r="J659" s="109" t="s">
        <v>323</v>
      </c>
      <c r="K659" s="109" t="s">
        <v>387</v>
      </c>
      <c r="L659" s="109" t="s">
        <v>523</v>
      </c>
      <c r="M659" s="109" t="s">
        <v>384</v>
      </c>
      <c r="O659" s="109" t="s">
        <v>386</v>
      </c>
      <c r="P659" s="109" t="s">
        <v>826</v>
      </c>
      <c r="Q659" s="109" t="s">
        <v>2736</v>
      </c>
      <c r="R659" s="109" t="s">
        <v>91</v>
      </c>
      <c r="S659" s="83" t="str">
        <f t="shared" si="73"/>
        <v>B1719H</v>
      </c>
      <c r="T659" s="83" t="str">
        <f t="shared" si="70"/>
        <v>Marilyn</v>
      </c>
      <c r="Y659" s="60">
        <f t="shared" si="74"/>
        <v>31</v>
      </c>
      <c r="Z659" s="49">
        <f t="shared" si="75"/>
        <v>164</v>
      </c>
      <c r="AA659" s="60">
        <f t="shared" si="76"/>
        <v>31164</v>
      </c>
    </row>
    <row r="660" spans="1:27">
      <c r="A660" s="83" t="str">
        <f t="shared" si="71"/>
        <v>B1727Hblack</v>
      </c>
      <c r="B660" s="83" t="str">
        <f t="shared" si="72"/>
        <v>31-165-09</v>
      </c>
      <c r="C660" s="109" t="s">
        <v>2737</v>
      </c>
      <c r="D660" s="109" t="s">
        <v>2738</v>
      </c>
      <c r="E660" s="109" t="s">
        <v>793</v>
      </c>
      <c r="F660" s="110">
        <v>0</v>
      </c>
      <c r="G660" s="109" t="s">
        <v>2739</v>
      </c>
      <c r="H660" s="109" t="s">
        <v>53</v>
      </c>
      <c r="I660" s="109" t="s">
        <v>794</v>
      </c>
      <c r="J660" s="109" t="s">
        <v>510</v>
      </c>
      <c r="K660" s="109" t="s">
        <v>387</v>
      </c>
      <c r="L660" s="109" t="s">
        <v>523</v>
      </c>
      <c r="M660" s="109" t="s">
        <v>384</v>
      </c>
      <c r="O660" s="109" t="s">
        <v>386</v>
      </c>
      <c r="P660" s="109" t="s">
        <v>826</v>
      </c>
      <c r="Q660" s="109" t="s">
        <v>831</v>
      </c>
      <c r="R660" s="109" t="s">
        <v>53</v>
      </c>
      <c r="S660" s="83" t="str">
        <f t="shared" si="73"/>
        <v>B1727H</v>
      </c>
      <c r="T660" s="83" t="str">
        <f t="shared" si="70"/>
        <v>Josephina</v>
      </c>
      <c r="Y660" s="60">
        <f t="shared" si="74"/>
        <v>31</v>
      </c>
      <c r="Z660" s="49">
        <f t="shared" si="75"/>
        <v>165</v>
      </c>
      <c r="AA660" s="60">
        <f t="shared" si="76"/>
        <v>31165</v>
      </c>
    </row>
    <row r="661" spans="1:27">
      <c r="A661" s="83" t="str">
        <f t="shared" si="71"/>
        <v>B1728Hnude.glitter</v>
      </c>
      <c r="B661" s="83" t="str">
        <f t="shared" si="72"/>
        <v>31-166-02</v>
      </c>
      <c r="C661" s="109" t="s">
        <v>2740</v>
      </c>
      <c r="D661" s="109" t="s">
        <v>2741</v>
      </c>
      <c r="E661" s="109" t="s">
        <v>793</v>
      </c>
      <c r="F661" s="110">
        <v>0</v>
      </c>
      <c r="G661" s="109" t="s">
        <v>2742</v>
      </c>
      <c r="H661" s="109" t="s">
        <v>63</v>
      </c>
      <c r="I661" s="109" t="s">
        <v>792</v>
      </c>
      <c r="J661" s="109" t="s">
        <v>510</v>
      </c>
      <c r="K661" s="109" t="s">
        <v>387</v>
      </c>
      <c r="L661" s="109" t="s">
        <v>523</v>
      </c>
      <c r="M661" s="109" t="s">
        <v>384</v>
      </c>
      <c r="N661" s="109" t="s">
        <v>35</v>
      </c>
      <c r="O661" s="109" t="s">
        <v>386</v>
      </c>
      <c r="P661" s="109" t="s">
        <v>826</v>
      </c>
      <c r="Q661" s="109" t="s">
        <v>2743</v>
      </c>
      <c r="R661" s="109" t="s">
        <v>63</v>
      </c>
      <c r="S661" s="83" t="str">
        <f t="shared" si="73"/>
        <v>B1728H</v>
      </c>
      <c r="T661" s="83" t="str">
        <f t="shared" si="70"/>
        <v>Antoinette</v>
      </c>
      <c r="Y661" s="60">
        <f t="shared" si="74"/>
        <v>31</v>
      </c>
      <c r="Z661" s="49">
        <f t="shared" si="75"/>
        <v>166</v>
      </c>
      <c r="AA661" s="60">
        <f t="shared" si="76"/>
        <v>31166</v>
      </c>
    </row>
    <row r="662" spans="1:27">
      <c r="A662" s="83" t="str">
        <f t="shared" si="71"/>
        <v>B1729Hblush</v>
      </c>
      <c r="B662" s="83" t="str">
        <f t="shared" si="72"/>
        <v>31-167-34</v>
      </c>
      <c r="C662" s="109" t="s">
        <v>2744</v>
      </c>
      <c r="D662" s="109" t="s">
        <v>2745</v>
      </c>
      <c r="E662" s="109" t="s">
        <v>793</v>
      </c>
      <c r="F662" s="110">
        <v>0</v>
      </c>
      <c r="G662" s="109" t="s">
        <v>2746</v>
      </c>
      <c r="H662" s="109" t="s">
        <v>68</v>
      </c>
      <c r="I662" s="109" t="s">
        <v>794</v>
      </c>
      <c r="J662" s="109" t="s">
        <v>323</v>
      </c>
      <c r="K662" s="109" t="s">
        <v>387</v>
      </c>
      <c r="L662" s="109" t="s">
        <v>523</v>
      </c>
      <c r="M662" s="109" t="s">
        <v>384</v>
      </c>
      <c r="O662" s="109" t="s">
        <v>386</v>
      </c>
      <c r="P662" s="109" t="s">
        <v>826</v>
      </c>
      <c r="Q662" s="109" t="s">
        <v>1279</v>
      </c>
      <c r="R662" s="109" t="s">
        <v>68</v>
      </c>
      <c r="S662" s="83" t="str">
        <f t="shared" si="73"/>
        <v>B1729H</v>
      </c>
      <c r="T662" s="83" t="str">
        <f t="shared" si="70"/>
        <v>Mavis</v>
      </c>
      <c r="Y662" s="60">
        <f t="shared" si="74"/>
        <v>31</v>
      </c>
      <c r="Z662" s="49">
        <f t="shared" si="75"/>
        <v>167</v>
      </c>
      <c r="AA662" s="60">
        <f t="shared" si="76"/>
        <v>31167</v>
      </c>
    </row>
    <row r="663" spans="1:27">
      <c r="A663" s="83" t="str">
        <f t="shared" si="71"/>
        <v>B1731Hcream</v>
      </c>
      <c r="B663" s="83" t="str">
        <f t="shared" si="72"/>
        <v>31-168-02</v>
      </c>
      <c r="C663" s="109" t="s">
        <v>2747</v>
      </c>
      <c r="D663" s="109" t="s">
        <v>2748</v>
      </c>
      <c r="E663" s="109" t="s">
        <v>793</v>
      </c>
      <c r="F663" s="110">
        <v>0</v>
      </c>
      <c r="G663" s="109" t="s">
        <v>2749</v>
      </c>
      <c r="H663" s="109" t="s">
        <v>63</v>
      </c>
      <c r="I663" s="109" t="s">
        <v>794</v>
      </c>
      <c r="J663" s="109" t="s">
        <v>323</v>
      </c>
      <c r="K663" s="109" t="s">
        <v>387</v>
      </c>
      <c r="L663" s="109" t="s">
        <v>523</v>
      </c>
      <c r="M663" s="109" t="s">
        <v>384</v>
      </c>
      <c r="O663" s="109" t="s">
        <v>386</v>
      </c>
      <c r="P663" s="109" t="s">
        <v>826</v>
      </c>
      <c r="Q663" s="109" t="s">
        <v>2750</v>
      </c>
      <c r="R663" s="109" t="s">
        <v>63</v>
      </c>
      <c r="S663" s="83" t="str">
        <f t="shared" si="73"/>
        <v>B1731H</v>
      </c>
      <c r="T663" s="83" t="str">
        <f t="shared" si="70"/>
        <v>Edna</v>
      </c>
      <c r="Y663" s="60">
        <f t="shared" si="74"/>
        <v>31</v>
      </c>
      <c r="Z663" s="49">
        <f t="shared" si="75"/>
        <v>168</v>
      </c>
      <c r="AA663" s="60">
        <f t="shared" si="76"/>
        <v>31168</v>
      </c>
    </row>
    <row r="664" spans="1:27">
      <c r="A664" s="83" t="str">
        <f t="shared" si="71"/>
        <v>B1732Hblack</v>
      </c>
      <c r="B664" s="83" t="str">
        <f t="shared" si="72"/>
        <v>31-169-09</v>
      </c>
      <c r="C664" s="109" t="s">
        <v>2751</v>
      </c>
      <c r="D664" s="109" t="s">
        <v>2752</v>
      </c>
      <c r="E664" s="109" t="s">
        <v>793</v>
      </c>
      <c r="F664" s="110">
        <v>0</v>
      </c>
      <c r="G664" s="109" t="s">
        <v>2753</v>
      </c>
      <c r="H664" s="109" t="s">
        <v>53</v>
      </c>
      <c r="I664" s="109" t="s">
        <v>794</v>
      </c>
      <c r="J664" s="109" t="s">
        <v>323</v>
      </c>
      <c r="K664" s="109" t="s">
        <v>387</v>
      </c>
      <c r="L664" s="109" t="s">
        <v>523</v>
      </c>
      <c r="M664" s="109" t="s">
        <v>384</v>
      </c>
      <c r="O664" s="109" t="s">
        <v>386</v>
      </c>
      <c r="P664" s="109" t="s">
        <v>826</v>
      </c>
      <c r="Q664" s="109" t="s">
        <v>831</v>
      </c>
      <c r="R664" s="109" t="s">
        <v>53</v>
      </c>
      <c r="S664" s="83" t="str">
        <f t="shared" si="73"/>
        <v>B1732H</v>
      </c>
      <c r="T664" s="83" t="str">
        <f t="shared" si="70"/>
        <v>Vivienne</v>
      </c>
      <c r="Y664" s="60">
        <f t="shared" si="74"/>
        <v>31</v>
      </c>
      <c r="Z664" s="49">
        <f t="shared" si="75"/>
        <v>169</v>
      </c>
      <c r="AA664" s="60">
        <f t="shared" si="76"/>
        <v>31169</v>
      </c>
    </row>
    <row r="665" spans="1:27">
      <c r="A665" s="83" t="str">
        <f t="shared" si="71"/>
        <v>B1734Hwhite.natural</v>
      </c>
      <c r="B665" s="83" t="str">
        <f t="shared" si="72"/>
        <v>31-170-00</v>
      </c>
      <c r="C665" s="109" t="s">
        <v>2754</v>
      </c>
      <c r="D665" s="109" t="s">
        <v>2755</v>
      </c>
      <c r="E665" s="109" t="s">
        <v>793</v>
      </c>
      <c r="F665" s="110">
        <v>0</v>
      </c>
      <c r="G665" s="109" t="s">
        <v>2756</v>
      </c>
      <c r="H665" s="109" t="s">
        <v>66</v>
      </c>
      <c r="I665" s="109" t="s">
        <v>868</v>
      </c>
      <c r="J665" s="109" t="s">
        <v>351</v>
      </c>
      <c r="K665" s="109" t="s">
        <v>387</v>
      </c>
      <c r="L665" s="109" t="s">
        <v>523</v>
      </c>
      <c r="M665" s="109" t="s">
        <v>384</v>
      </c>
      <c r="N665" s="109" t="s">
        <v>36</v>
      </c>
      <c r="O665" s="109" t="s">
        <v>386</v>
      </c>
      <c r="P665" s="109" t="s">
        <v>826</v>
      </c>
      <c r="Q665" s="109" t="s">
        <v>934</v>
      </c>
      <c r="R665" s="109" t="s">
        <v>63</v>
      </c>
      <c r="S665" s="83" t="str">
        <f t="shared" si="73"/>
        <v>B1734H</v>
      </c>
      <c r="T665" s="83" t="str">
        <f t="shared" si="70"/>
        <v>Lace Visor</v>
      </c>
      <c r="Y665" s="60">
        <f t="shared" si="74"/>
        <v>31</v>
      </c>
      <c r="Z665" s="49">
        <f t="shared" si="75"/>
        <v>170</v>
      </c>
      <c r="AA665" s="60">
        <f t="shared" si="76"/>
        <v>31170</v>
      </c>
    </row>
    <row r="666" spans="1:27">
      <c r="A666" s="83" t="str">
        <f t="shared" si="71"/>
        <v>B1735Hnatural.black</v>
      </c>
      <c r="B666" s="83" t="str">
        <f t="shared" si="72"/>
        <v>31-171-53</v>
      </c>
      <c r="C666" s="109" t="s">
        <v>2757</v>
      </c>
      <c r="D666" s="109" t="s">
        <v>2758</v>
      </c>
      <c r="E666" s="109" t="s">
        <v>793</v>
      </c>
      <c r="F666" s="110">
        <v>0</v>
      </c>
      <c r="G666" s="109" t="s">
        <v>1001</v>
      </c>
      <c r="H666" s="109" t="s">
        <v>101</v>
      </c>
      <c r="I666" s="109" t="s">
        <v>966</v>
      </c>
      <c r="J666" s="109" t="s">
        <v>323</v>
      </c>
      <c r="K666" s="109" t="s">
        <v>387</v>
      </c>
      <c r="L666" s="109" t="s">
        <v>523</v>
      </c>
      <c r="M666" s="109" t="s">
        <v>384</v>
      </c>
      <c r="N666" s="109" t="s">
        <v>36</v>
      </c>
      <c r="O666" s="109" t="s">
        <v>386</v>
      </c>
      <c r="P666" s="109" t="s">
        <v>826</v>
      </c>
      <c r="Q666" s="109" t="s">
        <v>888</v>
      </c>
      <c r="R666" s="109" t="s">
        <v>63</v>
      </c>
      <c r="S666" s="83" t="str">
        <f t="shared" si="73"/>
        <v>B1735H</v>
      </c>
      <c r="T666" s="83" t="str">
        <f t="shared" si="70"/>
        <v>AUDREY</v>
      </c>
      <c r="Y666" s="60">
        <f t="shared" si="74"/>
        <v>31</v>
      </c>
      <c r="Z666" s="49">
        <f t="shared" si="75"/>
        <v>171</v>
      </c>
      <c r="AA666" s="60">
        <f t="shared" si="76"/>
        <v>31171</v>
      </c>
    </row>
    <row r="667" spans="1:27">
      <c r="A667" s="83" t="str">
        <f t="shared" si="71"/>
        <v>B1736Hnatural.coral</v>
      </c>
      <c r="B667" s="83" t="str">
        <f t="shared" si="72"/>
        <v>31-172-00</v>
      </c>
      <c r="C667" s="109" t="s">
        <v>2759</v>
      </c>
      <c r="D667" s="109" t="s">
        <v>2760</v>
      </c>
      <c r="E667" s="109" t="s">
        <v>793</v>
      </c>
      <c r="F667" s="110">
        <v>0</v>
      </c>
      <c r="G667" s="109" t="s">
        <v>1004</v>
      </c>
      <c r="H667" s="109" t="s">
        <v>95</v>
      </c>
      <c r="I667" s="109" t="s">
        <v>891</v>
      </c>
      <c r="J667" s="109" t="s">
        <v>323</v>
      </c>
      <c r="K667" s="109" t="s">
        <v>387</v>
      </c>
      <c r="L667" s="109" t="s">
        <v>523</v>
      </c>
      <c r="M667" s="109" t="s">
        <v>384</v>
      </c>
      <c r="N667" s="109" t="s">
        <v>36</v>
      </c>
      <c r="O667" s="109" t="s">
        <v>386</v>
      </c>
      <c r="P667" s="109" t="s">
        <v>826</v>
      </c>
      <c r="Q667" s="109" t="s">
        <v>985</v>
      </c>
      <c r="R667" s="109" t="s">
        <v>63</v>
      </c>
      <c r="S667" s="83" t="str">
        <f t="shared" si="73"/>
        <v>B1736H</v>
      </c>
      <c r="T667" s="83" t="str">
        <f t="shared" si="70"/>
        <v>MALLORY</v>
      </c>
      <c r="Y667" s="60">
        <f t="shared" si="74"/>
        <v>31</v>
      </c>
      <c r="Z667" s="49">
        <f t="shared" si="75"/>
        <v>172</v>
      </c>
      <c r="AA667" s="60">
        <f t="shared" si="76"/>
        <v>31172</v>
      </c>
    </row>
    <row r="668" spans="1:27">
      <c r="A668" s="83" t="str">
        <f t="shared" si="71"/>
        <v>B1755Hivory.pink</v>
      </c>
      <c r="B668" s="83" t="str">
        <f t="shared" si="72"/>
        <v>31-173-59</v>
      </c>
      <c r="C668" s="109" t="s">
        <v>2761</v>
      </c>
      <c r="D668" s="109" t="s">
        <v>2762</v>
      </c>
      <c r="E668" s="109" t="s">
        <v>791</v>
      </c>
      <c r="F668" s="110">
        <v>58</v>
      </c>
      <c r="G668" s="109" t="s">
        <v>2763</v>
      </c>
      <c r="H668" s="109" t="s">
        <v>114</v>
      </c>
      <c r="I668" s="109" t="s">
        <v>790</v>
      </c>
      <c r="J668" s="109" t="s">
        <v>330</v>
      </c>
      <c r="K668" s="109" t="s">
        <v>387</v>
      </c>
      <c r="L668" s="109" t="s">
        <v>523</v>
      </c>
      <c r="M668" s="109" t="s">
        <v>384</v>
      </c>
      <c r="N668" s="109" t="s">
        <v>36</v>
      </c>
      <c r="O668" s="109" t="s">
        <v>445</v>
      </c>
      <c r="P668" s="109" t="s">
        <v>826</v>
      </c>
      <c r="Q668" s="109" t="s">
        <v>962</v>
      </c>
      <c r="R668" s="109" t="s">
        <v>57</v>
      </c>
      <c r="S668" s="83" t="str">
        <f t="shared" si="73"/>
        <v>B1755H</v>
      </c>
      <c r="T668" s="83" t="str">
        <f t="shared" si="70"/>
        <v>JILL</v>
      </c>
      <c r="Y668" s="60">
        <f t="shared" si="74"/>
        <v>31</v>
      </c>
      <c r="Z668" s="49">
        <f t="shared" si="75"/>
        <v>173</v>
      </c>
      <c r="AA668" s="60">
        <f t="shared" si="76"/>
        <v>31173</v>
      </c>
    </row>
    <row r="669" spans="1:27">
      <c r="A669" s="83" t="str">
        <f t="shared" si="71"/>
        <v>B176lt.blue</v>
      </c>
      <c r="B669" s="83" t="str">
        <f t="shared" si="72"/>
        <v>31-084-22</v>
      </c>
      <c r="C669" s="109" t="s">
        <v>2764</v>
      </c>
      <c r="D669" s="109" t="s">
        <v>2765</v>
      </c>
      <c r="E669" s="109" t="s">
        <v>793</v>
      </c>
      <c r="F669" s="110">
        <v>0</v>
      </c>
      <c r="G669" s="109" t="s">
        <v>1007</v>
      </c>
      <c r="H669" s="109" t="s">
        <v>233</v>
      </c>
      <c r="I669" s="109" t="s">
        <v>966</v>
      </c>
      <c r="J669" s="109" t="s">
        <v>357</v>
      </c>
      <c r="K669" s="109" t="s">
        <v>387</v>
      </c>
      <c r="L669" s="109" t="s">
        <v>523</v>
      </c>
      <c r="M669" s="109" t="s">
        <v>384</v>
      </c>
      <c r="N669" s="109" t="s">
        <v>36</v>
      </c>
      <c r="O669" s="109" t="s">
        <v>386</v>
      </c>
      <c r="P669" s="109" t="s">
        <v>826</v>
      </c>
      <c r="Q669" s="109" t="s">
        <v>969</v>
      </c>
      <c r="R669" s="109" t="s">
        <v>71</v>
      </c>
      <c r="S669" s="83" t="str">
        <f t="shared" si="73"/>
        <v>B176</v>
      </c>
      <c r="T669" s="83" t="str">
        <f t="shared" si="70"/>
        <v>GOSSAMER</v>
      </c>
      <c r="Y669" s="60">
        <f t="shared" si="74"/>
        <v>31</v>
      </c>
      <c r="Z669" s="49">
        <f t="shared" si="75"/>
        <v>84</v>
      </c>
      <c r="AA669" s="60">
        <f t="shared" si="76"/>
        <v>31084</v>
      </c>
    </row>
    <row r="670" spans="1:27">
      <c r="A670" s="83" t="str">
        <f t="shared" si="71"/>
        <v>B3261light pink</v>
      </c>
      <c r="B670" s="83" t="str">
        <f t="shared" si="72"/>
        <v>31-087-34</v>
      </c>
      <c r="C670" s="109" t="s">
        <v>2766</v>
      </c>
      <c r="D670" s="109" t="s">
        <v>2767</v>
      </c>
      <c r="E670" s="109" t="s">
        <v>793</v>
      </c>
      <c r="F670" s="110">
        <v>0</v>
      </c>
      <c r="G670" s="109" t="s">
        <v>1295</v>
      </c>
      <c r="H670" s="109" t="s">
        <v>68</v>
      </c>
      <c r="I670" s="109" t="s">
        <v>794</v>
      </c>
      <c r="J670" s="109" t="s">
        <v>323</v>
      </c>
      <c r="K670" s="109" t="s">
        <v>387</v>
      </c>
      <c r="L670" s="109" t="s">
        <v>523</v>
      </c>
      <c r="M670" s="109" t="s">
        <v>384</v>
      </c>
      <c r="O670" s="109" t="s">
        <v>386</v>
      </c>
      <c r="P670" s="109" t="s">
        <v>826</v>
      </c>
      <c r="Q670" s="109" t="s">
        <v>2768</v>
      </c>
      <c r="R670" s="109" t="s">
        <v>68</v>
      </c>
      <c r="S670" s="83" t="str">
        <f t="shared" si="73"/>
        <v>B3261</v>
      </c>
      <c r="T670" s="83" t="str">
        <f t="shared" si="70"/>
        <v>COCONUT RING SAFARI</v>
      </c>
      <c r="Y670" s="60">
        <f t="shared" si="74"/>
        <v>31</v>
      </c>
      <c r="Z670" s="49">
        <f t="shared" si="75"/>
        <v>87</v>
      </c>
      <c r="AA670" s="60">
        <f t="shared" si="76"/>
        <v>31087</v>
      </c>
    </row>
    <row r="671" spans="1:27">
      <c r="A671" s="83" t="str">
        <f t="shared" si="71"/>
        <v>B962lt.blue</v>
      </c>
      <c r="B671" s="83" t="str">
        <f t="shared" si="72"/>
        <v>31-090-19</v>
      </c>
      <c r="C671" s="109" t="s">
        <v>2769</v>
      </c>
      <c r="D671" s="109" t="s">
        <v>2770</v>
      </c>
      <c r="E671" s="109" t="s">
        <v>793</v>
      </c>
      <c r="F671" s="110">
        <v>0</v>
      </c>
      <c r="G671" s="109" t="s">
        <v>1224</v>
      </c>
      <c r="H671" s="109" t="s">
        <v>91</v>
      </c>
      <c r="I671" s="109" t="s">
        <v>787</v>
      </c>
      <c r="J671" s="109" t="s">
        <v>325</v>
      </c>
      <c r="K671" s="109" t="s">
        <v>387</v>
      </c>
      <c r="L671" s="109" t="s">
        <v>523</v>
      </c>
      <c r="M671" s="109" t="s">
        <v>384</v>
      </c>
      <c r="N671" s="109" t="s">
        <v>43</v>
      </c>
      <c r="O671" s="109" t="s">
        <v>386</v>
      </c>
      <c r="P671" s="109" t="s">
        <v>826</v>
      </c>
      <c r="Q671" s="109" t="s">
        <v>969</v>
      </c>
      <c r="R671" s="109" t="s">
        <v>91</v>
      </c>
      <c r="S671" s="83" t="str">
        <f t="shared" si="73"/>
        <v>B962</v>
      </c>
      <c r="T671" s="83" t="str">
        <f t="shared" si="70"/>
        <v>KNOTTED CLOCHE</v>
      </c>
      <c r="Y671" s="60">
        <f t="shared" si="74"/>
        <v>31</v>
      </c>
      <c r="Z671" s="49">
        <f t="shared" si="75"/>
        <v>90</v>
      </c>
      <c r="AA671" s="60">
        <f t="shared" si="76"/>
        <v>31090</v>
      </c>
    </row>
    <row r="672" spans="1:27">
      <c r="A672" s="83" t="str">
        <f t="shared" si="71"/>
        <v>B1758black</v>
      </c>
      <c r="B672" s="83" t="str">
        <f t="shared" si="72"/>
        <v>31-176-09</v>
      </c>
      <c r="C672" s="109" t="s">
        <v>2771</v>
      </c>
      <c r="D672" s="109" t="s">
        <v>2772</v>
      </c>
      <c r="E672" s="109" t="s">
        <v>793</v>
      </c>
      <c r="F672" s="110">
        <v>0</v>
      </c>
      <c r="G672" s="109" t="s">
        <v>1532</v>
      </c>
      <c r="H672" s="109" t="s">
        <v>53</v>
      </c>
      <c r="I672" s="109" t="s">
        <v>785</v>
      </c>
      <c r="J672" s="109" t="s">
        <v>323</v>
      </c>
      <c r="K672" s="109" t="s">
        <v>387</v>
      </c>
      <c r="L672" s="109" t="s">
        <v>523</v>
      </c>
      <c r="M672" s="109" t="s">
        <v>388</v>
      </c>
      <c r="N672" s="109" t="s">
        <v>30</v>
      </c>
      <c r="O672" s="109" t="s">
        <v>386</v>
      </c>
      <c r="P672" s="109" t="s">
        <v>827</v>
      </c>
      <c r="Q672" s="109" t="s">
        <v>831</v>
      </c>
      <c r="R672" s="109" t="s">
        <v>53</v>
      </c>
      <c r="S672" s="83" t="str">
        <f t="shared" si="73"/>
        <v>B1758</v>
      </c>
      <c r="T672" s="83" t="str">
        <f t="shared" si="70"/>
        <v>WHARTON</v>
      </c>
      <c r="Y672" s="60">
        <f t="shared" si="74"/>
        <v>31</v>
      </c>
      <c r="Z672" s="49">
        <f t="shared" si="75"/>
        <v>176</v>
      </c>
      <c r="AA672" s="60">
        <f t="shared" si="76"/>
        <v>31176</v>
      </c>
    </row>
    <row r="673" spans="1:27">
      <c r="A673" s="83" t="str">
        <f t="shared" si="71"/>
        <v>B1758emerald</v>
      </c>
      <c r="B673" s="83" t="str">
        <f t="shared" si="72"/>
        <v>31-176-11</v>
      </c>
      <c r="C673" s="109" t="s">
        <v>2773</v>
      </c>
      <c r="D673" s="109" t="s">
        <v>2774</v>
      </c>
      <c r="E673" s="109" t="s">
        <v>793</v>
      </c>
      <c r="F673" s="110">
        <v>0</v>
      </c>
      <c r="G673" s="109" t="s">
        <v>1532</v>
      </c>
      <c r="H673" s="109" t="s">
        <v>60</v>
      </c>
      <c r="I673" s="109" t="s">
        <v>785</v>
      </c>
      <c r="J673" s="109" t="s">
        <v>323</v>
      </c>
      <c r="K673" s="109" t="s">
        <v>387</v>
      </c>
      <c r="L673" s="109" t="s">
        <v>523</v>
      </c>
      <c r="M673" s="109" t="s">
        <v>388</v>
      </c>
      <c r="N673" s="109" t="s">
        <v>30</v>
      </c>
      <c r="O673" s="109" t="s">
        <v>386</v>
      </c>
      <c r="P673" s="109" t="s">
        <v>826</v>
      </c>
      <c r="Q673" s="109" t="s">
        <v>2033</v>
      </c>
      <c r="R673" s="109" t="s">
        <v>60</v>
      </c>
      <c r="S673" s="83" t="str">
        <f t="shared" si="73"/>
        <v>B1758</v>
      </c>
      <c r="T673" s="83" t="str">
        <f t="shared" si="70"/>
        <v>WHARTON</v>
      </c>
      <c r="Y673" s="60">
        <f t="shared" si="74"/>
        <v>31</v>
      </c>
      <c r="Z673" s="49">
        <f t="shared" si="75"/>
        <v>176</v>
      </c>
      <c r="AA673" s="60">
        <f t="shared" si="76"/>
        <v>31176</v>
      </c>
    </row>
    <row r="674" spans="1:27">
      <c r="A674" s="83" t="str">
        <f t="shared" si="71"/>
        <v>B1758cranberry</v>
      </c>
      <c r="B674" s="83" t="str">
        <f t="shared" si="72"/>
        <v>31-176-12</v>
      </c>
      <c r="C674" s="109" t="s">
        <v>2775</v>
      </c>
      <c r="D674" s="109" t="s">
        <v>2776</v>
      </c>
      <c r="E674" s="109" t="s">
        <v>793</v>
      </c>
      <c r="F674" s="110">
        <v>0</v>
      </c>
      <c r="G674" s="109" t="s">
        <v>1532</v>
      </c>
      <c r="H674" s="109" t="s">
        <v>286</v>
      </c>
      <c r="I674" s="109" t="s">
        <v>785</v>
      </c>
      <c r="J674" s="109" t="s">
        <v>323</v>
      </c>
      <c r="K674" s="109" t="s">
        <v>387</v>
      </c>
      <c r="L674" s="109" t="s">
        <v>523</v>
      </c>
      <c r="M674" s="109" t="s">
        <v>388</v>
      </c>
      <c r="N674" s="109" t="s">
        <v>30</v>
      </c>
      <c r="O674" s="109" t="s">
        <v>386</v>
      </c>
      <c r="P674" s="109" t="s">
        <v>827</v>
      </c>
      <c r="Q674" s="109" t="s">
        <v>1168</v>
      </c>
      <c r="R674" s="109" t="s">
        <v>286</v>
      </c>
      <c r="S674" s="83" t="str">
        <f t="shared" si="73"/>
        <v>B1758</v>
      </c>
      <c r="T674" s="83" t="str">
        <f t="shared" si="70"/>
        <v>WHARTON</v>
      </c>
      <c r="Y674" s="60">
        <f t="shared" si="74"/>
        <v>31</v>
      </c>
      <c r="Z674" s="49">
        <f t="shared" si="75"/>
        <v>176</v>
      </c>
      <c r="AA674" s="60">
        <f t="shared" si="76"/>
        <v>31176</v>
      </c>
    </row>
    <row r="675" spans="1:27">
      <c r="A675" s="83" t="str">
        <f t="shared" si="71"/>
        <v>B1782Hblack</v>
      </c>
      <c r="B675" s="83" t="str">
        <f t="shared" si="72"/>
        <v>31-177-09</v>
      </c>
      <c r="C675" s="109" t="s">
        <v>2777</v>
      </c>
      <c r="D675" s="109" t="s">
        <v>2778</v>
      </c>
      <c r="E675" s="109" t="s">
        <v>798</v>
      </c>
      <c r="F675" s="110">
        <v>56</v>
      </c>
      <c r="G675" s="109" t="s">
        <v>1312</v>
      </c>
      <c r="H675" s="109" t="s">
        <v>53</v>
      </c>
      <c r="I675" s="109" t="s">
        <v>785</v>
      </c>
      <c r="J675" s="109" t="s">
        <v>323</v>
      </c>
      <c r="K675" s="109" t="s">
        <v>387</v>
      </c>
      <c r="L675" s="109" t="s">
        <v>523</v>
      </c>
      <c r="M675" s="109" t="s">
        <v>388</v>
      </c>
      <c r="N675" s="109" t="s">
        <v>30</v>
      </c>
      <c r="O675" s="109" t="s">
        <v>445</v>
      </c>
      <c r="P675" s="109" t="s">
        <v>826</v>
      </c>
      <c r="Q675" s="109" t="s">
        <v>831</v>
      </c>
      <c r="R675" s="109" t="s">
        <v>53</v>
      </c>
      <c r="S675" s="83" t="str">
        <f t="shared" si="73"/>
        <v>B1782H</v>
      </c>
      <c r="T675" s="83" t="str">
        <f t="shared" si="70"/>
        <v>BYRNE</v>
      </c>
      <c r="Y675" s="60">
        <f t="shared" si="74"/>
        <v>31</v>
      </c>
      <c r="Z675" s="49">
        <f t="shared" si="75"/>
        <v>177</v>
      </c>
      <c r="AA675" s="60">
        <f t="shared" si="76"/>
        <v>31177</v>
      </c>
    </row>
    <row r="676" spans="1:27">
      <c r="A676" s="83" t="str">
        <f t="shared" si="71"/>
        <v>B1782Hblack</v>
      </c>
      <c r="B676" s="83" t="str">
        <f t="shared" si="72"/>
        <v>31-177-09</v>
      </c>
      <c r="C676" s="109" t="s">
        <v>2779</v>
      </c>
      <c r="D676" s="109" t="s">
        <v>2778</v>
      </c>
      <c r="E676" s="109" t="s">
        <v>791</v>
      </c>
      <c r="F676" s="110">
        <v>58</v>
      </c>
      <c r="G676" s="109" t="s">
        <v>1312</v>
      </c>
      <c r="H676" s="109" t="s">
        <v>53</v>
      </c>
      <c r="I676" s="109" t="s">
        <v>785</v>
      </c>
      <c r="J676" s="109" t="s">
        <v>323</v>
      </c>
      <c r="K676" s="109" t="s">
        <v>387</v>
      </c>
      <c r="L676" s="109" t="s">
        <v>523</v>
      </c>
      <c r="M676" s="109" t="s">
        <v>388</v>
      </c>
      <c r="N676" s="109" t="s">
        <v>30</v>
      </c>
      <c r="O676" s="109" t="s">
        <v>445</v>
      </c>
      <c r="P676" s="109" t="s">
        <v>826</v>
      </c>
      <c r="Q676" s="109" t="s">
        <v>831</v>
      </c>
      <c r="R676" s="109" t="s">
        <v>53</v>
      </c>
      <c r="S676" s="83" t="str">
        <f t="shared" si="73"/>
        <v>B1782H</v>
      </c>
      <c r="T676" s="83" t="str">
        <f t="shared" si="70"/>
        <v>BYRNE</v>
      </c>
      <c r="Y676" s="60">
        <f t="shared" si="74"/>
        <v>31</v>
      </c>
      <c r="Z676" s="49">
        <f t="shared" si="75"/>
        <v>177</v>
      </c>
      <c r="AA676" s="60">
        <f t="shared" si="76"/>
        <v>31177</v>
      </c>
    </row>
    <row r="677" spans="1:27">
      <c r="A677" s="83" t="str">
        <f t="shared" si="71"/>
        <v>B1782Hcranberry</v>
      </c>
      <c r="B677" s="83" t="str">
        <f t="shared" si="72"/>
        <v>31-177-12</v>
      </c>
      <c r="C677" s="109" t="s">
        <v>2780</v>
      </c>
      <c r="D677" s="109" t="s">
        <v>2781</v>
      </c>
      <c r="E677" s="109" t="s">
        <v>798</v>
      </c>
      <c r="F677" s="110">
        <v>56</v>
      </c>
      <c r="G677" s="109" t="s">
        <v>1312</v>
      </c>
      <c r="H677" s="109" t="s">
        <v>121</v>
      </c>
      <c r="I677" s="109" t="s">
        <v>785</v>
      </c>
      <c r="J677" s="109" t="s">
        <v>323</v>
      </c>
      <c r="K677" s="109" t="s">
        <v>387</v>
      </c>
      <c r="L677" s="109" t="s">
        <v>523</v>
      </c>
      <c r="M677" s="109" t="s">
        <v>388</v>
      </c>
      <c r="N677" s="109" t="s">
        <v>30</v>
      </c>
      <c r="O677" s="109" t="s">
        <v>445</v>
      </c>
      <c r="P677" s="109" t="s">
        <v>826</v>
      </c>
      <c r="Q677" s="109" t="s">
        <v>1168</v>
      </c>
      <c r="R677" s="109" t="s">
        <v>121</v>
      </c>
      <c r="S677" s="83" t="str">
        <f t="shared" si="73"/>
        <v>B1782H</v>
      </c>
      <c r="T677" s="83" t="str">
        <f t="shared" si="70"/>
        <v>BYRNE</v>
      </c>
      <c r="Y677" s="60">
        <f t="shared" si="74"/>
        <v>31</v>
      </c>
      <c r="Z677" s="49">
        <f t="shared" si="75"/>
        <v>177</v>
      </c>
      <c r="AA677" s="60">
        <f t="shared" si="76"/>
        <v>31177</v>
      </c>
    </row>
    <row r="678" spans="1:27">
      <c r="A678" s="83" t="str">
        <f t="shared" si="71"/>
        <v>B1799Hplum</v>
      </c>
      <c r="B678" s="83" t="str">
        <f t="shared" si="72"/>
        <v>31-178-41</v>
      </c>
      <c r="C678" s="109" t="s">
        <v>2782</v>
      </c>
      <c r="D678" s="109" t="s">
        <v>2783</v>
      </c>
      <c r="E678" s="109" t="s">
        <v>793</v>
      </c>
      <c r="F678" s="110">
        <v>0</v>
      </c>
      <c r="G678" s="109" t="s">
        <v>1132</v>
      </c>
      <c r="H678" s="109" t="s">
        <v>286</v>
      </c>
      <c r="I678" s="109" t="s">
        <v>785</v>
      </c>
      <c r="J678" s="109" t="s">
        <v>323</v>
      </c>
      <c r="K678" s="109" t="s">
        <v>387</v>
      </c>
      <c r="L678" s="109" t="s">
        <v>523</v>
      </c>
      <c r="M678" s="109" t="s">
        <v>388</v>
      </c>
      <c r="N678" s="109" t="s">
        <v>30</v>
      </c>
      <c r="O678" s="109" t="s">
        <v>386</v>
      </c>
      <c r="P678" s="109" t="s">
        <v>827</v>
      </c>
      <c r="Q678" s="109" t="s">
        <v>1163</v>
      </c>
      <c r="R678" s="109" t="s">
        <v>286</v>
      </c>
      <c r="S678" s="83" t="str">
        <f t="shared" si="73"/>
        <v>B1799H</v>
      </c>
      <c r="T678" s="83" t="str">
        <f t="shared" si="70"/>
        <v>MULLINS</v>
      </c>
      <c r="Y678" s="60">
        <f t="shared" si="74"/>
        <v>31</v>
      </c>
      <c r="Z678" s="49">
        <f t="shared" si="75"/>
        <v>178</v>
      </c>
      <c r="AA678" s="60">
        <f t="shared" si="76"/>
        <v>31178</v>
      </c>
    </row>
    <row r="679" spans="1:27">
      <c r="A679" s="83" t="str">
        <f t="shared" si="71"/>
        <v>B1799Hblack</v>
      </c>
      <c r="B679" s="83" t="str">
        <f t="shared" si="72"/>
        <v>31-178-09</v>
      </c>
      <c r="C679" s="109" t="s">
        <v>2784</v>
      </c>
      <c r="D679" s="109" t="s">
        <v>2785</v>
      </c>
      <c r="E679" s="109" t="s">
        <v>793</v>
      </c>
      <c r="F679" s="110">
        <v>0</v>
      </c>
      <c r="G679" s="109" t="s">
        <v>1132</v>
      </c>
      <c r="H679" s="109" t="s">
        <v>53</v>
      </c>
      <c r="I679" s="109" t="s">
        <v>785</v>
      </c>
      <c r="J679" s="109" t="s">
        <v>323</v>
      </c>
      <c r="K679" s="109" t="s">
        <v>387</v>
      </c>
      <c r="L679" s="109" t="s">
        <v>523</v>
      </c>
      <c r="M679" s="109" t="s">
        <v>388</v>
      </c>
      <c r="N679" s="109" t="s">
        <v>30</v>
      </c>
      <c r="O679" s="109" t="s">
        <v>386</v>
      </c>
      <c r="P679" s="109" t="s">
        <v>827</v>
      </c>
      <c r="Q679" s="109" t="s">
        <v>831</v>
      </c>
      <c r="R679" s="109" t="s">
        <v>53</v>
      </c>
      <c r="S679" s="83" t="str">
        <f t="shared" si="73"/>
        <v>B1799H</v>
      </c>
      <c r="T679" s="83" t="str">
        <f t="shared" si="70"/>
        <v>MULLINS</v>
      </c>
      <c r="Y679" s="60">
        <f t="shared" si="74"/>
        <v>31</v>
      </c>
      <c r="Z679" s="49">
        <f t="shared" si="75"/>
        <v>178</v>
      </c>
      <c r="AA679" s="60">
        <f t="shared" si="76"/>
        <v>31178</v>
      </c>
    </row>
    <row r="680" spans="1:27">
      <c r="A680" s="83" t="str">
        <f t="shared" si="71"/>
        <v>B1646Hspice</v>
      </c>
      <c r="B680" s="83" t="str">
        <f t="shared" si="72"/>
        <v>31-120-87</v>
      </c>
      <c r="C680" s="109" t="s">
        <v>2786</v>
      </c>
      <c r="D680" s="109" t="s">
        <v>2787</v>
      </c>
      <c r="E680" s="109" t="s">
        <v>793</v>
      </c>
      <c r="F680" s="110">
        <v>0</v>
      </c>
      <c r="G680" s="109" t="s">
        <v>1525</v>
      </c>
      <c r="H680" s="109" t="s">
        <v>160</v>
      </c>
      <c r="I680" s="109" t="s">
        <v>785</v>
      </c>
      <c r="J680" s="109" t="s">
        <v>323</v>
      </c>
      <c r="K680" s="109" t="s">
        <v>387</v>
      </c>
      <c r="L680" s="109" t="s">
        <v>523</v>
      </c>
      <c r="M680" s="109" t="s">
        <v>388</v>
      </c>
      <c r="N680" s="109" t="s">
        <v>30</v>
      </c>
      <c r="O680" s="109" t="s">
        <v>386</v>
      </c>
      <c r="P680" s="109" t="s">
        <v>826</v>
      </c>
      <c r="Q680" s="109" t="s">
        <v>1077</v>
      </c>
      <c r="R680" s="109" t="s">
        <v>121</v>
      </c>
      <c r="S680" s="83" t="str">
        <f t="shared" si="73"/>
        <v>B1646H</v>
      </c>
      <c r="T680" s="83" t="str">
        <f t="shared" si="70"/>
        <v>HAYDEN</v>
      </c>
      <c r="Y680" s="60">
        <f t="shared" si="74"/>
        <v>31</v>
      </c>
      <c r="Z680" s="49">
        <f t="shared" si="75"/>
        <v>120</v>
      </c>
      <c r="AA680" s="60">
        <f t="shared" si="76"/>
        <v>31120</v>
      </c>
    </row>
    <row r="681" spans="1:27">
      <c r="A681" s="83" t="str">
        <f t="shared" si="71"/>
        <v>B1780Hblack</v>
      </c>
      <c r="B681" s="83" t="str">
        <f t="shared" si="72"/>
        <v>31-179-09</v>
      </c>
      <c r="C681" s="109" t="s">
        <v>2788</v>
      </c>
      <c r="D681" s="109" t="s">
        <v>2789</v>
      </c>
      <c r="E681" s="109" t="s">
        <v>798</v>
      </c>
      <c r="F681" s="110">
        <v>56</v>
      </c>
      <c r="G681" s="109" t="s">
        <v>2790</v>
      </c>
      <c r="H681" s="109" t="s">
        <v>53</v>
      </c>
      <c r="I681" s="109" t="s">
        <v>785</v>
      </c>
      <c r="J681" s="109" t="s">
        <v>323</v>
      </c>
      <c r="K681" s="109" t="s">
        <v>387</v>
      </c>
      <c r="L681" s="109" t="s">
        <v>523</v>
      </c>
      <c r="M681" s="109" t="s">
        <v>388</v>
      </c>
      <c r="N681" s="109" t="s">
        <v>30</v>
      </c>
      <c r="O681" s="109" t="s">
        <v>445</v>
      </c>
      <c r="P681" s="109" t="s">
        <v>826</v>
      </c>
      <c r="Q681" s="109" t="s">
        <v>831</v>
      </c>
      <c r="R681" s="109" t="s">
        <v>53</v>
      </c>
      <c r="S681" s="83" t="str">
        <f t="shared" si="73"/>
        <v>B1780H</v>
      </c>
      <c r="T681" s="83" t="str">
        <f t="shared" si="70"/>
        <v>ELEANORE</v>
      </c>
      <c r="Y681" s="60">
        <f t="shared" si="74"/>
        <v>31</v>
      </c>
      <c r="Z681" s="49">
        <f t="shared" si="75"/>
        <v>179</v>
      </c>
      <c r="AA681" s="60">
        <f t="shared" si="76"/>
        <v>31179</v>
      </c>
    </row>
    <row r="682" spans="1:27">
      <c r="A682" s="83" t="str">
        <f t="shared" si="71"/>
        <v>B1780Hblack</v>
      </c>
      <c r="B682" s="83" t="str">
        <f t="shared" si="72"/>
        <v>31-179-09</v>
      </c>
      <c r="C682" s="109" t="s">
        <v>2791</v>
      </c>
      <c r="D682" s="109" t="s">
        <v>2789</v>
      </c>
      <c r="E682" s="109" t="s">
        <v>791</v>
      </c>
      <c r="F682" s="110">
        <v>58</v>
      </c>
      <c r="G682" s="109" t="s">
        <v>2790</v>
      </c>
      <c r="H682" s="109" t="s">
        <v>53</v>
      </c>
      <c r="I682" s="109" t="s">
        <v>785</v>
      </c>
      <c r="J682" s="109" t="s">
        <v>323</v>
      </c>
      <c r="K682" s="109" t="s">
        <v>387</v>
      </c>
      <c r="L682" s="109" t="s">
        <v>523</v>
      </c>
      <c r="M682" s="109" t="s">
        <v>388</v>
      </c>
      <c r="N682" s="109" t="s">
        <v>30</v>
      </c>
      <c r="O682" s="109" t="s">
        <v>445</v>
      </c>
      <c r="P682" s="109" t="s">
        <v>826</v>
      </c>
      <c r="Q682" s="109" t="s">
        <v>831</v>
      </c>
      <c r="R682" s="109" t="s">
        <v>53</v>
      </c>
      <c r="S682" s="83" t="str">
        <f t="shared" si="73"/>
        <v>B1780H</v>
      </c>
      <c r="T682" s="83" t="str">
        <f t="shared" si="70"/>
        <v>ELEANORE</v>
      </c>
      <c r="Y682" s="60">
        <f t="shared" si="74"/>
        <v>31</v>
      </c>
      <c r="Z682" s="49">
        <f t="shared" si="75"/>
        <v>179</v>
      </c>
      <c r="AA682" s="60">
        <f t="shared" si="76"/>
        <v>31179</v>
      </c>
    </row>
    <row r="683" spans="1:27">
      <c r="A683" s="83" t="str">
        <f t="shared" si="71"/>
        <v>B1781Hslate</v>
      </c>
      <c r="B683" s="83" t="str">
        <f t="shared" si="72"/>
        <v>31-180-08</v>
      </c>
      <c r="C683" s="109" t="s">
        <v>2792</v>
      </c>
      <c r="D683" s="109" t="s">
        <v>2793</v>
      </c>
      <c r="E683" s="109" t="s">
        <v>791</v>
      </c>
      <c r="F683" s="110">
        <v>58</v>
      </c>
      <c r="G683" s="109" t="s">
        <v>1305</v>
      </c>
      <c r="H683" s="109" t="s">
        <v>83</v>
      </c>
      <c r="I683" s="109" t="s">
        <v>785</v>
      </c>
      <c r="J683" s="109" t="s">
        <v>323</v>
      </c>
      <c r="K683" s="109" t="s">
        <v>387</v>
      </c>
      <c r="L683" s="109" t="s">
        <v>523</v>
      </c>
      <c r="M683" s="109" t="s">
        <v>388</v>
      </c>
      <c r="N683" s="109" t="s">
        <v>30</v>
      </c>
      <c r="O683" s="109" t="s">
        <v>445</v>
      </c>
      <c r="P683" s="109" t="s">
        <v>826</v>
      </c>
      <c r="Q683" s="109" t="s">
        <v>883</v>
      </c>
      <c r="R683" s="109" t="s">
        <v>83</v>
      </c>
      <c r="S683" s="83" t="str">
        <f t="shared" si="73"/>
        <v>B1781H</v>
      </c>
      <c r="T683" s="83" t="str">
        <f t="shared" si="70"/>
        <v>ALDRIDGE</v>
      </c>
      <c r="Y683" s="60">
        <f t="shared" si="74"/>
        <v>31</v>
      </c>
      <c r="Z683" s="49">
        <f t="shared" si="75"/>
        <v>180</v>
      </c>
      <c r="AA683" s="60">
        <f t="shared" si="76"/>
        <v>31180</v>
      </c>
    </row>
    <row r="684" spans="1:27">
      <c r="A684" s="83" t="str">
        <f t="shared" si="71"/>
        <v>B1781Hblack</v>
      </c>
      <c r="B684" s="83" t="str">
        <f t="shared" si="72"/>
        <v>31-180-09</v>
      </c>
      <c r="C684" s="109" t="s">
        <v>2794</v>
      </c>
      <c r="D684" s="109" t="s">
        <v>2795</v>
      </c>
      <c r="E684" s="109" t="s">
        <v>798</v>
      </c>
      <c r="F684" s="110">
        <v>56</v>
      </c>
      <c r="G684" s="109" t="s">
        <v>1305</v>
      </c>
      <c r="H684" s="109" t="s">
        <v>53</v>
      </c>
      <c r="I684" s="109" t="s">
        <v>785</v>
      </c>
      <c r="J684" s="109" t="s">
        <v>323</v>
      </c>
      <c r="K684" s="109" t="s">
        <v>387</v>
      </c>
      <c r="L684" s="109" t="s">
        <v>523</v>
      </c>
      <c r="M684" s="109" t="s">
        <v>388</v>
      </c>
      <c r="N684" s="109" t="s">
        <v>30</v>
      </c>
      <c r="O684" s="109" t="s">
        <v>445</v>
      </c>
      <c r="P684" s="109" t="s">
        <v>826</v>
      </c>
      <c r="Q684" s="109" t="s">
        <v>831</v>
      </c>
      <c r="R684" s="109" t="s">
        <v>53</v>
      </c>
      <c r="S684" s="83" t="str">
        <f t="shared" si="73"/>
        <v>B1781H</v>
      </c>
      <c r="T684" s="83" t="str">
        <f t="shared" si="70"/>
        <v>ALDRIDGE</v>
      </c>
      <c r="Y684" s="60">
        <f t="shared" si="74"/>
        <v>31</v>
      </c>
      <c r="Z684" s="49">
        <f t="shared" si="75"/>
        <v>180</v>
      </c>
      <c r="AA684" s="60">
        <f t="shared" si="76"/>
        <v>31180</v>
      </c>
    </row>
    <row r="685" spans="1:27">
      <c r="A685" s="83" t="str">
        <f t="shared" si="71"/>
        <v>B1781Hblack</v>
      </c>
      <c r="B685" s="83" t="str">
        <f t="shared" si="72"/>
        <v>31-180-09</v>
      </c>
      <c r="C685" s="109" t="s">
        <v>2796</v>
      </c>
      <c r="D685" s="109" t="s">
        <v>2795</v>
      </c>
      <c r="E685" s="109" t="s">
        <v>791</v>
      </c>
      <c r="F685" s="110">
        <v>58</v>
      </c>
      <c r="G685" s="109" t="s">
        <v>1305</v>
      </c>
      <c r="H685" s="109" t="s">
        <v>53</v>
      </c>
      <c r="I685" s="109" t="s">
        <v>785</v>
      </c>
      <c r="J685" s="109" t="s">
        <v>323</v>
      </c>
      <c r="K685" s="109" t="s">
        <v>387</v>
      </c>
      <c r="L685" s="109" t="s">
        <v>523</v>
      </c>
      <c r="M685" s="109" t="s">
        <v>388</v>
      </c>
      <c r="N685" s="109" t="s">
        <v>30</v>
      </c>
      <c r="O685" s="109" t="s">
        <v>445</v>
      </c>
      <c r="P685" s="109" t="s">
        <v>826</v>
      </c>
      <c r="Q685" s="109" t="s">
        <v>831</v>
      </c>
      <c r="R685" s="109" t="s">
        <v>53</v>
      </c>
      <c r="S685" s="83" t="str">
        <f t="shared" si="73"/>
        <v>B1781H</v>
      </c>
      <c r="T685" s="83" t="str">
        <f t="shared" si="70"/>
        <v>ALDRIDGE</v>
      </c>
      <c r="Y685" s="60">
        <f t="shared" si="74"/>
        <v>31</v>
      </c>
      <c r="Z685" s="49">
        <f t="shared" si="75"/>
        <v>180</v>
      </c>
      <c r="AA685" s="60">
        <f t="shared" si="76"/>
        <v>31180</v>
      </c>
    </row>
    <row r="686" spans="1:27">
      <c r="A686" s="83" t="str">
        <f t="shared" si="71"/>
        <v>B1806Holive/rose</v>
      </c>
      <c r="B686" s="83" t="str">
        <f t="shared" si="72"/>
        <v>31-181-03</v>
      </c>
      <c r="C686" s="109" t="s">
        <v>2797</v>
      </c>
      <c r="D686" s="109" t="s">
        <v>2798</v>
      </c>
      <c r="E686" s="109" t="s">
        <v>798</v>
      </c>
      <c r="F686" s="110">
        <v>56</v>
      </c>
      <c r="G686" s="109" t="s">
        <v>1336</v>
      </c>
      <c r="H686" s="109" t="s">
        <v>197</v>
      </c>
      <c r="I686" s="109" t="s">
        <v>785</v>
      </c>
      <c r="J686" s="109" t="s">
        <v>330</v>
      </c>
      <c r="K686" s="109" t="s">
        <v>387</v>
      </c>
      <c r="L686" s="109" t="s">
        <v>523</v>
      </c>
      <c r="M686" s="109" t="s">
        <v>388</v>
      </c>
      <c r="N686" s="109" t="s">
        <v>30</v>
      </c>
      <c r="O686" s="109" t="s">
        <v>445</v>
      </c>
      <c r="P686" s="109" t="s">
        <v>826</v>
      </c>
      <c r="Q686" s="109" t="s">
        <v>2799</v>
      </c>
      <c r="R686" s="109" t="s">
        <v>195</v>
      </c>
      <c r="S686" s="83" t="str">
        <f t="shared" si="73"/>
        <v>B1806H</v>
      </c>
      <c r="T686" s="83" t="str">
        <f t="shared" si="70"/>
        <v>DICKINSON</v>
      </c>
      <c r="Y686" s="60">
        <f t="shared" si="74"/>
        <v>31</v>
      </c>
      <c r="Z686" s="49">
        <f t="shared" si="75"/>
        <v>181</v>
      </c>
      <c r="AA686" s="60">
        <f t="shared" si="76"/>
        <v>31181</v>
      </c>
    </row>
    <row r="687" spans="1:27">
      <c r="A687" s="83" t="str">
        <f t="shared" si="71"/>
        <v>B1806Holive/rose</v>
      </c>
      <c r="B687" s="83" t="str">
        <f t="shared" si="72"/>
        <v>31-181-03</v>
      </c>
      <c r="C687" s="109" t="s">
        <v>2800</v>
      </c>
      <c r="D687" s="109" t="s">
        <v>2798</v>
      </c>
      <c r="E687" s="109" t="s">
        <v>791</v>
      </c>
      <c r="F687" s="110">
        <v>58</v>
      </c>
      <c r="G687" s="109" t="s">
        <v>1336</v>
      </c>
      <c r="H687" s="109" t="s">
        <v>197</v>
      </c>
      <c r="I687" s="109" t="s">
        <v>785</v>
      </c>
      <c r="J687" s="109" t="s">
        <v>330</v>
      </c>
      <c r="K687" s="109" t="s">
        <v>387</v>
      </c>
      <c r="L687" s="109" t="s">
        <v>523</v>
      </c>
      <c r="M687" s="109" t="s">
        <v>388</v>
      </c>
      <c r="N687" s="109" t="s">
        <v>30</v>
      </c>
      <c r="O687" s="109" t="s">
        <v>445</v>
      </c>
      <c r="P687" s="109" t="s">
        <v>826</v>
      </c>
      <c r="Q687" s="109" t="s">
        <v>2799</v>
      </c>
      <c r="R687" s="109" t="s">
        <v>195</v>
      </c>
      <c r="S687" s="83" t="str">
        <f t="shared" si="73"/>
        <v>B1806H</v>
      </c>
      <c r="T687" s="83" t="str">
        <f t="shared" si="70"/>
        <v>DICKINSON</v>
      </c>
      <c r="Y687" s="60">
        <f t="shared" si="74"/>
        <v>31</v>
      </c>
      <c r="Z687" s="49">
        <f t="shared" si="75"/>
        <v>181</v>
      </c>
      <c r="AA687" s="60">
        <f t="shared" si="76"/>
        <v>31181</v>
      </c>
    </row>
    <row r="688" spans="1:27">
      <c r="A688" s="83" t="str">
        <f t="shared" si="71"/>
        <v>B1765Hslate</v>
      </c>
      <c r="B688" s="83" t="str">
        <f t="shared" si="72"/>
        <v>31-182-08</v>
      </c>
      <c r="C688" s="109" t="s">
        <v>2801</v>
      </c>
      <c r="D688" s="109" t="s">
        <v>2802</v>
      </c>
      <c r="E688" s="109" t="s">
        <v>793</v>
      </c>
      <c r="F688" s="110">
        <v>0</v>
      </c>
      <c r="G688" s="109" t="s">
        <v>1302</v>
      </c>
      <c r="H688" s="109" t="s">
        <v>83</v>
      </c>
      <c r="I688" s="109" t="s">
        <v>785</v>
      </c>
      <c r="J688" s="109" t="s">
        <v>330</v>
      </c>
      <c r="K688" s="109" t="s">
        <v>387</v>
      </c>
      <c r="L688" s="109" t="s">
        <v>523</v>
      </c>
      <c r="M688" s="109" t="s">
        <v>388</v>
      </c>
      <c r="N688" s="109" t="s">
        <v>30</v>
      </c>
      <c r="O688" s="109" t="s">
        <v>386</v>
      </c>
      <c r="P688" s="109" t="s">
        <v>826</v>
      </c>
      <c r="Q688" s="109" t="s">
        <v>883</v>
      </c>
      <c r="R688" s="109" t="s">
        <v>83</v>
      </c>
      <c r="S688" s="83" t="str">
        <f t="shared" si="73"/>
        <v>B1765H</v>
      </c>
      <c r="T688" s="83" t="str">
        <f t="shared" si="70"/>
        <v>WALDEN</v>
      </c>
      <c r="Y688" s="60">
        <f t="shared" si="74"/>
        <v>31</v>
      </c>
      <c r="Z688" s="49">
        <f t="shared" si="75"/>
        <v>182</v>
      </c>
      <c r="AA688" s="60">
        <f t="shared" si="76"/>
        <v>31182</v>
      </c>
    </row>
    <row r="689" spans="1:27">
      <c r="A689" s="83" t="str">
        <f t="shared" si="71"/>
        <v>B1765Hrose</v>
      </c>
      <c r="B689" s="83" t="str">
        <f t="shared" si="72"/>
        <v>31-182-34</v>
      </c>
      <c r="C689" s="109" t="s">
        <v>2803</v>
      </c>
      <c r="D689" s="109" t="s">
        <v>2804</v>
      </c>
      <c r="E689" s="109" t="s">
        <v>793</v>
      </c>
      <c r="F689" s="110">
        <v>0</v>
      </c>
      <c r="G689" s="109" t="s">
        <v>1302</v>
      </c>
      <c r="H689" s="109" t="s">
        <v>68</v>
      </c>
      <c r="I689" s="109" t="s">
        <v>785</v>
      </c>
      <c r="J689" s="109" t="s">
        <v>330</v>
      </c>
      <c r="K689" s="109" t="s">
        <v>387</v>
      </c>
      <c r="L689" s="109" t="s">
        <v>523</v>
      </c>
      <c r="M689" s="109" t="s">
        <v>388</v>
      </c>
      <c r="N689" s="109" t="s">
        <v>30</v>
      </c>
      <c r="O689" s="109" t="s">
        <v>386</v>
      </c>
      <c r="P689" s="109" t="s">
        <v>826</v>
      </c>
      <c r="Q689" s="109" t="s">
        <v>2317</v>
      </c>
      <c r="R689" s="109" t="s">
        <v>68</v>
      </c>
      <c r="S689" s="83" t="str">
        <f t="shared" si="73"/>
        <v>B1765H</v>
      </c>
      <c r="T689" s="83" t="str">
        <f t="shared" si="70"/>
        <v>WALDEN</v>
      </c>
      <c r="Y689" s="60">
        <f t="shared" si="74"/>
        <v>31</v>
      </c>
      <c r="Z689" s="49">
        <f t="shared" si="75"/>
        <v>182</v>
      </c>
      <c r="AA689" s="60">
        <f t="shared" si="76"/>
        <v>31182</v>
      </c>
    </row>
    <row r="690" spans="1:27">
      <c r="A690" s="83" t="str">
        <f t="shared" si="71"/>
        <v>B1249Hblue smoke</v>
      </c>
      <c r="B690" s="83" t="str">
        <f t="shared" si="72"/>
        <v>31-008-01</v>
      </c>
      <c r="C690" s="109" t="s">
        <v>2805</v>
      </c>
      <c r="D690" s="109" t="s">
        <v>2806</v>
      </c>
      <c r="E690" s="109" t="s">
        <v>793</v>
      </c>
      <c r="F690" s="110">
        <v>0</v>
      </c>
      <c r="G690" s="109" t="s">
        <v>1104</v>
      </c>
      <c r="H690" s="109" t="s">
        <v>231</v>
      </c>
      <c r="I690" s="109" t="s">
        <v>785</v>
      </c>
      <c r="J690" s="109" t="s">
        <v>330</v>
      </c>
      <c r="K690" s="109" t="s">
        <v>387</v>
      </c>
      <c r="L690" s="109" t="s">
        <v>523</v>
      </c>
      <c r="M690" s="109" t="s">
        <v>388</v>
      </c>
      <c r="N690" s="109" t="s">
        <v>30</v>
      </c>
      <c r="O690" s="109" t="s">
        <v>386</v>
      </c>
      <c r="P690" s="109" t="s">
        <v>826</v>
      </c>
      <c r="Q690" s="109" t="s">
        <v>903</v>
      </c>
      <c r="R690" s="109" t="s">
        <v>83</v>
      </c>
      <c r="S690" s="83" t="str">
        <f t="shared" si="73"/>
        <v>B1249H</v>
      </c>
      <c r="T690" s="83" t="str">
        <f t="shared" si="70"/>
        <v>DARCY</v>
      </c>
      <c r="Y690" s="60">
        <f t="shared" si="74"/>
        <v>31</v>
      </c>
      <c r="Z690" s="49">
        <f t="shared" si="75"/>
        <v>8</v>
      </c>
      <c r="AA690" s="60">
        <f t="shared" si="76"/>
        <v>31008</v>
      </c>
    </row>
    <row r="691" spans="1:27">
      <c r="A691" s="83" t="str">
        <f t="shared" si="71"/>
        <v>B1795Hblack</v>
      </c>
      <c r="B691" s="83" t="str">
        <f t="shared" si="72"/>
        <v>31-183-09</v>
      </c>
      <c r="C691" s="109" t="s">
        <v>2807</v>
      </c>
      <c r="D691" s="109" t="s">
        <v>2808</v>
      </c>
      <c r="E691" s="109" t="s">
        <v>791</v>
      </c>
      <c r="F691" s="110">
        <v>58</v>
      </c>
      <c r="G691" s="109" t="s">
        <v>1119</v>
      </c>
      <c r="H691" s="109" t="s">
        <v>53</v>
      </c>
      <c r="I691" s="109" t="s">
        <v>785</v>
      </c>
      <c r="J691" s="109" t="s">
        <v>330</v>
      </c>
      <c r="K691" s="109" t="s">
        <v>387</v>
      </c>
      <c r="L691" s="109" t="s">
        <v>523</v>
      </c>
      <c r="M691" s="109" t="s">
        <v>388</v>
      </c>
      <c r="N691" s="109" t="s">
        <v>30</v>
      </c>
      <c r="O691" s="109" t="s">
        <v>445</v>
      </c>
      <c r="P691" s="109" t="s">
        <v>827</v>
      </c>
      <c r="Q691" s="109" t="s">
        <v>831</v>
      </c>
      <c r="R691" s="109" t="s">
        <v>53</v>
      </c>
      <c r="S691" s="83" t="str">
        <f t="shared" si="73"/>
        <v>B1795H</v>
      </c>
      <c r="T691" s="83" t="str">
        <f t="shared" si="70"/>
        <v>SAWYER</v>
      </c>
      <c r="Y691" s="60">
        <f t="shared" si="74"/>
        <v>31</v>
      </c>
      <c r="Z691" s="49">
        <f t="shared" si="75"/>
        <v>183</v>
      </c>
      <c r="AA691" s="60">
        <f t="shared" si="76"/>
        <v>31183</v>
      </c>
    </row>
    <row r="692" spans="1:27">
      <c r="A692" s="83" t="str">
        <f t="shared" si="71"/>
        <v>B1795Hblack</v>
      </c>
      <c r="B692" s="83" t="str">
        <f t="shared" si="72"/>
        <v>31-183-09</v>
      </c>
      <c r="C692" s="109" t="s">
        <v>2809</v>
      </c>
      <c r="D692" s="109" t="s">
        <v>2808</v>
      </c>
      <c r="E692" s="109" t="s">
        <v>798</v>
      </c>
      <c r="F692" s="110">
        <v>0</v>
      </c>
      <c r="G692" s="109" t="s">
        <v>1119</v>
      </c>
      <c r="H692" s="109" t="s">
        <v>53</v>
      </c>
      <c r="I692" s="109" t="s">
        <v>785</v>
      </c>
      <c r="J692" s="109" t="s">
        <v>330</v>
      </c>
      <c r="K692" s="109" t="s">
        <v>387</v>
      </c>
      <c r="L692" s="109" t="s">
        <v>523</v>
      </c>
      <c r="M692" s="109" t="s">
        <v>388</v>
      </c>
      <c r="N692" s="109" t="s">
        <v>30</v>
      </c>
      <c r="O692" s="109" t="s">
        <v>445</v>
      </c>
      <c r="P692" s="109" t="s">
        <v>827</v>
      </c>
      <c r="Q692" s="109" t="s">
        <v>831</v>
      </c>
      <c r="R692" s="109" t="s">
        <v>53</v>
      </c>
      <c r="S692" s="83" t="str">
        <f t="shared" si="73"/>
        <v>B1795H</v>
      </c>
      <c r="T692" s="83" t="str">
        <f t="shared" si="70"/>
        <v>SAWYER</v>
      </c>
      <c r="Y692" s="60">
        <f t="shared" si="74"/>
        <v>31</v>
      </c>
      <c r="Z692" s="49">
        <f t="shared" si="75"/>
        <v>183</v>
      </c>
      <c r="AA692" s="60">
        <f t="shared" si="76"/>
        <v>31183</v>
      </c>
    </row>
    <row r="693" spans="1:27">
      <c r="A693" s="83" t="str">
        <f t="shared" si="71"/>
        <v>B1795Hmahagony</v>
      </c>
      <c r="B693" s="83" t="str">
        <f t="shared" si="72"/>
        <v>31-183-14</v>
      </c>
      <c r="C693" s="109" t="s">
        <v>2810</v>
      </c>
      <c r="D693" s="109" t="s">
        <v>2811</v>
      </c>
      <c r="E693" s="109" t="s">
        <v>791</v>
      </c>
      <c r="F693" s="110">
        <v>58</v>
      </c>
      <c r="G693" s="109" t="s">
        <v>1119</v>
      </c>
      <c r="H693" s="109" t="s">
        <v>86</v>
      </c>
      <c r="I693" s="109" t="s">
        <v>785</v>
      </c>
      <c r="J693" s="109" t="s">
        <v>330</v>
      </c>
      <c r="K693" s="109" t="s">
        <v>387</v>
      </c>
      <c r="L693" s="109" t="s">
        <v>523</v>
      </c>
      <c r="M693" s="109" t="s">
        <v>388</v>
      </c>
      <c r="N693" s="109" t="s">
        <v>30</v>
      </c>
      <c r="O693" s="109" t="s">
        <v>445</v>
      </c>
      <c r="P693" s="109" t="s">
        <v>827</v>
      </c>
      <c r="Q693" s="109" t="s">
        <v>2812</v>
      </c>
      <c r="R693" s="109" t="s">
        <v>86</v>
      </c>
      <c r="S693" s="83" t="str">
        <f t="shared" si="73"/>
        <v>B1795H</v>
      </c>
      <c r="T693" s="83" t="str">
        <f t="shared" si="70"/>
        <v>SAWYER</v>
      </c>
      <c r="Y693" s="60">
        <f t="shared" si="74"/>
        <v>31</v>
      </c>
      <c r="Z693" s="49">
        <f t="shared" si="75"/>
        <v>183</v>
      </c>
      <c r="AA693" s="60">
        <f t="shared" si="76"/>
        <v>31183</v>
      </c>
    </row>
    <row r="694" spans="1:27">
      <c r="A694" s="83" t="str">
        <f t="shared" si="71"/>
        <v>B1795Hmahagony</v>
      </c>
      <c r="B694" s="83" t="str">
        <f t="shared" si="72"/>
        <v>31-183-14</v>
      </c>
      <c r="C694" s="109" t="s">
        <v>2813</v>
      </c>
      <c r="D694" s="109" t="s">
        <v>2811</v>
      </c>
      <c r="E694" s="109" t="s">
        <v>798</v>
      </c>
      <c r="F694" s="110">
        <v>56</v>
      </c>
      <c r="G694" s="109" t="s">
        <v>1119</v>
      </c>
      <c r="H694" s="109" t="s">
        <v>86</v>
      </c>
      <c r="I694" s="109" t="s">
        <v>785</v>
      </c>
      <c r="J694" s="109" t="s">
        <v>330</v>
      </c>
      <c r="K694" s="109" t="s">
        <v>387</v>
      </c>
      <c r="L694" s="109" t="s">
        <v>523</v>
      </c>
      <c r="M694" s="109" t="s">
        <v>388</v>
      </c>
      <c r="N694" s="109" t="s">
        <v>30</v>
      </c>
      <c r="O694" s="109" t="s">
        <v>445</v>
      </c>
      <c r="P694" s="109" t="s">
        <v>827</v>
      </c>
      <c r="Q694" s="109" t="s">
        <v>2812</v>
      </c>
      <c r="R694" s="109" t="s">
        <v>86</v>
      </c>
      <c r="S694" s="83" t="str">
        <f t="shared" si="73"/>
        <v>B1795H</v>
      </c>
      <c r="T694" s="83" t="str">
        <f t="shared" si="70"/>
        <v>SAWYER</v>
      </c>
      <c r="Y694" s="60">
        <f t="shared" si="74"/>
        <v>31</v>
      </c>
      <c r="Z694" s="49">
        <f t="shared" si="75"/>
        <v>183</v>
      </c>
      <c r="AA694" s="60">
        <f t="shared" si="76"/>
        <v>31183</v>
      </c>
    </row>
    <row r="695" spans="1:27">
      <c r="A695" s="83" t="str">
        <f t="shared" si="71"/>
        <v>B1795Hrose</v>
      </c>
      <c r="B695" s="83" t="str">
        <f t="shared" si="72"/>
        <v>31-183-34</v>
      </c>
      <c r="C695" s="109" t="s">
        <v>2814</v>
      </c>
      <c r="D695" s="109" t="s">
        <v>2815</v>
      </c>
      <c r="E695" s="109" t="s">
        <v>791</v>
      </c>
      <c r="F695" s="110">
        <v>58</v>
      </c>
      <c r="G695" s="109" t="s">
        <v>1119</v>
      </c>
      <c r="H695" s="109" t="s">
        <v>68</v>
      </c>
      <c r="I695" s="109" t="s">
        <v>785</v>
      </c>
      <c r="J695" s="109" t="s">
        <v>330</v>
      </c>
      <c r="K695" s="109" t="s">
        <v>387</v>
      </c>
      <c r="L695" s="109" t="s">
        <v>523</v>
      </c>
      <c r="M695" s="109" t="s">
        <v>388</v>
      </c>
      <c r="N695" s="109" t="s">
        <v>30</v>
      </c>
      <c r="O695" s="109" t="s">
        <v>445</v>
      </c>
      <c r="P695" s="109" t="s">
        <v>827</v>
      </c>
      <c r="Q695" s="109" t="s">
        <v>2317</v>
      </c>
      <c r="R695" s="109" t="s">
        <v>68</v>
      </c>
      <c r="S695" s="83" t="str">
        <f t="shared" si="73"/>
        <v>B1795H</v>
      </c>
      <c r="T695" s="83" t="str">
        <f t="shared" si="70"/>
        <v>SAWYER</v>
      </c>
      <c r="Y695" s="60">
        <f t="shared" si="74"/>
        <v>31</v>
      </c>
      <c r="Z695" s="49">
        <f t="shared" si="75"/>
        <v>183</v>
      </c>
      <c r="AA695" s="60">
        <f t="shared" si="76"/>
        <v>31183</v>
      </c>
    </row>
    <row r="696" spans="1:27">
      <c r="A696" s="83" t="str">
        <f t="shared" si="71"/>
        <v>B1795Hrose</v>
      </c>
      <c r="B696" s="83" t="str">
        <f t="shared" si="72"/>
        <v>31-183-34</v>
      </c>
      <c r="C696" s="109" t="s">
        <v>2816</v>
      </c>
      <c r="D696" s="109" t="s">
        <v>2815</v>
      </c>
      <c r="E696" s="109" t="s">
        <v>798</v>
      </c>
      <c r="F696" s="110">
        <v>0</v>
      </c>
      <c r="G696" s="109" t="s">
        <v>1119</v>
      </c>
      <c r="H696" s="109" t="s">
        <v>68</v>
      </c>
      <c r="I696" s="109" t="s">
        <v>785</v>
      </c>
      <c r="J696" s="109" t="s">
        <v>330</v>
      </c>
      <c r="K696" s="109" t="s">
        <v>387</v>
      </c>
      <c r="L696" s="109" t="s">
        <v>523</v>
      </c>
      <c r="M696" s="109" t="s">
        <v>388</v>
      </c>
      <c r="N696" s="109" t="s">
        <v>30</v>
      </c>
      <c r="O696" s="109" t="s">
        <v>445</v>
      </c>
      <c r="P696" s="109" t="s">
        <v>827</v>
      </c>
      <c r="Q696" s="109" t="s">
        <v>2317</v>
      </c>
      <c r="R696" s="109" t="s">
        <v>68</v>
      </c>
      <c r="S696" s="83" t="str">
        <f t="shared" si="73"/>
        <v>B1795H</v>
      </c>
      <c r="T696" s="83" t="str">
        <f t="shared" si="70"/>
        <v>SAWYER</v>
      </c>
      <c r="Y696" s="60">
        <f t="shared" si="74"/>
        <v>31</v>
      </c>
      <c r="Z696" s="49">
        <f t="shared" si="75"/>
        <v>183</v>
      </c>
      <c r="AA696" s="60">
        <f t="shared" si="76"/>
        <v>31183</v>
      </c>
    </row>
    <row r="697" spans="1:27">
      <c r="A697" s="83" t="str">
        <f t="shared" si="71"/>
        <v>B1779Hheater grey</v>
      </c>
      <c r="B697" s="83" t="str">
        <f t="shared" si="72"/>
        <v>31-184-08</v>
      </c>
      <c r="C697" s="109" t="s">
        <v>2817</v>
      </c>
      <c r="D697" s="109" t="s">
        <v>2818</v>
      </c>
      <c r="E697" s="109" t="s">
        <v>786</v>
      </c>
      <c r="F697" s="110">
        <v>57</v>
      </c>
      <c r="G697" s="109" t="s">
        <v>1110</v>
      </c>
      <c r="H697" s="109" t="s">
        <v>83</v>
      </c>
      <c r="I697" s="109" t="s">
        <v>1111</v>
      </c>
      <c r="J697" s="109" t="s">
        <v>357</v>
      </c>
      <c r="K697" s="109" t="s">
        <v>387</v>
      </c>
      <c r="L697" s="109" t="s">
        <v>523</v>
      </c>
      <c r="M697" s="109" t="s">
        <v>388</v>
      </c>
      <c r="N697" s="109" t="s">
        <v>44</v>
      </c>
      <c r="O697" s="109" t="s">
        <v>386</v>
      </c>
      <c r="P697" s="109" t="s">
        <v>826</v>
      </c>
      <c r="Q697" s="109" t="s">
        <v>2819</v>
      </c>
      <c r="R697" s="109" t="s">
        <v>83</v>
      </c>
      <c r="S697" s="83" t="str">
        <f t="shared" si="73"/>
        <v>B1779H</v>
      </c>
      <c r="T697" s="83" t="str">
        <f t="shared" si="70"/>
        <v>PIPPA</v>
      </c>
      <c r="Y697" s="60">
        <f t="shared" si="74"/>
        <v>31</v>
      </c>
      <c r="Z697" s="49">
        <f t="shared" si="75"/>
        <v>184</v>
      </c>
      <c r="AA697" s="60">
        <f t="shared" si="76"/>
        <v>31184</v>
      </c>
    </row>
    <row r="698" spans="1:27">
      <c r="A698" s="83" t="str">
        <f t="shared" si="71"/>
        <v>B1798Hcardinal</v>
      </c>
      <c r="B698" s="83" t="str">
        <f t="shared" si="72"/>
        <v>31-185-18</v>
      </c>
      <c r="C698" s="109" t="s">
        <v>2820</v>
      </c>
      <c r="D698" s="109" t="s">
        <v>2821</v>
      </c>
      <c r="E698" s="109" t="s">
        <v>791</v>
      </c>
      <c r="F698" s="110">
        <v>58</v>
      </c>
      <c r="G698" s="109" t="s">
        <v>1128</v>
      </c>
      <c r="H698" s="109" t="s">
        <v>78</v>
      </c>
      <c r="I698" s="109" t="s">
        <v>785</v>
      </c>
      <c r="J698" s="109" t="s">
        <v>357</v>
      </c>
      <c r="K698" s="109" t="s">
        <v>387</v>
      </c>
      <c r="L698" s="109" t="s">
        <v>523</v>
      </c>
      <c r="M698" s="109" t="s">
        <v>388</v>
      </c>
      <c r="N698" s="109" t="s">
        <v>30</v>
      </c>
      <c r="O698" s="109" t="s">
        <v>445</v>
      </c>
      <c r="P698" s="109" t="s">
        <v>827</v>
      </c>
      <c r="Q698" s="109" t="s">
        <v>2822</v>
      </c>
      <c r="R698" s="109" t="s">
        <v>78</v>
      </c>
      <c r="S698" s="83" t="str">
        <f t="shared" si="73"/>
        <v>B1798H</v>
      </c>
      <c r="T698" s="83" t="str">
        <f t="shared" si="70"/>
        <v>CASSAT</v>
      </c>
      <c r="Y698" s="60">
        <f t="shared" si="74"/>
        <v>31</v>
      </c>
      <c r="Z698" s="49">
        <f t="shared" si="75"/>
        <v>185</v>
      </c>
      <c r="AA698" s="60">
        <f t="shared" si="76"/>
        <v>31185</v>
      </c>
    </row>
    <row r="699" spans="1:27">
      <c r="A699" s="83" t="str">
        <f t="shared" si="71"/>
        <v>B1798Hcardinal</v>
      </c>
      <c r="B699" s="83" t="str">
        <f t="shared" si="72"/>
        <v>31-185-18</v>
      </c>
      <c r="C699" s="109" t="s">
        <v>2823</v>
      </c>
      <c r="D699" s="109" t="s">
        <v>2821</v>
      </c>
      <c r="E699" s="109" t="s">
        <v>798</v>
      </c>
      <c r="F699" s="110">
        <v>56</v>
      </c>
      <c r="G699" s="109" t="s">
        <v>1128</v>
      </c>
      <c r="H699" s="109" t="s">
        <v>78</v>
      </c>
      <c r="I699" s="109" t="s">
        <v>785</v>
      </c>
      <c r="J699" s="109" t="s">
        <v>357</v>
      </c>
      <c r="K699" s="109" t="s">
        <v>387</v>
      </c>
      <c r="L699" s="109" t="s">
        <v>523</v>
      </c>
      <c r="M699" s="109" t="s">
        <v>388</v>
      </c>
      <c r="N699" s="109" t="s">
        <v>30</v>
      </c>
      <c r="O699" s="109" t="s">
        <v>445</v>
      </c>
      <c r="P699" s="109" t="s">
        <v>827</v>
      </c>
      <c r="Q699" s="109" t="s">
        <v>2822</v>
      </c>
      <c r="R699" s="109" t="s">
        <v>78</v>
      </c>
      <c r="S699" s="83" t="str">
        <f t="shared" si="73"/>
        <v>B1798H</v>
      </c>
      <c r="T699" s="83" t="str">
        <f t="shared" si="70"/>
        <v>CASSAT</v>
      </c>
      <c r="Y699" s="60">
        <f t="shared" si="74"/>
        <v>31</v>
      </c>
      <c r="Z699" s="49">
        <f t="shared" si="75"/>
        <v>185</v>
      </c>
      <c r="AA699" s="60">
        <f t="shared" si="76"/>
        <v>31185</v>
      </c>
    </row>
    <row r="700" spans="1:27">
      <c r="A700" s="83" t="str">
        <f t="shared" si="71"/>
        <v>B1759Hslate</v>
      </c>
      <c r="B700" s="83" t="str">
        <f t="shared" si="72"/>
        <v>31-186-08</v>
      </c>
      <c r="C700" s="109" t="s">
        <v>2824</v>
      </c>
      <c r="D700" s="109" t="s">
        <v>2825</v>
      </c>
      <c r="E700" s="109" t="s">
        <v>793</v>
      </c>
      <c r="F700" s="110">
        <v>0</v>
      </c>
      <c r="G700" s="109" t="s">
        <v>2826</v>
      </c>
      <c r="H700" s="109" t="s">
        <v>83</v>
      </c>
      <c r="I700" s="109" t="s">
        <v>785</v>
      </c>
      <c r="J700" s="109" t="s">
        <v>357</v>
      </c>
      <c r="K700" s="109" t="s">
        <v>387</v>
      </c>
      <c r="L700" s="109" t="s">
        <v>523</v>
      </c>
      <c r="M700" s="109" t="s">
        <v>388</v>
      </c>
      <c r="N700" s="109" t="s">
        <v>30</v>
      </c>
      <c r="O700" s="109" t="s">
        <v>386</v>
      </c>
      <c r="P700" s="109" t="s">
        <v>826</v>
      </c>
      <c r="Q700" s="109" t="s">
        <v>883</v>
      </c>
      <c r="R700" s="109" t="s">
        <v>83</v>
      </c>
      <c r="S700" s="83" t="str">
        <f t="shared" si="73"/>
        <v>B1759H</v>
      </c>
      <c r="T700" s="83" t="str">
        <f t="shared" si="70"/>
        <v>ALCOTT</v>
      </c>
      <c r="Y700" s="60">
        <f t="shared" si="74"/>
        <v>31</v>
      </c>
      <c r="Z700" s="49">
        <f t="shared" si="75"/>
        <v>186</v>
      </c>
      <c r="AA700" s="60">
        <f t="shared" si="76"/>
        <v>31186</v>
      </c>
    </row>
    <row r="701" spans="1:27">
      <c r="A701" s="83" t="str">
        <f t="shared" si="71"/>
        <v>B1488Hslate</v>
      </c>
      <c r="B701" s="83" t="str">
        <f t="shared" si="72"/>
        <v>31-142-08</v>
      </c>
      <c r="C701" s="109" t="s">
        <v>2827</v>
      </c>
      <c r="D701" s="109" t="s">
        <v>2828</v>
      </c>
      <c r="E701" s="109" t="s">
        <v>793</v>
      </c>
      <c r="F701" s="110">
        <v>0</v>
      </c>
      <c r="G701" s="109" t="s">
        <v>1107</v>
      </c>
      <c r="H701" s="109" t="s">
        <v>83</v>
      </c>
      <c r="I701" s="109" t="s">
        <v>785</v>
      </c>
      <c r="J701" s="109" t="s">
        <v>357</v>
      </c>
      <c r="K701" s="109" t="s">
        <v>387</v>
      </c>
      <c r="L701" s="109" t="s">
        <v>523</v>
      </c>
      <c r="M701" s="109" t="s">
        <v>388</v>
      </c>
      <c r="N701" s="109" t="s">
        <v>30</v>
      </c>
      <c r="O701" s="109" t="s">
        <v>386</v>
      </c>
      <c r="P701" s="109" t="s">
        <v>826</v>
      </c>
      <c r="Q701" s="109" t="s">
        <v>883</v>
      </c>
      <c r="R701" s="109" t="s">
        <v>83</v>
      </c>
      <c r="S701" s="83" t="str">
        <f t="shared" si="73"/>
        <v>B1488H</v>
      </c>
      <c r="T701" s="83" t="str">
        <f t="shared" si="70"/>
        <v>CHRISTINA</v>
      </c>
      <c r="Y701" s="60">
        <f t="shared" si="74"/>
        <v>31</v>
      </c>
      <c r="Z701" s="49">
        <f t="shared" si="75"/>
        <v>142</v>
      </c>
      <c r="AA701" s="60">
        <f t="shared" si="76"/>
        <v>31142</v>
      </c>
    </row>
    <row r="702" spans="1:27">
      <c r="A702" s="83" t="str">
        <f t="shared" si="71"/>
        <v>B1796Hblack</v>
      </c>
      <c r="B702" s="83" t="str">
        <f t="shared" si="72"/>
        <v>31-187-09</v>
      </c>
      <c r="C702" s="109" t="s">
        <v>2829</v>
      </c>
      <c r="D702" s="109" t="s">
        <v>2830</v>
      </c>
      <c r="E702" s="109" t="s">
        <v>793</v>
      </c>
      <c r="F702" s="110">
        <v>0</v>
      </c>
      <c r="G702" s="109" t="s">
        <v>1124</v>
      </c>
      <c r="H702" s="109" t="s">
        <v>53</v>
      </c>
      <c r="I702" s="109" t="s">
        <v>785</v>
      </c>
      <c r="J702" s="109" t="s">
        <v>357</v>
      </c>
      <c r="K702" s="109" t="s">
        <v>387</v>
      </c>
      <c r="L702" s="109" t="s">
        <v>523</v>
      </c>
      <c r="M702" s="109" t="s">
        <v>388</v>
      </c>
      <c r="N702" s="109" t="s">
        <v>30</v>
      </c>
      <c r="O702" s="109" t="s">
        <v>386</v>
      </c>
      <c r="P702" s="109" t="s">
        <v>827</v>
      </c>
      <c r="Q702" s="109" t="s">
        <v>831</v>
      </c>
      <c r="R702" s="109" t="s">
        <v>53</v>
      </c>
      <c r="S702" s="83" t="str">
        <f t="shared" si="73"/>
        <v>B1796H</v>
      </c>
      <c r="T702" s="83" t="str">
        <f t="shared" si="70"/>
        <v>DIXIE</v>
      </c>
      <c r="Y702" s="60">
        <f t="shared" si="74"/>
        <v>31</v>
      </c>
      <c r="Z702" s="49">
        <f t="shared" si="75"/>
        <v>187</v>
      </c>
      <c r="AA702" s="60">
        <f t="shared" si="76"/>
        <v>31187</v>
      </c>
    </row>
    <row r="703" spans="1:27">
      <c r="A703" s="83" t="str">
        <f t="shared" si="71"/>
        <v>B1639Hemerald</v>
      </c>
      <c r="B703" s="83" t="str">
        <f t="shared" si="72"/>
        <v>31-119-11</v>
      </c>
      <c r="C703" s="109" t="s">
        <v>2831</v>
      </c>
      <c r="D703" s="109" t="s">
        <v>2832</v>
      </c>
      <c r="E703" s="109" t="s">
        <v>793</v>
      </c>
      <c r="F703" s="110">
        <v>0</v>
      </c>
      <c r="G703" s="109" t="s">
        <v>1522</v>
      </c>
      <c r="H703" s="109" t="s">
        <v>60</v>
      </c>
      <c r="I703" s="109" t="s">
        <v>785</v>
      </c>
      <c r="J703" s="109" t="s">
        <v>357</v>
      </c>
      <c r="K703" s="109" t="s">
        <v>387</v>
      </c>
      <c r="L703" s="109" t="s">
        <v>523</v>
      </c>
      <c r="M703" s="109" t="s">
        <v>388</v>
      </c>
      <c r="N703" s="109" t="s">
        <v>30</v>
      </c>
      <c r="O703" s="109" t="s">
        <v>386</v>
      </c>
      <c r="P703" s="109" t="s">
        <v>826</v>
      </c>
      <c r="Q703" s="109" t="s">
        <v>2033</v>
      </c>
      <c r="R703" s="109" t="s">
        <v>60</v>
      </c>
      <c r="S703" s="83" t="str">
        <f t="shared" si="73"/>
        <v>B1639H</v>
      </c>
      <c r="T703" s="83" t="str">
        <f t="shared" si="70"/>
        <v>EMMA</v>
      </c>
      <c r="Y703" s="60">
        <f t="shared" si="74"/>
        <v>31</v>
      </c>
      <c r="Z703" s="49">
        <f t="shared" si="75"/>
        <v>119</v>
      </c>
      <c r="AA703" s="60">
        <f t="shared" si="76"/>
        <v>31119</v>
      </c>
    </row>
    <row r="704" spans="1:27">
      <c r="A704" s="83" t="str">
        <f t="shared" si="71"/>
        <v>B1794Hwinter white</v>
      </c>
      <c r="B704" s="83" t="str">
        <f t="shared" si="72"/>
        <v>31-188-17</v>
      </c>
      <c r="C704" s="109" t="s">
        <v>2833</v>
      </c>
      <c r="D704" s="109" t="s">
        <v>2834</v>
      </c>
      <c r="E704" s="109" t="s">
        <v>793</v>
      </c>
      <c r="F704" s="110">
        <v>0</v>
      </c>
      <c r="G704" s="109" t="s">
        <v>1084</v>
      </c>
      <c r="H704" s="109" t="s">
        <v>57</v>
      </c>
      <c r="I704" s="109" t="s">
        <v>796</v>
      </c>
      <c r="J704" s="109" t="s">
        <v>348</v>
      </c>
      <c r="K704" s="109" t="s">
        <v>387</v>
      </c>
      <c r="L704" s="109" t="s">
        <v>523</v>
      </c>
      <c r="M704" s="109" t="s">
        <v>388</v>
      </c>
      <c r="N704" s="109" t="s">
        <v>44</v>
      </c>
      <c r="O704" s="109" t="s">
        <v>386</v>
      </c>
      <c r="P704" s="109" t="s">
        <v>826</v>
      </c>
      <c r="Q704" s="109" t="s">
        <v>1321</v>
      </c>
      <c r="R704" s="109" t="s">
        <v>57</v>
      </c>
      <c r="S704" s="83" t="str">
        <f t="shared" si="73"/>
        <v>B1794H</v>
      </c>
      <c r="T704" s="83" t="str">
        <f t="shared" si="70"/>
        <v>CRYSTAL CAP</v>
      </c>
      <c r="Y704" s="60">
        <f t="shared" si="74"/>
        <v>31</v>
      </c>
      <c r="Z704" s="49">
        <f t="shared" si="75"/>
        <v>188</v>
      </c>
      <c r="AA704" s="60">
        <f t="shared" si="76"/>
        <v>31188</v>
      </c>
    </row>
    <row r="705" spans="1:27">
      <c r="A705" s="83" t="str">
        <f t="shared" si="71"/>
        <v>B1794Hblack</v>
      </c>
      <c r="B705" s="83" t="str">
        <f t="shared" si="72"/>
        <v>31-188-09</v>
      </c>
      <c r="C705" s="109" t="s">
        <v>2835</v>
      </c>
      <c r="D705" s="109" t="s">
        <v>2836</v>
      </c>
      <c r="E705" s="109" t="s">
        <v>793</v>
      </c>
      <c r="F705" s="110">
        <v>0</v>
      </c>
      <c r="G705" s="109" t="s">
        <v>1084</v>
      </c>
      <c r="H705" s="109" t="s">
        <v>53</v>
      </c>
      <c r="I705" s="109" t="s">
        <v>796</v>
      </c>
      <c r="J705" s="109" t="s">
        <v>348</v>
      </c>
      <c r="K705" s="109" t="s">
        <v>387</v>
      </c>
      <c r="L705" s="109" t="s">
        <v>523</v>
      </c>
      <c r="M705" s="109" t="s">
        <v>388</v>
      </c>
      <c r="N705" s="109" t="s">
        <v>44</v>
      </c>
      <c r="O705" s="109" t="s">
        <v>386</v>
      </c>
      <c r="P705" s="109" t="s">
        <v>827</v>
      </c>
      <c r="Q705" s="109" t="s">
        <v>831</v>
      </c>
      <c r="R705" s="109" t="s">
        <v>53</v>
      </c>
      <c r="S705" s="83" t="str">
        <f t="shared" si="73"/>
        <v>B1794H</v>
      </c>
      <c r="T705" s="83" t="str">
        <f t="shared" si="70"/>
        <v>CRYSTAL CAP</v>
      </c>
      <c r="Y705" s="60">
        <f t="shared" si="74"/>
        <v>31</v>
      </c>
      <c r="Z705" s="49">
        <f t="shared" si="75"/>
        <v>188</v>
      </c>
      <c r="AA705" s="60">
        <f t="shared" si="76"/>
        <v>31188</v>
      </c>
    </row>
    <row r="706" spans="1:27">
      <c r="A706" s="83" t="str">
        <f t="shared" si="71"/>
        <v>B1670Hcamel</v>
      </c>
      <c r="B706" s="83" t="str">
        <f t="shared" si="72"/>
        <v>31-175-02</v>
      </c>
      <c r="C706" s="109" t="s">
        <v>2837</v>
      </c>
      <c r="D706" s="109" t="s">
        <v>2838</v>
      </c>
      <c r="E706" s="109" t="s">
        <v>793</v>
      </c>
      <c r="F706" s="110">
        <v>0</v>
      </c>
      <c r="G706" s="109" t="s">
        <v>2007</v>
      </c>
      <c r="H706" s="109" t="s">
        <v>63</v>
      </c>
      <c r="I706" s="109" t="s">
        <v>2008</v>
      </c>
      <c r="J706" s="109" t="s">
        <v>348</v>
      </c>
      <c r="K706" s="109" t="s">
        <v>387</v>
      </c>
      <c r="L706" s="109" t="s">
        <v>523</v>
      </c>
      <c r="M706" s="109" t="s">
        <v>388</v>
      </c>
      <c r="N706" s="109" t="s">
        <v>44</v>
      </c>
      <c r="O706" s="109" t="s">
        <v>386</v>
      </c>
      <c r="P706" s="109" t="s">
        <v>826</v>
      </c>
      <c r="Q706" s="109" t="s">
        <v>834</v>
      </c>
      <c r="R706" s="109" t="s">
        <v>63</v>
      </c>
      <c r="S706" s="83" t="str">
        <f t="shared" si="73"/>
        <v>B1670H</v>
      </c>
      <c r="T706" s="83" t="str">
        <f t="shared" ref="T706:T769" si="77">IF(A706&lt;&gt;"",IF(FIND(" ",G706)&gt;=1,MID(G706,FIND(" ",G706)+1,LEN(G706)),""),"")</f>
        <v>LUCERNE</v>
      </c>
      <c r="Y706" s="60">
        <f t="shared" si="74"/>
        <v>31</v>
      </c>
      <c r="Z706" s="49">
        <f t="shared" si="75"/>
        <v>175</v>
      </c>
      <c r="AA706" s="60">
        <f t="shared" si="76"/>
        <v>31175</v>
      </c>
    </row>
    <row r="707" spans="1:27">
      <c r="A707" s="83" t="str">
        <f t="shared" ref="A707:A770" si="78">IF(G707&amp;Q707&lt;&gt;"",S707&amp;Q707,"")</f>
        <v>B1787Hblack multi</v>
      </c>
      <c r="B707" s="83" t="str">
        <f t="shared" ref="B707:B770" si="79">IF(C707&lt;&gt;"",LEFT(C707,9),"")</f>
        <v>31-189-09</v>
      </c>
      <c r="C707" s="109" t="s">
        <v>2839</v>
      </c>
      <c r="D707" s="109" t="s">
        <v>2840</v>
      </c>
      <c r="E707" s="109" t="s">
        <v>793</v>
      </c>
      <c r="F707" s="110">
        <v>0</v>
      </c>
      <c r="G707" s="109" t="s">
        <v>2841</v>
      </c>
      <c r="H707" s="109" t="s">
        <v>53</v>
      </c>
      <c r="I707" s="109" t="s">
        <v>794</v>
      </c>
      <c r="J707" s="109" t="s">
        <v>348</v>
      </c>
      <c r="K707" s="109" t="s">
        <v>387</v>
      </c>
      <c r="L707" s="109" t="s">
        <v>523</v>
      </c>
      <c r="M707" s="109" t="s">
        <v>388</v>
      </c>
      <c r="O707" s="109" t="s">
        <v>386</v>
      </c>
      <c r="P707" s="109" t="s">
        <v>826</v>
      </c>
      <c r="Q707" s="109" t="s">
        <v>881</v>
      </c>
      <c r="R707" s="109" t="s">
        <v>53</v>
      </c>
      <c r="S707" s="83" t="str">
        <f t="shared" ref="S707:S770" si="80">IF(G707&lt;&gt;"",IF(FIND(" ",G707)&gt;=1,MID(G707,1,FIND(" ",G707)-1),G707),"")</f>
        <v>B1787H</v>
      </c>
      <c r="T707" s="83" t="str">
        <f t="shared" si="77"/>
        <v>KITSEY</v>
      </c>
      <c r="Y707" s="60">
        <f t="shared" ref="Y707:Y770" si="81">IFERROR(VALUE(MID($C707,1,2)),0)</f>
        <v>31</v>
      </c>
      <c r="Z707" s="49">
        <f t="shared" ref="Z707:Z770" si="82">IFERROR(VALUE(MID($C707,4,3)),0)</f>
        <v>189</v>
      </c>
      <c r="AA707" s="60">
        <f t="shared" ref="AA707:AA770" si="83">VALUE(RIGHT("00"&amp;Y707,2)&amp;RIGHT("000"&amp;Z707,3))</f>
        <v>31189</v>
      </c>
    </row>
    <row r="708" spans="1:27">
      <c r="A708" s="83" t="str">
        <f t="shared" si="78"/>
        <v>B1787Hblack multi</v>
      </c>
      <c r="B708" s="83" t="str">
        <f t="shared" si="79"/>
        <v>31-189-09</v>
      </c>
      <c r="C708" s="109" t="s">
        <v>2842</v>
      </c>
      <c r="D708" s="109" t="s">
        <v>2840</v>
      </c>
      <c r="E708" s="109" t="s">
        <v>786</v>
      </c>
      <c r="F708" s="110">
        <v>57</v>
      </c>
      <c r="G708" s="109" t="s">
        <v>2841</v>
      </c>
      <c r="H708" s="109" t="s">
        <v>53</v>
      </c>
      <c r="I708" s="109" t="s">
        <v>794</v>
      </c>
      <c r="J708" s="109" t="s">
        <v>348</v>
      </c>
      <c r="K708" s="109" t="s">
        <v>387</v>
      </c>
      <c r="L708" s="109" t="s">
        <v>523</v>
      </c>
      <c r="M708" s="109" t="s">
        <v>388</v>
      </c>
      <c r="O708" s="109" t="s">
        <v>386</v>
      </c>
      <c r="P708" s="109" t="s">
        <v>826</v>
      </c>
      <c r="Q708" s="109" t="s">
        <v>881</v>
      </c>
      <c r="R708" s="109" t="s">
        <v>53</v>
      </c>
      <c r="S708" s="83" t="str">
        <f t="shared" si="80"/>
        <v>B1787H</v>
      </c>
      <c r="T708" s="83" t="str">
        <f t="shared" si="77"/>
        <v>KITSEY</v>
      </c>
      <c r="Y708" s="60">
        <f t="shared" si="81"/>
        <v>31</v>
      </c>
      <c r="Z708" s="49">
        <f t="shared" si="82"/>
        <v>189</v>
      </c>
      <c r="AA708" s="60">
        <f t="shared" si="83"/>
        <v>31189</v>
      </c>
    </row>
    <row r="709" spans="1:27">
      <c r="A709" s="83" t="str">
        <f t="shared" si="78"/>
        <v>B562blue smoke</v>
      </c>
      <c r="B709" s="83" t="str">
        <f t="shared" si="79"/>
        <v>31-038-01</v>
      </c>
      <c r="C709" s="109" t="s">
        <v>2843</v>
      </c>
      <c r="D709" s="109" t="s">
        <v>2844</v>
      </c>
      <c r="E709" s="109" t="s">
        <v>793</v>
      </c>
      <c r="F709" s="110">
        <v>0</v>
      </c>
      <c r="G709" s="109" t="s">
        <v>1100</v>
      </c>
      <c r="H709" s="109" t="s">
        <v>231</v>
      </c>
      <c r="I709" s="109" t="s">
        <v>2290</v>
      </c>
      <c r="J709" s="109" t="s">
        <v>348</v>
      </c>
      <c r="K709" s="109" t="s">
        <v>387</v>
      </c>
      <c r="L709" s="109" t="s">
        <v>523</v>
      </c>
      <c r="M709" s="109" t="s">
        <v>388</v>
      </c>
      <c r="N709" s="109" t="s">
        <v>44</v>
      </c>
      <c r="O709" s="109" t="s">
        <v>386</v>
      </c>
      <c r="P709" s="109" t="s">
        <v>827</v>
      </c>
      <c r="Q709" s="109" t="s">
        <v>903</v>
      </c>
      <c r="R709" s="109" t="s">
        <v>83</v>
      </c>
      <c r="S709" s="83" t="str">
        <f t="shared" si="80"/>
        <v>B562</v>
      </c>
      <c r="T709" s="83" t="str">
        <f t="shared" si="77"/>
        <v>BOY MEETS GIRL</v>
      </c>
      <c r="Y709" s="60">
        <f t="shared" si="81"/>
        <v>31</v>
      </c>
      <c r="Z709" s="49">
        <f t="shared" si="82"/>
        <v>38</v>
      </c>
      <c r="AA709" s="60">
        <f t="shared" si="83"/>
        <v>31038</v>
      </c>
    </row>
    <row r="710" spans="1:27">
      <c r="A710" s="83" t="str">
        <f t="shared" si="78"/>
        <v>B011Hpolka dots</v>
      </c>
      <c r="B710" s="83" t="str">
        <f t="shared" si="79"/>
        <v>31-002-10</v>
      </c>
      <c r="C710" s="109" t="s">
        <v>2845</v>
      </c>
      <c r="D710" s="109" t="s">
        <v>2846</v>
      </c>
      <c r="E710" s="109" t="s">
        <v>793</v>
      </c>
      <c r="F710" s="110">
        <v>0</v>
      </c>
      <c r="G710" s="109" t="s">
        <v>1080</v>
      </c>
      <c r="H710" s="109" t="s">
        <v>308</v>
      </c>
      <c r="I710" s="109" t="s">
        <v>2847</v>
      </c>
      <c r="J710" s="109" t="s">
        <v>348</v>
      </c>
      <c r="K710" s="109" t="s">
        <v>387</v>
      </c>
      <c r="L710" s="109" t="s">
        <v>523</v>
      </c>
      <c r="M710" s="109" t="s">
        <v>388</v>
      </c>
      <c r="N710" s="109" t="s">
        <v>44</v>
      </c>
      <c r="O710" s="109" t="s">
        <v>386</v>
      </c>
      <c r="P710" s="109" t="s">
        <v>826</v>
      </c>
      <c r="Q710" s="109" t="s">
        <v>1191</v>
      </c>
      <c r="R710" s="109" t="s">
        <v>53</v>
      </c>
      <c r="S710" s="83" t="str">
        <f t="shared" si="80"/>
        <v>B011H</v>
      </c>
      <c r="T710" s="83" t="str">
        <f t="shared" si="77"/>
        <v>ADELE</v>
      </c>
      <c r="Y710" s="60">
        <f t="shared" si="81"/>
        <v>31</v>
      </c>
      <c r="Z710" s="49">
        <f t="shared" si="82"/>
        <v>2</v>
      </c>
      <c r="AA710" s="60">
        <f t="shared" si="83"/>
        <v>31002</v>
      </c>
    </row>
    <row r="711" spans="1:27">
      <c r="A711" s="83" t="str">
        <f t="shared" si="78"/>
        <v>B1666Hblack plaid</v>
      </c>
      <c r="B711" s="83" t="str">
        <f t="shared" si="79"/>
        <v>31-123-48</v>
      </c>
      <c r="C711" s="109" t="s">
        <v>2848</v>
      </c>
      <c r="D711" s="109" t="s">
        <v>2849</v>
      </c>
      <c r="E711" s="109" t="s">
        <v>793</v>
      </c>
      <c r="F711" s="110">
        <v>0</v>
      </c>
      <c r="G711" s="109" t="s">
        <v>2051</v>
      </c>
      <c r="H711" s="109" t="s">
        <v>293</v>
      </c>
      <c r="I711" s="109" t="s">
        <v>2850</v>
      </c>
      <c r="J711" s="109" t="s">
        <v>348</v>
      </c>
      <c r="K711" s="109" t="s">
        <v>387</v>
      </c>
      <c r="L711" s="109" t="s">
        <v>523</v>
      </c>
      <c r="M711" s="109" t="s">
        <v>388</v>
      </c>
      <c r="O711" s="109" t="s">
        <v>386</v>
      </c>
      <c r="P711" s="109" t="s">
        <v>826</v>
      </c>
      <c r="Q711" s="109" t="s">
        <v>855</v>
      </c>
      <c r="R711" s="109" t="s">
        <v>53</v>
      </c>
      <c r="S711" s="83" t="str">
        <f t="shared" si="80"/>
        <v>B1666H</v>
      </c>
      <c r="T711" s="83" t="str">
        <f t="shared" si="77"/>
        <v>MULHOUSE</v>
      </c>
      <c r="Y711" s="60">
        <f t="shared" si="81"/>
        <v>31</v>
      </c>
      <c r="Z711" s="49">
        <f t="shared" si="82"/>
        <v>123</v>
      </c>
      <c r="AA711" s="60">
        <f t="shared" si="83"/>
        <v>31123</v>
      </c>
    </row>
    <row r="712" spans="1:27">
      <c r="A712" s="83" t="str">
        <f t="shared" si="78"/>
        <v>B008Hplum</v>
      </c>
      <c r="B712" s="83" t="str">
        <f t="shared" si="79"/>
        <v>31-001-41</v>
      </c>
      <c r="C712" s="109" t="s">
        <v>2851</v>
      </c>
      <c r="D712" s="109" t="s">
        <v>2852</v>
      </c>
      <c r="E712" s="109" t="s">
        <v>793</v>
      </c>
      <c r="F712" s="110">
        <v>0</v>
      </c>
      <c r="G712" s="109" t="s">
        <v>1489</v>
      </c>
      <c r="H712" s="109" t="s">
        <v>286</v>
      </c>
      <c r="I712" s="109" t="s">
        <v>2004</v>
      </c>
      <c r="J712" s="109" t="s">
        <v>348</v>
      </c>
      <c r="K712" s="109" t="s">
        <v>387</v>
      </c>
      <c r="L712" s="109" t="s">
        <v>523</v>
      </c>
      <c r="M712" s="109" t="s">
        <v>388</v>
      </c>
      <c r="N712" s="109" t="s">
        <v>44</v>
      </c>
      <c r="O712" s="109" t="s">
        <v>386</v>
      </c>
      <c r="P712" s="109" t="s">
        <v>826</v>
      </c>
      <c r="Q712" s="109" t="s">
        <v>1163</v>
      </c>
      <c r="R712" s="109" t="s">
        <v>286</v>
      </c>
      <c r="S712" s="83" t="str">
        <f t="shared" si="80"/>
        <v>B008H</v>
      </c>
      <c r="T712" s="83" t="str">
        <f t="shared" si="77"/>
        <v>LYDIA</v>
      </c>
      <c r="Y712" s="60">
        <f t="shared" si="81"/>
        <v>31</v>
      </c>
      <c r="Z712" s="49">
        <f t="shared" si="82"/>
        <v>1</v>
      </c>
      <c r="AA712" s="60">
        <f t="shared" si="83"/>
        <v>31001</v>
      </c>
    </row>
    <row r="713" spans="1:27">
      <c r="A713" s="83" t="str">
        <f t="shared" si="78"/>
        <v>B1096Hnatural</v>
      </c>
      <c r="B713" s="83" t="str">
        <f t="shared" si="79"/>
        <v>31-061-73</v>
      </c>
      <c r="C713" s="109" t="s">
        <v>2853</v>
      </c>
      <c r="D713" s="109" t="s">
        <v>2854</v>
      </c>
      <c r="E713" s="109" t="s">
        <v>793</v>
      </c>
      <c r="F713" s="110">
        <v>0</v>
      </c>
      <c r="G713" s="109" t="s">
        <v>1027</v>
      </c>
      <c r="H713" s="109" t="s">
        <v>81</v>
      </c>
      <c r="I713" s="109" t="s">
        <v>833</v>
      </c>
      <c r="J713" s="109" t="s">
        <v>357</v>
      </c>
      <c r="K713" s="109" t="s">
        <v>387</v>
      </c>
      <c r="L713" s="109" t="s">
        <v>523</v>
      </c>
      <c r="M713" s="109" t="s">
        <v>384</v>
      </c>
      <c r="O713" s="109" t="s">
        <v>386</v>
      </c>
      <c r="P713" s="109" t="s">
        <v>826</v>
      </c>
      <c r="Q713" s="109" t="s">
        <v>844</v>
      </c>
      <c r="R713" s="109" t="s">
        <v>63</v>
      </c>
      <c r="S713" s="83" t="str">
        <f t="shared" si="80"/>
        <v>B1096H</v>
      </c>
      <c r="T713" s="83" t="str">
        <f t="shared" si="77"/>
        <v>TRICIA</v>
      </c>
      <c r="Y713" s="60">
        <f t="shared" si="81"/>
        <v>31</v>
      </c>
      <c r="Z713" s="49">
        <f t="shared" si="82"/>
        <v>61</v>
      </c>
      <c r="AA713" s="60">
        <f t="shared" si="83"/>
        <v>31061</v>
      </c>
    </row>
    <row r="714" spans="1:27">
      <c r="A714" s="83" t="str">
        <f t="shared" si="78"/>
        <v>B1117Hblack</v>
      </c>
      <c r="B714" s="83" t="str">
        <f t="shared" si="79"/>
        <v>31-048-09</v>
      </c>
      <c r="C714" s="109" t="s">
        <v>2855</v>
      </c>
      <c r="D714" s="109" t="s">
        <v>2856</v>
      </c>
      <c r="E714" s="109" t="s">
        <v>793</v>
      </c>
      <c r="F714" s="110">
        <v>0</v>
      </c>
      <c r="G714" s="109" t="s">
        <v>2352</v>
      </c>
      <c r="H714" s="109" t="s">
        <v>53</v>
      </c>
      <c r="I714" s="109" t="s">
        <v>787</v>
      </c>
      <c r="J714" s="109" t="s">
        <v>360</v>
      </c>
      <c r="K714" s="109" t="s">
        <v>387</v>
      </c>
      <c r="L714" s="109" t="s">
        <v>523</v>
      </c>
      <c r="M714" s="109" t="s">
        <v>384</v>
      </c>
      <c r="N714" s="109" t="s">
        <v>43</v>
      </c>
      <c r="O714" s="109" t="s">
        <v>386</v>
      </c>
      <c r="P714" s="109" t="s">
        <v>826</v>
      </c>
      <c r="Q714" s="109" t="s">
        <v>831</v>
      </c>
      <c r="R714" s="109" t="s">
        <v>53</v>
      </c>
      <c r="S714" s="83" t="str">
        <f t="shared" si="80"/>
        <v>B1117H</v>
      </c>
      <c r="T714" s="83" t="str">
        <f t="shared" si="77"/>
        <v>Zoi</v>
      </c>
      <c r="Y714" s="60">
        <f t="shared" si="81"/>
        <v>31</v>
      </c>
      <c r="Z714" s="49">
        <f t="shared" si="82"/>
        <v>48</v>
      </c>
      <c r="AA714" s="60">
        <f t="shared" si="83"/>
        <v>31048</v>
      </c>
    </row>
    <row r="715" spans="1:27">
      <c r="A715" s="83" t="str">
        <f t="shared" si="78"/>
        <v>B1117Hwhite</v>
      </c>
      <c r="B715" s="83" t="str">
        <f t="shared" si="79"/>
        <v>31-048-17</v>
      </c>
      <c r="C715" s="109" t="s">
        <v>2857</v>
      </c>
      <c r="D715" s="109" t="s">
        <v>2858</v>
      </c>
      <c r="E715" s="109" t="s">
        <v>793</v>
      </c>
      <c r="F715" s="110">
        <v>0</v>
      </c>
      <c r="G715" s="109" t="s">
        <v>2352</v>
      </c>
      <c r="H715" s="109" t="s">
        <v>57</v>
      </c>
      <c r="I715" s="109" t="s">
        <v>787</v>
      </c>
      <c r="J715" s="109" t="s">
        <v>360</v>
      </c>
      <c r="K715" s="109" t="s">
        <v>387</v>
      </c>
      <c r="L715" s="109" t="s">
        <v>523</v>
      </c>
      <c r="M715" s="109" t="s">
        <v>384</v>
      </c>
      <c r="N715" s="109" t="s">
        <v>43</v>
      </c>
      <c r="O715" s="109" t="s">
        <v>386</v>
      </c>
      <c r="P715" s="109" t="s">
        <v>826</v>
      </c>
      <c r="Q715" s="109" t="s">
        <v>840</v>
      </c>
      <c r="R715" s="109" t="s">
        <v>57</v>
      </c>
      <c r="S715" s="83" t="str">
        <f t="shared" si="80"/>
        <v>B1117H</v>
      </c>
      <c r="T715" s="83" t="str">
        <f t="shared" si="77"/>
        <v>Zoi</v>
      </c>
      <c r="Y715" s="60">
        <f t="shared" si="81"/>
        <v>31</v>
      </c>
      <c r="Z715" s="49">
        <f t="shared" si="82"/>
        <v>48</v>
      </c>
      <c r="AA715" s="60">
        <f t="shared" si="83"/>
        <v>31048</v>
      </c>
    </row>
    <row r="716" spans="1:27">
      <c r="A716" s="83" t="str">
        <f t="shared" si="78"/>
        <v>B1122Hblack</v>
      </c>
      <c r="B716" s="83" t="str">
        <f t="shared" si="79"/>
        <v>31-062-53</v>
      </c>
      <c r="C716" s="109" t="s">
        <v>2859</v>
      </c>
      <c r="D716" s="109" t="s">
        <v>2860</v>
      </c>
      <c r="E716" s="109" t="s">
        <v>793</v>
      </c>
      <c r="F716" s="110">
        <v>0</v>
      </c>
      <c r="G716" s="109" t="s">
        <v>2394</v>
      </c>
      <c r="H716" s="109" t="s">
        <v>292</v>
      </c>
      <c r="I716" s="109" t="s">
        <v>787</v>
      </c>
      <c r="J716" s="109" t="s">
        <v>323</v>
      </c>
      <c r="K716" s="109" t="s">
        <v>387</v>
      </c>
      <c r="L716" s="109" t="s">
        <v>523</v>
      </c>
      <c r="M716" s="109" t="s">
        <v>384</v>
      </c>
      <c r="N716" s="109" t="s">
        <v>43</v>
      </c>
      <c r="O716" s="109" t="s">
        <v>386</v>
      </c>
      <c r="P716" s="109" t="s">
        <v>826</v>
      </c>
      <c r="Q716" s="109" t="s">
        <v>831</v>
      </c>
      <c r="R716" s="109" t="s">
        <v>53</v>
      </c>
      <c r="S716" s="83" t="str">
        <f t="shared" si="80"/>
        <v>B1122H</v>
      </c>
      <c r="T716" s="83" t="str">
        <f t="shared" si="77"/>
        <v>Gemma</v>
      </c>
      <c r="Y716" s="60">
        <f t="shared" si="81"/>
        <v>31</v>
      </c>
      <c r="Z716" s="49">
        <f t="shared" si="82"/>
        <v>62</v>
      </c>
      <c r="AA716" s="60">
        <f t="shared" si="83"/>
        <v>31062</v>
      </c>
    </row>
    <row r="717" spans="1:27">
      <c r="A717" s="83" t="str">
        <f t="shared" si="78"/>
        <v>B1134Hnatural</v>
      </c>
      <c r="B717" s="83" t="str">
        <f t="shared" si="79"/>
        <v>31-064-02</v>
      </c>
      <c r="C717" s="109" t="s">
        <v>2861</v>
      </c>
      <c r="D717" s="109" t="s">
        <v>2862</v>
      </c>
      <c r="E717" s="109" t="s">
        <v>793</v>
      </c>
      <c r="F717" s="110">
        <v>0</v>
      </c>
      <c r="G717" s="109" t="s">
        <v>944</v>
      </c>
      <c r="H717" s="109" t="s">
        <v>63</v>
      </c>
      <c r="I717" s="109" t="s">
        <v>945</v>
      </c>
      <c r="J717" s="109" t="s">
        <v>323</v>
      </c>
      <c r="K717" s="109" t="s">
        <v>387</v>
      </c>
      <c r="L717" s="109" t="s">
        <v>523</v>
      </c>
      <c r="M717" s="109" t="s">
        <v>384</v>
      </c>
      <c r="N717" s="109" t="s">
        <v>36</v>
      </c>
      <c r="O717" s="109" t="s">
        <v>386</v>
      </c>
      <c r="P717" s="109" t="s">
        <v>827</v>
      </c>
      <c r="Q717" s="109" t="s">
        <v>844</v>
      </c>
      <c r="R717" s="109" t="s">
        <v>63</v>
      </c>
      <c r="S717" s="83" t="str">
        <f t="shared" si="80"/>
        <v>B1134H</v>
      </c>
      <c r="T717" s="83" t="str">
        <f t="shared" si="77"/>
        <v>RAMONA</v>
      </c>
      <c r="Y717" s="60">
        <f t="shared" si="81"/>
        <v>31</v>
      </c>
      <c r="Z717" s="49">
        <f t="shared" si="82"/>
        <v>64</v>
      </c>
      <c r="AA717" s="60">
        <f t="shared" si="83"/>
        <v>31064</v>
      </c>
    </row>
    <row r="718" spans="1:27">
      <c r="A718" s="83" t="str">
        <f t="shared" si="78"/>
        <v>B1134HSeagreen</v>
      </c>
      <c r="B718" s="83" t="str">
        <f t="shared" si="79"/>
        <v>31-064-19</v>
      </c>
      <c r="C718" s="109" t="s">
        <v>2863</v>
      </c>
      <c r="D718" s="109" t="s">
        <v>2864</v>
      </c>
      <c r="E718" s="109" t="s">
        <v>793</v>
      </c>
      <c r="F718" s="110">
        <v>0</v>
      </c>
      <c r="G718" s="109" t="s">
        <v>944</v>
      </c>
      <c r="H718" s="109" t="s">
        <v>91</v>
      </c>
      <c r="I718" s="109" t="s">
        <v>945</v>
      </c>
      <c r="J718" s="109" t="s">
        <v>323</v>
      </c>
      <c r="K718" s="109" t="s">
        <v>387</v>
      </c>
      <c r="L718" s="109" t="s">
        <v>523</v>
      </c>
      <c r="M718" s="109" t="s">
        <v>384</v>
      </c>
      <c r="N718" s="109" t="s">
        <v>36</v>
      </c>
      <c r="O718" s="109" t="s">
        <v>386</v>
      </c>
      <c r="P718" s="109" t="s">
        <v>826</v>
      </c>
      <c r="Q718" s="109" t="s">
        <v>2865</v>
      </c>
      <c r="R718" s="109" t="s">
        <v>91</v>
      </c>
      <c r="S718" s="83" t="str">
        <f t="shared" si="80"/>
        <v>B1134H</v>
      </c>
      <c r="T718" s="83" t="str">
        <f t="shared" si="77"/>
        <v>RAMONA</v>
      </c>
      <c r="Y718" s="60">
        <f t="shared" si="81"/>
        <v>31</v>
      </c>
      <c r="Z718" s="49">
        <f t="shared" si="82"/>
        <v>64</v>
      </c>
      <c r="AA718" s="60">
        <f t="shared" si="83"/>
        <v>31064</v>
      </c>
    </row>
    <row r="719" spans="1:27">
      <c r="A719" s="83" t="str">
        <f t="shared" si="78"/>
        <v>B1134Htangerine</v>
      </c>
      <c r="B719" s="83" t="str">
        <f t="shared" si="79"/>
        <v>31-064-13</v>
      </c>
      <c r="C719" s="109" t="s">
        <v>2866</v>
      </c>
      <c r="D719" s="109" t="s">
        <v>2867</v>
      </c>
      <c r="E719" s="109" t="s">
        <v>793</v>
      </c>
      <c r="F719" s="110">
        <v>0</v>
      </c>
      <c r="G719" s="109" t="s">
        <v>944</v>
      </c>
      <c r="H719" s="109" t="s">
        <v>199</v>
      </c>
      <c r="I719" s="109" t="s">
        <v>945</v>
      </c>
      <c r="J719" s="109" t="s">
        <v>323</v>
      </c>
      <c r="K719" s="109" t="s">
        <v>387</v>
      </c>
      <c r="L719" s="109" t="s">
        <v>523</v>
      </c>
      <c r="M719" s="109" t="s">
        <v>384</v>
      </c>
      <c r="N719" s="109" t="s">
        <v>36</v>
      </c>
      <c r="O719" s="109" t="s">
        <v>386</v>
      </c>
      <c r="P719" s="109" t="s">
        <v>827</v>
      </c>
      <c r="Q719" s="109" t="s">
        <v>927</v>
      </c>
      <c r="R719" s="109" t="s">
        <v>199</v>
      </c>
      <c r="S719" s="83" t="str">
        <f t="shared" si="80"/>
        <v>B1134H</v>
      </c>
      <c r="T719" s="83" t="str">
        <f t="shared" si="77"/>
        <v>RAMONA</v>
      </c>
      <c r="Y719" s="60">
        <f t="shared" si="81"/>
        <v>31</v>
      </c>
      <c r="Z719" s="49">
        <f t="shared" si="82"/>
        <v>64</v>
      </c>
      <c r="AA719" s="60">
        <f t="shared" si="83"/>
        <v>31064</v>
      </c>
    </row>
    <row r="720" spans="1:27">
      <c r="A720" s="83" t="str">
        <f t="shared" si="78"/>
        <v>B1143Hblack</v>
      </c>
      <c r="B720" s="83" t="str">
        <f t="shared" si="79"/>
        <v>31-055-09</v>
      </c>
      <c r="C720" s="109" t="s">
        <v>2868</v>
      </c>
      <c r="D720" s="109" t="s">
        <v>2869</v>
      </c>
      <c r="E720" s="109" t="s">
        <v>793</v>
      </c>
      <c r="F720" s="110">
        <v>0</v>
      </c>
      <c r="G720" s="109" t="s">
        <v>2372</v>
      </c>
      <c r="H720" s="109" t="s">
        <v>53</v>
      </c>
      <c r="I720" s="109" t="s">
        <v>945</v>
      </c>
      <c r="J720" s="109" t="s">
        <v>351</v>
      </c>
      <c r="K720" s="109" t="s">
        <v>387</v>
      </c>
      <c r="L720" s="109" t="s">
        <v>523</v>
      </c>
      <c r="M720" s="109" t="s">
        <v>384</v>
      </c>
      <c r="N720" s="109" t="s">
        <v>36</v>
      </c>
      <c r="O720" s="109" t="s">
        <v>386</v>
      </c>
      <c r="P720" s="109" t="s">
        <v>826</v>
      </c>
      <c r="Q720" s="109" t="s">
        <v>831</v>
      </c>
      <c r="R720" s="109" t="s">
        <v>53</v>
      </c>
      <c r="S720" s="83" t="str">
        <f t="shared" si="80"/>
        <v>B1143H</v>
      </c>
      <c r="T720" s="83" t="str">
        <f t="shared" si="77"/>
        <v>Mila</v>
      </c>
      <c r="Y720" s="60">
        <f t="shared" si="81"/>
        <v>31</v>
      </c>
      <c r="Z720" s="49">
        <f t="shared" si="82"/>
        <v>55</v>
      </c>
      <c r="AA720" s="60">
        <f t="shared" si="83"/>
        <v>31055</v>
      </c>
    </row>
    <row r="721" spans="1:27">
      <c r="A721" s="83" t="str">
        <f t="shared" si="78"/>
        <v>B1157HApricot</v>
      </c>
      <c r="B721" s="83" t="str">
        <f t="shared" si="79"/>
        <v>31-111-34</v>
      </c>
      <c r="C721" s="109" t="s">
        <v>2870</v>
      </c>
      <c r="D721" s="109" t="s">
        <v>2871</v>
      </c>
      <c r="E721" s="109" t="s">
        <v>793</v>
      </c>
      <c r="F721" s="110">
        <v>0</v>
      </c>
      <c r="G721" s="109" t="s">
        <v>2872</v>
      </c>
      <c r="H721" s="109" t="s">
        <v>210</v>
      </c>
      <c r="I721" s="109" t="s">
        <v>2873</v>
      </c>
      <c r="J721" s="109" t="s">
        <v>357</v>
      </c>
      <c r="K721" s="109" t="s">
        <v>387</v>
      </c>
      <c r="L721" s="109" t="s">
        <v>523</v>
      </c>
      <c r="M721" s="109" t="s">
        <v>384</v>
      </c>
      <c r="N721" s="109" t="s">
        <v>43</v>
      </c>
      <c r="O721" s="109" t="s">
        <v>386</v>
      </c>
      <c r="P721" s="109" t="s">
        <v>826</v>
      </c>
      <c r="Q721" s="109" t="s">
        <v>2874</v>
      </c>
      <c r="R721" s="109" t="s">
        <v>68</v>
      </c>
      <c r="S721" s="83" t="str">
        <f t="shared" si="80"/>
        <v>B1157H</v>
      </c>
      <c r="T721" s="83" t="str">
        <f t="shared" si="77"/>
        <v>APRIL</v>
      </c>
      <c r="Y721" s="60">
        <f t="shared" si="81"/>
        <v>31</v>
      </c>
      <c r="Z721" s="49">
        <f t="shared" si="82"/>
        <v>111</v>
      </c>
      <c r="AA721" s="60">
        <f t="shared" si="83"/>
        <v>31111</v>
      </c>
    </row>
    <row r="722" spans="1:27">
      <c r="A722" s="83" t="str">
        <f t="shared" si="78"/>
        <v>B1157Hblack</v>
      </c>
      <c r="B722" s="83" t="str">
        <f t="shared" si="79"/>
        <v>31-111-48</v>
      </c>
      <c r="C722" s="109" t="s">
        <v>2875</v>
      </c>
      <c r="D722" s="109" t="s">
        <v>2876</v>
      </c>
      <c r="E722" s="109" t="s">
        <v>793</v>
      </c>
      <c r="F722" s="110">
        <v>0</v>
      </c>
      <c r="G722" s="109" t="s">
        <v>2872</v>
      </c>
      <c r="H722" s="109" t="s">
        <v>292</v>
      </c>
      <c r="I722" s="109" t="s">
        <v>2873</v>
      </c>
      <c r="J722" s="109" t="s">
        <v>357</v>
      </c>
      <c r="K722" s="109" t="s">
        <v>387</v>
      </c>
      <c r="L722" s="109" t="s">
        <v>523</v>
      </c>
      <c r="M722" s="109" t="s">
        <v>384</v>
      </c>
      <c r="N722" s="109" t="s">
        <v>43</v>
      </c>
      <c r="O722" s="109" t="s">
        <v>386</v>
      </c>
      <c r="P722" s="109" t="s">
        <v>826</v>
      </c>
      <c r="Q722" s="109" t="s">
        <v>831</v>
      </c>
      <c r="R722" s="109" t="s">
        <v>53</v>
      </c>
      <c r="S722" s="83" t="str">
        <f t="shared" si="80"/>
        <v>B1157H</v>
      </c>
      <c r="T722" s="83" t="str">
        <f t="shared" si="77"/>
        <v>APRIL</v>
      </c>
      <c r="Y722" s="60">
        <f t="shared" si="81"/>
        <v>31</v>
      </c>
      <c r="Z722" s="49">
        <f t="shared" si="82"/>
        <v>111</v>
      </c>
      <c r="AA722" s="60">
        <f t="shared" si="83"/>
        <v>31111</v>
      </c>
    </row>
    <row r="723" spans="1:27">
      <c r="A723" s="83" t="str">
        <f t="shared" si="78"/>
        <v>B124natural</v>
      </c>
      <c r="B723" s="83" t="str">
        <f t="shared" si="79"/>
        <v>31-056-99</v>
      </c>
      <c r="C723" s="109" t="s">
        <v>2877</v>
      </c>
      <c r="D723" s="109" t="s">
        <v>2878</v>
      </c>
      <c r="E723" s="109" t="s">
        <v>793</v>
      </c>
      <c r="F723" s="110">
        <v>0</v>
      </c>
      <c r="G723" s="109" t="s">
        <v>1442</v>
      </c>
      <c r="H723" s="109" t="s">
        <v>63</v>
      </c>
      <c r="I723" s="109" t="s">
        <v>792</v>
      </c>
      <c r="J723" s="109" t="s">
        <v>351</v>
      </c>
      <c r="K723" s="109" t="s">
        <v>387</v>
      </c>
      <c r="L723" s="109" t="s">
        <v>523</v>
      </c>
      <c r="M723" s="109" t="s">
        <v>384</v>
      </c>
      <c r="N723" s="109" t="s">
        <v>35</v>
      </c>
      <c r="O723" s="109" t="s">
        <v>386</v>
      </c>
      <c r="P723" s="109" t="s">
        <v>827</v>
      </c>
      <c r="Q723" s="109" t="s">
        <v>844</v>
      </c>
      <c r="R723" s="109" t="s">
        <v>63</v>
      </c>
      <c r="S723" s="83" t="str">
        <f t="shared" si="80"/>
        <v>B124</v>
      </c>
      <c r="T723" s="83" t="str">
        <f t="shared" si="77"/>
        <v>Dunewood Visor</v>
      </c>
      <c r="Y723" s="60">
        <f t="shared" si="81"/>
        <v>31</v>
      </c>
      <c r="Z723" s="49">
        <f t="shared" si="82"/>
        <v>56</v>
      </c>
      <c r="AA723" s="60">
        <f t="shared" si="83"/>
        <v>31056</v>
      </c>
    </row>
    <row r="724" spans="1:27">
      <c r="A724" s="83" t="str">
        <f t="shared" si="78"/>
        <v>B124natural.black</v>
      </c>
      <c r="B724" s="83" t="str">
        <f t="shared" si="79"/>
        <v>31-056-53</v>
      </c>
      <c r="C724" s="109" t="s">
        <v>2879</v>
      </c>
      <c r="D724" s="109" t="s">
        <v>2880</v>
      </c>
      <c r="E724" s="109" t="s">
        <v>793</v>
      </c>
      <c r="F724" s="110">
        <v>0</v>
      </c>
      <c r="G724" s="109" t="s">
        <v>1442</v>
      </c>
      <c r="H724" s="109" t="s">
        <v>101</v>
      </c>
      <c r="I724" s="109" t="s">
        <v>792</v>
      </c>
      <c r="J724" s="109" t="s">
        <v>351</v>
      </c>
      <c r="K724" s="109" t="s">
        <v>387</v>
      </c>
      <c r="L724" s="109" t="s">
        <v>523</v>
      </c>
      <c r="M724" s="109" t="s">
        <v>384</v>
      </c>
      <c r="N724" s="109" t="s">
        <v>35</v>
      </c>
      <c r="O724" s="109" t="s">
        <v>386</v>
      </c>
      <c r="P724" s="109" t="s">
        <v>827</v>
      </c>
      <c r="Q724" s="109" t="s">
        <v>888</v>
      </c>
      <c r="R724" s="109" t="s">
        <v>63</v>
      </c>
      <c r="S724" s="83" t="str">
        <f t="shared" si="80"/>
        <v>B124</v>
      </c>
      <c r="T724" s="83" t="str">
        <f t="shared" si="77"/>
        <v>Dunewood Visor</v>
      </c>
      <c r="Y724" s="60">
        <f t="shared" si="81"/>
        <v>31</v>
      </c>
      <c r="Z724" s="49">
        <f t="shared" si="82"/>
        <v>56</v>
      </c>
      <c r="AA724" s="60">
        <f t="shared" si="83"/>
        <v>31056</v>
      </c>
    </row>
    <row r="725" spans="1:27">
      <c r="A725" s="83" t="str">
        <f t="shared" si="78"/>
        <v>B124cobalt</v>
      </c>
      <c r="B725" s="83" t="str">
        <f t="shared" si="79"/>
        <v>31-056-32</v>
      </c>
      <c r="C725" s="109" t="s">
        <v>2881</v>
      </c>
      <c r="D725" s="109" t="s">
        <v>2882</v>
      </c>
      <c r="E725" s="109" t="s">
        <v>793</v>
      </c>
      <c r="F725" s="110">
        <v>0</v>
      </c>
      <c r="G725" s="109" t="s">
        <v>1442</v>
      </c>
      <c r="H725" s="109" t="s">
        <v>97</v>
      </c>
      <c r="I725" s="109" t="s">
        <v>792</v>
      </c>
      <c r="J725" s="109" t="s">
        <v>351</v>
      </c>
      <c r="K725" s="109" t="s">
        <v>387</v>
      </c>
      <c r="L725" s="109" t="s">
        <v>523</v>
      </c>
      <c r="M725" s="109" t="s">
        <v>384</v>
      </c>
      <c r="N725" s="109" t="s">
        <v>35</v>
      </c>
      <c r="O725" s="109" t="s">
        <v>386</v>
      </c>
      <c r="P725" s="109" t="s">
        <v>826</v>
      </c>
      <c r="Q725" s="109" t="s">
        <v>890</v>
      </c>
      <c r="R725" s="109" t="s">
        <v>63</v>
      </c>
      <c r="S725" s="83" t="str">
        <f t="shared" si="80"/>
        <v>B124</v>
      </c>
      <c r="T725" s="83" t="str">
        <f t="shared" si="77"/>
        <v>Dunewood Visor</v>
      </c>
      <c r="Y725" s="60">
        <f t="shared" si="81"/>
        <v>31</v>
      </c>
      <c r="Z725" s="49">
        <f t="shared" si="82"/>
        <v>56</v>
      </c>
      <c r="AA725" s="60">
        <f t="shared" si="83"/>
        <v>31056</v>
      </c>
    </row>
    <row r="726" spans="1:27">
      <c r="A726" s="83" t="str">
        <f t="shared" si="78"/>
        <v>B1395Hblack</v>
      </c>
      <c r="B726" s="83" t="str">
        <f t="shared" si="79"/>
        <v>31-069-53</v>
      </c>
      <c r="C726" s="109" t="s">
        <v>2883</v>
      </c>
      <c r="D726" s="109" t="s">
        <v>2884</v>
      </c>
      <c r="E726" s="109" t="s">
        <v>793</v>
      </c>
      <c r="F726" s="110">
        <v>0</v>
      </c>
      <c r="G726" s="109" t="s">
        <v>2414</v>
      </c>
      <c r="H726" s="109" t="s">
        <v>101</v>
      </c>
      <c r="I726" s="109" t="s">
        <v>945</v>
      </c>
      <c r="J726" s="109" t="s">
        <v>323</v>
      </c>
      <c r="K726" s="109" t="s">
        <v>387</v>
      </c>
      <c r="L726" s="109" t="s">
        <v>523</v>
      </c>
      <c r="M726" s="109" t="s">
        <v>384</v>
      </c>
      <c r="N726" s="109" t="s">
        <v>36</v>
      </c>
      <c r="O726" s="109" t="s">
        <v>386</v>
      </c>
      <c r="P726" s="109" t="s">
        <v>826</v>
      </c>
      <c r="Q726" s="109" t="s">
        <v>831</v>
      </c>
      <c r="R726" s="109" t="s">
        <v>63</v>
      </c>
      <c r="S726" s="83" t="str">
        <f t="shared" si="80"/>
        <v>B1395H</v>
      </c>
      <c r="T726" s="83" t="str">
        <f t="shared" si="77"/>
        <v>Bjorn</v>
      </c>
      <c r="Y726" s="60">
        <f t="shared" si="81"/>
        <v>31</v>
      </c>
      <c r="Z726" s="49">
        <f t="shared" si="82"/>
        <v>69</v>
      </c>
      <c r="AA726" s="60">
        <f t="shared" si="83"/>
        <v>31069</v>
      </c>
    </row>
    <row r="727" spans="1:27">
      <c r="A727" s="83" t="str">
        <f t="shared" si="78"/>
        <v>B1399Hnatural</v>
      </c>
      <c r="B727" s="83" t="str">
        <f t="shared" si="79"/>
        <v>31-070-02</v>
      </c>
      <c r="C727" s="109" t="s">
        <v>2885</v>
      </c>
      <c r="D727" s="109" t="s">
        <v>2886</v>
      </c>
      <c r="E727" s="109" t="s">
        <v>793</v>
      </c>
      <c r="F727" s="110">
        <v>0</v>
      </c>
      <c r="G727" s="109" t="s">
        <v>2417</v>
      </c>
      <c r="H727" s="109" t="s">
        <v>63</v>
      </c>
      <c r="I727" s="109" t="s">
        <v>790</v>
      </c>
      <c r="J727" s="109" t="s">
        <v>330</v>
      </c>
      <c r="K727" s="109" t="s">
        <v>387</v>
      </c>
      <c r="L727" s="109" t="s">
        <v>523</v>
      </c>
      <c r="M727" s="109" t="s">
        <v>384</v>
      </c>
      <c r="N727" s="109" t="s">
        <v>36</v>
      </c>
      <c r="O727" s="109" t="s">
        <v>386</v>
      </c>
      <c r="P727" s="109" t="s">
        <v>826</v>
      </c>
      <c r="Q727" s="109" t="s">
        <v>844</v>
      </c>
      <c r="R727" s="109" t="s">
        <v>63</v>
      </c>
      <c r="S727" s="83" t="str">
        <f t="shared" si="80"/>
        <v>B1399H</v>
      </c>
      <c r="T727" s="83" t="str">
        <f t="shared" si="77"/>
        <v>Peyton</v>
      </c>
      <c r="Y727" s="60">
        <f t="shared" si="81"/>
        <v>31</v>
      </c>
      <c r="Z727" s="49">
        <f t="shared" si="82"/>
        <v>70</v>
      </c>
      <c r="AA727" s="60">
        <f t="shared" si="83"/>
        <v>31070</v>
      </c>
    </row>
    <row r="728" spans="1:27">
      <c r="A728" s="83" t="str">
        <f t="shared" si="78"/>
        <v>B1401Hwhite</v>
      </c>
      <c r="B728" s="83" t="str">
        <f t="shared" si="79"/>
        <v>31-071-17</v>
      </c>
      <c r="C728" s="109" t="s">
        <v>2887</v>
      </c>
      <c r="D728" s="109" t="s">
        <v>2888</v>
      </c>
      <c r="E728" s="109" t="s">
        <v>793</v>
      </c>
      <c r="F728" s="110">
        <v>0</v>
      </c>
      <c r="G728" s="109" t="s">
        <v>2420</v>
      </c>
      <c r="H728" s="109" t="s">
        <v>57</v>
      </c>
      <c r="I728" s="109" t="s">
        <v>945</v>
      </c>
      <c r="J728" s="109" t="s">
        <v>357</v>
      </c>
      <c r="K728" s="109" t="s">
        <v>387</v>
      </c>
      <c r="L728" s="109" t="s">
        <v>523</v>
      </c>
      <c r="M728" s="109" t="s">
        <v>384</v>
      </c>
      <c r="N728" s="109" t="s">
        <v>36</v>
      </c>
      <c r="O728" s="109" t="s">
        <v>386</v>
      </c>
      <c r="P728" s="109" t="s">
        <v>826</v>
      </c>
      <c r="Q728" s="109" t="s">
        <v>840</v>
      </c>
      <c r="R728" s="109" t="s">
        <v>57</v>
      </c>
      <c r="S728" s="83" t="str">
        <f t="shared" si="80"/>
        <v>B1401H</v>
      </c>
      <c r="T728" s="83" t="str">
        <f t="shared" si="77"/>
        <v>Alysia</v>
      </c>
      <c r="Y728" s="60">
        <f t="shared" si="81"/>
        <v>31</v>
      </c>
      <c r="Z728" s="49">
        <f t="shared" si="82"/>
        <v>71</v>
      </c>
      <c r="AA728" s="60">
        <f t="shared" si="83"/>
        <v>31071</v>
      </c>
    </row>
    <row r="729" spans="1:27">
      <c r="A729" s="83" t="str">
        <f t="shared" si="78"/>
        <v>B1404Hnavy</v>
      </c>
      <c r="B729" s="83" t="str">
        <f t="shared" si="79"/>
        <v>31-074-16</v>
      </c>
      <c r="C729" s="109" t="s">
        <v>2889</v>
      </c>
      <c r="D729" s="109" t="s">
        <v>2890</v>
      </c>
      <c r="E729" s="109" t="s">
        <v>793</v>
      </c>
      <c r="F729" s="110">
        <v>0</v>
      </c>
      <c r="G729" s="109" t="s">
        <v>2429</v>
      </c>
      <c r="H729" s="109" t="s">
        <v>55</v>
      </c>
      <c r="I729" s="109" t="s">
        <v>787</v>
      </c>
      <c r="J729" s="109" t="s">
        <v>357</v>
      </c>
      <c r="K729" s="109" t="s">
        <v>387</v>
      </c>
      <c r="L729" s="109" t="s">
        <v>523</v>
      </c>
      <c r="M729" s="109" t="s">
        <v>384</v>
      </c>
      <c r="N729" s="109" t="s">
        <v>43</v>
      </c>
      <c r="O729" s="109" t="s">
        <v>386</v>
      </c>
      <c r="P729" s="109" t="s">
        <v>826</v>
      </c>
      <c r="Q729" s="109" t="s">
        <v>829</v>
      </c>
      <c r="R729" s="109" t="s">
        <v>71</v>
      </c>
      <c r="S729" s="83" t="str">
        <f t="shared" si="80"/>
        <v>B1404H</v>
      </c>
      <c r="T729" s="83" t="str">
        <f t="shared" si="77"/>
        <v>Drew</v>
      </c>
      <c r="Y729" s="60">
        <f t="shared" si="81"/>
        <v>31</v>
      </c>
      <c r="Z729" s="49">
        <f t="shared" si="82"/>
        <v>74</v>
      </c>
      <c r="AA729" s="60">
        <f t="shared" si="83"/>
        <v>31074</v>
      </c>
    </row>
    <row r="730" spans="1:27">
      <c r="A730" s="83" t="str">
        <f t="shared" si="78"/>
        <v>B1409Hblack</v>
      </c>
      <c r="B730" s="83" t="str">
        <f t="shared" si="79"/>
        <v>31-049-09</v>
      </c>
      <c r="C730" s="109" t="s">
        <v>2891</v>
      </c>
      <c r="D730" s="109" t="s">
        <v>2892</v>
      </c>
      <c r="E730" s="109" t="s">
        <v>793</v>
      </c>
      <c r="F730" s="110">
        <v>0</v>
      </c>
      <c r="G730" s="109" t="s">
        <v>2355</v>
      </c>
      <c r="H730" s="109" t="s">
        <v>53</v>
      </c>
      <c r="I730" s="109" t="s">
        <v>787</v>
      </c>
      <c r="J730" s="109" t="s">
        <v>360</v>
      </c>
      <c r="K730" s="109" t="s">
        <v>387</v>
      </c>
      <c r="L730" s="109" t="s">
        <v>523</v>
      </c>
      <c r="M730" s="109" t="s">
        <v>384</v>
      </c>
      <c r="N730" s="109" t="s">
        <v>43</v>
      </c>
      <c r="O730" s="109" t="s">
        <v>386</v>
      </c>
      <c r="P730" s="109" t="s">
        <v>826</v>
      </c>
      <c r="Q730" s="109" t="s">
        <v>831</v>
      </c>
      <c r="R730" s="109" t="s">
        <v>53</v>
      </c>
      <c r="S730" s="83" t="str">
        <f t="shared" si="80"/>
        <v>B1409H</v>
      </c>
      <c r="T730" s="83" t="str">
        <f t="shared" si="77"/>
        <v>Sue</v>
      </c>
      <c r="Y730" s="60">
        <f t="shared" si="81"/>
        <v>31</v>
      </c>
      <c r="Z730" s="49">
        <f t="shared" si="82"/>
        <v>49</v>
      </c>
      <c r="AA730" s="60">
        <f t="shared" si="83"/>
        <v>31049</v>
      </c>
    </row>
    <row r="731" spans="1:27">
      <c r="A731" s="83" t="str">
        <f t="shared" si="78"/>
        <v>B1431Hnatural</v>
      </c>
      <c r="B731" s="83" t="str">
        <f t="shared" si="79"/>
        <v>31-078-49</v>
      </c>
      <c r="C731" s="109" t="s">
        <v>2893</v>
      </c>
      <c r="D731" s="109" t="s">
        <v>2894</v>
      </c>
      <c r="E731" s="109" t="s">
        <v>793</v>
      </c>
      <c r="F731" s="110">
        <v>0</v>
      </c>
      <c r="G731" s="109" t="s">
        <v>948</v>
      </c>
      <c r="H731" s="109" t="s">
        <v>104</v>
      </c>
      <c r="I731" s="109" t="s">
        <v>945</v>
      </c>
      <c r="J731" s="109" t="s">
        <v>323</v>
      </c>
      <c r="K731" s="109" t="s">
        <v>387</v>
      </c>
      <c r="L731" s="109" t="s">
        <v>523</v>
      </c>
      <c r="M731" s="109" t="s">
        <v>384</v>
      </c>
      <c r="N731" s="109" t="s">
        <v>36</v>
      </c>
      <c r="O731" s="109" t="s">
        <v>386</v>
      </c>
      <c r="P731" s="109" t="s">
        <v>826</v>
      </c>
      <c r="Q731" s="109" t="s">
        <v>844</v>
      </c>
      <c r="R731" s="109" t="s">
        <v>57</v>
      </c>
      <c r="S731" s="83" t="str">
        <f t="shared" si="80"/>
        <v>B1431H</v>
      </c>
      <c r="T731" s="83" t="str">
        <f t="shared" si="77"/>
        <v>DEMETRIA</v>
      </c>
      <c r="Y731" s="60">
        <f t="shared" si="81"/>
        <v>31</v>
      </c>
      <c r="Z731" s="49">
        <f t="shared" si="82"/>
        <v>78</v>
      </c>
      <c r="AA731" s="60">
        <f t="shared" si="83"/>
        <v>31078</v>
      </c>
    </row>
    <row r="732" spans="1:27">
      <c r="A732" s="83" t="str">
        <f t="shared" si="78"/>
        <v>B1440Hnavy</v>
      </c>
      <c r="B732" s="83" t="str">
        <f t="shared" si="79"/>
        <v>31-080-32</v>
      </c>
      <c r="C732" s="109" t="s">
        <v>2895</v>
      </c>
      <c r="D732" s="109" t="s">
        <v>2896</v>
      </c>
      <c r="E732" s="109" t="s">
        <v>793</v>
      </c>
      <c r="F732" s="110">
        <v>0</v>
      </c>
      <c r="G732" s="109" t="s">
        <v>1234</v>
      </c>
      <c r="H732" s="109" t="s">
        <v>247</v>
      </c>
      <c r="I732" s="109" t="s">
        <v>945</v>
      </c>
      <c r="J732" s="109" t="s">
        <v>323</v>
      </c>
      <c r="K732" s="109" t="s">
        <v>387</v>
      </c>
      <c r="L732" s="109" t="s">
        <v>523</v>
      </c>
      <c r="M732" s="109" t="s">
        <v>384</v>
      </c>
      <c r="N732" s="109" t="s">
        <v>36</v>
      </c>
      <c r="O732" s="109" t="s">
        <v>386</v>
      </c>
      <c r="P732" s="109" t="s">
        <v>826</v>
      </c>
      <c r="Q732" s="109" t="s">
        <v>829</v>
      </c>
      <c r="R732" s="109" t="s">
        <v>71</v>
      </c>
      <c r="S732" s="83" t="str">
        <f t="shared" si="80"/>
        <v>B1440H</v>
      </c>
      <c r="T732" s="83" t="str">
        <f t="shared" si="77"/>
        <v>Perla</v>
      </c>
      <c r="Y732" s="60">
        <f t="shared" si="81"/>
        <v>31</v>
      </c>
      <c r="Z732" s="49">
        <f t="shared" si="82"/>
        <v>80</v>
      </c>
      <c r="AA732" s="60">
        <f t="shared" si="83"/>
        <v>31080</v>
      </c>
    </row>
    <row r="733" spans="1:27">
      <c r="A733" s="83" t="str">
        <f t="shared" si="78"/>
        <v>B1440Hwhite</v>
      </c>
      <c r="B733" s="83" t="str">
        <f t="shared" si="79"/>
        <v>31-080-49</v>
      </c>
      <c r="C733" s="109" t="s">
        <v>2897</v>
      </c>
      <c r="D733" s="109" t="s">
        <v>2898</v>
      </c>
      <c r="E733" s="109" t="s">
        <v>793</v>
      </c>
      <c r="F733" s="110">
        <v>0</v>
      </c>
      <c r="G733" s="109" t="s">
        <v>1234</v>
      </c>
      <c r="H733" s="109" t="s">
        <v>104</v>
      </c>
      <c r="I733" s="109" t="s">
        <v>945</v>
      </c>
      <c r="J733" s="109" t="s">
        <v>323</v>
      </c>
      <c r="K733" s="109" t="s">
        <v>387</v>
      </c>
      <c r="L733" s="109" t="s">
        <v>523</v>
      </c>
      <c r="M733" s="109" t="s">
        <v>384</v>
      </c>
      <c r="N733" s="109" t="s">
        <v>36</v>
      </c>
      <c r="O733" s="109" t="s">
        <v>386</v>
      </c>
      <c r="P733" s="109" t="s">
        <v>826</v>
      </c>
      <c r="Q733" s="109" t="s">
        <v>840</v>
      </c>
      <c r="R733" s="109" t="s">
        <v>57</v>
      </c>
      <c r="S733" s="83" t="str">
        <f t="shared" si="80"/>
        <v>B1440H</v>
      </c>
      <c r="T733" s="83" t="str">
        <f t="shared" si="77"/>
        <v>Perla</v>
      </c>
      <c r="Y733" s="60">
        <f t="shared" si="81"/>
        <v>31</v>
      </c>
      <c r="Z733" s="49">
        <f t="shared" si="82"/>
        <v>80</v>
      </c>
      <c r="AA733" s="60">
        <f t="shared" si="83"/>
        <v>31080</v>
      </c>
    </row>
    <row r="734" spans="1:27">
      <c r="A734" s="83" t="str">
        <f t="shared" si="78"/>
        <v>B1449Hlt.grey</v>
      </c>
      <c r="B734" s="83" t="str">
        <f t="shared" si="79"/>
        <v>31-081-01</v>
      </c>
      <c r="C734" s="109" t="s">
        <v>2899</v>
      </c>
      <c r="D734" s="109" t="s">
        <v>2900</v>
      </c>
      <c r="E734" s="109" t="s">
        <v>793</v>
      </c>
      <c r="F734" s="110">
        <v>0</v>
      </c>
      <c r="G734" s="109" t="s">
        <v>952</v>
      </c>
      <c r="H734" s="109" t="s">
        <v>83</v>
      </c>
      <c r="I734" s="109" t="s">
        <v>832</v>
      </c>
      <c r="J734" s="109" t="s">
        <v>329</v>
      </c>
      <c r="K734" s="109" t="s">
        <v>387</v>
      </c>
      <c r="L734" s="109" t="s">
        <v>523</v>
      </c>
      <c r="M734" s="109" t="s">
        <v>384</v>
      </c>
      <c r="N734" s="109" t="s">
        <v>36</v>
      </c>
      <c r="O734" s="109" t="s">
        <v>386</v>
      </c>
      <c r="P734" s="109" t="s">
        <v>826</v>
      </c>
      <c r="Q734" s="109" t="s">
        <v>2901</v>
      </c>
      <c r="R734" s="109" t="s">
        <v>83</v>
      </c>
      <c r="S734" s="83" t="str">
        <f t="shared" si="80"/>
        <v>B1449H</v>
      </c>
      <c r="T734" s="83" t="str">
        <f t="shared" si="77"/>
        <v>JOANNE</v>
      </c>
      <c r="Y734" s="60">
        <f t="shared" si="81"/>
        <v>31</v>
      </c>
      <c r="Z734" s="49">
        <f t="shared" si="82"/>
        <v>81</v>
      </c>
      <c r="AA734" s="60">
        <f t="shared" si="83"/>
        <v>31081</v>
      </c>
    </row>
    <row r="735" spans="1:27">
      <c r="A735" s="83" t="str">
        <f t="shared" si="78"/>
        <v>B1449Hnatural</v>
      </c>
      <c r="B735" s="83" t="str">
        <f t="shared" si="79"/>
        <v>31-081-99</v>
      </c>
      <c r="C735" s="109" t="s">
        <v>2902</v>
      </c>
      <c r="D735" s="109" t="s">
        <v>2903</v>
      </c>
      <c r="E735" s="109" t="s">
        <v>793</v>
      </c>
      <c r="F735" s="110">
        <v>0</v>
      </c>
      <c r="G735" s="109" t="s">
        <v>952</v>
      </c>
      <c r="H735" s="109" t="s">
        <v>63</v>
      </c>
      <c r="I735" s="109" t="s">
        <v>832</v>
      </c>
      <c r="J735" s="109" t="s">
        <v>329</v>
      </c>
      <c r="K735" s="109" t="s">
        <v>387</v>
      </c>
      <c r="L735" s="109" t="s">
        <v>523</v>
      </c>
      <c r="M735" s="109" t="s">
        <v>384</v>
      </c>
      <c r="N735" s="109" t="s">
        <v>36</v>
      </c>
      <c r="O735" s="109" t="s">
        <v>386</v>
      </c>
      <c r="P735" s="109" t="s">
        <v>827</v>
      </c>
      <c r="Q735" s="109" t="s">
        <v>844</v>
      </c>
      <c r="R735" s="109" t="s">
        <v>63</v>
      </c>
      <c r="S735" s="83" t="str">
        <f t="shared" si="80"/>
        <v>B1449H</v>
      </c>
      <c r="T735" s="83" t="str">
        <f t="shared" si="77"/>
        <v>JOANNE</v>
      </c>
      <c r="Y735" s="60">
        <f t="shared" si="81"/>
        <v>31</v>
      </c>
      <c r="Z735" s="49">
        <f t="shared" si="82"/>
        <v>81</v>
      </c>
      <c r="AA735" s="60">
        <f t="shared" si="83"/>
        <v>31081</v>
      </c>
    </row>
    <row r="736" spans="1:27">
      <c r="A736" s="83" t="str">
        <f t="shared" si="78"/>
        <v>B1455Hnatural</v>
      </c>
      <c r="B736" s="83" t="str">
        <f t="shared" si="79"/>
        <v>31-112-17</v>
      </c>
      <c r="C736" s="109" t="s">
        <v>2904</v>
      </c>
      <c r="D736" s="109" t="s">
        <v>2905</v>
      </c>
      <c r="E736" s="109" t="s">
        <v>793</v>
      </c>
      <c r="F736" s="110">
        <v>0</v>
      </c>
      <c r="G736" s="109" t="s">
        <v>2906</v>
      </c>
      <c r="H736" s="109" t="s">
        <v>104</v>
      </c>
      <c r="I736" s="109" t="s">
        <v>792</v>
      </c>
      <c r="J736" s="109" t="s">
        <v>323</v>
      </c>
      <c r="K736" s="109" t="s">
        <v>387</v>
      </c>
      <c r="L736" s="109" t="s">
        <v>523</v>
      </c>
      <c r="M736" s="109" t="s">
        <v>384</v>
      </c>
      <c r="N736" s="109" t="s">
        <v>35</v>
      </c>
      <c r="O736" s="109" t="s">
        <v>445</v>
      </c>
      <c r="P736" s="109" t="s">
        <v>826</v>
      </c>
      <c r="Q736" s="109" t="s">
        <v>844</v>
      </c>
      <c r="R736" s="109" t="s">
        <v>57</v>
      </c>
      <c r="S736" s="83" t="str">
        <f t="shared" si="80"/>
        <v>B1455H</v>
      </c>
      <c r="T736" s="83" t="str">
        <f t="shared" si="77"/>
        <v>AURORA</v>
      </c>
      <c r="Y736" s="60">
        <f t="shared" si="81"/>
        <v>31</v>
      </c>
      <c r="Z736" s="49">
        <f t="shared" si="82"/>
        <v>112</v>
      </c>
      <c r="AA736" s="60">
        <f t="shared" si="83"/>
        <v>31112</v>
      </c>
    </row>
    <row r="737" spans="1:27">
      <c r="A737" s="83" t="str">
        <f t="shared" si="78"/>
        <v>B1455HPale Peach</v>
      </c>
      <c r="B737" s="83" t="str">
        <f t="shared" si="79"/>
        <v>31-112-59</v>
      </c>
      <c r="C737" s="109" t="s">
        <v>2907</v>
      </c>
      <c r="D737" s="109" t="s">
        <v>2908</v>
      </c>
      <c r="E737" s="109" t="s">
        <v>793</v>
      </c>
      <c r="F737" s="110">
        <v>0</v>
      </c>
      <c r="G737" s="109" t="s">
        <v>2906</v>
      </c>
      <c r="H737" s="109" t="s">
        <v>114</v>
      </c>
      <c r="I737" s="109" t="s">
        <v>792</v>
      </c>
      <c r="J737" s="109" t="s">
        <v>323</v>
      </c>
      <c r="K737" s="109" t="s">
        <v>387</v>
      </c>
      <c r="L737" s="109" t="s">
        <v>523</v>
      </c>
      <c r="M737" s="109" t="s">
        <v>384</v>
      </c>
      <c r="N737" s="109" t="s">
        <v>35</v>
      </c>
      <c r="O737" s="109" t="s">
        <v>445</v>
      </c>
      <c r="P737" s="109" t="s">
        <v>826</v>
      </c>
      <c r="Q737" s="109" t="s">
        <v>2909</v>
      </c>
      <c r="R737" s="109" t="s">
        <v>57</v>
      </c>
      <c r="S737" s="83" t="str">
        <f t="shared" si="80"/>
        <v>B1455H</v>
      </c>
      <c r="T737" s="83" t="str">
        <f t="shared" si="77"/>
        <v>AURORA</v>
      </c>
      <c r="Y737" s="60">
        <f t="shared" si="81"/>
        <v>31</v>
      </c>
      <c r="Z737" s="49">
        <f t="shared" si="82"/>
        <v>112</v>
      </c>
      <c r="AA737" s="60">
        <f t="shared" si="83"/>
        <v>31112</v>
      </c>
    </row>
    <row r="738" spans="1:27">
      <c r="A738" s="83" t="str">
        <f t="shared" si="78"/>
        <v>B1456Hblack</v>
      </c>
      <c r="B738" s="83" t="str">
        <f t="shared" si="79"/>
        <v>31-113-48</v>
      </c>
      <c r="C738" s="109" t="s">
        <v>2910</v>
      </c>
      <c r="D738" s="109" t="s">
        <v>2911</v>
      </c>
      <c r="E738" s="109" t="s">
        <v>793</v>
      </c>
      <c r="F738" s="110">
        <v>0</v>
      </c>
      <c r="G738" s="109" t="s">
        <v>2912</v>
      </c>
      <c r="H738" s="109" t="s">
        <v>119</v>
      </c>
      <c r="I738" s="109" t="s">
        <v>792</v>
      </c>
      <c r="J738" s="109" t="s">
        <v>357</v>
      </c>
      <c r="K738" s="109" t="s">
        <v>387</v>
      </c>
      <c r="L738" s="109" t="s">
        <v>523</v>
      </c>
      <c r="M738" s="109" t="s">
        <v>384</v>
      </c>
      <c r="N738" s="109" t="s">
        <v>35</v>
      </c>
      <c r="O738" s="109" t="s">
        <v>445</v>
      </c>
      <c r="P738" s="109" t="s">
        <v>826</v>
      </c>
      <c r="Q738" s="109" t="s">
        <v>831</v>
      </c>
      <c r="R738" s="109" t="s">
        <v>57</v>
      </c>
      <c r="S738" s="83" t="str">
        <f t="shared" si="80"/>
        <v>B1456H</v>
      </c>
      <c r="T738" s="83" t="str">
        <f t="shared" si="77"/>
        <v>MILEY</v>
      </c>
      <c r="Y738" s="60">
        <f t="shared" si="81"/>
        <v>31</v>
      </c>
      <c r="Z738" s="49">
        <f t="shared" si="82"/>
        <v>113</v>
      </c>
      <c r="AA738" s="60">
        <f t="shared" si="83"/>
        <v>31113</v>
      </c>
    </row>
    <row r="739" spans="1:27">
      <c r="A739" s="83" t="str">
        <f t="shared" si="78"/>
        <v>B1456Hnatural</v>
      </c>
      <c r="B739" s="83" t="str">
        <f t="shared" si="79"/>
        <v>31-113-17</v>
      </c>
      <c r="C739" s="109" t="s">
        <v>2913</v>
      </c>
      <c r="D739" s="109" t="s">
        <v>2914</v>
      </c>
      <c r="E739" s="109" t="s">
        <v>793</v>
      </c>
      <c r="F739" s="110">
        <v>0</v>
      </c>
      <c r="G739" s="109" t="s">
        <v>2912</v>
      </c>
      <c r="H739" s="109" t="s">
        <v>104</v>
      </c>
      <c r="I739" s="109" t="s">
        <v>792</v>
      </c>
      <c r="J739" s="109" t="s">
        <v>357</v>
      </c>
      <c r="K739" s="109" t="s">
        <v>387</v>
      </c>
      <c r="L739" s="109" t="s">
        <v>523</v>
      </c>
      <c r="M739" s="109" t="s">
        <v>384</v>
      </c>
      <c r="N739" s="109" t="s">
        <v>35</v>
      </c>
      <c r="O739" s="109" t="s">
        <v>445</v>
      </c>
      <c r="P739" s="109" t="s">
        <v>826</v>
      </c>
      <c r="Q739" s="109" t="s">
        <v>844</v>
      </c>
      <c r="R739" s="109" t="s">
        <v>57</v>
      </c>
      <c r="S739" s="83" t="str">
        <f t="shared" si="80"/>
        <v>B1456H</v>
      </c>
      <c r="T739" s="83" t="str">
        <f t="shared" si="77"/>
        <v>MILEY</v>
      </c>
      <c r="Y739" s="60">
        <f t="shared" si="81"/>
        <v>31</v>
      </c>
      <c r="Z739" s="49">
        <f t="shared" si="82"/>
        <v>113</v>
      </c>
      <c r="AA739" s="60">
        <f t="shared" si="83"/>
        <v>31113</v>
      </c>
    </row>
    <row r="740" spans="1:27">
      <c r="A740" s="83" t="str">
        <f t="shared" si="78"/>
        <v>B166ecru</v>
      </c>
      <c r="B740" s="83" t="str">
        <f t="shared" si="79"/>
        <v>31-083-36</v>
      </c>
      <c r="C740" s="109" t="s">
        <v>2915</v>
      </c>
      <c r="D740" s="109" t="s">
        <v>2916</v>
      </c>
      <c r="E740" s="109" t="s">
        <v>793</v>
      </c>
      <c r="F740" s="110">
        <v>0</v>
      </c>
      <c r="G740" s="109" t="s">
        <v>965</v>
      </c>
      <c r="H740" s="109" t="s">
        <v>187</v>
      </c>
      <c r="I740" s="109" t="s">
        <v>887</v>
      </c>
      <c r="J740" s="109" t="s">
        <v>323</v>
      </c>
      <c r="K740" s="109" t="s">
        <v>387</v>
      </c>
      <c r="L740" s="109" t="s">
        <v>523</v>
      </c>
      <c r="M740" s="109" t="s">
        <v>384</v>
      </c>
      <c r="N740" s="109" t="s">
        <v>36</v>
      </c>
      <c r="O740" s="109" t="s">
        <v>386</v>
      </c>
      <c r="P740" s="109" t="s">
        <v>827</v>
      </c>
      <c r="Q740" s="109" t="s">
        <v>1028</v>
      </c>
      <c r="R740" s="109" t="s">
        <v>63</v>
      </c>
      <c r="S740" s="83" t="str">
        <f t="shared" si="80"/>
        <v>B166</v>
      </c>
      <c r="T740" s="83" t="str">
        <f t="shared" si="77"/>
        <v>CLASSIC ROLL UP</v>
      </c>
      <c r="Y740" s="60">
        <f t="shared" si="81"/>
        <v>31</v>
      </c>
      <c r="Z740" s="49">
        <f t="shared" si="82"/>
        <v>83</v>
      </c>
      <c r="AA740" s="60">
        <f t="shared" si="83"/>
        <v>31083</v>
      </c>
    </row>
    <row r="741" spans="1:27">
      <c r="A741" s="83" t="str">
        <f t="shared" si="78"/>
        <v>B166natural</v>
      </c>
      <c r="B741" s="83" t="str">
        <f t="shared" si="79"/>
        <v>31-083-02</v>
      </c>
      <c r="C741" s="109" t="s">
        <v>2917</v>
      </c>
      <c r="D741" s="109" t="s">
        <v>2918</v>
      </c>
      <c r="E741" s="109" t="s">
        <v>793</v>
      </c>
      <c r="F741" s="110">
        <v>0</v>
      </c>
      <c r="G741" s="109" t="s">
        <v>965</v>
      </c>
      <c r="H741" s="109" t="s">
        <v>63</v>
      </c>
      <c r="I741" s="109" t="s">
        <v>887</v>
      </c>
      <c r="J741" s="109" t="s">
        <v>323</v>
      </c>
      <c r="K741" s="109" t="s">
        <v>387</v>
      </c>
      <c r="L741" s="109" t="s">
        <v>523</v>
      </c>
      <c r="M741" s="109" t="s">
        <v>384</v>
      </c>
      <c r="N741" s="109" t="s">
        <v>36</v>
      </c>
      <c r="O741" s="109" t="s">
        <v>386</v>
      </c>
      <c r="P741" s="109" t="s">
        <v>827</v>
      </c>
      <c r="Q741" s="109" t="s">
        <v>844</v>
      </c>
      <c r="R741" s="109" t="s">
        <v>63</v>
      </c>
      <c r="S741" s="83" t="str">
        <f t="shared" si="80"/>
        <v>B166</v>
      </c>
      <c r="T741" s="83" t="str">
        <f t="shared" si="77"/>
        <v>CLASSIC ROLL UP</v>
      </c>
      <c r="Y741" s="60">
        <f t="shared" si="81"/>
        <v>31</v>
      </c>
      <c r="Z741" s="49">
        <f t="shared" si="82"/>
        <v>83</v>
      </c>
      <c r="AA741" s="60">
        <f t="shared" si="83"/>
        <v>31083</v>
      </c>
    </row>
    <row r="742" spans="1:27">
      <c r="A742" s="83" t="str">
        <f t="shared" si="78"/>
        <v>B166white</v>
      </c>
      <c r="B742" s="83" t="str">
        <f t="shared" si="79"/>
        <v>31-083-17</v>
      </c>
      <c r="C742" s="109" t="s">
        <v>2919</v>
      </c>
      <c r="D742" s="109" t="s">
        <v>2920</v>
      </c>
      <c r="E742" s="109" t="s">
        <v>793</v>
      </c>
      <c r="F742" s="110">
        <v>0</v>
      </c>
      <c r="G742" s="109" t="s">
        <v>965</v>
      </c>
      <c r="H742" s="109" t="s">
        <v>57</v>
      </c>
      <c r="I742" s="109" t="s">
        <v>887</v>
      </c>
      <c r="J742" s="109" t="s">
        <v>323</v>
      </c>
      <c r="K742" s="109" t="s">
        <v>387</v>
      </c>
      <c r="L742" s="109" t="s">
        <v>523</v>
      </c>
      <c r="M742" s="109" t="s">
        <v>384</v>
      </c>
      <c r="N742" s="109" t="s">
        <v>36</v>
      </c>
      <c r="O742" s="109" t="s">
        <v>386</v>
      </c>
      <c r="P742" s="109" t="s">
        <v>827</v>
      </c>
      <c r="Q742" s="109" t="s">
        <v>840</v>
      </c>
      <c r="R742" s="109" t="s">
        <v>57</v>
      </c>
      <c r="S742" s="83" t="str">
        <f t="shared" si="80"/>
        <v>B166</v>
      </c>
      <c r="T742" s="83" t="str">
        <f t="shared" si="77"/>
        <v>CLASSIC ROLL UP</v>
      </c>
      <c r="Y742" s="60">
        <f t="shared" si="81"/>
        <v>31</v>
      </c>
      <c r="Z742" s="49">
        <f t="shared" si="82"/>
        <v>83</v>
      </c>
      <c r="AA742" s="60">
        <f t="shared" si="83"/>
        <v>31083</v>
      </c>
    </row>
    <row r="743" spans="1:27">
      <c r="A743" s="83" t="str">
        <f t="shared" si="78"/>
        <v>B176azalea</v>
      </c>
      <c r="B743" s="83" t="str">
        <f t="shared" si="79"/>
        <v>31-084-34</v>
      </c>
      <c r="C743" s="109" t="s">
        <v>2921</v>
      </c>
      <c r="D743" s="109" t="s">
        <v>2922</v>
      </c>
      <c r="E743" s="109" t="s">
        <v>793</v>
      </c>
      <c r="F743" s="110">
        <v>0</v>
      </c>
      <c r="G743" s="109" t="s">
        <v>1007</v>
      </c>
      <c r="H743" s="109" t="s">
        <v>68</v>
      </c>
      <c r="I743" s="109" t="s">
        <v>966</v>
      </c>
      <c r="J743" s="109" t="s">
        <v>357</v>
      </c>
      <c r="K743" s="109" t="s">
        <v>387</v>
      </c>
      <c r="L743" s="109" t="s">
        <v>523</v>
      </c>
      <c r="M743" s="109" t="s">
        <v>384</v>
      </c>
      <c r="N743" s="109" t="s">
        <v>36</v>
      </c>
      <c r="O743" s="109" t="s">
        <v>386</v>
      </c>
      <c r="P743" s="109" t="s">
        <v>826</v>
      </c>
      <c r="Q743" s="109" t="s">
        <v>2923</v>
      </c>
      <c r="R743" s="109" t="s">
        <v>68</v>
      </c>
      <c r="S743" s="83" t="str">
        <f t="shared" si="80"/>
        <v>B176</v>
      </c>
      <c r="T743" s="83" t="str">
        <f t="shared" si="77"/>
        <v>GOSSAMER</v>
      </c>
      <c r="Y743" s="60">
        <f t="shared" si="81"/>
        <v>31</v>
      </c>
      <c r="Z743" s="49">
        <f t="shared" si="82"/>
        <v>84</v>
      </c>
      <c r="AA743" s="60">
        <f t="shared" si="83"/>
        <v>31084</v>
      </c>
    </row>
    <row r="744" spans="1:27">
      <c r="A744" s="83" t="str">
        <f t="shared" si="78"/>
        <v>B176black</v>
      </c>
      <c r="B744" s="83" t="str">
        <f t="shared" si="79"/>
        <v>31-084-48</v>
      </c>
      <c r="C744" s="109" t="s">
        <v>2924</v>
      </c>
      <c r="D744" s="109" t="s">
        <v>2925</v>
      </c>
      <c r="E744" s="109" t="s">
        <v>793</v>
      </c>
      <c r="F744" s="110">
        <v>0</v>
      </c>
      <c r="G744" s="109" t="s">
        <v>1007</v>
      </c>
      <c r="H744" s="109" t="s">
        <v>53</v>
      </c>
      <c r="I744" s="109" t="s">
        <v>887</v>
      </c>
      <c r="J744" s="109" t="s">
        <v>357</v>
      </c>
      <c r="K744" s="109" t="s">
        <v>387</v>
      </c>
      <c r="L744" s="109" t="s">
        <v>523</v>
      </c>
      <c r="M744" s="109" t="s">
        <v>384</v>
      </c>
      <c r="N744" s="109" t="s">
        <v>36</v>
      </c>
      <c r="O744" s="109" t="s">
        <v>386</v>
      </c>
      <c r="P744" s="109" t="s">
        <v>827</v>
      </c>
      <c r="Q744" s="109" t="s">
        <v>831</v>
      </c>
      <c r="R744" s="109" t="s">
        <v>53</v>
      </c>
      <c r="S744" s="83" t="str">
        <f t="shared" si="80"/>
        <v>B176</v>
      </c>
      <c r="T744" s="83" t="str">
        <f t="shared" si="77"/>
        <v>GOSSAMER</v>
      </c>
      <c r="Y744" s="60">
        <f t="shared" si="81"/>
        <v>31</v>
      </c>
      <c r="Z744" s="49">
        <f t="shared" si="82"/>
        <v>84</v>
      </c>
      <c r="AA744" s="60">
        <f t="shared" si="83"/>
        <v>31084</v>
      </c>
    </row>
    <row r="745" spans="1:27">
      <c r="A745" s="83" t="str">
        <f t="shared" si="78"/>
        <v>B176cobalt</v>
      </c>
      <c r="B745" s="83" t="str">
        <f t="shared" si="79"/>
        <v>31-084-19</v>
      </c>
      <c r="C745" s="109" t="s">
        <v>2926</v>
      </c>
      <c r="D745" s="109" t="s">
        <v>2927</v>
      </c>
      <c r="E745" s="109" t="s">
        <v>793</v>
      </c>
      <c r="F745" s="110">
        <v>0</v>
      </c>
      <c r="G745" s="109" t="s">
        <v>1007</v>
      </c>
      <c r="H745" s="109" t="s">
        <v>91</v>
      </c>
      <c r="I745" s="109" t="s">
        <v>966</v>
      </c>
      <c r="J745" s="109" t="s">
        <v>357</v>
      </c>
      <c r="K745" s="109" t="s">
        <v>387</v>
      </c>
      <c r="L745" s="109" t="s">
        <v>523</v>
      </c>
      <c r="M745" s="109" t="s">
        <v>384</v>
      </c>
      <c r="N745" s="109" t="s">
        <v>36</v>
      </c>
      <c r="O745" s="109" t="s">
        <v>386</v>
      </c>
      <c r="P745" s="109" t="s">
        <v>826</v>
      </c>
      <c r="Q745" s="109" t="s">
        <v>890</v>
      </c>
      <c r="R745" s="109" t="s">
        <v>91</v>
      </c>
      <c r="S745" s="83" t="str">
        <f t="shared" si="80"/>
        <v>B176</v>
      </c>
      <c r="T745" s="83" t="str">
        <f t="shared" si="77"/>
        <v>GOSSAMER</v>
      </c>
      <c r="Y745" s="60">
        <f t="shared" si="81"/>
        <v>31</v>
      </c>
      <c r="Z745" s="49">
        <f t="shared" si="82"/>
        <v>84</v>
      </c>
      <c r="AA745" s="60">
        <f t="shared" si="83"/>
        <v>31084</v>
      </c>
    </row>
    <row r="746" spans="1:27">
      <c r="A746" s="83" t="str">
        <f t="shared" si="78"/>
        <v>B176ecru</v>
      </c>
      <c r="B746" s="83" t="str">
        <f t="shared" si="79"/>
        <v>31-084-36</v>
      </c>
      <c r="C746" s="109" t="s">
        <v>2928</v>
      </c>
      <c r="D746" s="109" t="s">
        <v>2929</v>
      </c>
      <c r="E746" s="109" t="s">
        <v>793</v>
      </c>
      <c r="F746" s="110">
        <v>0</v>
      </c>
      <c r="G746" s="109" t="s">
        <v>1007</v>
      </c>
      <c r="H746" s="109" t="s">
        <v>187</v>
      </c>
      <c r="I746" s="109" t="s">
        <v>887</v>
      </c>
      <c r="J746" s="109" t="s">
        <v>357</v>
      </c>
      <c r="K746" s="109" t="s">
        <v>387</v>
      </c>
      <c r="L746" s="109" t="s">
        <v>523</v>
      </c>
      <c r="M746" s="109" t="s">
        <v>384</v>
      </c>
      <c r="N746" s="109" t="s">
        <v>36</v>
      </c>
      <c r="O746" s="109" t="s">
        <v>386</v>
      </c>
      <c r="P746" s="109" t="s">
        <v>827</v>
      </c>
      <c r="Q746" s="109" t="s">
        <v>1028</v>
      </c>
      <c r="R746" s="109" t="s">
        <v>63</v>
      </c>
      <c r="S746" s="83" t="str">
        <f t="shared" si="80"/>
        <v>B176</v>
      </c>
      <c r="T746" s="83" t="str">
        <f t="shared" si="77"/>
        <v>GOSSAMER</v>
      </c>
      <c r="Y746" s="60">
        <f t="shared" si="81"/>
        <v>31</v>
      </c>
      <c r="Z746" s="49">
        <f t="shared" si="82"/>
        <v>84</v>
      </c>
      <c r="AA746" s="60">
        <f t="shared" si="83"/>
        <v>31084</v>
      </c>
    </row>
    <row r="747" spans="1:27">
      <c r="A747" s="83" t="str">
        <f t="shared" si="78"/>
        <v>B176tangerine</v>
      </c>
      <c r="B747" s="83" t="str">
        <f t="shared" si="79"/>
        <v>31-084-13</v>
      </c>
      <c r="C747" s="109" t="s">
        <v>2930</v>
      </c>
      <c r="D747" s="109" t="s">
        <v>2931</v>
      </c>
      <c r="E747" s="109" t="s">
        <v>793</v>
      </c>
      <c r="F747" s="110">
        <v>0</v>
      </c>
      <c r="G747" s="109" t="s">
        <v>1007</v>
      </c>
      <c r="H747" s="109" t="s">
        <v>199</v>
      </c>
      <c r="I747" s="109" t="s">
        <v>966</v>
      </c>
      <c r="J747" s="109" t="s">
        <v>357</v>
      </c>
      <c r="K747" s="109" t="s">
        <v>387</v>
      </c>
      <c r="L747" s="109" t="s">
        <v>523</v>
      </c>
      <c r="M747" s="109" t="s">
        <v>384</v>
      </c>
      <c r="N747" s="109" t="s">
        <v>36</v>
      </c>
      <c r="O747" s="109" t="s">
        <v>386</v>
      </c>
      <c r="P747" s="109" t="s">
        <v>826</v>
      </c>
      <c r="Q747" s="109" t="s">
        <v>927</v>
      </c>
      <c r="R747" s="109" t="s">
        <v>199</v>
      </c>
      <c r="S747" s="83" t="str">
        <f t="shared" si="80"/>
        <v>B176</v>
      </c>
      <c r="T747" s="83" t="str">
        <f t="shared" si="77"/>
        <v>GOSSAMER</v>
      </c>
      <c r="Y747" s="60">
        <f t="shared" si="81"/>
        <v>31</v>
      </c>
      <c r="Z747" s="49">
        <f t="shared" si="82"/>
        <v>84</v>
      </c>
      <c r="AA747" s="60">
        <f t="shared" si="83"/>
        <v>31084</v>
      </c>
    </row>
    <row r="748" spans="1:27">
      <c r="A748" s="83" t="str">
        <f t="shared" si="78"/>
        <v>B176red</v>
      </c>
      <c r="B748" s="83" t="str">
        <f t="shared" si="79"/>
        <v>31-084-18</v>
      </c>
      <c r="C748" s="109" t="s">
        <v>2932</v>
      </c>
      <c r="D748" s="109" t="s">
        <v>2933</v>
      </c>
      <c r="E748" s="109" t="s">
        <v>793</v>
      </c>
      <c r="F748" s="110">
        <v>0</v>
      </c>
      <c r="G748" s="109" t="s">
        <v>1007</v>
      </c>
      <c r="H748" s="109" t="s">
        <v>78</v>
      </c>
      <c r="I748" s="109" t="s">
        <v>887</v>
      </c>
      <c r="J748" s="109" t="s">
        <v>357</v>
      </c>
      <c r="K748" s="109" t="s">
        <v>387</v>
      </c>
      <c r="L748" s="109" t="s">
        <v>523</v>
      </c>
      <c r="M748" s="109" t="s">
        <v>384</v>
      </c>
      <c r="N748" s="109" t="s">
        <v>36</v>
      </c>
      <c r="O748" s="109" t="s">
        <v>386</v>
      </c>
      <c r="P748" s="109" t="s">
        <v>827</v>
      </c>
      <c r="Q748" s="109" t="s">
        <v>875</v>
      </c>
      <c r="R748" s="109" t="s">
        <v>78</v>
      </c>
      <c r="S748" s="83" t="str">
        <f t="shared" si="80"/>
        <v>B176</v>
      </c>
      <c r="T748" s="83" t="str">
        <f t="shared" si="77"/>
        <v>GOSSAMER</v>
      </c>
      <c r="Y748" s="60">
        <f t="shared" si="81"/>
        <v>31</v>
      </c>
      <c r="Z748" s="49">
        <f t="shared" si="82"/>
        <v>84</v>
      </c>
      <c r="AA748" s="60">
        <f t="shared" si="83"/>
        <v>31084</v>
      </c>
    </row>
    <row r="749" spans="1:27">
      <c r="A749" s="83" t="str">
        <f t="shared" si="78"/>
        <v>B213coral</v>
      </c>
      <c r="B749" s="83" t="str">
        <f t="shared" si="79"/>
        <v>31-085-18</v>
      </c>
      <c r="C749" s="109" t="s">
        <v>2934</v>
      </c>
      <c r="D749" s="109" t="s">
        <v>2935</v>
      </c>
      <c r="E749" s="109" t="s">
        <v>793</v>
      </c>
      <c r="F749" s="110">
        <v>0</v>
      </c>
      <c r="G749" s="109" t="s">
        <v>1422</v>
      </c>
      <c r="H749" s="109" t="s">
        <v>78</v>
      </c>
      <c r="I749" s="109" t="s">
        <v>1423</v>
      </c>
      <c r="J749" s="109" t="s">
        <v>323</v>
      </c>
      <c r="K749" s="109" t="s">
        <v>387</v>
      </c>
      <c r="L749" s="109" t="s">
        <v>523</v>
      </c>
      <c r="M749" s="109" t="s">
        <v>384</v>
      </c>
      <c r="N749" s="109" t="s">
        <v>43</v>
      </c>
      <c r="O749" s="109" t="s">
        <v>386</v>
      </c>
      <c r="P749" s="109" t="s">
        <v>827</v>
      </c>
      <c r="Q749" s="109" t="s">
        <v>1215</v>
      </c>
      <c r="R749" s="109" t="s">
        <v>78</v>
      </c>
      <c r="S749" s="83" t="str">
        <f t="shared" si="80"/>
        <v>B213</v>
      </c>
      <c r="T749" s="83" t="str">
        <f t="shared" si="77"/>
        <v>CLASSIC SUNSHADE</v>
      </c>
      <c r="Y749" s="60">
        <f t="shared" si="81"/>
        <v>31</v>
      </c>
      <c r="Z749" s="49">
        <f t="shared" si="82"/>
        <v>85</v>
      </c>
      <c r="AA749" s="60">
        <f t="shared" si="83"/>
        <v>31085</v>
      </c>
    </row>
    <row r="750" spans="1:27">
      <c r="A750" s="83" t="str">
        <f t="shared" si="78"/>
        <v>B213natural</v>
      </c>
      <c r="B750" s="83" t="str">
        <f t="shared" si="79"/>
        <v>31-085-02</v>
      </c>
      <c r="C750" s="109" t="s">
        <v>2936</v>
      </c>
      <c r="D750" s="109" t="s">
        <v>2937</v>
      </c>
      <c r="E750" s="109" t="s">
        <v>793</v>
      </c>
      <c r="F750" s="110">
        <v>0</v>
      </c>
      <c r="G750" s="109" t="s">
        <v>1422</v>
      </c>
      <c r="H750" s="109" t="s">
        <v>63</v>
      </c>
      <c r="I750" s="109" t="s">
        <v>794</v>
      </c>
      <c r="J750" s="109" t="s">
        <v>323</v>
      </c>
      <c r="K750" s="109" t="s">
        <v>387</v>
      </c>
      <c r="L750" s="109" t="s">
        <v>523</v>
      </c>
      <c r="M750" s="109" t="s">
        <v>384</v>
      </c>
      <c r="O750" s="109" t="s">
        <v>386</v>
      </c>
      <c r="P750" s="109" t="s">
        <v>826</v>
      </c>
      <c r="Q750" s="109" t="s">
        <v>844</v>
      </c>
      <c r="R750" s="109" t="s">
        <v>63</v>
      </c>
      <c r="S750" s="83" t="str">
        <f t="shared" si="80"/>
        <v>B213</v>
      </c>
      <c r="T750" s="83" t="str">
        <f t="shared" si="77"/>
        <v>CLASSIC SUNSHADE</v>
      </c>
      <c r="Y750" s="60">
        <f t="shared" si="81"/>
        <v>31</v>
      </c>
      <c r="Z750" s="49">
        <f t="shared" si="82"/>
        <v>85</v>
      </c>
      <c r="AA750" s="60">
        <f t="shared" si="83"/>
        <v>31085</v>
      </c>
    </row>
    <row r="751" spans="1:27">
      <c r="A751" s="83" t="str">
        <f t="shared" si="78"/>
        <v>B213white</v>
      </c>
      <c r="B751" s="83" t="str">
        <f t="shared" si="79"/>
        <v>31-085-17</v>
      </c>
      <c r="C751" s="109" t="s">
        <v>2938</v>
      </c>
      <c r="D751" s="109" t="s">
        <v>2939</v>
      </c>
      <c r="E751" s="109" t="s">
        <v>793</v>
      </c>
      <c r="F751" s="110">
        <v>0</v>
      </c>
      <c r="G751" s="109" t="s">
        <v>1422</v>
      </c>
      <c r="H751" s="109" t="s">
        <v>57</v>
      </c>
      <c r="I751" s="109" t="s">
        <v>1423</v>
      </c>
      <c r="J751" s="109" t="s">
        <v>323</v>
      </c>
      <c r="K751" s="109" t="s">
        <v>387</v>
      </c>
      <c r="L751" s="109" t="s">
        <v>523</v>
      </c>
      <c r="M751" s="109" t="s">
        <v>384</v>
      </c>
      <c r="N751" s="109" t="s">
        <v>43</v>
      </c>
      <c r="O751" s="109" t="s">
        <v>386</v>
      </c>
      <c r="P751" s="109" t="s">
        <v>827</v>
      </c>
      <c r="Q751" s="109" t="s">
        <v>840</v>
      </c>
      <c r="R751" s="109" t="s">
        <v>57</v>
      </c>
      <c r="S751" s="83" t="str">
        <f t="shared" si="80"/>
        <v>B213</v>
      </c>
      <c r="T751" s="83" t="str">
        <f t="shared" si="77"/>
        <v>CLASSIC SUNSHADE</v>
      </c>
      <c r="Y751" s="60">
        <f t="shared" si="81"/>
        <v>31</v>
      </c>
      <c r="Z751" s="49">
        <f t="shared" si="82"/>
        <v>85</v>
      </c>
      <c r="AA751" s="60">
        <f t="shared" si="83"/>
        <v>31085</v>
      </c>
    </row>
    <row r="752" spans="1:27">
      <c r="A752" s="83" t="str">
        <f t="shared" si="78"/>
        <v>B3261black</v>
      </c>
      <c r="B752" s="83" t="str">
        <f t="shared" si="79"/>
        <v>31-087-09</v>
      </c>
      <c r="C752" s="109" t="s">
        <v>2940</v>
      </c>
      <c r="D752" s="109" t="s">
        <v>2941</v>
      </c>
      <c r="E752" s="109" t="s">
        <v>793</v>
      </c>
      <c r="F752" s="110">
        <v>0</v>
      </c>
      <c r="G752" s="109" t="s">
        <v>1295</v>
      </c>
      <c r="H752" s="109" t="s">
        <v>53</v>
      </c>
      <c r="I752" s="109" t="s">
        <v>794</v>
      </c>
      <c r="J752" s="109" t="s">
        <v>323</v>
      </c>
      <c r="K752" s="109" t="s">
        <v>387</v>
      </c>
      <c r="L752" s="109" t="s">
        <v>523</v>
      </c>
      <c r="M752" s="109" t="s">
        <v>384</v>
      </c>
      <c r="O752" s="109" t="s">
        <v>386</v>
      </c>
      <c r="P752" s="109" t="s">
        <v>826</v>
      </c>
      <c r="Q752" s="109" t="s">
        <v>831</v>
      </c>
      <c r="R752" s="109" t="s">
        <v>53</v>
      </c>
      <c r="S752" s="83" t="str">
        <f t="shared" si="80"/>
        <v>B3261</v>
      </c>
      <c r="T752" s="83" t="str">
        <f t="shared" si="77"/>
        <v>COCONUT RING SAFARI</v>
      </c>
      <c r="Y752" s="60">
        <f t="shared" si="81"/>
        <v>31</v>
      </c>
      <c r="Z752" s="49">
        <f t="shared" si="82"/>
        <v>87</v>
      </c>
      <c r="AA752" s="60">
        <f t="shared" si="83"/>
        <v>31087</v>
      </c>
    </row>
    <row r="753" spans="1:27">
      <c r="A753" s="83" t="str">
        <f t="shared" si="78"/>
        <v>B3261white</v>
      </c>
      <c r="B753" s="83" t="str">
        <f t="shared" si="79"/>
        <v>31-087-17</v>
      </c>
      <c r="C753" s="109" t="s">
        <v>2942</v>
      </c>
      <c r="D753" s="109" t="s">
        <v>2943</v>
      </c>
      <c r="E753" s="109" t="s">
        <v>793</v>
      </c>
      <c r="F753" s="110">
        <v>0</v>
      </c>
      <c r="G753" s="109" t="s">
        <v>1295</v>
      </c>
      <c r="H753" s="109" t="s">
        <v>57</v>
      </c>
      <c r="I753" s="109" t="s">
        <v>794</v>
      </c>
      <c r="J753" s="109" t="s">
        <v>323</v>
      </c>
      <c r="K753" s="109" t="s">
        <v>387</v>
      </c>
      <c r="L753" s="109" t="s">
        <v>523</v>
      </c>
      <c r="M753" s="109" t="s">
        <v>384</v>
      </c>
      <c r="O753" s="109" t="s">
        <v>386</v>
      </c>
      <c r="P753" s="109" t="s">
        <v>827</v>
      </c>
      <c r="Q753" s="109" t="s">
        <v>840</v>
      </c>
      <c r="R753" s="109" t="s">
        <v>57</v>
      </c>
      <c r="S753" s="83" t="str">
        <f t="shared" si="80"/>
        <v>B3261</v>
      </c>
      <c r="T753" s="83" t="str">
        <f t="shared" si="77"/>
        <v>COCONUT RING SAFARI</v>
      </c>
      <c r="Y753" s="60">
        <f t="shared" si="81"/>
        <v>31</v>
      </c>
      <c r="Z753" s="49">
        <f t="shared" si="82"/>
        <v>87</v>
      </c>
      <c r="AA753" s="60">
        <f t="shared" si="83"/>
        <v>31087</v>
      </c>
    </row>
    <row r="754" spans="1:27">
      <c r="A754" s="83" t="str">
        <f t="shared" si="78"/>
        <v>B702Hblack</v>
      </c>
      <c r="B754" s="83" t="str">
        <f t="shared" si="79"/>
        <v>31-051-09</v>
      </c>
      <c r="C754" s="109" t="s">
        <v>2944</v>
      </c>
      <c r="D754" s="109" t="s">
        <v>2945</v>
      </c>
      <c r="E754" s="109" t="s">
        <v>793</v>
      </c>
      <c r="F754" s="110">
        <v>0</v>
      </c>
      <c r="G754" s="109" t="s">
        <v>2361</v>
      </c>
      <c r="H754" s="109" t="s">
        <v>53</v>
      </c>
      <c r="I754" s="109" t="s">
        <v>787</v>
      </c>
      <c r="J754" s="109" t="s">
        <v>360</v>
      </c>
      <c r="K754" s="109" t="s">
        <v>387</v>
      </c>
      <c r="L754" s="109" t="s">
        <v>523</v>
      </c>
      <c r="M754" s="109" t="s">
        <v>384</v>
      </c>
      <c r="N754" s="109" t="s">
        <v>43</v>
      </c>
      <c r="O754" s="109" t="s">
        <v>386</v>
      </c>
      <c r="P754" s="109" t="s">
        <v>826</v>
      </c>
      <c r="Q754" s="109" t="s">
        <v>831</v>
      </c>
      <c r="R754" s="109" t="s">
        <v>53</v>
      </c>
      <c r="S754" s="83" t="str">
        <f t="shared" si="80"/>
        <v>B702H</v>
      </c>
      <c r="T754" s="83" t="str">
        <f t="shared" si="77"/>
        <v>Aimee</v>
      </c>
      <c r="Y754" s="60">
        <f t="shared" si="81"/>
        <v>31</v>
      </c>
      <c r="Z754" s="49">
        <f t="shared" si="82"/>
        <v>51</v>
      </c>
      <c r="AA754" s="60">
        <f t="shared" si="83"/>
        <v>31051</v>
      </c>
    </row>
    <row r="755" spans="1:27">
      <c r="A755" s="83" t="str">
        <f t="shared" si="78"/>
        <v>B702Hnatural</v>
      </c>
      <c r="B755" s="83" t="str">
        <f t="shared" si="79"/>
        <v>31-051-02</v>
      </c>
      <c r="C755" s="109" t="s">
        <v>2946</v>
      </c>
      <c r="D755" s="109" t="s">
        <v>2947</v>
      </c>
      <c r="E755" s="109" t="s">
        <v>793</v>
      </c>
      <c r="F755" s="110">
        <v>0</v>
      </c>
      <c r="G755" s="109" t="s">
        <v>2361</v>
      </c>
      <c r="H755" s="109" t="s">
        <v>63</v>
      </c>
      <c r="I755" s="109" t="s">
        <v>787</v>
      </c>
      <c r="J755" s="109" t="s">
        <v>360</v>
      </c>
      <c r="K755" s="109" t="s">
        <v>387</v>
      </c>
      <c r="L755" s="109" t="s">
        <v>523</v>
      </c>
      <c r="M755" s="109" t="s">
        <v>384</v>
      </c>
      <c r="N755" s="109" t="s">
        <v>43</v>
      </c>
      <c r="O755" s="109" t="s">
        <v>386</v>
      </c>
      <c r="P755" s="109" t="s">
        <v>826</v>
      </c>
      <c r="Q755" s="109" t="s">
        <v>844</v>
      </c>
      <c r="R755" s="109" t="s">
        <v>63</v>
      </c>
      <c r="S755" s="83" t="str">
        <f t="shared" si="80"/>
        <v>B702H</v>
      </c>
      <c r="T755" s="83" t="str">
        <f t="shared" si="77"/>
        <v>Aimee</v>
      </c>
      <c r="Y755" s="60">
        <f t="shared" si="81"/>
        <v>31</v>
      </c>
      <c r="Z755" s="49">
        <f t="shared" si="82"/>
        <v>51</v>
      </c>
      <c r="AA755" s="60">
        <f t="shared" si="83"/>
        <v>31051</v>
      </c>
    </row>
    <row r="756" spans="1:27">
      <c r="A756" s="83" t="str">
        <f t="shared" si="78"/>
        <v>B702Hwhite</v>
      </c>
      <c r="B756" s="83" t="str">
        <f t="shared" si="79"/>
        <v>31-051-17</v>
      </c>
      <c r="C756" s="109" t="s">
        <v>2948</v>
      </c>
      <c r="D756" s="109" t="s">
        <v>2949</v>
      </c>
      <c r="E756" s="109" t="s">
        <v>793</v>
      </c>
      <c r="F756" s="110">
        <v>0</v>
      </c>
      <c r="G756" s="109" t="s">
        <v>2361</v>
      </c>
      <c r="H756" s="109" t="s">
        <v>57</v>
      </c>
      <c r="I756" s="109" t="s">
        <v>787</v>
      </c>
      <c r="J756" s="109" t="s">
        <v>360</v>
      </c>
      <c r="K756" s="109" t="s">
        <v>387</v>
      </c>
      <c r="L756" s="109" t="s">
        <v>523</v>
      </c>
      <c r="M756" s="109" t="s">
        <v>384</v>
      </c>
      <c r="N756" s="109" t="s">
        <v>43</v>
      </c>
      <c r="O756" s="109" t="s">
        <v>386</v>
      </c>
      <c r="P756" s="109" t="s">
        <v>826</v>
      </c>
      <c r="Q756" s="109" t="s">
        <v>840</v>
      </c>
      <c r="R756" s="109" t="s">
        <v>57</v>
      </c>
      <c r="S756" s="83" t="str">
        <f t="shared" si="80"/>
        <v>B702H</v>
      </c>
      <c r="T756" s="83" t="str">
        <f t="shared" si="77"/>
        <v>Aimee</v>
      </c>
      <c r="Y756" s="60">
        <f t="shared" si="81"/>
        <v>31</v>
      </c>
      <c r="Z756" s="49">
        <f t="shared" si="82"/>
        <v>51</v>
      </c>
      <c r="AA756" s="60">
        <f t="shared" si="83"/>
        <v>31051</v>
      </c>
    </row>
    <row r="757" spans="1:27">
      <c r="A757" s="83" t="str">
        <f t="shared" si="78"/>
        <v>B777Hchambray</v>
      </c>
      <c r="B757" s="83" t="str">
        <f t="shared" si="79"/>
        <v>31-052-19</v>
      </c>
      <c r="C757" s="109" t="s">
        <v>2950</v>
      </c>
      <c r="D757" s="109" t="s">
        <v>2951</v>
      </c>
      <c r="E757" s="109" t="s">
        <v>793</v>
      </c>
      <c r="F757" s="110">
        <v>0</v>
      </c>
      <c r="G757" s="109" t="s">
        <v>2364</v>
      </c>
      <c r="H757" s="109" t="s">
        <v>91</v>
      </c>
      <c r="I757" s="109" t="s">
        <v>787</v>
      </c>
      <c r="J757" s="109" t="s">
        <v>360</v>
      </c>
      <c r="K757" s="109" t="s">
        <v>387</v>
      </c>
      <c r="L757" s="109" t="s">
        <v>523</v>
      </c>
      <c r="M757" s="109" t="s">
        <v>384</v>
      </c>
      <c r="N757" s="109" t="s">
        <v>43</v>
      </c>
      <c r="O757" s="109" t="s">
        <v>386</v>
      </c>
      <c r="P757" s="109" t="s">
        <v>826</v>
      </c>
      <c r="Q757" s="109" t="s">
        <v>895</v>
      </c>
      <c r="R757" s="109" t="s">
        <v>91</v>
      </c>
      <c r="S757" s="83" t="str">
        <f t="shared" si="80"/>
        <v>B777H</v>
      </c>
      <c r="T757" s="83" t="str">
        <f t="shared" si="77"/>
        <v>Denise</v>
      </c>
      <c r="Y757" s="60">
        <f t="shared" si="81"/>
        <v>31</v>
      </c>
      <c r="Z757" s="49">
        <f t="shared" si="82"/>
        <v>52</v>
      </c>
      <c r="AA757" s="60">
        <f t="shared" si="83"/>
        <v>31052</v>
      </c>
    </row>
    <row r="758" spans="1:27">
      <c r="A758" s="83" t="str">
        <f t="shared" si="78"/>
        <v>B853Hblack</v>
      </c>
      <c r="B758" s="83" t="str">
        <f t="shared" si="79"/>
        <v>31-114-48</v>
      </c>
      <c r="C758" s="109" t="s">
        <v>2952</v>
      </c>
      <c r="D758" s="109" t="s">
        <v>2953</v>
      </c>
      <c r="E758" s="109" t="s">
        <v>793</v>
      </c>
      <c r="F758" s="110">
        <v>0</v>
      </c>
      <c r="G758" s="109" t="s">
        <v>2954</v>
      </c>
      <c r="H758" s="109" t="s">
        <v>119</v>
      </c>
      <c r="I758" s="109" t="s">
        <v>792</v>
      </c>
      <c r="J758" s="109" t="s">
        <v>330</v>
      </c>
      <c r="K758" s="109" t="s">
        <v>387</v>
      </c>
      <c r="L758" s="109" t="s">
        <v>523</v>
      </c>
      <c r="M758" s="109" t="s">
        <v>384</v>
      </c>
      <c r="N758" s="109" t="s">
        <v>35</v>
      </c>
      <c r="O758" s="109" t="s">
        <v>445</v>
      </c>
      <c r="P758" s="109" t="s">
        <v>826</v>
      </c>
      <c r="Q758" s="109" t="s">
        <v>831</v>
      </c>
      <c r="R758" s="109" t="s">
        <v>57</v>
      </c>
      <c r="S758" s="83" t="str">
        <f t="shared" si="80"/>
        <v>B853H</v>
      </c>
      <c r="T758" s="83" t="str">
        <f t="shared" si="77"/>
        <v>LAURA</v>
      </c>
      <c r="Y758" s="60">
        <f t="shared" si="81"/>
        <v>31</v>
      </c>
      <c r="Z758" s="49">
        <f t="shared" si="82"/>
        <v>114</v>
      </c>
      <c r="AA758" s="60">
        <f t="shared" si="83"/>
        <v>31114</v>
      </c>
    </row>
    <row r="759" spans="1:27">
      <c r="A759" s="83" t="str">
        <f t="shared" si="78"/>
        <v>B853Hnatural</v>
      </c>
      <c r="B759" s="83" t="str">
        <f t="shared" si="79"/>
        <v>31-114-25</v>
      </c>
      <c r="C759" s="109" t="s">
        <v>2955</v>
      </c>
      <c r="D759" s="109" t="s">
        <v>2956</v>
      </c>
      <c r="E759" s="109" t="s">
        <v>793</v>
      </c>
      <c r="F759" s="110">
        <v>0</v>
      </c>
      <c r="G759" s="109" t="s">
        <v>2954</v>
      </c>
      <c r="H759" s="109" t="s">
        <v>104</v>
      </c>
      <c r="I759" s="109" t="s">
        <v>792</v>
      </c>
      <c r="J759" s="109" t="s">
        <v>330</v>
      </c>
      <c r="K759" s="109" t="s">
        <v>387</v>
      </c>
      <c r="L759" s="109" t="s">
        <v>523</v>
      </c>
      <c r="M759" s="109" t="s">
        <v>384</v>
      </c>
      <c r="N759" s="109" t="s">
        <v>35</v>
      </c>
      <c r="O759" s="109" t="s">
        <v>445</v>
      </c>
      <c r="P759" s="109" t="s">
        <v>826</v>
      </c>
      <c r="Q759" s="109" t="s">
        <v>844</v>
      </c>
      <c r="R759" s="109" t="s">
        <v>57</v>
      </c>
      <c r="S759" s="83" t="str">
        <f t="shared" si="80"/>
        <v>B853H</v>
      </c>
      <c r="T759" s="83" t="str">
        <f t="shared" si="77"/>
        <v>LAURA</v>
      </c>
      <c r="Y759" s="60">
        <f t="shared" si="81"/>
        <v>31</v>
      </c>
      <c r="Z759" s="49">
        <f t="shared" si="82"/>
        <v>114</v>
      </c>
      <c r="AA759" s="60">
        <f t="shared" si="83"/>
        <v>31114</v>
      </c>
    </row>
    <row r="760" spans="1:27">
      <c r="A760" s="83" t="str">
        <f t="shared" si="78"/>
        <v>B853Hblue</v>
      </c>
      <c r="B760" s="83" t="str">
        <f t="shared" si="79"/>
        <v>31-114-46</v>
      </c>
      <c r="C760" s="109" t="s">
        <v>2957</v>
      </c>
      <c r="D760" s="109" t="s">
        <v>2958</v>
      </c>
      <c r="E760" s="109" t="s">
        <v>793</v>
      </c>
      <c r="F760" s="110">
        <v>0</v>
      </c>
      <c r="G760" s="109" t="s">
        <v>2954</v>
      </c>
      <c r="H760" s="109" t="s">
        <v>107</v>
      </c>
      <c r="I760" s="109" t="s">
        <v>792</v>
      </c>
      <c r="J760" s="109" t="s">
        <v>330</v>
      </c>
      <c r="K760" s="109" t="s">
        <v>387</v>
      </c>
      <c r="L760" s="109" t="s">
        <v>523</v>
      </c>
      <c r="M760" s="109" t="s">
        <v>384</v>
      </c>
      <c r="N760" s="109" t="s">
        <v>35</v>
      </c>
      <c r="O760" s="109" t="s">
        <v>445</v>
      </c>
      <c r="P760" s="109" t="s">
        <v>826</v>
      </c>
      <c r="Q760" s="109" t="s">
        <v>877</v>
      </c>
      <c r="R760" s="109" t="s">
        <v>57</v>
      </c>
      <c r="S760" s="83" t="str">
        <f t="shared" si="80"/>
        <v>B853H</v>
      </c>
      <c r="T760" s="83" t="str">
        <f t="shared" si="77"/>
        <v>LAURA</v>
      </c>
      <c r="Y760" s="60">
        <f t="shared" si="81"/>
        <v>31</v>
      </c>
      <c r="Z760" s="49">
        <f t="shared" si="82"/>
        <v>114</v>
      </c>
      <c r="AA760" s="60">
        <f t="shared" si="83"/>
        <v>31114</v>
      </c>
    </row>
    <row r="761" spans="1:27">
      <c r="A761" s="83" t="str">
        <f t="shared" si="78"/>
        <v>B853Hpeach</v>
      </c>
      <c r="B761" s="83" t="str">
        <f t="shared" si="79"/>
        <v>31-114-59</v>
      </c>
      <c r="C761" s="109" t="s">
        <v>2959</v>
      </c>
      <c r="D761" s="109" t="s">
        <v>2960</v>
      </c>
      <c r="E761" s="109" t="s">
        <v>793</v>
      </c>
      <c r="F761" s="110">
        <v>0</v>
      </c>
      <c r="G761" s="109" t="s">
        <v>2954</v>
      </c>
      <c r="H761" s="109" t="s">
        <v>114</v>
      </c>
      <c r="I761" s="109" t="s">
        <v>792</v>
      </c>
      <c r="J761" s="109" t="s">
        <v>330</v>
      </c>
      <c r="K761" s="109" t="s">
        <v>387</v>
      </c>
      <c r="L761" s="109" t="s">
        <v>523</v>
      </c>
      <c r="M761" s="109" t="s">
        <v>384</v>
      </c>
      <c r="N761" s="109" t="s">
        <v>35</v>
      </c>
      <c r="O761" s="109" t="s">
        <v>445</v>
      </c>
      <c r="P761" s="109" t="s">
        <v>826</v>
      </c>
      <c r="Q761" s="109" t="s">
        <v>2961</v>
      </c>
      <c r="R761" s="109" t="s">
        <v>57</v>
      </c>
      <c r="S761" s="83" t="str">
        <f t="shared" si="80"/>
        <v>B853H</v>
      </c>
      <c r="T761" s="83" t="str">
        <f t="shared" si="77"/>
        <v>LAURA</v>
      </c>
      <c r="Y761" s="60">
        <f t="shared" si="81"/>
        <v>31</v>
      </c>
      <c r="Z761" s="49">
        <f t="shared" si="82"/>
        <v>114</v>
      </c>
      <c r="AA761" s="60">
        <f t="shared" si="83"/>
        <v>31114</v>
      </c>
    </row>
    <row r="762" spans="1:27">
      <c r="A762" s="83" t="str">
        <f t="shared" si="78"/>
        <v>B880Hteal</v>
      </c>
      <c r="B762" s="83" t="str">
        <f t="shared" si="79"/>
        <v>31-089-19</v>
      </c>
      <c r="C762" s="109" t="s">
        <v>2962</v>
      </c>
      <c r="D762" s="109" t="s">
        <v>2963</v>
      </c>
      <c r="E762" s="109" t="s">
        <v>793</v>
      </c>
      <c r="F762" s="110">
        <v>0</v>
      </c>
      <c r="G762" s="109" t="s">
        <v>2468</v>
      </c>
      <c r="H762" s="109" t="s">
        <v>91</v>
      </c>
      <c r="I762" s="109" t="s">
        <v>2469</v>
      </c>
      <c r="J762" s="109" t="s">
        <v>323</v>
      </c>
      <c r="K762" s="109" t="s">
        <v>387</v>
      </c>
      <c r="L762" s="109" t="s">
        <v>523</v>
      </c>
      <c r="M762" s="109" t="s">
        <v>384</v>
      </c>
      <c r="N762" s="109" t="s">
        <v>36</v>
      </c>
      <c r="O762" s="109" t="s">
        <v>386</v>
      </c>
      <c r="P762" s="109" t="s">
        <v>826</v>
      </c>
      <c r="Q762" s="109" t="s">
        <v>1574</v>
      </c>
      <c r="R762" s="109" t="s">
        <v>91</v>
      </c>
      <c r="S762" s="83" t="str">
        <f t="shared" si="80"/>
        <v>B880H</v>
      </c>
      <c r="T762" s="83" t="str">
        <f t="shared" si="77"/>
        <v>Donna</v>
      </c>
      <c r="Y762" s="60">
        <f t="shared" si="81"/>
        <v>31</v>
      </c>
      <c r="Z762" s="49">
        <f t="shared" si="82"/>
        <v>89</v>
      </c>
      <c r="AA762" s="60">
        <f t="shared" si="83"/>
        <v>31089</v>
      </c>
    </row>
    <row r="763" spans="1:27">
      <c r="A763" s="83" t="str">
        <f t="shared" si="78"/>
        <v>B880Hwhite</v>
      </c>
      <c r="B763" s="83" t="str">
        <f t="shared" si="79"/>
        <v>31-089-50</v>
      </c>
      <c r="C763" s="109" t="s">
        <v>2964</v>
      </c>
      <c r="D763" s="109" t="s">
        <v>2965</v>
      </c>
      <c r="E763" s="109" t="s">
        <v>793</v>
      </c>
      <c r="F763" s="110">
        <v>0</v>
      </c>
      <c r="G763" s="109" t="s">
        <v>2468</v>
      </c>
      <c r="H763" s="109" t="s">
        <v>104</v>
      </c>
      <c r="I763" s="109" t="s">
        <v>2469</v>
      </c>
      <c r="J763" s="109" t="s">
        <v>323</v>
      </c>
      <c r="K763" s="109" t="s">
        <v>387</v>
      </c>
      <c r="L763" s="109" t="s">
        <v>523</v>
      </c>
      <c r="M763" s="109" t="s">
        <v>384</v>
      </c>
      <c r="N763" s="109" t="s">
        <v>36</v>
      </c>
      <c r="O763" s="109" t="s">
        <v>386</v>
      </c>
      <c r="P763" s="109" t="s">
        <v>826</v>
      </c>
      <c r="Q763" s="109" t="s">
        <v>840</v>
      </c>
      <c r="R763" s="109" t="s">
        <v>57</v>
      </c>
      <c r="S763" s="83" t="str">
        <f t="shared" si="80"/>
        <v>B880H</v>
      </c>
      <c r="T763" s="83" t="str">
        <f t="shared" si="77"/>
        <v>Donna</v>
      </c>
      <c r="Y763" s="60">
        <f t="shared" si="81"/>
        <v>31</v>
      </c>
      <c r="Z763" s="49">
        <f t="shared" si="82"/>
        <v>89</v>
      </c>
      <c r="AA763" s="60">
        <f t="shared" si="83"/>
        <v>31089</v>
      </c>
    </row>
    <row r="764" spans="1:27">
      <c r="A764" s="83" t="str">
        <f t="shared" si="78"/>
        <v>B962navy</v>
      </c>
      <c r="B764" s="83" t="str">
        <f t="shared" si="79"/>
        <v>31-090-16</v>
      </c>
      <c r="C764" s="109" t="s">
        <v>2966</v>
      </c>
      <c r="D764" s="109" t="s">
        <v>2967</v>
      </c>
      <c r="E764" s="109" t="s">
        <v>793</v>
      </c>
      <c r="F764" s="110">
        <v>0</v>
      </c>
      <c r="G764" s="109" t="s">
        <v>1224</v>
      </c>
      <c r="H764" s="109" t="s">
        <v>55</v>
      </c>
      <c r="I764" s="109" t="s">
        <v>787</v>
      </c>
      <c r="J764" s="109" t="s">
        <v>325</v>
      </c>
      <c r="K764" s="109" t="s">
        <v>387</v>
      </c>
      <c r="L764" s="109" t="s">
        <v>523</v>
      </c>
      <c r="M764" s="109" t="s">
        <v>384</v>
      </c>
      <c r="N764" s="109" t="s">
        <v>43</v>
      </c>
      <c r="O764" s="109" t="s">
        <v>386</v>
      </c>
      <c r="P764" s="109" t="s">
        <v>826</v>
      </c>
      <c r="Q764" s="109" t="s">
        <v>829</v>
      </c>
      <c r="R764" s="109" t="s">
        <v>71</v>
      </c>
      <c r="S764" s="83" t="str">
        <f t="shared" si="80"/>
        <v>B962</v>
      </c>
      <c r="T764" s="83" t="str">
        <f t="shared" si="77"/>
        <v>KNOTTED CLOCHE</v>
      </c>
      <c r="Y764" s="60">
        <f t="shared" si="81"/>
        <v>31</v>
      </c>
      <c r="Z764" s="49">
        <f t="shared" si="82"/>
        <v>90</v>
      </c>
      <c r="AA764" s="60">
        <f t="shared" si="83"/>
        <v>31090</v>
      </c>
    </row>
    <row r="765" spans="1:27">
      <c r="A765" s="83" t="str">
        <f t="shared" si="78"/>
        <v>B962rouge</v>
      </c>
      <c r="B765" s="83" t="str">
        <f t="shared" si="79"/>
        <v>31-090-41</v>
      </c>
      <c r="C765" s="109" t="s">
        <v>2968</v>
      </c>
      <c r="D765" s="109" t="s">
        <v>2969</v>
      </c>
      <c r="E765" s="109" t="s">
        <v>793</v>
      </c>
      <c r="F765" s="110">
        <v>0</v>
      </c>
      <c r="G765" s="109" t="s">
        <v>1224</v>
      </c>
      <c r="H765" s="109" t="s">
        <v>286</v>
      </c>
      <c r="I765" s="109" t="s">
        <v>787</v>
      </c>
      <c r="J765" s="109" t="s">
        <v>325</v>
      </c>
      <c r="K765" s="109" t="s">
        <v>387</v>
      </c>
      <c r="L765" s="109" t="s">
        <v>523</v>
      </c>
      <c r="M765" s="109" t="s">
        <v>384</v>
      </c>
      <c r="N765" s="109" t="s">
        <v>43</v>
      </c>
      <c r="O765" s="109" t="s">
        <v>386</v>
      </c>
      <c r="P765" s="109" t="s">
        <v>826</v>
      </c>
      <c r="Q765" s="109" t="s">
        <v>2375</v>
      </c>
      <c r="R765" s="109" t="s">
        <v>286</v>
      </c>
      <c r="S765" s="83" t="str">
        <f t="shared" si="80"/>
        <v>B962</v>
      </c>
      <c r="T765" s="83" t="str">
        <f t="shared" si="77"/>
        <v>KNOTTED CLOCHE</v>
      </c>
      <c r="Y765" s="60">
        <f t="shared" si="81"/>
        <v>31</v>
      </c>
      <c r="Z765" s="49">
        <f t="shared" si="82"/>
        <v>90</v>
      </c>
      <c r="AA765" s="60">
        <f t="shared" si="83"/>
        <v>31090</v>
      </c>
    </row>
    <row r="766" spans="1:27">
      <c r="A766" s="83" t="str">
        <f t="shared" si="78"/>
        <v>B962sand</v>
      </c>
      <c r="B766" s="83" t="str">
        <f t="shared" si="79"/>
        <v>31-090-02</v>
      </c>
      <c r="C766" s="109" t="s">
        <v>2970</v>
      </c>
      <c r="D766" s="109" t="s">
        <v>2971</v>
      </c>
      <c r="E766" s="109" t="s">
        <v>793</v>
      </c>
      <c r="F766" s="110">
        <v>0</v>
      </c>
      <c r="G766" s="109" t="s">
        <v>1224</v>
      </c>
      <c r="H766" s="109" t="s">
        <v>63</v>
      </c>
      <c r="I766" s="109" t="s">
        <v>787</v>
      </c>
      <c r="J766" s="109" t="s">
        <v>325</v>
      </c>
      <c r="K766" s="109" t="s">
        <v>387</v>
      </c>
      <c r="L766" s="109" t="s">
        <v>523</v>
      </c>
      <c r="M766" s="109" t="s">
        <v>384</v>
      </c>
      <c r="N766" s="109" t="s">
        <v>43</v>
      </c>
      <c r="O766" s="109" t="s">
        <v>386</v>
      </c>
      <c r="P766" s="109" t="s">
        <v>826</v>
      </c>
      <c r="Q766" s="109" t="s">
        <v>861</v>
      </c>
      <c r="R766" s="109" t="s">
        <v>63</v>
      </c>
      <c r="S766" s="83" t="str">
        <f t="shared" si="80"/>
        <v>B962</v>
      </c>
      <c r="T766" s="83" t="str">
        <f t="shared" si="77"/>
        <v>KNOTTED CLOCHE</v>
      </c>
      <c r="Y766" s="60">
        <f t="shared" si="81"/>
        <v>31</v>
      </c>
      <c r="Z766" s="49">
        <f t="shared" si="82"/>
        <v>90</v>
      </c>
      <c r="AA766" s="60">
        <f t="shared" si="83"/>
        <v>31090</v>
      </c>
    </row>
    <row r="767" spans="1:27">
      <c r="A767" s="83" t="str">
        <f t="shared" si="78"/>
        <v>B964black</v>
      </c>
      <c r="B767" s="83" t="str">
        <f t="shared" si="79"/>
        <v>31-053-09</v>
      </c>
      <c r="C767" s="109" t="s">
        <v>2972</v>
      </c>
      <c r="D767" s="109" t="s">
        <v>2973</v>
      </c>
      <c r="E767" s="109" t="s">
        <v>793</v>
      </c>
      <c r="F767" s="110">
        <v>0</v>
      </c>
      <c r="G767" s="109" t="s">
        <v>1208</v>
      </c>
      <c r="H767" s="109" t="s">
        <v>53</v>
      </c>
      <c r="I767" s="109" t="s">
        <v>787</v>
      </c>
      <c r="J767" s="109" t="s">
        <v>360</v>
      </c>
      <c r="K767" s="109" t="s">
        <v>387</v>
      </c>
      <c r="L767" s="109" t="s">
        <v>523</v>
      </c>
      <c r="M767" s="109" t="s">
        <v>388</v>
      </c>
      <c r="N767" s="109" t="s">
        <v>43</v>
      </c>
      <c r="O767" s="109" t="s">
        <v>386</v>
      </c>
      <c r="P767" s="109" t="s">
        <v>827</v>
      </c>
      <c r="Q767" s="109" t="s">
        <v>831</v>
      </c>
      <c r="R767" s="109" t="s">
        <v>53</v>
      </c>
      <c r="S767" s="83" t="str">
        <f t="shared" si="80"/>
        <v>B964</v>
      </c>
      <c r="T767" s="83" t="str">
        <f t="shared" si="77"/>
        <v>FACE FRAMER</v>
      </c>
      <c r="Y767" s="60">
        <f t="shared" si="81"/>
        <v>31</v>
      </c>
      <c r="Z767" s="49">
        <f t="shared" si="82"/>
        <v>53</v>
      </c>
      <c r="AA767" s="60">
        <f t="shared" si="83"/>
        <v>31053</v>
      </c>
    </row>
    <row r="768" spans="1:27">
      <c r="A768" s="83" t="str">
        <f t="shared" si="78"/>
        <v>B964poppy</v>
      </c>
      <c r="B768" s="83" t="str">
        <f t="shared" si="79"/>
        <v>31-053-18</v>
      </c>
      <c r="C768" s="109" t="s">
        <v>2974</v>
      </c>
      <c r="D768" s="109" t="s">
        <v>2975</v>
      </c>
      <c r="E768" s="109" t="s">
        <v>793</v>
      </c>
      <c r="F768" s="110">
        <v>0</v>
      </c>
      <c r="G768" s="109" t="s">
        <v>1208</v>
      </c>
      <c r="H768" s="109" t="s">
        <v>78</v>
      </c>
      <c r="I768" s="109" t="s">
        <v>787</v>
      </c>
      <c r="J768" s="109" t="s">
        <v>360</v>
      </c>
      <c r="K768" s="109" t="s">
        <v>387</v>
      </c>
      <c r="L768" s="109" t="s">
        <v>523</v>
      </c>
      <c r="M768" s="109" t="s">
        <v>384</v>
      </c>
      <c r="N768" s="109" t="s">
        <v>43</v>
      </c>
      <c r="O768" s="109" t="s">
        <v>386</v>
      </c>
      <c r="P768" s="109" t="s">
        <v>826</v>
      </c>
      <c r="Q768" s="109" t="s">
        <v>996</v>
      </c>
      <c r="R768" s="109" t="s">
        <v>78</v>
      </c>
      <c r="S768" s="83" t="str">
        <f t="shared" si="80"/>
        <v>B964</v>
      </c>
      <c r="T768" s="83" t="str">
        <f t="shared" si="77"/>
        <v>FACE FRAMER</v>
      </c>
      <c r="Y768" s="60">
        <f t="shared" si="81"/>
        <v>31</v>
      </c>
      <c r="Z768" s="49">
        <f t="shared" si="82"/>
        <v>53</v>
      </c>
      <c r="AA768" s="60">
        <f t="shared" si="83"/>
        <v>31053</v>
      </c>
    </row>
    <row r="769" spans="1:27">
      <c r="A769" s="83" t="str">
        <f t="shared" si="78"/>
        <v>B964rouge</v>
      </c>
      <c r="B769" s="83" t="str">
        <f t="shared" si="79"/>
        <v>31-053-41</v>
      </c>
      <c r="C769" s="109" t="s">
        <v>2976</v>
      </c>
      <c r="D769" s="109" t="s">
        <v>2977</v>
      </c>
      <c r="E769" s="109" t="s">
        <v>793</v>
      </c>
      <c r="F769" s="110">
        <v>0</v>
      </c>
      <c r="G769" s="109" t="s">
        <v>1208</v>
      </c>
      <c r="H769" s="109" t="s">
        <v>286</v>
      </c>
      <c r="I769" s="109" t="s">
        <v>787</v>
      </c>
      <c r="J769" s="109" t="s">
        <v>360</v>
      </c>
      <c r="K769" s="109" t="s">
        <v>387</v>
      </c>
      <c r="L769" s="109" t="s">
        <v>523</v>
      </c>
      <c r="M769" s="109" t="s">
        <v>384</v>
      </c>
      <c r="N769" s="109" t="s">
        <v>43</v>
      </c>
      <c r="O769" s="109" t="s">
        <v>386</v>
      </c>
      <c r="P769" s="109" t="s">
        <v>826</v>
      </c>
      <c r="Q769" s="109" t="s">
        <v>2375</v>
      </c>
      <c r="R769" s="109" t="s">
        <v>286</v>
      </c>
      <c r="S769" s="83" t="str">
        <f t="shared" si="80"/>
        <v>B964</v>
      </c>
      <c r="T769" s="83" t="str">
        <f t="shared" si="77"/>
        <v>FACE FRAMER</v>
      </c>
      <c r="Y769" s="60">
        <f t="shared" si="81"/>
        <v>31</v>
      </c>
      <c r="Z769" s="49">
        <f t="shared" si="82"/>
        <v>53</v>
      </c>
      <c r="AA769" s="60">
        <f t="shared" si="83"/>
        <v>31053</v>
      </c>
    </row>
    <row r="770" spans="1:27">
      <c r="A770" s="83" t="str">
        <f t="shared" si="78"/>
        <v>B964sand</v>
      </c>
      <c r="B770" s="83" t="str">
        <f t="shared" si="79"/>
        <v>31-053-02</v>
      </c>
      <c r="C770" s="109" t="s">
        <v>2978</v>
      </c>
      <c r="D770" s="109" t="s">
        <v>2979</v>
      </c>
      <c r="E770" s="109" t="s">
        <v>793</v>
      </c>
      <c r="F770" s="110">
        <v>0</v>
      </c>
      <c r="G770" s="109" t="s">
        <v>1208</v>
      </c>
      <c r="H770" s="109" t="s">
        <v>63</v>
      </c>
      <c r="I770" s="109" t="s">
        <v>787</v>
      </c>
      <c r="J770" s="109" t="s">
        <v>360</v>
      </c>
      <c r="K770" s="109" t="s">
        <v>387</v>
      </c>
      <c r="L770" s="109" t="s">
        <v>523</v>
      </c>
      <c r="M770" s="109" t="s">
        <v>388</v>
      </c>
      <c r="N770" s="109" t="s">
        <v>43</v>
      </c>
      <c r="O770" s="109" t="s">
        <v>386</v>
      </c>
      <c r="P770" s="109" t="s">
        <v>827</v>
      </c>
      <c r="Q770" s="109" t="s">
        <v>861</v>
      </c>
      <c r="R770" s="109" t="s">
        <v>63</v>
      </c>
      <c r="S770" s="83" t="str">
        <f t="shared" si="80"/>
        <v>B964</v>
      </c>
      <c r="T770" s="83" t="str">
        <f t="shared" ref="T770:T833" si="84">IF(A770&lt;&gt;"",IF(FIND(" ",G770)&gt;=1,MID(G770,FIND(" ",G770)+1,LEN(G770)),""),"")</f>
        <v>FACE FRAMER</v>
      </c>
      <c r="Y770" s="60">
        <f t="shared" si="81"/>
        <v>31</v>
      </c>
      <c r="Z770" s="49">
        <f t="shared" si="82"/>
        <v>53</v>
      </c>
      <c r="AA770" s="60">
        <f t="shared" si="83"/>
        <v>31053</v>
      </c>
    </row>
    <row r="771" spans="1:27">
      <c r="A771" s="83" t="str">
        <f t="shared" ref="A771:A834" si="85">IF(G771&amp;Q771&lt;&gt;"",S771&amp;Q771,"")</f>
        <v>B964white</v>
      </c>
      <c r="B771" s="83" t="str">
        <f t="shared" ref="B771:B834" si="86">IF(C771&lt;&gt;"",LEFT(C771,9),"")</f>
        <v>31-053-17</v>
      </c>
      <c r="C771" s="109" t="s">
        <v>2980</v>
      </c>
      <c r="D771" s="109" t="s">
        <v>2981</v>
      </c>
      <c r="E771" s="109" t="s">
        <v>793</v>
      </c>
      <c r="F771" s="110">
        <v>0</v>
      </c>
      <c r="G771" s="109" t="s">
        <v>1208</v>
      </c>
      <c r="H771" s="109" t="s">
        <v>57</v>
      </c>
      <c r="I771" s="109" t="s">
        <v>787</v>
      </c>
      <c r="J771" s="109" t="s">
        <v>360</v>
      </c>
      <c r="K771" s="109" t="s">
        <v>387</v>
      </c>
      <c r="L771" s="109" t="s">
        <v>523</v>
      </c>
      <c r="M771" s="109" t="s">
        <v>388</v>
      </c>
      <c r="N771" s="109" t="s">
        <v>43</v>
      </c>
      <c r="O771" s="109" t="s">
        <v>386</v>
      </c>
      <c r="P771" s="109" t="s">
        <v>827</v>
      </c>
      <c r="Q771" s="109" t="s">
        <v>840</v>
      </c>
      <c r="R771" s="109" t="s">
        <v>57</v>
      </c>
      <c r="S771" s="83" t="str">
        <f t="shared" ref="S771:S834" si="87">IF(G771&lt;&gt;"",IF(FIND(" ",G771)&gt;=1,MID(G771,1,FIND(" ",G771)-1),G771),"")</f>
        <v>B964</v>
      </c>
      <c r="T771" s="83" t="str">
        <f t="shared" si="84"/>
        <v>FACE FRAMER</v>
      </c>
      <c r="Y771" s="60">
        <f t="shared" ref="Y771:Y834" si="88">IFERROR(VALUE(MID($C771,1,2)),0)</f>
        <v>31</v>
      </c>
      <c r="Z771" s="49">
        <f t="shared" ref="Z771:Z834" si="89">IFERROR(VALUE(MID($C771,4,3)),0)</f>
        <v>53</v>
      </c>
      <c r="AA771" s="60">
        <f t="shared" ref="AA771:AA834" si="90">VALUE(RIGHT("00"&amp;Y771,2)&amp;RIGHT("000"&amp;Z771,3))</f>
        <v>31053</v>
      </c>
    </row>
    <row r="772" spans="1:27">
      <c r="A772" s="83" t="str">
        <f t="shared" si="85"/>
        <v>B986black</v>
      </c>
      <c r="B772" s="83" t="str">
        <f t="shared" si="86"/>
        <v>31-054-09</v>
      </c>
      <c r="C772" s="109" t="s">
        <v>2982</v>
      </c>
      <c r="D772" s="109" t="s">
        <v>2983</v>
      </c>
      <c r="E772" s="109" t="s">
        <v>793</v>
      </c>
      <c r="F772" s="110">
        <v>0</v>
      </c>
      <c r="G772" s="109" t="s">
        <v>2369</v>
      </c>
      <c r="H772" s="109" t="s">
        <v>53</v>
      </c>
      <c r="I772" s="109" t="s">
        <v>787</v>
      </c>
      <c r="J772" s="109" t="s">
        <v>348</v>
      </c>
      <c r="K772" s="109" t="s">
        <v>387</v>
      </c>
      <c r="L772" s="109" t="s">
        <v>523</v>
      </c>
      <c r="M772" s="109" t="s">
        <v>384</v>
      </c>
      <c r="N772" s="109" t="s">
        <v>43</v>
      </c>
      <c r="O772" s="109" t="s">
        <v>386</v>
      </c>
      <c r="P772" s="109" t="s">
        <v>826</v>
      </c>
      <c r="Q772" s="109" t="s">
        <v>831</v>
      </c>
      <c r="R772" s="109" t="s">
        <v>53</v>
      </c>
      <c r="S772" s="83" t="str">
        <f t="shared" si="87"/>
        <v>B986</v>
      </c>
      <c r="T772" s="83" t="str">
        <f t="shared" si="84"/>
        <v>Blake Cap</v>
      </c>
      <c r="Y772" s="60">
        <f t="shared" si="88"/>
        <v>31</v>
      </c>
      <c r="Z772" s="49">
        <f t="shared" si="89"/>
        <v>54</v>
      </c>
      <c r="AA772" s="60">
        <f t="shared" si="90"/>
        <v>31054</v>
      </c>
    </row>
    <row r="773" spans="1:27">
      <c r="A773" s="83" t="str">
        <f t="shared" si="85"/>
        <v>B986natural</v>
      </c>
      <c r="B773" s="83" t="str">
        <f t="shared" si="86"/>
        <v>31-054-02</v>
      </c>
      <c r="C773" s="109" t="s">
        <v>2984</v>
      </c>
      <c r="D773" s="109" t="s">
        <v>2985</v>
      </c>
      <c r="E773" s="109" t="s">
        <v>793</v>
      </c>
      <c r="F773" s="110">
        <v>0</v>
      </c>
      <c r="G773" s="109" t="s">
        <v>2369</v>
      </c>
      <c r="H773" s="109" t="s">
        <v>63</v>
      </c>
      <c r="I773" s="109" t="s">
        <v>787</v>
      </c>
      <c r="J773" s="109" t="s">
        <v>348</v>
      </c>
      <c r="K773" s="109" t="s">
        <v>387</v>
      </c>
      <c r="L773" s="109" t="s">
        <v>523</v>
      </c>
      <c r="M773" s="109" t="s">
        <v>384</v>
      </c>
      <c r="N773" s="109" t="s">
        <v>43</v>
      </c>
      <c r="O773" s="109" t="s">
        <v>386</v>
      </c>
      <c r="P773" s="109" t="s">
        <v>826</v>
      </c>
      <c r="Q773" s="109" t="s">
        <v>844</v>
      </c>
      <c r="R773" s="109" t="s">
        <v>63</v>
      </c>
      <c r="S773" s="83" t="str">
        <f t="shared" si="87"/>
        <v>B986</v>
      </c>
      <c r="T773" s="83" t="str">
        <f t="shared" si="84"/>
        <v>Blake Cap</v>
      </c>
      <c r="Y773" s="60">
        <f t="shared" si="88"/>
        <v>31</v>
      </c>
      <c r="Z773" s="49">
        <f t="shared" si="89"/>
        <v>54</v>
      </c>
      <c r="AA773" s="60">
        <f t="shared" si="90"/>
        <v>31054</v>
      </c>
    </row>
    <row r="774" spans="1:27">
      <c r="A774" s="83" t="str">
        <f t="shared" si="85"/>
        <v>B986poppy</v>
      </c>
      <c r="B774" s="83" t="str">
        <f t="shared" si="86"/>
        <v>31-054-18</v>
      </c>
      <c r="C774" s="109" t="s">
        <v>2986</v>
      </c>
      <c r="D774" s="109" t="s">
        <v>2987</v>
      </c>
      <c r="E774" s="109" t="s">
        <v>793</v>
      </c>
      <c r="F774" s="110">
        <v>0</v>
      </c>
      <c r="G774" s="109" t="s">
        <v>2369</v>
      </c>
      <c r="H774" s="109" t="s">
        <v>78</v>
      </c>
      <c r="I774" s="109" t="s">
        <v>787</v>
      </c>
      <c r="J774" s="109" t="s">
        <v>348</v>
      </c>
      <c r="K774" s="109" t="s">
        <v>387</v>
      </c>
      <c r="L774" s="109" t="s">
        <v>523</v>
      </c>
      <c r="M774" s="109" t="s">
        <v>384</v>
      </c>
      <c r="N774" s="109" t="s">
        <v>43</v>
      </c>
      <c r="O774" s="109" t="s">
        <v>386</v>
      </c>
      <c r="P774" s="109" t="s">
        <v>826</v>
      </c>
      <c r="Q774" s="109" t="s">
        <v>996</v>
      </c>
      <c r="R774" s="109" t="s">
        <v>78</v>
      </c>
      <c r="S774" s="83" t="str">
        <f t="shared" si="87"/>
        <v>B986</v>
      </c>
      <c r="T774" s="83" t="str">
        <f t="shared" si="84"/>
        <v>Blake Cap</v>
      </c>
      <c r="Y774" s="60">
        <f t="shared" si="88"/>
        <v>31</v>
      </c>
      <c r="Z774" s="49">
        <f t="shared" si="89"/>
        <v>54</v>
      </c>
      <c r="AA774" s="60">
        <f t="shared" si="90"/>
        <v>31054</v>
      </c>
    </row>
    <row r="775" spans="1:27">
      <c r="A775" s="83" t="str">
        <f t="shared" si="85"/>
        <v>B986white</v>
      </c>
      <c r="B775" s="83" t="str">
        <f t="shared" si="86"/>
        <v>31-054-17</v>
      </c>
      <c r="C775" s="109" t="s">
        <v>2988</v>
      </c>
      <c r="D775" s="109" t="s">
        <v>2989</v>
      </c>
      <c r="E775" s="109" t="s">
        <v>793</v>
      </c>
      <c r="F775" s="110">
        <v>0</v>
      </c>
      <c r="G775" s="109" t="s">
        <v>2369</v>
      </c>
      <c r="H775" s="109" t="s">
        <v>57</v>
      </c>
      <c r="I775" s="109" t="s">
        <v>787</v>
      </c>
      <c r="J775" s="109" t="s">
        <v>348</v>
      </c>
      <c r="K775" s="109" t="s">
        <v>387</v>
      </c>
      <c r="L775" s="109" t="s">
        <v>523</v>
      </c>
      <c r="M775" s="109" t="s">
        <v>384</v>
      </c>
      <c r="N775" s="109" t="s">
        <v>43</v>
      </c>
      <c r="O775" s="109" t="s">
        <v>386</v>
      </c>
      <c r="P775" s="109" t="s">
        <v>826</v>
      </c>
      <c r="Q775" s="109" t="s">
        <v>840</v>
      </c>
      <c r="R775" s="109" t="s">
        <v>57</v>
      </c>
      <c r="S775" s="83" t="str">
        <f t="shared" si="87"/>
        <v>B986</v>
      </c>
      <c r="T775" s="83" t="str">
        <f t="shared" si="84"/>
        <v>Blake Cap</v>
      </c>
      <c r="Y775" s="60">
        <f t="shared" si="88"/>
        <v>31</v>
      </c>
      <c r="Z775" s="49">
        <f t="shared" si="89"/>
        <v>54</v>
      </c>
      <c r="AA775" s="60">
        <f t="shared" si="90"/>
        <v>31054</v>
      </c>
    </row>
    <row r="776" spans="1:27">
      <c r="A776" s="83" t="str">
        <f t="shared" si="85"/>
        <v>B1251Hblack</v>
      </c>
      <c r="B776" s="83" t="str">
        <f t="shared" si="86"/>
        <v>31-138-09</v>
      </c>
      <c r="C776" s="109" t="s">
        <v>2990</v>
      </c>
      <c r="D776" s="109" t="s">
        <v>2991</v>
      </c>
      <c r="E776" s="109" t="s">
        <v>793</v>
      </c>
      <c r="F776" s="110">
        <v>0</v>
      </c>
      <c r="G776" s="109" t="s">
        <v>2992</v>
      </c>
      <c r="H776" s="109" t="s">
        <v>53</v>
      </c>
      <c r="I776" s="109" t="s">
        <v>796</v>
      </c>
      <c r="J776" s="109" t="s">
        <v>348</v>
      </c>
      <c r="K776" s="109" t="s">
        <v>387</v>
      </c>
      <c r="L776" s="109" t="s">
        <v>523</v>
      </c>
      <c r="M776" s="109" t="s">
        <v>388</v>
      </c>
      <c r="N776" s="109" t="s">
        <v>44</v>
      </c>
      <c r="O776" s="109" t="s">
        <v>386</v>
      </c>
      <c r="P776" s="109" t="s">
        <v>826</v>
      </c>
      <c r="Q776" s="109" t="s">
        <v>831</v>
      </c>
      <c r="R776" s="109" t="s">
        <v>53</v>
      </c>
      <c r="S776" s="83" t="str">
        <f t="shared" si="87"/>
        <v>B1251H</v>
      </c>
      <c r="T776" s="83" t="str">
        <f t="shared" si="84"/>
        <v>DLYN</v>
      </c>
      <c r="Y776" s="60">
        <f t="shared" si="88"/>
        <v>31</v>
      </c>
      <c r="Z776" s="49">
        <f t="shared" si="89"/>
        <v>138</v>
      </c>
      <c r="AA776" s="60">
        <f t="shared" si="90"/>
        <v>31138</v>
      </c>
    </row>
    <row r="777" spans="1:27">
      <c r="A777" s="83" t="str">
        <f t="shared" si="85"/>
        <v>B1134Hmint</v>
      </c>
      <c r="B777" s="83" t="str">
        <f t="shared" si="86"/>
        <v>31-064-03</v>
      </c>
      <c r="C777" s="109" t="s">
        <v>2993</v>
      </c>
      <c r="D777" s="109" t="s">
        <v>2994</v>
      </c>
      <c r="E777" s="109" t="s">
        <v>793</v>
      </c>
      <c r="F777" s="110">
        <v>0</v>
      </c>
      <c r="G777" s="109" t="s">
        <v>944</v>
      </c>
      <c r="H777" s="109" t="s">
        <v>224</v>
      </c>
      <c r="I777" s="109" t="s">
        <v>945</v>
      </c>
      <c r="J777" s="109" t="s">
        <v>323</v>
      </c>
      <c r="K777" s="109" t="s">
        <v>387</v>
      </c>
      <c r="L777" s="109" t="s">
        <v>523</v>
      </c>
      <c r="M777" s="109" t="s">
        <v>384</v>
      </c>
      <c r="N777" s="109" t="s">
        <v>36</v>
      </c>
      <c r="O777" s="109" t="s">
        <v>386</v>
      </c>
      <c r="P777" s="109" t="s">
        <v>826</v>
      </c>
      <c r="Q777" s="109" t="s">
        <v>893</v>
      </c>
      <c r="R777" s="109" t="s">
        <v>60</v>
      </c>
      <c r="S777" s="83" t="str">
        <f t="shared" si="87"/>
        <v>B1134H</v>
      </c>
      <c r="T777" s="83" t="str">
        <f t="shared" si="84"/>
        <v>RAMONA</v>
      </c>
      <c r="Y777" s="60">
        <f t="shared" si="88"/>
        <v>31</v>
      </c>
      <c r="Z777" s="49">
        <f t="shared" si="89"/>
        <v>64</v>
      </c>
      <c r="AA777" s="60">
        <f t="shared" si="90"/>
        <v>31064</v>
      </c>
    </row>
    <row r="778" spans="1:27">
      <c r="A778" s="83" t="str">
        <f t="shared" si="85"/>
        <v>B1134Hnavy</v>
      </c>
      <c r="B778" s="83" t="str">
        <f t="shared" si="86"/>
        <v>31-064-06</v>
      </c>
      <c r="C778" s="109" t="s">
        <v>2995</v>
      </c>
      <c r="D778" s="109" t="s">
        <v>2996</v>
      </c>
      <c r="E778" s="109" t="s">
        <v>793</v>
      </c>
      <c r="F778" s="110">
        <v>0</v>
      </c>
      <c r="G778" s="109" t="s">
        <v>944</v>
      </c>
      <c r="H778" s="109" t="s">
        <v>71</v>
      </c>
      <c r="I778" s="109" t="s">
        <v>945</v>
      </c>
      <c r="J778" s="109" t="s">
        <v>323</v>
      </c>
      <c r="K778" s="109" t="s">
        <v>387</v>
      </c>
      <c r="L778" s="109" t="s">
        <v>523</v>
      </c>
      <c r="M778" s="109" t="s">
        <v>384</v>
      </c>
      <c r="N778" s="109" t="s">
        <v>36</v>
      </c>
      <c r="O778" s="109" t="s">
        <v>386</v>
      </c>
      <c r="P778" s="109" t="s">
        <v>827</v>
      </c>
      <c r="Q778" s="109" t="s">
        <v>829</v>
      </c>
      <c r="R778" s="109" t="s">
        <v>71</v>
      </c>
      <c r="S778" s="83" t="str">
        <f t="shared" si="87"/>
        <v>B1134H</v>
      </c>
      <c r="T778" s="83" t="str">
        <f t="shared" si="84"/>
        <v>RAMONA</v>
      </c>
      <c r="Y778" s="60">
        <f t="shared" si="88"/>
        <v>31</v>
      </c>
      <c r="Z778" s="49">
        <f t="shared" si="89"/>
        <v>64</v>
      </c>
      <c r="AA778" s="60">
        <f t="shared" si="90"/>
        <v>31064</v>
      </c>
    </row>
    <row r="779" spans="1:27">
      <c r="A779" s="83" t="str">
        <f t="shared" si="85"/>
        <v>B1431Hwhite.black</v>
      </c>
      <c r="B779" s="83" t="str">
        <f t="shared" si="86"/>
        <v>31-078-09</v>
      </c>
      <c r="C779" s="109" t="s">
        <v>2997</v>
      </c>
      <c r="D779" s="109" t="s">
        <v>2998</v>
      </c>
      <c r="E779" s="109" t="s">
        <v>793</v>
      </c>
      <c r="F779" s="110">
        <v>0</v>
      </c>
      <c r="G779" s="109" t="s">
        <v>948</v>
      </c>
      <c r="H779" s="109" t="s">
        <v>119</v>
      </c>
      <c r="I779" s="109" t="s">
        <v>945</v>
      </c>
      <c r="J779" s="109" t="s">
        <v>323</v>
      </c>
      <c r="K779" s="109" t="s">
        <v>387</v>
      </c>
      <c r="L779" s="109" t="s">
        <v>523</v>
      </c>
      <c r="M779" s="109" t="s">
        <v>384</v>
      </c>
      <c r="N779" s="109" t="s">
        <v>36</v>
      </c>
      <c r="O779" s="109" t="s">
        <v>386</v>
      </c>
      <c r="P779" s="109" t="s">
        <v>826</v>
      </c>
      <c r="Q779" s="109" t="s">
        <v>929</v>
      </c>
      <c r="R779" s="109" t="s">
        <v>57</v>
      </c>
      <c r="S779" s="83" t="str">
        <f t="shared" si="87"/>
        <v>B1431H</v>
      </c>
      <c r="T779" s="83" t="str">
        <f t="shared" si="84"/>
        <v>DEMETRIA</v>
      </c>
      <c r="Y779" s="60">
        <f t="shared" si="88"/>
        <v>31</v>
      </c>
      <c r="Z779" s="49">
        <f t="shared" si="89"/>
        <v>78</v>
      </c>
      <c r="AA779" s="60">
        <f t="shared" si="90"/>
        <v>31078</v>
      </c>
    </row>
    <row r="780" spans="1:27">
      <c r="A780" s="83" t="str">
        <f t="shared" si="85"/>
        <v>B1557Hnatural.pink</v>
      </c>
      <c r="B780" s="83" t="str">
        <f t="shared" si="86"/>
        <v>31-128-02</v>
      </c>
      <c r="C780" s="109" t="s">
        <v>2999</v>
      </c>
      <c r="D780" s="109" t="s">
        <v>3000</v>
      </c>
      <c r="E780" s="109" t="s">
        <v>786</v>
      </c>
      <c r="F780" s="110">
        <v>57</v>
      </c>
      <c r="G780" s="109" t="s">
        <v>955</v>
      </c>
      <c r="H780" s="109" t="s">
        <v>95</v>
      </c>
      <c r="I780" s="109" t="s">
        <v>790</v>
      </c>
      <c r="J780" s="109" t="s">
        <v>323</v>
      </c>
      <c r="K780" s="109" t="s">
        <v>387</v>
      </c>
      <c r="L780" s="109" t="s">
        <v>523</v>
      </c>
      <c r="M780" s="109" t="s">
        <v>384</v>
      </c>
      <c r="N780" s="109" t="s">
        <v>36</v>
      </c>
      <c r="O780" s="109" t="s">
        <v>386</v>
      </c>
      <c r="P780" s="109" t="s">
        <v>826</v>
      </c>
      <c r="Q780" s="109" t="s">
        <v>3001</v>
      </c>
      <c r="R780" s="109" t="s">
        <v>63</v>
      </c>
      <c r="S780" s="83" t="str">
        <f t="shared" si="87"/>
        <v>B1557H</v>
      </c>
      <c r="T780" s="83" t="str">
        <f t="shared" si="84"/>
        <v>LORA</v>
      </c>
      <c r="Y780" s="60">
        <f t="shared" si="88"/>
        <v>31</v>
      </c>
      <c r="Z780" s="49">
        <f t="shared" si="89"/>
        <v>128</v>
      </c>
      <c r="AA780" s="60">
        <f t="shared" si="90"/>
        <v>31128</v>
      </c>
    </row>
    <row r="781" spans="1:27">
      <c r="A781" s="83" t="str">
        <f t="shared" si="85"/>
        <v>B1557Hnavy.natural</v>
      </c>
      <c r="B781" s="83" t="str">
        <f t="shared" si="86"/>
        <v>31-128-95</v>
      </c>
      <c r="C781" s="109" t="s">
        <v>3002</v>
      </c>
      <c r="D781" s="109" t="s">
        <v>3003</v>
      </c>
      <c r="E781" s="109" t="s">
        <v>793</v>
      </c>
      <c r="F781" s="110">
        <v>0</v>
      </c>
      <c r="G781" s="109" t="s">
        <v>955</v>
      </c>
      <c r="H781" s="109" t="s">
        <v>247</v>
      </c>
      <c r="I781" s="109" t="s">
        <v>790</v>
      </c>
      <c r="J781" s="109" t="s">
        <v>323</v>
      </c>
      <c r="K781" s="109" t="s">
        <v>387</v>
      </c>
      <c r="L781" s="109" t="s">
        <v>523</v>
      </c>
      <c r="M781" s="109" t="s">
        <v>384</v>
      </c>
      <c r="N781" s="109" t="s">
        <v>36</v>
      </c>
      <c r="O781" s="109" t="s">
        <v>386</v>
      </c>
      <c r="P781" s="109" t="s">
        <v>826</v>
      </c>
      <c r="Q781" s="109" t="s">
        <v>932</v>
      </c>
      <c r="R781" s="109" t="s">
        <v>71</v>
      </c>
      <c r="S781" s="83" t="str">
        <f t="shared" si="87"/>
        <v>B1557H</v>
      </c>
      <c r="T781" s="83" t="str">
        <f t="shared" si="84"/>
        <v>LORA</v>
      </c>
      <c r="Y781" s="60">
        <f t="shared" si="88"/>
        <v>31</v>
      </c>
      <c r="Z781" s="49">
        <f t="shared" si="89"/>
        <v>128</v>
      </c>
      <c r="AA781" s="60">
        <f t="shared" si="90"/>
        <v>31128</v>
      </c>
    </row>
    <row r="782" spans="1:27">
      <c r="A782" s="83" t="str">
        <f t="shared" si="85"/>
        <v>B1557Hnavy.natural</v>
      </c>
      <c r="B782" s="83" t="str">
        <f t="shared" si="86"/>
        <v>31-128-95</v>
      </c>
      <c r="C782" s="109" t="s">
        <v>3004</v>
      </c>
      <c r="D782" s="109" t="s">
        <v>3003</v>
      </c>
      <c r="E782" s="109" t="s">
        <v>786</v>
      </c>
      <c r="F782" s="110">
        <v>57</v>
      </c>
      <c r="G782" s="109" t="s">
        <v>955</v>
      </c>
      <c r="H782" s="109" t="s">
        <v>247</v>
      </c>
      <c r="I782" s="109" t="s">
        <v>790</v>
      </c>
      <c r="J782" s="109" t="s">
        <v>323</v>
      </c>
      <c r="K782" s="109" t="s">
        <v>387</v>
      </c>
      <c r="L782" s="109" t="s">
        <v>523</v>
      </c>
      <c r="M782" s="109" t="s">
        <v>384</v>
      </c>
      <c r="N782" s="109" t="s">
        <v>36</v>
      </c>
      <c r="O782" s="109" t="s">
        <v>386</v>
      </c>
      <c r="P782" s="109" t="s">
        <v>826</v>
      </c>
      <c r="Q782" s="109" t="s">
        <v>932</v>
      </c>
      <c r="R782" s="109" t="s">
        <v>71</v>
      </c>
      <c r="S782" s="83" t="str">
        <f t="shared" si="87"/>
        <v>B1557H</v>
      </c>
      <c r="T782" s="83" t="str">
        <f t="shared" si="84"/>
        <v>LORA</v>
      </c>
      <c r="Y782" s="60">
        <f t="shared" si="88"/>
        <v>31</v>
      </c>
      <c r="Z782" s="49">
        <f t="shared" si="89"/>
        <v>128</v>
      </c>
      <c r="AA782" s="60">
        <f t="shared" si="90"/>
        <v>31128</v>
      </c>
    </row>
    <row r="783" spans="1:27">
      <c r="A783" s="83" t="str">
        <f t="shared" si="85"/>
        <v>B1564Hnatural/blue</v>
      </c>
      <c r="B783" s="83" t="str">
        <f t="shared" si="86"/>
        <v>31-129-32</v>
      </c>
      <c r="C783" s="109" t="s">
        <v>3005</v>
      </c>
      <c r="D783" s="109" t="s">
        <v>3006</v>
      </c>
      <c r="E783" s="109" t="s">
        <v>786</v>
      </c>
      <c r="F783" s="110">
        <v>57</v>
      </c>
      <c r="G783" s="109" t="s">
        <v>3007</v>
      </c>
      <c r="H783" s="109" t="s">
        <v>97</v>
      </c>
      <c r="I783" s="109" t="s">
        <v>3008</v>
      </c>
      <c r="J783" s="109" t="s">
        <v>330</v>
      </c>
      <c r="K783" s="109" t="s">
        <v>387</v>
      </c>
      <c r="L783" s="109" t="s">
        <v>523</v>
      </c>
      <c r="M783" s="109" t="s">
        <v>384</v>
      </c>
      <c r="N783" s="109" t="s">
        <v>35</v>
      </c>
      <c r="O783" s="109" t="s">
        <v>386</v>
      </c>
      <c r="P783" s="109" t="s">
        <v>826</v>
      </c>
      <c r="Q783" s="109" t="s">
        <v>3009</v>
      </c>
      <c r="R783" s="109" t="s">
        <v>63</v>
      </c>
      <c r="S783" s="83" t="str">
        <f t="shared" si="87"/>
        <v>B1564H</v>
      </c>
      <c r="T783" s="83" t="str">
        <f t="shared" si="84"/>
        <v>JOY</v>
      </c>
      <c r="Y783" s="60">
        <f t="shared" si="88"/>
        <v>31</v>
      </c>
      <c r="Z783" s="49">
        <f t="shared" si="89"/>
        <v>129</v>
      </c>
      <c r="AA783" s="60">
        <f t="shared" si="90"/>
        <v>31129</v>
      </c>
    </row>
    <row r="784" spans="1:27">
      <c r="A784" s="83" t="str">
        <f t="shared" si="85"/>
        <v>B1564Hnatural.pink</v>
      </c>
      <c r="B784" s="83" t="str">
        <f t="shared" si="86"/>
        <v>31-129-02</v>
      </c>
      <c r="C784" s="109" t="s">
        <v>3010</v>
      </c>
      <c r="D784" s="109" t="s">
        <v>3011</v>
      </c>
      <c r="E784" s="109" t="s">
        <v>786</v>
      </c>
      <c r="F784" s="110">
        <v>57</v>
      </c>
      <c r="G784" s="109" t="s">
        <v>3007</v>
      </c>
      <c r="H784" s="109" t="s">
        <v>95</v>
      </c>
      <c r="I784" s="109" t="s">
        <v>3008</v>
      </c>
      <c r="J784" s="109" t="s">
        <v>330</v>
      </c>
      <c r="K784" s="109" t="s">
        <v>387</v>
      </c>
      <c r="L784" s="109" t="s">
        <v>523</v>
      </c>
      <c r="M784" s="109" t="s">
        <v>384</v>
      </c>
      <c r="N784" s="109" t="s">
        <v>35</v>
      </c>
      <c r="O784" s="109" t="s">
        <v>386</v>
      </c>
      <c r="P784" s="109" t="s">
        <v>826</v>
      </c>
      <c r="Q784" s="109" t="s">
        <v>3001</v>
      </c>
      <c r="R784" s="109" t="s">
        <v>63</v>
      </c>
      <c r="S784" s="83" t="str">
        <f t="shared" si="87"/>
        <v>B1564H</v>
      </c>
      <c r="T784" s="83" t="str">
        <f t="shared" si="84"/>
        <v>JOY</v>
      </c>
      <c r="Y784" s="60">
        <f t="shared" si="88"/>
        <v>31</v>
      </c>
      <c r="Z784" s="49">
        <f t="shared" si="89"/>
        <v>129</v>
      </c>
      <c r="AA784" s="60">
        <f t="shared" si="90"/>
        <v>31129</v>
      </c>
    </row>
    <row r="785" spans="1:27">
      <c r="A785" s="83" t="str">
        <f t="shared" si="85"/>
        <v>B1604Hblack</v>
      </c>
      <c r="B785" s="83" t="str">
        <f t="shared" si="86"/>
        <v>31-130-09</v>
      </c>
      <c r="C785" s="109" t="s">
        <v>3012</v>
      </c>
      <c r="D785" s="109" t="s">
        <v>3013</v>
      </c>
      <c r="E785" s="109" t="s">
        <v>793</v>
      </c>
      <c r="F785" s="110">
        <v>0</v>
      </c>
      <c r="G785" s="109" t="s">
        <v>3014</v>
      </c>
      <c r="H785" s="109" t="s">
        <v>53</v>
      </c>
      <c r="I785" s="109" t="s">
        <v>794</v>
      </c>
      <c r="J785" s="109" t="s">
        <v>510</v>
      </c>
      <c r="K785" s="109" t="s">
        <v>387</v>
      </c>
      <c r="L785" s="109" t="s">
        <v>523</v>
      </c>
      <c r="M785" s="109" t="s">
        <v>384</v>
      </c>
      <c r="O785" s="109" t="s">
        <v>386</v>
      </c>
      <c r="P785" s="109" t="s">
        <v>826</v>
      </c>
      <c r="Q785" s="109" t="s">
        <v>831</v>
      </c>
      <c r="R785" s="109" t="s">
        <v>53</v>
      </c>
      <c r="S785" s="83" t="str">
        <f t="shared" si="87"/>
        <v>B1604H</v>
      </c>
      <c r="T785" s="83" t="str">
        <f t="shared" si="84"/>
        <v>MAREE</v>
      </c>
      <c r="Y785" s="60">
        <f t="shared" si="88"/>
        <v>31</v>
      </c>
      <c r="Z785" s="49">
        <f t="shared" si="89"/>
        <v>130</v>
      </c>
      <c r="AA785" s="60">
        <f t="shared" si="90"/>
        <v>31130</v>
      </c>
    </row>
    <row r="786" spans="1:27">
      <c r="A786" s="83" t="str">
        <f t="shared" si="85"/>
        <v>B1604Hwhite</v>
      </c>
      <c r="B786" s="83" t="str">
        <f t="shared" si="86"/>
        <v>31-130-17</v>
      </c>
      <c r="C786" s="109" t="s">
        <v>3015</v>
      </c>
      <c r="D786" s="109" t="s">
        <v>3016</v>
      </c>
      <c r="E786" s="109" t="s">
        <v>793</v>
      </c>
      <c r="F786" s="110">
        <v>0</v>
      </c>
      <c r="G786" s="109" t="s">
        <v>3014</v>
      </c>
      <c r="H786" s="109" t="s">
        <v>57</v>
      </c>
      <c r="I786" s="109" t="s">
        <v>794</v>
      </c>
      <c r="J786" s="109" t="s">
        <v>510</v>
      </c>
      <c r="K786" s="109" t="s">
        <v>387</v>
      </c>
      <c r="L786" s="109" t="s">
        <v>523</v>
      </c>
      <c r="M786" s="109" t="s">
        <v>384</v>
      </c>
      <c r="O786" s="109" t="s">
        <v>386</v>
      </c>
      <c r="P786" s="109" t="s">
        <v>826</v>
      </c>
      <c r="Q786" s="109" t="s">
        <v>840</v>
      </c>
      <c r="R786" s="109" t="s">
        <v>57</v>
      </c>
      <c r="S786" s="83" t="str">
        <f t="shared" si="87"/>
        <v>B1604H</v>
      </c>
      <c r="T786" s="83" t="str">
        <f t="shared" si="84"/>
        <v>MAREE</v>
      </c>
      <c r="Y786" s="60">
        <f t="shared" si="88"/>
        <v>31</v>
      </c>
      <c r="Z786" s="49">
        <f t="shared" si="89"/>
        <v>130</v>
      </c>
      <c r="AA786" s="60">
        <f t="shared" si="90"/>
        <v>31130</v>
      </c>
    </row>
    <row r="787" spans="1:27">
      <c r="A787" s="83" t="str">
        <f t="shared" si="85"/>
        <v>B1605Hblack</v>
      </c>
      <c r="B787" s="83" t="str">
        <f t="shared" si="86"/>
        <v>31-131-09</v>
      </c>
      <c r="C787" s="109" t="s">
        <v>3017</v>
      </c>
      <c r="D787" s="109" t="s">
        <v>3018</v>
      </c>
      <c r="E787" s="109" t="s">
        <v>793</v>
      </c>
      <c r="F787" s="110">
        <v>0</v>
      </c>
      <c r="G787" s="109" t="s">
        <v>3019</v>
      </c>
      <c r="H787" s="109" t="s">
        <v>53</v>
      </c>
      <c r="I787" s="109" t="s">
        <v>792</v>
      </c>
      <c r="J787" s="109" t="s">
        <v>510</v>
      </c>
      <c r="K787" s="109" t="s">
        <v>387</v>
      </c>
      <c r="L787" s="109" t="s">
        <v>523</v>
      </c>
      <c r="M787" s="109" t="s">
        <v>384</v>
      </c>
      <c r="N787" s="109" t="s">
        <v>35</v>
      </c>
      <c r="O787" s="109" t="s">
        <v>386</v>
      </c>
      <c r="P787" s="109" t="s">
        <v>826</v>
      </c>
      <c r="Q787" s="109" t="s">
        <v>831</v>
      </c>
      <c r="R787" s="109" t="s">
        <v>53</v>
      </c>
      <c r="S787" s="83" t="str">
        <f t="shared" si="87"/>
        <v>B1605H</v>
      </c>
      <c r="T787" s="83" t="str">
        <f t="shared" si="84"/>
        <v>CARI</v>
      </c>
      <c r="Y787" s="60">
        <f t="shared" si="88"/>
        <v>31</v>
      </c>
      <c r="Z787" s="49">
        <f t="shared" si="89"/>
        <v>131</v>
      </c>
      <c r="AA787" s="60">
        <f t="shared" si="90"/>
        <v>31131</v>
      </c>
    </row>
    <row r="788" spans="1:27">
      <c r="A788" s="83" t="str">
        <f t="shared" si="85"/>
        <v>B1605Hwhite</v>
      </c>
      <c r="B788" s="83" t="str">
        <f t="shared" si="86"/>
        <v>31-131-17</v>
      </c>
      <c r="C788" s="109" t="s">
        <v>3020</v>
      </c>
      <c r="D788" s="109" t="s">
        <v>3021</v>
      </c>
      <c r="E788" s="109" t="s">
        <v>793</v>
      </c>
      <c r="F788" s="110">
        <v>0</v>
      </c>
      <c r="G788" s="109" t="s">
        <v>3019</v>
      </c>
      <c r="H788" s="109" t="s">
        <v>57</v>
      </c>
      <c r="I788" s="109" t="s">
        <v>792</v>
      </c>
      <c r="J788" s="109" t="s">
        <v>510</v>
      </c>
      <c r="K788" s="109" t="s">
        <v>387</v>
      </c>
      <c r="L788" s="109" t="s">
        <v>523</v>
      </c>
      <c r="M788" s="109" t="s">
        <v>384</v>
      </c>
      <c r="N788" s="109" t="s">
        <v>35</v>
      </c>
      <c r="O788" s="109" t="s">
        <v>386</v>
      </c>
      <c r="P788" s="109" t="s">
        <v>826</v>
      </c>
      <c r="Q788" s="109" t="s">
        <v>840</v>
      </c>
      <c r="R788" s="109" t="s">
        <v>57</v>
      </c>
      <c r="S788" s="83" t="str">
        <f t="shared" si="87"/>
        <v>B1605H</v>
      </c>
      <c r="T788" s="83" t="str">
        <f t="shared" si="84"/>
        <v>CARI</v>
      </c>
      <c r="Y788" s="60">
        <f t="shared" si="88"/>
        <v>31</v>
      </c>
      <c r="Z788" s="49">
        <f t="shared" si="89"/>
        <v>131</v>
      </c>
      <c r="AA788" s="60">
        <f t="shared" si="90"/>
        <v>31131</v>
      </c>
    </row>
    <row r="789" spans="1:27">
      <c r="A789" s="83" t="str">
        <f t="shared" si="85"/>
        <v>B1609Hivory.coral</v>
      </c>
      <c r="B789" s="83" t="str">
        <f t="shared" si="86"/>
        <v>31-132-59</v>
      </c>
      <c r="C789" s="109" t="s">
        <v>3022</v>
      </c>
      <c r="D789" s="109" t="s">
        <v>3023</v>
      </c>
      <c r="E789" s="109" t="s">
        <v>798</v>
      </c>
      <c r="F789" s="110">
        <v>56</v>
      </c>
      <c r="G789" s="109" t="s">
        <v>961</v>
      </c>
      <c r="H789" s="109" t="s">
        <v>113</v>
      </c>
      <c r="I789" s="109" t="s">
        <v>792</v>
      </c>
      <c r="J789" s="109" t="s">
        <v>330</v>
      </c>
      <c r="K789" s="109" t="s">
        <v>387</v>
      </c>
      <c r="L789" s="109" t="s">
        <v>523</v>
      </c>
      <c r="M789" s="109" t="s">
        <v>384</v>
      </c>
      <c r="N789" s="109" t="s">
        <v>35</v>
      </c>
      <c r="O789" s="109" t="s">
        <v>445</v>
      </c>
      <c r="P789" s="109" t="s">
        <v>826</v>
      </c>
      <c r="Q789" s="109" t="s">
        <v>3024</v>
      </c>
      <c r="R789" s="109" t="s">
        <v>57</v>
      </c>
      <c r="S789" s="83" t="str">
        <f t="shared" si="87"/>
        <v>B1609H</v>
      </c>
      <c r="T789" s="83" t="str">
        <f t="shared" si="84"/>
        <v>LAURA II</v>
      </c>
      <c r="Y789" s="60">
        <f t="shared" si="88"/>
        <v>31</v>
      </c>
      <c r="Z789" s="49">
        <f t="shared" si="89"/>
        <v>132</v>
      </c>
      <c r="AA789" s="60">
        <f t="shared" si="90"/>
        <v>31132</v>
      </c>
    </row>
    <row r="790" spans="1:27">
      <c r="A790" s="83" t="str">
        <f t="shared" si="85"/>
        <v>B1609Hivory.coral</v>
      </c>
      <c r="B790" s="83" t="str">
        <f t="shared" si="86"/>
        <v>31-132-59</v>
      </c>
      <c r="C790" s="109" t="s">
        <v>3025</v>
      </c>
      <c r="D790" s="109" t="s">
        <v>3023</v>
      </c>
      <c r="E790" s="109" t="s">
        <v>791</v>
      </c>
      <c r="F790" s="110">
        <v>58</v>
      </c>
      <c r="G790" s="109" t="s">
        <v>961</v>
      </c>
      <c r="H790" s="109" t="s">
        <v>113</v>
      </c>
      <c r="I790" s="109" t="s">
        <v>792</v>
      </c>
      <c r="J790" s="109" t="s">
        <v>330</v>
      </c>
      <c r="K790" s="109" t="s">
        <v>387</v>
      </c>
      <c r="L790" s="109" t="s">
        <v>523</v>
      </c>
      <c r="M790" s="109" t="s">
        <v>384</v>
      </c>
      <c r="N790" s="109" t="s">
        <v>35</v>
      </c>
      <c r="O790" s="109" t="s">
        <v>445</v>
      </c>
      <c r="P790" s="109" t="s">
        <v>826</v>
      </c>
      <c r="Q790" s="109" t="s">
        <v>3024</v>
      </c>
      <c r="R790" s="109" t="s">
        <v>57</v>
      </c>
      <c r="S790" s="83" t="str">
        <f t="shared" si="87"/>
        <v>B1609H</v>
      </c>
      <c r="T790" s="83" t="str">
        <f t="shared" si="84"/>
        <v>LAURA II</v>
      </c>
      <c r="Y790" s="60">
        <f t="shared" si="88"/>
        <v>31</v>
      </c>
      <c r="Z790" s="49">
        <f t="shared" si="89"/>
        <v>132</v>
      </c>
      <c r="AA790" s="60">
        <f t="shared" si="90"/>
        <v>31132</v>
      </c>
    </row>
    <row r="791" spans="1:27">
      <c r="A791" s="83" t="str">
        <f t="shared" si="85"/>
        <v>B1609Hivory.navy</v>
      </c>
      <c r="B791" s="83" t="str">
        <f t="shared" si="86"/>
        <v>31-132-38</v>
      </c>
      <c r="C791" s="109" t="s">
        <v>3026</v>
      </c>
      <c r="D791" s="109" t="s">
        <v>3027</v>
      </c>
      <c r="E791" s="109" t="s">
        <v>798</v>
      </c>
      <c r="F791" s="110">
        <v>56</v>
      </c>
      <c r="G791" s="109" t="s">
        <v>961</v>
      </c>
      <c r="H791" s="109" t="s">
        <v>116</v>
      </c>
      <c r="I791" s="109" t="s">
        <v>792</v>
      </c>
      <c r="J791" s="109" t="s">
        <v>330</v>
      </c>
      <c r="K791" s="109" t="s">
        <v>387</v>
      </c>
      <c r="L791" s="109" t="s">
        <v>523</v>
      </c>
      <c r="M791" s="109" t="s">
        <v>384</v>
      </c>
      <c r="N791" s="109" t="s">
        <v>35</v>
      </c>
      <c r="O791" s="109" t="s">
        <v>445</v>
      </c>
      <c r="P791" s="109" t="s">
        <v>826</v>
      </c>
      <c r="Q791" s="109" t="s">
        <v>2705</v>
      </c>
      <c r="R791" s="109" t="s">
        <v>57</v>
      </c>
      <c r="S791" s="83" t="str">
        <f t="shared" si="87"/>
        <v>B1609H</v>
      </c>
      <c r="T791" s="83" t="str">
        <f t="shared" si="84"/>
        <v>LAURA II</v>
      </c>
      <c r="Y791" s="60">
        <f t="shared" si="88"/>
        <v>31</v>
      </c>
      <c r="Z791" s="49">
        <f t="shared" si="89"/>
        <v>132</v>
      </c>
      <c r="AA791" s="60">
        <f t="shared" si="90"/>
        <v>31132</v>
      </c>
    </row>
    <row r="792" spans="1:27">
      <c r="A792" s="83" t="str">
        <f t="shared" si="85"/>
        <v>B1609Hivory.navy</v>
      </c>
      <c r="B792" s="83" t="str">
        <f t="shared" si="86"/>
        <v>31-132-38</v>
      </c>
      <c r="C792" s="109" t="s">
        <v>3028</v>
      </c>
      <c r="D792" s="109" t="s">
        <v>3027</v>
      </c>
      <c r="E792" s="109" t="s">
        <v>791</v>
      </c>
      <c r="F792" s="110">
        <v>58</v>
      </c>
      <c r="G792" s="109" t="s">
        <v>961</v>
      </c>
      <c r="H792" s="109" t="s">
        <v>116</v>
      </c>
      <c r="I792" s="109" t="s">
        <v>792</v>
      </c>
      <c r="J792" s="109" t="s">
        <v>330</v>
      </c>
      <c r="K792" s="109" t="s">
        <v>387</v>
      </c>
      <c r="L792" s="109" t="s">
        <v>523</v>
      </c>
      <c r="M792" s="109" t="s">
        <v>384</v>
      </c>
      <c r="N792" s="109" t="s">
        <v>35</v>
      </c>
      <c r="O792" s="109" t="s">
        <v>445</v>
      </c>
      <c r="P792" s="109" t="s">
        <v>826</v>
      </c>
      <c r="Q792" s="109" t="s">
        <v>2705</v>
      </c>
      <c r="R792" s="109" t="s">
        <v>57</v>
      </c>
      <c r="S792" s="83" t="str">
        <f t="shared" si="87"/>
        <v>B1609H</v>
      </c>
      <c r="T792" s="83" t="str">
        <f t="shared" si="84"/>
        <v>LAURA II</v>
      </c>
      <c r="Y792" s="60">
        <f t="shared" si="88"/>
        <v>31</v>
      </c>
      <c r="Z792" s="49">
        <f t="shared" si="89"/>
        <v>132</v>
      </c>
      <c r="AA792" s="60">
        <f t="shared" si="90"/>
        <v>31132</v>
      </c>
    </row>
    <row r="793" spans="1:27">
      <c r="A793" s="83" t="str">
        <f t="shared" si="85"/>
        <v>B166buttercup</v>
      </c>
      <c r="B793" s="83" t="str">
        <f t="shared" si="86"/>
        <v>31-083-13</v>
      </c>
      <c r="C793" s="109" t="s">
        <v>3029</v>
      </c>
      <c r="D793" s="109" t="s">
        <v>3030</v>
      </c>
      <c r="E793" s="109" t="s">
        <v>793</v>
      </c>
      <c r="F793" s="110">
        <v>0</v>
      </c>
      <c r="G793" s="109" t="s">
        <v>965</v>
      </c>
      <c r="H793" s="109" t="s">
        <v>65</v>
      </c>
      <c r="I793" s="109" t="s">
        <v>966</v>
      </c>
      <c r="J793" s="109" t="s">
        <v>323</v>
      </c>
      <c r="K793" s="109" t="s">
        <v>387</v>
      </c>
      <c r="L793" s="109" t="s">
        <v>523</v>
      </c>
      <c r="M793" s="109" t="s">
        <v>384</v>
      </c>
      <c r="N793" s="109" t="s">
        <v>36</v>
      </c>
      <c r="O793" s="109" t="s">
        <v>386</v>
      </c>
      <c r="P793" s="109" t="s">
        <v>826</v>
      </c>
      <c r="Q793" s="109" t="s">
        <v>3031</v>
      </c>
      <c r="R793" s="109" t="s">
        <v>65</v>
      </c>
      <c r="S793" s="83" t="str">
        <f t="shared" si="87"/>
        <v>B166</v>
      </c>
      <c r="T793" s="83" t="str">
        <f t="shared" si="84"/>
        <v>CLASSIC ROLL UP</v>
      </c>
      <c r="Y793" s="60">
        <f t="shared" si="88"/>
        <v>31</v>
      </c>
      <c r="Z793" s="49">
        <f t="shared" si="89"/>
        <v>83</v>
      </c>
      <c r="AA793" s="60">
        <f t="shared" si="90"/>
        <v>31083</v>
      </c>
    </row>
    <row r="794" spans="1:27">
      <c r="A794" s="83" t="str">
        <f t="shared" si="85"/>
        <v>B880Hnavy</v>
      </c>
      <c r="B794" s="83" t="str">
        <f t="shared" si="86"/>
        <v>31-089-06</v>
      </c>
      <c r="C794" s="109" t="s">
        <v>3032</v>
      </c>
      <c r="D794" s="109" t="s">
        <v>3033</v>
      </c>
      <c r="E794" s="109" t="s">
        <v>793</v>
      </c>
      <c r="F794" s="110">
        <v>0</v>
      </c>
      <c r="G794" s="109" t="s">
        <v>2468</v>
      </c>
      <c r="H794" s="109" t="s">
        <v>71</v>
      </c>
      <c r="I794" s="109" t="s">
        <v>2469</v>
      </c>
      <c r="J794" s="109" t="s">
        <v>323</v>
      </c>
      <c r="K794" s="109" t="s">
        <v>387</v>
      </c>
      <c r="L794" s="109" t="s">
        <v>523</v>
      </c>
      <c r="M794" s="109" t="s">
        <v>384</v>
      </c>
      <c r="N794" s="109" t="s">
        <v>36</v>
      </c>
      <c r="O794" s="109" t="s">
        <v>386</v>
      </c>
      <c r="P794" s="109" t="s">
        <v>826</v>
      </c>
      <c r="Q794" s="109" t="s">
        <v>829</v>
      </c>
      <c r="R794" s="109" t="s">
        <v>71</v>
      </c>
      <c r="S794" s="83" t="str">
        <f t="shared" si="87"/>
        <v>B880H</v>
      </c>
      <c r="T794" s="83" t="str">
        <f t="shared" si="84"/>
        <v>Donna</v>
      </c>
      <c r="Y794" s="60">
        <f t="shared" si="88"/>
        <v>31</v>
      </c>
      <c r="Z794" s="49">
        <f t="shared" si="89"/>
        <v>89</v>
      </c>
      <c r="AA794" s="60">
        <f t="shared" si="90"/>
        <v>31089</v>
      </c>
    </row>
    <row r="795" spans="1:27">
      <c r="A795" s="83" t="str">
        <f t="shared" si="85"/>
        <v>PB4321raspberry</v>
      </c>
      <c r="B795" s="83" t="str">
        <f t="shared" si="86"/>
        <v>31-133-34</v>
      </c>
      <c r="C795" s="109" t="s">
        <v>3034</v>
      </c>
      <c r="D795" s="109" t="s">
        <v>3035</v>
      </c>
      <c r="E795" s="109" t="s">
        <v>786</v>
      </c>
      <c r="F795" s="110">
        <v>57</v>
      </c>
      <c r="G795" s="109" t="s">
        <v>3036</v>
      </c>
      <c r="H795" s="109" t="s">
        <v>68</v>
      </c>
      <c r="I795" s="109" t="s">
        <v>833</v>
      </c>
      <c r="J795" s="109" t="s">
        <v>323</v>
      </c>
      <c r="K795" s="109" t="s">
        <v>387</v>
      </c>
      <c r="L795" s="109" t="s">
        <v>523</v>
      </c>
      <c r="M795" s="109" t="s">
        <v>384</v>
      </c>
      <c r="O795" s="109" t="s">
        <v>539</v>
      </c>
      <c r="P795" s="109" t="s">
        <v>826</v>
      </c>
      <c r="Q795" s="109" t="s">
        <v>3037</v>
      </c>
      <c r="R795" s="109" t="s">
        <v>68</v>
      </c>
      <c r="S795" s="83" t="str">
        <f t="shared" si="87"/>
        <v>PB4321</v>
      </c>
      <c r="T795" s="83" t="str">
        <f t="shared" si="84"/>
        <v>LANNA</v>
      </c>
      <c r="Y795" s="60">
        <f t="shared" si="88"/>
        <v>31</v>
      </c>
      <c r="Z795" s="49">
        <f t="shared" si="89"/>
        <v>133</v>
      </c>
      <c r="AA795" s="60">
        <f t="shared" si="90"/>
        <v>31133</v>
      </c>
    </row>
    <row r="796" spans="1:27">
      <c r="A796" s="83" t="str">
        <f t="shared" si="85"/>
        <v>PB4321white.black</v>
      </c>
      <c r="B796" s="83" t="str">
        <f t="shared" si="86"/>
        <v>31-133-48</v>
      </c>
      <c r="C796" s="109" t="s">
        <v>3038</v>
      </c>
      <c r="D796" s="109" t="s">
        <v>3039</v>
      </c>
      <c r="E796" s="109" t="s">
        <v>793</v>
      </c>
      <c r="F796" s="110">
        <v>0</v>
      </c>
      <c r="G796" s="109" t="s">
        <v>3036</v>
      </c>
      <c r="H796" s="109" t="s">
        <v>119</v>
      </c>
      <c r="I796" s="109" t="s">
        <v>833</v>
      </c>
      <c r="J796" s="109" t="s">
        <v>323</v>
      </c>
      <c r="K796" s="109" t="s">
        <v>387</v>
      </c>
      <c r="L796" s="109" t="s">
        <v>523</v>
      </c>
      <c r="M796" s="109" t="s">
        <v>384</v>
      </c>
      <c r="O796" s="109" t="s">
        <v>386</v>
      </c>
      <c r="P796" s="109" t="s">
        <v>826</v>
      </c>
      <c r="Q796" s="109" t="s">
        <v>929</v>
      </c>
      <c r="R796" s="109" t="s">
        <v>57</v>
      </c>
      <c r="S796" s="83" t="str">
        <f t="shared" si="87"/>
        <v>PB4321</v>
      </c>
      <c r="T796" s="83" t="str">
        <f t="shared" si="84"/>
        <v>LANNA</v>
      </c>
      <c r="Y796" s="60">
        <f t="shared" si="88"/>
        <v>31</v>
      </c>
      <c r="Z796" s="49">
        <f t="shared" si="89"/>
        <v>133</v>
      </c>
      <c r="AA796" s="60">
        <f t="shared" si="90"/>
        <v>31133</v>
      </c>
    </row>
    <row r="797" spans="1:27">
      <c r="A797" s="83" t="str">
        <f t="shared" si="85"/>
        <v>PB4321white.black</v>
      </c>
      <c r="B797" s="83" t="str">
        <f t="shared" si="86"/>
        <v>31-133-48</v>
      </c>
      <c r="C797" s="109" t="s">
        <v>3040</v>
      </c>
      <c r="D797" s="109" t="s">
        <v>3039</v>
      </c>
      <c r="E797" s="109" t="s">
        <v>786</v>
      </c>
      <c r="F797" s="110">
        <v>57</v>
      </c>
      <c r="G797" s="109" t="s">
        <v>3036</v>
      </c>
      <c r="H797" s="109" t="s">
        <v>119</v>
      </c>
      <c r="I797" s="109" t="s">
        <v>833</v>
      </c>
      <c r="J797" s="109" t="s">
        <v>323</v>
      </c>
      <c r="K797" s="109" t="s">
        <v>387</v>
      </c>
      <c r="L797" s="109" t="s">
        <v>523</v>
      </c>
      <c r="M797" s="109" t="s">
        <v>384</v>
      </c>
      <c r="O797" s="109" t="s">
        <v>386</v>
      </c>
      <c r="P797" s="109" t="s">
        <v>826</v>
      </c>
      <c r="Q797" s="109" t="s">
        <v>929</v>
      </c>
      <c r="R797" s="109" t="s">
        <v>57</v>
      </c>
      <c r="S797" s="83" t="str">
        <f t="shared" si="87"/>
        <v>PB4321</v>
      </c>
      <c r="T797" s="83" t="str">
        <f t="shared" si="84"/>
        <v>LANNA</v>
      </c>
      <c r="Y797" s="60">
        <f t="shared" si="88"/>
        <v>31</v>
      </c>
      <c r="Z797" s="49">
        <f t="shared" si="89"/>
        <v>133</v>
      </c>
      <c r="AA797" s="60">
        <f t="shared" si="90"/>
        <v>31133</v>
      </c>
    </row>
    <row r="798" spans="1:27">
      <c r="A798" s="83" t="str">
        <f t="shared" si="85"/>
        <v>PB4321white</v>
      </c>
      <c r="B798" s="83" t="str">
        <f t="shared" si="86"/>
        <v>31-133-17</v>
      </c>
      <c r="C798" s="109" t="s">
        <v>3041</v>
      </c>
      <c r="D798" s="109" t="s">
        <v>3042</v>
      </c>
      <c r="E798" s="109" t="s">
        <v>786</v>
      </c>
      <c r="F798" s="110">
        <v>57</v>
      </c>
      <c r="G798" s="109" t="s">
        <v>3036</v>
      </c>
      <c r="H798" s="109" t="s">
        <v>57</v>
      </c>
      <c r="I798" s="109" t="s">
        <v>833</v>
      </c>
      <c r="J798" s="109" t="s">
        <v>323</v>
      </c>
      <c r="K798" s="109" t="s">
        <v>387</v>
      </c>
      <c r="L798" s="109" t="s">
        <v>523</v>
      </c>
      <c r="M798" s="109" t="s">
        <v>384</v>
      </c>
      <c r="O798" s="109" t="s">
        <v>539</v>
      </c>
      <c r="P798" s="109" t="s">
        <v>826</v>
      </c>
      <c r="Q798" s="109" t="s">
        <v>840</v>
      </c>
      <c r="R798" s="109" t="s">
        <v>57</v>
      </c>
      <c r="S798" s="83" t="str">
        <f t="shared" si="87"/>
        <v>PB4321</v>
      </c>
      <c r="T798" s="83" t="str">
        <f t="shared" si="84"/>
        <v>LANNA</v>
      </c>
      <c r="Y798" s="60">
        <f t="shared" si="88"/>
        <v>31</v>
      </c>
      <c r="Z798" s="49">
        <f t="shared" si="89"/>
        <v>133</v>
      </c>
      <c r="AA798" s="60">
        <f t="shared" si="90"/>
        <v>31133</v>
      </c>
    </row>
    <row r="799" spans="1:27">
      <c r="A799" s="83" t="str">
        <f t="shared" si="85"/>
        <v>PB4999black</v>
      </c>
      <c r="B799" s="83" t="str">
        <f t="shared" si="86"/>
        <v>31-134-09</v>
      </c>
      <c r="C799" s="109" t="s">
        <v>3043</v>
      </c>
      <c r="D799" s="109" t="s">
        <v>3044</v>
      </c>
      <c r="E799" s="109" t="s">
        <v>786</v>
      </c>
      <c r="F799" s="110">
        <v>57</v>
      </c>
      <c r="G799" s="109" t="s">
        <v>3045</v>
      </c>
      <c r="H799" s="109" t="s">
        <v>53</v>
      </c>
      <c r="I799" s="109" t="s">
        <v>794</v>
      </c>
      <c r="J799" s="109" t="s">
        <v>323</v>
      </c>
      <c r="K799" s="109" t="s">
        <v>387</v>
      </c>
      <c r="L799" s="109" t="s">
        <v>523</v>
      </c>
      <c r="M799" s="109" t="s">
        <v>384</v>
      </c>
      <c r="O799" s="109" t="s">
        <v>386</v>
      </c>
      <c r="P799" s="109" t="s">
        <v>826</v>
      </c>
      <c r="Q799" s="109" t="s">
        <v>831</v>
      </c>
      <c r="R799" s="109" t="s">
        <v>53</v>
      </c>
      <c r="S799" s="83" t="str">
        <f t="shared" si="87"/>
        <v>PB4999</v>
      </c>
      <c r="T799" s="83" t="str">
        <f t="shared" si="84"/>
        <v>VANESSA</v>
      </c>
      <c r="Y799" s="60">
        <f t="shared" si="88"/>
        <v>31</v>
      </c>
      <c r="Z799" s="49">
        <f t="shared" si="89"/>
        <v>134</v>
      </c>
      <c r="AA799" s="60">
        <f t="shared" si="90"/>
        <v>31134</v>
      </c>
    </row>
    <row r="800" spans="1:27">
      <c r="A800" s="83" t="str">
        <f t="shared" si="85"/>
        <v>PB4999white</v>
      </c>
      <c r="B800" s="83" t="str">
        <f t="shared" si="86"/>
        <v>31-134-17</v>
      </c>
      <c r="C800" s="109" t="s">
        <v>3046</v>
      </c>
      <c r="D800" s="109" t="s">
        <v>3047</v>
      </c>
      <c r="E800" s="109" t="s">
        <v>786</v>
      </c>
      <c r="F800" s="110">
        <v>57</v>
      </c>
      <c r="G800" s="109" t="s">
        <v>3045</v>
      </c>
      <c r="H800" s="109" t="s">
        <v>57</v>
      </c>
      <c r="I800" s="109" t="s">
        <v>794</v>
      </c>
      <c r="J800" s="109" t="s">
        <v>323</v>
      </c>
      <c r="K800" s="109" t="s">
        <v>387</v>
      </c>
      <c r="L800" s="109" t="s">
        <v>523</v>
      </c>
      <c r="M800" s="109" t="s">
        <v>384</v>
      </c>
      <c r="O800" s="109" t="s">
        <v>386</v>
      </c>
      <c r="P800" s="109" t="s">
        <v>826</v>
      </c>
      <c r="Q800" s="109" t="s">
        <v>840</v>
      </c>
      <c r="R800" s="109" t="s">
        <v>57</v>
      </c>
      <c r="S800" s="83" t="str">
        <f t="shared" si="87"/>
        <v>PB4999</v>
      </c>
      <c r="T800" s="83" t="str">
        <f t="shared" si="84"/>
        <v>VANESSA</v>
      </c>
      <c r="Y800" s="60">
        <f t="shared" si="88"/>
        <v>31</v>
      </c>
      <c r="Z800" s="49">
        <f t="shared" si="89"/>
        <v>134</v>
      </c>
      <c r="AA800" s="60">
        <f t="shared" si="90"/>
        <v>31134</v>
      </c>
    </row>
    <row r="801" spans="1:27">
      <c r="A801" s="83" t="str">
        <f t="shared" si="85"/>
        <v/>
      </c>
      <c r="B801" s="83" t="str">
        <f t="shared" si="86"/>
        <v/>
      </c>
      <c r="S801" s="83" t="str">
        <f t="shared" si="87"/>
        <v/>
      </c>
      <c r="T801" s="83" t="str">
        <f t="shared" si="84"/>
        <v/>
      </c>
      <c r="Y801" s="60">
        <f t="shared" si="88"/>
        <v>0</v>
      </c>
      <c r="Z801" s="49">
        <f t="shared" si="89"/>
        <v>0</v>
      </c>
      <c r="AA801" s="60">
        <f t="shared" si="90"/>
        <v>0</v>
      </c>
    </row>
    <row r="802" spans="1:27">
      <c r="A802" s="83" t="str">
        <f t="shared" si="85"/>
        <v/>
      </c>
      <c r="B802" s="83" t="str">
        <f t="shared" si="86"/>
        <v/>
      </c>
      <c r="S802" s="83" t="str">
        <f t="shared" si="87"/>
        <v/>
      </c>
      <c r="T802" s="83" t="str">
        <f t="shared" si="84"/>
        <v/>
      </c>
      <c r="Y802" s="60">
        <f t="shared" si="88"/>
        <v>0</v>
      </c>
      <c r="Z802" s="49">
        <f t="shared" si="89"/>
        <v>0</v>
      </c>
      <c r="AA802" s="60">
        <f t="shared" si="90"/>
        <v>0</v>
      </c>
    </row>
    <row r="803" spans="1:27">
      <c r="A803" s="83" t="str">
        <f t="shared" si="85"/>
        <v/>
      </c>
      <c r="B803" s="83" t="str">
        <f t="shared" si="86"/>
        <v/>
      </c>
      <c r="S803" s="83" t="str">
        <f t="shared" si="87"/>
        <v/>
      </c>
      <c r="T803" s="83" t="str">
        <f t="shared" si="84"/>
        <v/>
      </c>
      <c r="Y803" s="60">
        <f t="shared" si="88"/>
        <v>0</v>
      </c>
      <c r="Z803" s="49">
        <f t="shared" si="89"/>
        <v>0</v>
      </c>
      <c r="AA803" s="60">
        <f t="shared" si="90"/>
        <v>0</v>
      </c>
    </row>
    <row r="804" spans="1:27">
      <c r="A804" s="83" t="str">
        <f t="shared" si="85"/>
        <v/>
      </c>
      <c r="B804" s="83" t="str">
        <f t="shared" si="86"/>
        <v/>
      </c>
      <c r="S804" s="83" t="str">
        <f t="shared" si="87"/>
        <v/>
      </c>
      <c r="T804" s="83" t="str">
        <f t="shared" si="84"/>
        <v/>
      </c>
      <c r="Y804" s="60">
        <f t="shared" si="88"/>
        <v>0</v>
      </c>
      <c r="Z804" s="49">
        <f t="shared" si="89"/>
        <v>0</v>
      </c>
      <c r="AA804" s="60">
        <f t="shared" si="90"/>
        <v>0</v>
      </c>
    </row>
    <row r="805" spans="1:27">
      <c r="A805" s="83" t="str">
        <f t="shared" si="85"/>
        <v/>
      </c>
      <c r="B805" s="83" t="str">
        <f t="shared" si="86"/>
        <v/>
      </c>
      <c r="S805" s="83" t="str">
        <f t="shared" si="87"/>
        <v/>
      </c>
      <c r="T805" s="83" t="str">
        <f t="shared" si="84"/>
        <v/>
      </c>
      <c r="Y805" s="60">
        <f t="shared" si="88"/>
        <v>0</v>
      </c>
      <c r="Z805" s="49">
        <f t="shared" si="89"/>
        <v>0</v>
      </c>
      <c r="AA805" s="60">
        <f t="shared" si="90"/>
        <v>0</v>
      </c>
    </row>
    <row r="806" spans="1:27">
      <c r="A806" s="83" t="str">
        <f t="shared" si="85"/>
        <v/>
      </c>
      <c r="B806" s="83" t="str">
        <f t="shared" si="86"/>
        <v/>
      </c>
      <c r="S806" s="83" t="str">
        <f t="shared" si="87"/>
        <v/>
      </c>
      <c r="T806" s="83" t="str">
        <f t="shared" si="84"/>
        <v/>
      </c>
      <c r="Y806" s="60">
        <f t="shared" si="88"/>
        <v>0</v>
      </c>
      <c r="Z806" s="49">
        <f t="shared" si="89"/>
        <v>0</v>
      </c>
      <c r="AA806" s="60">
        <f t="shared" si="90"/>
        <v>0</v>
      </c>
    </row>
    <row r="807" spans="1:27">
      <c r="A807" s="83" t="str">
        <f t="shared" si="85"/>
        <v/>
      </c>
      <c r="B807" s="83" t="str">
        <f t="shared" si="86"/>
        <v/>
      </c>
      <c r="S807" s="83" t="str">
        <f t="shared" si="87"/>
        <v/>
      </c>
      <c r="T807" s="83" t="str">
        <f t="shared" si="84"/>
        <v/>
      </c>
      <c r="Y807" s="60">
        <f t="shared" si="88"/>
        <v>0</v>
      </c>
      <c r="Z807" s="49">
        <f t="shared" si="89"/>
        <v>0</v>
      </c>
      <c r="AA807" s="60">
        <f t="shared" si="90"/>
        <v>0</v>
      </c>
    </row>
    <row r="808" spans="1:27">
      <c r="A808" s="83" t="str">
        <f t="shared" si="85"/>
        <v/>
      </c>
      <c r="B808" s="83" t="str">
        <f t="shared" si="86"/>
        <v/>
      </c>
      <c r="S808" s="83" t="str">
        <f t="shared" si="87"/>
        <v/>
      </c>
      <c r="T808" s="83" t="str">
        <f t="shared" si="84"/>
        <v/>
      </c>
      <c r="Y808" s="60">
        <f t="shared" si="88"/>
        <v>0</v>
      </c>
      <c r="Z808" s="49">
        <f t="shared" si="89"/>
        <v>0</v>
      </c>
      <c r="AA808" s="60">
        <f t="shared" si="90"/>
        <v>0</v>
      </c>
    </row>
    <row r="809" spans="1:27">
      <c r="A809" s="83" t="str">
        <f t="shared" si="85"/>
        <v/>
      </c>
      <c r="B809" s="83" t="str">
        <f t="shared" si="86"/>
        <v/>
      </c>
      <c r="S809" s="83" t="str">
        <f t="shared" si="87"/>
        <v/>
      </c>
      <c r="T809" s="83" t="str">
        <f t="shared" si="84"/>
        <v/>
      </c>
      <c r="Y809" s="60">
        <f t="shared" si="88"/>
        <v>0</v>
      </c>
      <c r="Z809" s="49">
        <f t="shared" si="89"/>
        <v>0</v>
      </c>
      <c r="AA809" s="60">
        <f t="shared" si="90"/>
        <v>0</v>
      </c>
    </row>
    <row r="810" spans="1:27">
      <c r="A810" s="83" t="str">
        <f t="shared" si="85"/>
        <v/>
      </c>
      <c r="B810" s="83" t="str">
        <f t="shared" si="86"/>
        <v/>
      </c>
      <c r="S810" s="83" t="str">
        <f t="shared" si="87"/>
        <v/>
      </c>
      <c r="T810" s="83" t="str">
        <f t="shared" si="84"/>
        <v/>
      </c>
      <c r="Y810" s="60">
        <f t="shared" si="88"/>
        <v>0</v>
      </c>
      <c r="Z810" s="49">
        <f t="shared" si="89"/>
        <v>0</v>
      </c>
      <c r="AA810" s="60">
        <f t="shared" si="90"/>
        <v>0</v>
      </c>
    </row>
    <row r="811" spans="1:27">
      <c r="A811" s="83" t="str">
        <f t="shared" si="85"/>
        <v/>
      </c>
      <c r="B811" s="83" t="str">
        <f t="shared" si="86"/>
        <v/>
      </c>
      <c r="S811" s="83" t="str">
        <f t="shared" si="87"/>
        <v/>
      </c>
      <c r="T811" s="83" t="str">
        <f t="shared" si="84"/>
        <v/>
      </c>
      <c r="Y811" s="60">
        <f t="shared" si="88"/>
        <v>0</v>
      </c>
      <c r="Z811" s="49">
        <f t="shared" si="89"/>
        <v>0</v>
      </c>
      <c r="AA811" s="60">
        <f t="shared" si="90"/>
        <v>0</v>
      </c>
    </row>
    <row r="812" spans="1:27">
      <c r="A812" s="83" t="str">
        <f t="shared" si="85"/>
        <v/>
      </c>
      <c r="B812" s="83" t="str">
        <f t="shared" si="86"/>
        <v/>
      </c>
      <c r="S812" s="83" t="str">
        <f t="shared" si="87"/>
        <v/>
      </c>
      <c r="T812" s="83" t="str">
        <f t="shared" si="84"/>
        <v/>
      </c>
      <c r="Y812" s="60">
        <f t="shared" si="88"/>
        <v>0</v>
      </c>
      <c r="Z812" s="49">
        <f t="shared" si="89"/>
        <v>0</v>
      </c>
      <c r="AA812" s="60">
        <f t="shared" si="90"/>
        <v>0</v>
      </c>
    </row>
    <row r="813" spans="1:27">
      <c r="A813" s="83" t="str">
        <f t="shared" si="85"/>
        <v/>
      </c>
      <c r="B813" s="83" t="str">
        <f t="shared" si="86"/>
        <v/>
      </c>
      <c r="S813" s="83" t="str">
        <f t="shared" si="87"/>
        <v/>
      </c>
      <c r="T813" s="83" t="str">
        <f t="shared" si="84"/>
        <v/>
      </c>
      <c r="Y813" s="60">
        <f t="shared" si="88"/>
        <v>0</v>
      </c>
      <c r="Z813" s="49">
        <f t="shared" si="89"/>
        <v>0</v>
      </c>
      <c r="AA813" s="60">
        <f t="shared" si="90"/>
        <v>0</v>
      </c>
    </row>
    <row r="814" spans="1:27">
      <c r="A814" s="83" t="str">
        <f t="shared" si="85"/>
        <v/>
      </c>
      <c r="B814" s="83" t="str">
        <f t="shared" si="86"/>
        <v/>
      </c>
      <c r="S814" s="83" t="str">
        <f t="shared" si="87"/>
        <v/>
      </c>
      <c r="T814" s="83" t="str">
        <f t="shared" si="84"/>
        <v/>
      </c>
      <c r="Y814" s="60">
        <f t="shared" si="88"/>
        <v>0</v>
      </c>
      <c r="Z814" s="49">
        <f t="shared" si="89"/>
        <v>0</v>
      </c>
      <c r="AA814" s="60">
        <f t="shared" si="90"/>
        <v>0</v>
      </c>
    </row>
    <row r="815" spans="1:27">
      <c r="A815" s="83" t="str">
        <f t="shared" si="85"/>
        <v/>
      </c>
      <c r="B815" s="83" t="str">
        <f t="shared" si="86"/>
        <v/>
      </c>
      <c r="S815" s="83" t="str">
        <f t="shared" si="87"/>
        <v/>
      </c>
      <c r="T815" s="83" t="str">
        <f t="shared" si="84"/>
        <v/>
      </c>
      <c r="Y815" s="60">
        <f t="shared" si="88"/>
        <v>0</v>
      </c>
      <c r="Z815" s="49">
        <f t="shared" si="89"/>
        <v>0</v>
      </c>
      <c r="AA815" s="60">
        <f t="shared" si="90"/>
        <v>0</v>
      </c>
    </row>
    <row r="816" spans="1:27">
      <c r="A816" s="83" t="str">
        <f t="shared" si="85"/>
        <v/>
      </c>
      <c r="B816" s="83" t="str">
        <f t="shared" si="86"/>
        <v/>
      </c>
      <c r="S816" s="83" t="str">
        <f t="shared" si="87"/>
        <v/>
      </c>
      <c r="T816" s="83" t="str">
        <f t="shared" si="84"/>
        <v/>
      </c>
      <c r="Y816" s="60">
        <f t="shared" si="88"/>
        <v>0</v>
      </c>
      <c r="Z816" s="49">
        <f t="shared" si="89"/>
        <v>0</v>
      </c>
      <c r="AA816" s="60">
        <f t="shared" si="90"/>
        <v>0</v>
      </c>
    </row>
    <row r="817" spans="1:27">
      <c r="A817" s="83" t="str">
        <f t="shared" si="85"/>
        <v/>
      </c>
      <c r="B817" s="83" t="str">
        <f t="shared" si="86"/>
        <v/>
      </c>
      <c r="S817" s="83" t="str">
        <f t="shared" si="87"/>
        <v/>
      </c>
      <c r="T817" s="83" t="str">
        <f t="shared" si="84"/>
        <v/>
      </c>
      <c r="Y817" s="60">
        <f t="shared" si="88"/>
        <v>0</v>
      </c>
      <c r="Z817" s="49">
        <f t="shared" si="89"/>
        <v>0</v>
      </c>
      <c r="AA817" s="60">
        <f t="shared" si="90"/>
        <v>0</v>
      </c>
    </row>
    <row r="818" spans="1:27">
      <c r="A818" s="83" t="str">
        <f t="shared" si="85"/>
        <v/>
      </c>
      <c r="B818" s="83" t="str">
        <f t="shared" si="86"/>
        <v/>
      </c>
      <c r="S818" s="83" t="str">
        <f t="shared" si="87"/>
        <v/>
      </c>
      <c r="T818" s="83" t="str">
        <f t="shared" si="84"/>
        <v/>
      </c>
      <c r="Y818" s="60">
        <f t="shared" si="88"/>
        <v>0</v>
      </c>
      <c r="Z818" s="49">
        <f t="shared" si="89"/>
        <v>0</v>
      </c>
      <c r="AA818" s="60">
        <f t="shared" si="90"/>
        <v>0</v>
      </c>
    </row>
    <row r="819" spans="1:27">
      <c r="A819" s="83" t="str">
        <f t="shared" si="85"/>
        <v/>
      </c>
      <c r="B819" s="83" t="str">
        <f t="shared" si="86"/>
        <v/>
      </c>
      <c r="S819" s="83" t="str">
        <f t="shared" si="87"/>
        <v/>
      </c>
      <c r="T819" s="83" t="str">
        <f t="shared" si="84"/>
        <v/>
      </c>
      <c r="Y819" s="60">
        <f t="shared" si="88"/>
        <v>0</v>
      </c>
      <c r="Z819" s="49">
        <f t="shared" si="89"/>
        <v>0</v>
      </c>
      <c r="AA819" s="60">
        <f t="shared" si="90"/>
        <v>0</v>
      </c>
    </row>
    <row r="820" spans="1:27">
      <c r="A820" s="83" t="str">
        <f t="shared" si="85"/>
        <v/>
      </c>
      <c r="B820" s="83" t="str">
        <f t="shared" si="86"/>
        <v/>
      </c>
      <c r="S820" s="83" t="str">
        <f t="shared" si="87"/>
        <v/>
      </c>
      <c r="T820" s="83" t="str">
        <f t="shared" si="84"/>
        <v/>
      </c>
      <c r="Y820" s="60">
        <f t="shared" si="88"/>
        <v>0</v>
      </c>
      <c r="Z820" s="49">
        <f t="shared" si="89"/>
        <v>0</v>
      </c>
      <c r="AA820" s="60">
        <f t="shared" si="90"/>
        <v>0</v>
      </c>
    </row>
    <row r="821" spans="1:27">
      <c r="A821" s="83" t="str">
        <f t="shared" si="85"/>
        <v/>
      </c>
      <c r="B821" s="83" t="str">
        <f t="shared" si="86"/>
        <v/>
      </c>
      <c r="S821" s="83" t="str">
        <f t="shared" si="87"/>
        <v/>
      </c>
      <c r="T821" s="83" t="str">
        <f t="shared" si="84"/>
        <v/>
      </c>
      <c r="Y821" s="60">
        <f t="shared" si="88"/>
        <v>0</v>
      </c>
      <c r="Z821" s="49">
        <f t="shared" si="89"/>
        <v>0</v>
      </c>
      <c r="AA821" s="60">
        <f t="shared" si="90"/>
        <v>0</v>
      </c>
    </row>
    <row r="822" spans="1:27">
      <c r="A822" s="83" t="str">
        <f t="shared" si="85"/>
        <v/>
      </c>
      <c r="B822" s="83" t="str">
        <f t="shared" si="86"/>
        <v/>
      </c>
      <c r="S822" s="83" t="str">
        <f t="shared" si="87"/>
        <v/>
      </c>
      <c r="T822" s="83" t="str">
        <f t="shared" si="84"/>
        <v/>
      </c>
      <c r="Y822" s="60">
        <f t="shared" si="88"/>
        <v>0</v>
      </c>
      <c r="Z822" s="49">
        <f t="shared" si="89"/>
        <v>0</v>
      </c>
      <c r="AA822" s="60">
        <f t="shared" si="90"/>
        <v>0</v>
      </c>
    </row>
    <row r="823" spans="1:27">
      <c r="A823" s="83" t="str">
        <f t="shared" si="85"/>
        <v/>
      </c>
      <c r="B823" s="83" t="str">
        <f t="shared" si="86"/>
        <v/>
      </c>
      <c r="S823" s="83" t="str">
        <f t="shared" si="87"/>
        <v/>
      </c>
      <c r="T823" s="83" t="str">
        <f t="shared" si="84"/>
        <v/>
      </c>
      <c r="Y823" s="60">
        <f t="shared" si="88"/>
        <v>0</v>
      </c>
      <c r="Z823" s="49">
        <f t="shared" si="89"/>
        <v>0</v>
      </c>
      <c r="AA823" s="60">
        <f t="shared" si="90"/>
        <v>0</v>
      </c>
    </row>
    <row r="824" spans="1:27">
      <c r="A824" s="83" t="str">
        <f t="shared" si="85"/>
        <v/>
      </c>
      <c r="B824" s="83" t="str">
        <f t="shared" si="86"/>
        <v/>
      </c>
      <c r="S824" s="83" t="str">
        <f t="shared" si="87"/>
        <v/>
      </c>
      <c r="T824" s="83" t="str">
        <f t="shared" si="84"/>
        <v/>
      </c>
      <c r="Y824" s="60">
        <f t="shared" si="88"/>
        <v>0</v>
      </c>
      <c r="Z824" s="49">
        <f t="shared" si="89"/>
        <v>0</v>
      </c>
      <c r="AA824" s="60">
        <f t="shared" si="90"/>
        <v>0</v>
      </c>
    </row>
    <row r="825" spans="1:27">
      <c r="A825" s="83" t="str">
        <f t="shared" si="85"/>
        <v/>
      </c>
      <c r="B825" s="83" t="str">
        <f t="shared" si="86"/>
        <v/>
      </c>
      <c r="S825" s="83" t="str">
        <f t="shared" si="87"/>
        <v/>
      </c>
      <c r="T825" s="83" t="str">
        <f t="shared" si="84"/>
        <v/>
      </c>
      <c r="Y825" s="60">
        <f t="shared" si="88"/>
        <v>0</v>
      </c>
      <c r="Z825" s="49">
        <f t="shared" si="89"/>
        <v>0</v>
      </c>
      <c r="AA825" s="60">
        <f t="shared" si="90"/>
        <v>0</v>
      </c>
    </row>
    <row r="826" spans="1:27">
      <c r="A826" s="83" t="str">
        <f t="shared" si="85"/>
        <v/>
      </c>
      <c r="B826" s="83" t="str">
        <f t="shared" si="86"/>
        <v/>
      </c>
      <c r="S826" s="83" t="str">
        <f t="shared" si="87"/>
        <v/>
      </c>
      <c r="T826" s="83" t="str">
        <f t="shared" si="84"/>
        <v/>
      </c>
      <c r="Y826" s="60">
        <f t="shared" si="88"/>
        <v>0</v>
      </c>
      <c r="Z826" s="49">
        <f t="shared" si="89"/>
        <v>0</v>
      </c>
      <c r="AA826" s="60">
        <f t="shared" si="90"/>
        <v>0</v>
      </c>
    </row>
    <row r="827" spans="1:27">
      <c r="A827" s="83" t="str">
        <f t="shared" si="85"/>
        <v/>
      </c>
      <c r="B827" s="83" t="str">
        <f t="shared" si="86"/>
        <v/>
      </c>
      <c r="S827" s="83" t="str">
        <f t="shared" si="87"/>
        <v/>
      </c>
      <c r="T827" s="83" t="str">
        <f t="shared" si="84"/>
        <v/>
      </c>
      <c r="Y827" s="60">
        <f t="shared" si="88"/>
        <v>0</v>
      </c>
      <c r="Z827" s="49">
        <f t="shared" si="89"/>
        <v>0</v>
      </c>
      <c r="AA827" s="60">
        <f t="shared" si="90"/>
        <v>0</v>
      </c>
    </row>
    <row r="828" spans="1:27">
      <c r="A828" s="83" t="str">
        <f t="shared" si="85"/>
        <v/>
      </c>
      <c r="B828" s="83" t="str">
        <f t="shared" si="86"/>
        <v/>
      </c>
      <c r="S828" s="83" t="str">
        <f t="shared" si="87"/>
        <v/>
      </c>
      <c r="T828" s="83" t="str">
        <f t="shared" si="84"/>
        <v/>
      </c>
      <c r="Y828" s="60">
        <f t="shared" si="88"/>
        <v>0</v>
      </c>
      <c r="Z828" s="49">
        <f t="shared" si="89"/>
        <v>0</v>
      </c>
      <c r="AA828" s="60">
        <f t="shared" si="90"/>
        <v>0</v>
      </c>
    </row>
    <row r="829" spans="1:27">
      <c r="A829" s="83" t="str">
        <f t="shared" si="85"/>
        <v/>
      </c>
      <c r="B829" s="83" t="str">
        <f t="shared" si="86"/>
        <v/>
      </c>
      <c r="S829" s="83" t="str">
        <f t="shared" si="87"/>
        <v/>
      </c>
      <c r="T829" s="83" t="str">
        <f t="shared" si="84"/>
        <v/>
      </c>
      <c r="Y829" s="60">
        <f t="shared" si="88"/>
        <v>0</v>
      </c>
      <c r="Z829" s="49">
        <f t="shared" si="89"/>
        <v>0</v>
      </c>
      <c r="AA829" s="60">
        <f t="shared" si="90"/>
        <v>0</v>
      </c>
    </row>
    <row r="830" spans="1:27">
      <c r="A830" s="83" t="str">
        <f t="shared" si="85"/>
        <v/>
      </c>
      <c r="B830" s="83" t="str">
        <f t="shared" si="86"/>
        <v/>
      </c>
      <c r="S830" s="83" t="str">
        <f t="shared" si="87"/>
        <v/>
      </c>
      <c r="T830" s="83" t="str">
        <f t="shared" si="84"/>
        <v/>
      </c>
      <c r="Y830" s="60">
        <f t="shared" si="88"/>
        <v>0</v>
      </c>
      <c r="Z830" s="49">
        <f t="shared" si="89"/>
        <v>0</v>
      </c>
      <c r="AA830" s="60">
        <f t="shared" si="90"/>
        <v>0</v>
      </c>
    </row>
    <row r="831" spans="1:27">
      <c r="A831" s="83" t="str">
        <f t="shared" si="85"/>
        <v/>
      </c>
      <c r="B831" s="83" t="str">
        <f t="shared" si="86"/>
        <v/>
      </c>
      <c r="S831" s="83" t="str">
        <f t="shared" si="87"/>
        <v/>
      </c>
      <c r="T831" s="83" t="str">
        <f t="shared" si="84"/>
        <v/>
      </c>
      <c r="Y831" s="60">
        <f t="shared" si="88"/>
        <v>0</v>
      </c>
      <c r="Z831" s="49">
        <f t="shared" si="89"/>
        <v>0</v>
      </c>
      <c r="AA831" s="60">
        <f t="shared" si="90"/>
        <v>0</v>
      </c>
    </row>
    <row r="832" spans="1:27">
      <c r="A832" s="83" t="str">
        <f t="shared" si="85"/>
        <v/>
      </c>
      <c r="B832" s="83" t="str">
        <f t="shared" si="86"/>
        <v/>
      </c>
      <c r="S832" s="83" t="str">
        <f t="shared" si="87"/>
        <v/>
      </c>
      <c r="T832" s="83" t="str">
        <f t="shared" si="84"/>
        <v/>
      </c>
      <c r="Y832" s="60">
        <f t="shared" si="88"/>
        <v>0</v>
      </c>
      <c r="Z832" s="49">
        <f t="shared" si="89"/>
        <v>0</v>
      </c>
      <c r="AA832" s="60">
        <f t="shared" si="90"/>
        <v>0</v>
      </c>
    </row>
    <row r="833" spans="1:27">
      <c r="A833" s="83" t="str">
        <f t="shared" si="85"/>
        <v/>
      </c>
      <c r="B833" s="83" t="str">
        <f t="shared" si="86"/>
        <v/>
      </c>
      <c r="S833" s="83" t="str">
        <f t="shared" si="87"/>
        <v/>
      </c>
      <c r="T833" s="83" t="str">
        <f t="shared" si="84"/>
        <v/>
      </c>
      <c r="Y833" s="60">
        <f t="shared" si="88"/>
        <v>0</v>
      </c>
      <c r="Z833" s="49">
        <f t="shared" si="89"/>
        <v>0</v>
      </c>
      <c r="AA833" s="60">
        <f t="shared" si="90"/>
        <v>0</v>
      </c>
    </row>
    <row r="834" spans="1:27">
      <c r="A834" s="83" t="str">
        <f t="shared" si="85"/>
        <v/>
      </c>
      <c r="B834" s="83" t="str">
        <f t="shared" si="86"/>
        <v/>
      </c>
      <c r="S834" s="83" t="str">
        <f t="shared" si="87"/>
        <v/>
      </c>
      <c r="T834" s="83" t="str">
        <f t="shared" ref="T834:T897" si="91">IF(A834&lt;&gt;"",IF(FIND(" ",G834)&gt;=1,MID(G834,FIND(" ",G834)+1,LEN(G834)),""),"")</f>
        <v/>
      </c>
      <c r="Y834" s="60">
        <f t="shared" si="88"/>
        <v>0</v>
      </c>
      <c r="Z834" s="49">
        <f t="shared" si="89"/>
        <v>0</v>
      </c>
      <c r="AA834" s="60">
        <f t="shared" si="90"/>
        <v>0</v>
      </c>
    </row>
    <row r="835" spans="1:27">
      <c r="A835" s="83" t="str">
        <f t="shared" ref="A835:A898" si="92">IF(G835&amp;Q835&lt;&gt;"",S835&amp;Q835,"")</f>
        <v/>
      </c>
      <c r="B835" s="83" t="str">
        <f t="shared" ref="B835:B898" si="93">IF(C835&lt;&gt;"",LEFT(C835,9),"")</f>
        <v/>
      </c>
      <c r="S835" s="83" t="str">
        <f t="shared" ref="S835:S898" si="94">IF(G835&lt;&gt;"",IF(FIND(" ",G835)&gt;=1,MID(G835,1,FIND(" ",G835)-1),G835),"")</f>
        <v/>
      </c>
      <c r="T835" s="83" t="str">
        <f t="shared" si="91"/>
        <v/>
      </c>
      <c r="Y835" s="60">
        <f t="shared" ref="Y835:Y898" si="95">IFERROR(VALUE(MID($C835,1,2)),0)</f>
        <v>0</v>
      </c>
      <c r="Z835" s="49">
        <f t="shared" ref="Z835:Z898" si="96">IFERROR(VALUE(MID($C835,4,3)),0)</f>
        <v>0</v>
      </c>
      <c r="AA835" s="60">
        <f t="shared" ref="AA835:AA898" si="97">VALUE(RIGHT("00"&amp;Y835,2)&amp;RIGHT("000"&amp;Z835,3))</f>
        <v>0</v>
      </c>
    </row>
    <row r="836" spans="1:27">
      <c r="A836" s="83" t="str">
        <f t="shared" si="92"/>
        <v/>
      </c>
      <c r="B836" s="83" t="str">
        <f t="shared" si="93"/>
        <v/>
      </c>
      <c r="S836" s="83" t="str">
        <f t="shared" si="94"/>
        <v/>
      </c>
      <c r="T836" s="83" t="str">
        <f t="shared" si="91"/>
        <v/>
      </c>
      <c r="Y836" s="60">
        <f t="shared" si="95"/>
        <v>0</v>
      </c>
      <c r="Z836" s="49">
        <f t="shared" si="96"/>
        <v>0</v>
      </c>
      <c r="AA836" s="60">
        <f t="shared" si="97"/>
        <v>0</v>
      </c>
    </row>
    <row r="837" spans="1:27">
      <c r="A837" s="83" t="str">
        <f t="shared" si="92"/>
        <v/>
      </c>
      <c r="B837" s="83" t="str">
        <f t="shared" si="93"/>
        <v/>
      </c>
      <c r="S837" s="83" t="str">
        <f t="shared" si="94"/>
        <v/>
      </c>
      <c r="T837" s="83" t="str">
        <f t="shared" si="91"/>
        <v/>
      </c>
      <c r="Y837" s="60">
        <f t="shared" si="95"/>
        <v>0</v>
      </c>
      <c r="Z837" s="49">
        <f t="shared" si="96"/>
        <v>0</v>
      </c>
      <c r="AA837" s="60">
        <f t="shared" si="97"/>
        <v>0</v>
      </c>
    </row>
    <row r="838" spans="1:27">
      <c r="A838" s="83" t="str">
        <f t="shared" si="92"/>
        <v/>
      </c>
      <c r="B838" s="83" t="str">
        <f t="shared" si="93"/>
        <v/>
      </c>
      <c r="S838" s="83" t="str">
        <f t="shared" si="94"/>
        <v/>
      </c>
      <c r="T838" s="83" t="str">
        <f t="shared" si="91"/>
        <v/>
      </c>
      <c r="Y838" s="60">
        <f t="shared" si="95"/>
        <v>0</v>
      </c>
      <c r="Z838" s="49">
        <f t="shared" si="96"/>
        <v>0</v>
      </c>
      <c r="AA838" s="60">
        <f t="shared" si="97"/>
        <v>0</v>
      </c>
    </row>
    <row r="839" spans="1:27">
      <c r="A839" s="83" t="str">
        <f t="shared" si="92"/>
        <v/>
      </c>
      <c r="B839" s="83" t="str">
        <f t="shared" si="93"/>
        <v/>
      </c>
      <c r="S839" s="83" t="str">
        <f t="shared" si="94"/>
        <v/>
      </c>
      <c r="T839" s="83" t="str">
        <f t="shared" si="91"/>
        <v/>
      </c>
      <c r="Y839" s="60">
        <f t="shared" si="95"/>
        <v>0</v>
      </c>
      <c r="Z839" s="49">
        <f t="shared" si="96"/>
        <v>0</v>
      </c>
      <c r="AA839" s="60">
        <f t="shared" si="97"/>
        <v>0</v>
      </c>
    </row>
    <row r="840" spans="1:27">
      <c r="A840" s="83" t="str">
        <f t="shared" si="92"/>
        <v/>
      </c>
      <c r="B840" s="83" t="str">
        <f t="shared" si="93"/>
        <v/>
      </c>
      <c r="S840" s="83" t="str">
        <f t="shared" si="94"/>
        <v/>
      </c>
      <c r="T840" s="83" t="str">
        <f t="shared" si="91"/>
        <v/>
      </c>
      <c r="Y840" s="60">
        <f t="shared" si="95"/>
        <v>0</v>
      </c>
      <c r="Z840" s="49">
        <f t="shared" si="96"/>
        <v>0</v>
      </c>
      <c r="AA840" s="60">
        <f t="shared" si="97"/>
        <v>0</v>
      </c>
    </row>
    <row r="841" spans="1:27">
      <c r="A841" s="83" t="str">
        <f t="shared" si="92"/>
        <v/>
      </c>
      <c r="B841" s="83" t="str">
        <f t="shared" si="93"/>
        <v/>
      </c>
      <c r="S841" s="83" t="str">
        <f t="shared" si="94"/>
        <v/>
      </c>
      <c r="T841" s="83" t="str">
        <f t="shared" si="91"/>
        <v/>
      </c>
      <c r="Y841" s="60">
        <f t="shared" si="95"/>
        <v>0</v>
      </c>
      <c r="Z841" s="49">
        <f t="shared" si="96"/>
        <v>0</v>
      </c>
      <c r="AA841" s="60">
        <f t="shared" si="97"/>
        <v>0</v>
      </c>
    </row>
    <row r="842" spans="1:27">
      <c r="A842" s="83" t="str">
        <f t="shared" si="92"/>
        <v/>
      </c>
      <c r="B842" s="83" t="str">
        <f t="shared" si="93"/>
        <v/>
      </c>
      <c r="S842" s="83" t="str">
        <f t="shared" si="94"/>
        <v/>
      </c>
      <c r="T842" s="83" t="str">
        <f t="shared" si="91"/>
        <v/>
      </c>
      <c r="Y842" s="60">
        <f t="shared" si="95"/>
        <v>0</v>
      </c>
      <c r="Z842" s="49">
        <f t="shared" si="96"/>
        <v>0</v>
      </c>
      <c r="AA842" s="60">
        <f t="shared" si="97"/>
        <v>0</v>
      </c>
    </row>
    <row r="843" spans="1:27">
      <c r="A843" s="83" t="str">
        <f t="shared" si="92"/>
        <v/>
      </c>
      <c r="B843" s="83" t="str">
        <f t="shared" si="93"/>
        <v/>
      </c>
      <c r="S843" s="83" t="str">
        <f t="shared" si="94"/>
        <v/>
      </c>
      <c r="T843" s="83" t="str">
        <f t="shared" si="91"/>
        <v/>
      </c>
      <c r="Y843" s="60">
        <f t="shared" si="95"/>
        <v>0</v>
      </c>
      <c r="Z843" s="49">
        <f t="shared" si="96"/>
        <v>0</v>
      </c>
      <c r="AA843" s="60">
        <f t="shared" si="97"/>
        <v>0</v>
      </c>
    </row>
    <row r="844" spans="1:27">
      <c r="A844" s="83" t="str">
        <f t="shared" si="92"/>
        <v/>
      </c>
      <c r="B844" s="83" t="str">
        <f t="shared" si="93"/>
        <v/>
      </c>
      <c r="S844" s="83" t="str">
        <f t="shared" si="94"/>
        <v/>
      </c>
      <c r="T844" s="83" t="str">
        <f t="shared" si="91"/>
        <v/>
      </c>
      <c r="Y844" s="60">
        <f t="shared" si="95"/>
        <v>0</v>
      </c>
      <c r="Z844" s="49">
        <f t="shared" si="96"/>
        <v>0</v>
      </c>
      <c r="AA844" s="60">
        <f t="shared" si="97"/>
        <v>0</v>
      </c>
    </row>
    <row r="845" spans="1:27">
      <c r="A845" s="83" t="str">
        <f t="shared" si="92"/>
        <v/>
      </c>
      <c r="B845" s="83" t="str">
        <f t="shared" si="93"/>
        <v/>
      </c>
      <c r="S845" s="83" t="str">
        <f t="shared" si="94"/>
        <v/>
      </c>
      <c r="T845" s="83" t="str">
        <f t="shared" si="91"/>
        <v/>
      </c>
      <c r="Y845" s="60">
        <f t="shared" si="95"/>
        <v>0</v>
      </c>
      <c r="Z845" s="49">
        <f t="shared" si="96"/>
        <v>0</v>
      </c>
      <c r="AA845" s="60">
        <f t="shared" si="97"/>
        <v>0</v>
      </c>
    </row>
    <row r="846" spans="1:27">
      <c r="A846" s="83" t="str">
        <f t="shared" si="92"/>
        <v/>
      </c>
      <c r="B846" s="83" t="str">
        <f t="shared" si="93"/>
        <v/>
      </c>
      <c r="S846" s="83" t="str">
        <f t="shared" si="94"/>
        <v/>
      </c>
      <c r="T846" s="83" t="str">
        <f t="shared" si="91"/>
        <v/>
      </c>
      <c r="Y846" s="60">
        <f t="shared" si="95"/>
        <v>0</v>
      </c>
      <c r="Z846" s="49">
        <f t="shared" si="96"/>
        <v>0</v>
      </c>
      <c r="AA846" s="60">
        <f t="shared" si="97"/>
        <v>0</v>
      </c>
    </row>
    <row r="847" spans="1:27">
      <c r="A847" s="83" t="str">
        <f t="shared" si="92"/>
        <v/>
      </c>
      <c r="B847" s="83" t="str">
        <f t="shared" si="93"/>
        <v/>
      </c>
      <c r="S847" s="83" t="str">
        <f t="shared" si="94"/>
        <v/>
      </c>
      <c r="T847" s="83" t="str">
        <f t="shared" si="91"/>
        <v/>
      </c>
      <c r="Y847" s="60">
        <f t="shared" si="95"/>
        <v>0</v>
      </c>
      <c r="Z847" s="49">
        <f t="shared" si="96"/>
        <v>0</v>
      </c>
      <c r="AA847" s="60">
        <f t="shared" si="97"/>
        <v>0</v>
      </c>
    </row>
    <row r="848" spans="1:27">
      <c r="A848" s="83" t="str">
        <f t="shared" si="92"/>
        <v/>
      </c>
      <c r="B848" s="83" t="str">
        <f t="shared" si="93"/>
        <v/>
      </c>
      <c r="S848" s="83" t="str">
        <f t="shared" si="94"/>
        <v/>
      </c>
      <c r="T848" s="83" t="str">
        <f t="shared" si="91"/>
        <v/>
      </c>
      <c r="Y848" s="60">
        <f t="shared" si="95"/>
        <v>0</v>
      </c>
      <c r="Z848" s="49">
        <f t="shared" si="96"/>
        <v>0</v>
      </c>
      <c r="AA848" s="60">
        <f t="shared" si="97"/>
        <v>0</v>
      </c>
    </row>
    <row r="849" spans="1:27">
      <c r="A849" s="83" t="str">
        <f t="shared" si="92"/>
        <v/>
      </c>
      <c r="B849" s="83" t="str">
        <f t="shared" si="93"/>
        <v/>
      </c>
      <c r="S849" s="83" t="str">
        <f t="shared" si="94"/>
        <v/>
      </c>
      <c r="T849" s="83" t="str">
        <f t="shared" si="91"/>
        <v/>
      </c>
      <c r="Y849" s="60">
        <f t="shared" si="95"/>
        <v>0</v>
      </c>
      <c r="Z849" s="49">
        <f t="shared" si="96"/>
        <v>0</v>
      </c>
      <c r="AA849" s="60">
        <f t="shared" si="97"/>
        <v>0</v>
      </c>
    </row>
    <row r="850" spans="1:27">
      <c r="A850" s="83" t="str">
        <f t="shared" si="92"/>
        <v/>
      </c>
      <c r="B850" s="83" t="str">
        <f t="shared" si="93"/>
        <v/>
      </c>
      <c r="S850" s="83" t="str">
        <f t="shared" si="94"/>
        <v/>
      </c>
      <c r="T850" s="83" t="str">
        <f t="shared" si="91"/>
        <v/>
      </c>
      <c r="Y850" s="60">
        <f t="shared" si="95"/>
        <v>0</v>
      </c>
      <c r="Z850" s="49">
        <f t="shared" si="96"/>
        <v>0</v>
      </c>
      <c r="AA850" s="60">
        <f t="shared" si="97"/>
        <v>0</v>
      </c>
    </row>
    <row r="851" spans="1:27">
      <c r="A851" s="83" t="str">
        <f t="shared" si="92"/>
        <v/>
      </c>
      <c r="B851" s="83" t="str">
        <f t="shared" si="93"/>
        <v/>
      </c>
      <c r="S851" s="83" t="str">
        <f t="shared" si="94"/>
        <v/>
      </c>
      <c r="T851" s="83" t="str">
        <f t="shared" si="91"/>
        <v/>
      </c>
      <c r="Y851" s="60">
        <f t="shared" si="95"/>
        <v>0</v>
      </c>
      <c r="Z851" s="49">
        <f t="shared" si="96"/>
        <v>0</v>
      </c>
      <c r="AA851" s="60">
        <f t="shared" si="97"/>
        <v>0</v>
      </c>
    </row>
    <row r="852" spans="1:27">
      <c r="A852" s="83" t="str">
        <f t="shared" si="92"/>
        <v/>
      </c>
      <c r="B852" s="83" t="str">
        <f t="shared" si="93"/>
        <v/>
      </c>
      <c r="S852" s="83" t="str">
        <f t="shared" si="94"/>
        <v/>
      </c>
      <c r="T852" s="83" t="str">
        <f t="shared" si="91"/>
        <v/>
      </c>
      <c r="Y852" s="60">
        <f t="shared" si="95"/>
        <v>0</v>
      </c>
      <c r="Z852" s="49">
        <f t="shared" si="96"/>
        <v>0</v>
      </c>
      <c r="AA852" s="60">
        <f t="shared" si="97"/>
        <v>0</v>
      </c>
    </row>
    <row r="853" spans="1:27">
      <c r="A853" s="83" t="str">
        <f t="shared" si="92"/>
        <v/>
      </c>
      <c r="B853" s="83" t="str">
        <f t="shared" si="93"/>
        <v/>
      </c>
      <c r="S853" s="83" t="str">
        <f t="shared" si="94"/>
        <v/>
      </c>
      <c r="T853" s="83" t="str">
        <f t="shared" si="91"/>
        <v/>
      </c>
      <c r="Y853" s="60">
        <f t="shared" si="95"/>
        <v>0</v>
      </c>
      <c r="Z853" s="49">
        <f t="shared" si="96"/>
        <v>0</v>
      </c>
      <c r="AA853" s="60">
        <f t="shared" si="97"/>
        <v>0</v>
      </c>
    </row>
    <row r="854" spans="1:27">
      <c r="A854" s="83" t="str">
        <f t="shared" si="92"/>
        <v/>
      </c>
      <c r="B854" s="83" t="str">
        <f t="shared" si="93"/>
        <v/>
      </c>
      <c r="S854" s="83" t="str">
        <f t="shared" si="94"/>
        <v/>
      </c>
      <c r="T854" s="83" t="str">
        <f t="shared" si="91"/>
        <v/>
      </c>
      <c r="Y854" s="60">
        <f t="shared" si="95"/>
        <v>0</v>
      </c>
      <c r="Z854" s="49">
        <f t="shared" si="96"/>
        <v>0</v>
      </c>
      <c r="AA854" s="60">
        <f t="shared" si="97"/>
        <v>0</v>
      </c>
    </row>
    <row r="855" spans="1:27">
      <c r="A855" s="83" t="str">
        <f t="shared" si="92"/>
        <v/>
      </c>
      <c r="B855" s="83" t="str">
        <f t="shared" si="93"/>
        <v/>
      </c>
      <c r="S855" s="83" t="str">
        <f t="shared" si="94"/>
        <v/>
      </c>
      <c r="T855" s="83" t="str">
        <f t="shared" si="91"/>
        <v/>
      </c>
      <c r="Y855" s="60">
        <f t="shared" si="95"/>
        <v>0</v>
      </c>
      <c r="Z855" s="49">
        <f t="shared" si="96"/>
        <v>0</v>
      </c>
      <c r="AA855" s="60">
        <f t="shared" si="97"/>
        <v>0</v>
      </c>
    </row>
    <row r="856" spans="1:27">
      <c r="A856" s="83" t="str">
        <f t="shared" si="92"/>
        <v/>
      </c>
      <c r="B856" s="83" t="str">
        <f t="shared" si="93"/>
        <v/>
      </c>
      <c r="S856" s="83" t="str">
        <f t="shared" si="94"/>
        <v/>
      </c>
      <c r="T856" s="83" t="str">
        <f t="shared" si="91"/>
        <v/>
      </c>
      <c r="Y856" s="60">
        <f t="shared" si="95"/>
        <v>0</v>
      </c>
      <c r="Z856" s="49">
        <f t="shared" si="96"/>
        <v>0</v>
      </c>
      <c r="AA856" s="60">
        <f t="shared" si="97"/>
        <v>0</v>
      </c>
    </row>
    <row r="857" spans="1:27">
      <c r="A857" s="83" t="str">
        <f t="shared" si="92"/>
        <v/>
      </c>
      <c r="B857" s="83" t="str">
        <f t="shared" si="93"/>
        <v/>
      </c>
      <c r="S857" s="83" t="str">
        <f t="shared" si="94"/>
        <v/>
      </c>
      <c r="T857" s="83" t="str">
        <f t="shared" si="91"/>
        <v/>
      </c>
      <c r="Y857" s="60">
        <f t="shared" si="95"/>
        <v>0</v>
      </c>
      <c r="Z857" s="49">
        <f t="shared" si="96"/>
        <v>0</v>
      </c>
      <c r="AA857" s="60">
        <f t="shared" si="97"/>
        <v>0</v>
      </c>
    </row>
    <row r="858" spans="1:27">
      <c r="A858" s="83" t="str">
        <f t="shared" si="92"/>
        <v/>
      </c>
      <c r="B858" s="83" t="str">
        <f t="shared" si="93"/>
        <v/>
      </c>
      <c r="S858" s="83" t="str">
        <f t="shared" si="94"/>
        <v/>
      </c>
      <c r="T858" s="83" t="str">
        <f t="shared" si="91"/>
        <v/>
      </c>
      <c r="Y858" s="60">
        <f t="shared" si="95"/>
        <v>0</v>
      </c>
      <c r="Z858" s="49">
        <f t="shared" si="96"/>
        <v>0</v>
      </c>
      <c r="AA858" s="60">
        <f t="shared" si="97"/>
        <v>0</v>
      </c>
    </row>
    <row r="859" spans="1:27">
      <c r="A859" s="83" t="str">
        <f t="shared" si="92"/>
        <v/>
      </c>
      <c r="B859" s="83" t="str">
        <f t="shared" si="93"/>
        <v/>
      </c>
      <c r="S859" s="83" t="str">
        <f t="shared" si="94"/>
        <v/>
      </c>
      <c r="T859" s="83" t="str">
        <f t="shared" si="91"/>
        <v/>
      </c>
      <c r="Y859" s="60">
        <f t="shared" si="95"/>
        <v>0</v>
      </c>
      <c r="Z859" s="49">
        <f t="shared" si="96"/>
        <v>0</v>
      </c>
      <c r="AA859" s="60">
        <f t="shared" si="97"/>
        <v>0</v>
      </c>
    </row>
    <row r="860" spans="1:27">
      <c r="A860" s="83" t="str">
        <f t="shared" si="92"/>
        <v/>
      </c>
      <c r="B860" s="83" t="str">
        <f t="shared" si="93"/>
        <v/>
      </c>
      <c r="S860" s="83" t="str">
        <f t="shared" si="94"/>
        <v/>
      </c>
      <c r="T860" s="83" t="str">
        <f t="shared" si="91"/>
        <v/>
      </c>
      <c r="Y860" s="60">
        <f t="shared" si="95"/>
        <v>0</v>
      </c>
      <c r="Z860" s="49">
        <f t="shared" si="96"/>
        <v>0</v>
      </c>
      <c r="AA860" s="60">
        <f t="shared" si="97"/>
        <v>0</v>
      </c>
    </row>
    <row r="861" spans="1:27">
      <c r="A861" s="83" t="str">
        <f t="shared" si="92"/>
        <v/>
      </c>
      <c r="B861" s="83" t="str">
        <f t="shared" si="93"/>
        <v/>
      </c>
      <c r="S861" s="83" t="str">
        <f t="shared" si="94"/>
        <v/>
      </c>
      <c r="T861" s="83" t="str">
        <f t="shared" si="91"/>
        <v/>
      </c>
      <c r="Y861" s="60">
        <f t="shared" si="95"/>
        <v>0</v>
      </c>
      <c r="Z861" s="49">
        <f t="shared" si="96"/>
        <v>0</v>
      </c>
      <c r="AA861" s="60">
        <f t="shared" si="97"/>
        <v>0</v>
      </c>
    </row>
    <row r="862" spans="1:27">
      <c r="A862" s="83" t="str">
        <f t="shared" si="92"/>
        <v/>
      </c>
      <c r="B862" s="83" t="str">
        <f t="shared" si="93"/>
        <v/>
      </c>
      <c r="S862" s="83" t="str">
        <f t="shared" si="94"/>
        <v/>
      </c>
      <c r="T862" s="83" t="str">
        <f t="shared" si="91"/>
        <v/>
      </c>
      <c r="Y862" s="60">
        <f t="shared" si="95"/>
        <v>0</v>
      </c>
      <c r="Z862" s="49">
        <f t="shared" si="96"/>
        <v>0</v>
      </c>
      <c r="AA862" s="60">
        <f t="shared" si="97"/>
        <v>0</v>
      </c>
    </row>
    <row r="863" spans="1:27">
      <c r="A863" s="83" t="str">
        <f t="shared" si="92"/>
        <v/>
      </c>
      <c r="B863" s="83" t="str">
        <f t="shared" si="93"/>
        <v/>
      </c>
      <c r="S863" s="83" t="str">
        <f t="shared" si="94"/>
        <v/>
      </c>
      <c r="T863" s="83" t="str">
        <f t="shared" si="91"/>
        <v/>
      </c>
      <c r="Y863" s="60">
        <f t="shared" si="95"/>
        <v>0</v>
      </c>
      <c r="Z863" s="49">
        <f t="shared" si="96"/>
        <v>0</v>
      </c>
      <c r="AA863" s="60">
        <f t="shared" si="97"/>
        <v>0</v>
      </c>
    </row>
    <row r="864" spans="1:27">
      <c r="A864" s="83" t="str">
        <f t="shared" si="92"/>
        <v/>
      </c>
      <c r="B864" s="83" t="str">
        <f t="shared" si="93"/>
        <v/>
      </c>
      <c r="S864" s="83" t="str">
        <f t="shared" si="94"/>
        <v/>
      </c>
      <c r="T864" s="83" t="str">
        <f t="shared" si="91"/>
        <v/>
      </c>
      <c r="Y864" s="60">
        <f t="shared" si="95"/>
        <v>0</v>
      </c>
      <c r="Z864" s="49">
        <f t="shared" si="96"/>
        <v>0</v>
      </c>
      <c r="AA864" s="60">
        <f t="shared" si="97"/>
        <v>0</v>
      </c>
    </row>
    <row r="865" spans="1:27">
      <c r="A865" s="83" t="str">
        <f t="shared" si="92"/>
        <v/>
      </c>
      <c r="B865" s="83" t="str">
        <f t="shared" si="93"/>
        <v/>
      </c>
      <c r="S865" s="83" t="str">
        <f t="shared" si="94"/>
        <v/>
      </c>
      <c r="T865" s="83" t="str">
        <f t="shared" si="91"/>
        <v/>
      </c>
      <c r="Y865" s="60">
        <f t="shared" si="95"/>
        <v>0</v>
      </c>
      <c r="Z865" s="49">
        <f t="shared" si="96"/>
        <v>0</v>
      </c>
      <c r="AA865" s="60">
        <f t="shared" si="97"/>
        <v>0</v>
      </c>
    </row>
    <row r="866" spans="1:27">
      <c r="A866" s="83" t="str">
        <f t="shared" si="92"/>
        <v/>
      </c>
      <c r="B866" s="83" t="str">
        <f t="shared" si="93"/>
        <v/>
      </c>
      <c r="S866" s="83" t="str">
        <f t="shared" si="94"/>
        <v/>
      </c>
      <c r="T866" s="83" t="str">
        <f t="shared" si="91"/>
        <v/>
      </c>
      <c r="Y866" s="60">
        <f t="shared" si="95"/>
        <v>0</v>
      </c>
      <c r="Z866" s="49">
        <f t="shared" si="96"/>
        <v>0</v>
      </c>
      <c r="AA866" s="60">
        <f t="shared" si="97"/>
        <v>0</v>
      </c>
    </row>
    <row r="867" spans="1:27">
      <c r="A867" s="83" t="str">
        <f t="shared" si="92"/>
        <v/>
      </c>
      <c r="B867" s="83" t="str">
        <f t="shared" si="93"/>
        <v/>
      </c>
      <c r="S867" s="83" t="str">
        <f t="shared" si="94"/>
        <v/>
      </c>
      <c r="T867" s="83" t="str">
        <f t="shared" si="91"/>
        <v/>
      </c>
      <c r="Y867" s="60">
        <f t="shared" si="95"/>
        <v>0</v>
      </c>
      <c r="Z867" s="49">
        <f t="shared" si="96"/>
        <v>0</v>
      </c>
      <c r="AA867" s="60">
        <f t="shared" si="97"/>
        <v>0</v>
      </c>
    </row>
    <row r="868" spans="1:27">
      <c r="A868" s="83" t="str">
        <f t="shared" si="92"/>
        <v/>
      </c>
      <c r="B868" s="83" t="str">
        <f t="shared" si="93"/>
        <v/>
      </c>
      <c r="S868" s="83" t="str">
        <f t="shared" si="94"/>
        <v/>
      </c>
      <c r="T868" s="83" t="str">
        <f t="shared" si="91"/>
        <v/>
      </c>
      <c r="Y868" s="60">
        <f t="shared" si="95"/>
        <v>0</v>
      </c>
      <c r="Z868" s="49">
        <f t="shared" si="96"/>
        <v>0</v>
      </c>
      <c r="AA868" s="60">
        <f t="shared" si="97"/>
        <v>0</v>
      </c>
    </row>
    <row r="869" spans="1:27">
      <c r="A869" s="83" t="str">
        <f t="shared" si="92"/>
        <v/>
      </c>
      <c r="B869" s="83" t="str">
        <f t="shared" si="93"/>
        <v/>
      </c>
      <c r="S869" s="83" t="str">
        <f t="shared" si="94"/>
        <v/>
      </c>
      <c r="T869" s="83" t="str">
        <f t="shared" si="91"/>
        <v/>
      </c>
      <c r="Y869" s="60">
        <f t="shared" si="95"/>
        <v>0</v>
      </c>
      <c r="Z869" s="49">
        <f t="shared" si="96"/>
        <v>0</v>
      </c>
      <c r="AA869" s="60">
        <f t="shared" si="97"/>
        <v>0</v>
      </c>
    </row>
    <row r="870" spans="1:27">
      <c r="A870" s="83" t="str">
        <f t="shared" si="92"/>
        <v/>
      </c>
      <c r="B870" s="83" t="str">
        <f t="shared" si="93"/>
        <v/>
      </c>
      <c r="S870" s="83" t="str">
        <f t="shared" si="94"/>
        <v/>
      </c>
      <c r="T870" s="83" t="str">
        <f t="shared" si="91"/>
        <v/>
      </c>
      <c r="Y870" s="60">
        <f t="shared" si="95"/>
        <v>0</v>
      </c>
      <c r="Z870" s="49">
        <f t="shared" si="96"/>
        <v>0</v>
      </c>
      <c r="AA870" s="60">
        <f t="shared" si="97"/>
        <v>0</v>
      </c>
    </row>
    <row r="871" spans="1:27">
      <c r="A871" s="83" t="str">
        <f t="shared" si="92"/>
        <v/>
      </c>
      <c r="B871" s="83" t="str">
        <f t="shared" si="93"/>
        <v/>
      </c>
      <c r="S871" s="83" t="str">
        <f t="shared" si="94"/>
        <v/>
      </c>
      <c r="T871" s="83" t="str">
        <f t="shared" si="91"/>
        <v/>
      </c>
      <c r="Y871" s="60">
        <f t="shared" si="95"/>
        <v>0</v>
      </c>
      <c r="Z871" s="49">
        <f t="shared" si="96"/>
        <v>0</v>
      </c>
      <c r="AA871" s="60">
        <f t="shared" si="97"/>
        <v>0</v>
      </c>
    </row>
    <row r="872" spans="1:27">
      <c r="A872" s="83" t="str">
        <f t="shared" si="92"/>
        <v/>
      </c>
      <c r="B872" s="83" t="str">
        <f t="shared" si="93"/>
        <v/>
      </c>
      <c r="S872" s="83" t="str">
        <f t="shared" si="94"/>
        <v/>
      </c>
      <c r="T872" s="83" t="str">
        <f t="shared" si="91"/>
        <v/>
      </c>
      <c r="Y872" s="60">
        <f t="shared" si="95"/>
        <v>0</v>
      </c>
      <c r="Z872" s="49">
        <f t="shared" si="96"/>
        <v>0</v>
      </c>
      <c r="AA872" s="60">
        <f t="shared" si="97"/>
        <v>0</v>
      </c>
    </row>
    <row r="873" spans="1:27">
      <c r="A873" s="83" t="str">
        <f t="shared" si="92"/>
        <v/>
      </c>
      <c r="B873" s="83" t="str">
        <f t="shared" si="93"/>
        <v/>
      </c>
      <c r="S873" s="83" t="str">
        <f t="shared" si="94"/>
        <v/>
      </c>
      <c r="T873" s="83" t="str">
        <f t="shared" si="91"/>
        <v/>
      </c>
      <c r="Y873" s="60">
        <f t="shared" si="95"/>
        <v>0</v>
      </c>
      <c r="Z873" s="49">
        <f t="shared" si="96"/>
        <v>0</v>
      </c>
      <c r="AA873" s="60">
        <f t="shared" si="97"/>
        <v>0</v>
      </c>
    </row>
    <row r="874" spans="1:27">
      <c r="A874" s="83" t="str">
        <f t="shared" si="92"/>
        <v/>
      </c>
      <c r="B874" s="83" t="str">
        <f t="shared" si="93"/>
        <v/>
      </c>
      <c r="S874" s="83" t="str">
        <f t="shared" si="94"/>
        <v/>
      </c>
      <c r="T874" s="83" t="str">
        <f t="shared" si="91"/>
        <v/>
      </c>
      <c r="Y874" s="60">
        <f t="shared" si="95"/>
        <v>0</v>
      </c>
      <c r="Z874" s="49">
        <f t="shared" si="96"/>
        <v>0</v>
      </c>
      <c r="AA874" s="60">
        <f t="shared" si="97"/>
        <v>0</v>
      </c>
    </row>
    <row r="875" spans="1:27">
      <c r="A875" s="83" t="str">
        <f t="shared" si="92"/>
        <v/>
      </c>
      <c r="B875" s="83" t="str">
        <f t="shared" si="93"/>
        <v/>
      </c>
      <c r="S875" s="83" t="str">
        <f t="shared" si="94"/>
        <v/>
      </c>
      <c r="T875" s="83" t="str">
        <f t="shared" si="91"/>
        <v/>
      </c>
      <c r="Y875" s="60">
        <f t="shared" si="95"/>
        <v>0</v>
      </c>
      <c r="Z875" s="49">
        <f t="shared" si="96"/>
        <v>0</v>
      </c>
      <c r="AA875" s="60">
        <f t="shared" si="97"/>
        <v>0</v>
      </c>
    </row>
    <row r="876" spans="1:27">
      <c r="A876" s="83" t="str">
        <f t="shared" si="92"/>
        <v/>
      </c>
      <c r="B876" s="83" t="str">
        <f t="shared" si="93"/>
        <v/>
      </c>
      <c r="S876" s="83" t="str">
        <f t="shared" si="94"/>
        <v/>
      </c>
      <c r="T876" s="83" t="str">
        <f t="shared" si="91"/>
        <v/>
      </c>
      <c r="Y876" s="60">
        <f t="shared" si="95"/>
        <v>0</v>
      </c>
      <c r="Z876" s="49">
        <f t="shared" si="96"/>
        <v>0</v>
      </c>
      <c r="AA876" s="60">
        <f t="shared" si="97"/>
        <v>0</v>
      </c>
    </row>
    <row r="877" spans="1:27">
      <c r="A877" s="83" t="str">
        <f t="shared" si="92"/>
        <v/>
      </c>
      <c r="B877" s="83" t="str">
        <f t="shared" si="93"/>
        <v/>
      </c>
      <c r="S877" s="83" t="str">
        <f t="shared" si="94"/>
        <v/>
      </c>
      <c r="T877" s="83" t="str">
        <f t="shared" si="91"/>
        <v/>
      </c>
      <c r="Y877" s="60">
        <f t="shared" si="95"/>
        <v>0</v>
      </c>
      <c r="Z877" s="49">
        <f t="shared" si="96"/>
        <v>0</v>
      </c>
      <c r="AA877" s="60">
        <f t="shared" si="97"/>
        <v>0</v>
      </c>
    </row>
    <row r="878" spans="1:27">
      <c r="A878" s="83" t="str">
        <f t="shared" si="92"/>
        <v/>
      </c>
      <c r="B878" s="83" t="str">
        <f t="shared" si="93"/>
        <v/>
      </c>
      <c r="S878" s="83" t="str">
        <f t="shared" si="94"/>
        <v/>
      </c>
      <c r="T878" s="83" t="str">
        <f t="shared" si="91"/>
        <v/>
      </c>
      <c r="Y878" s="60">
        <f t="shared" si="95"/>
        <v>0</v>
      </c>
      <c r="Z878" s="49">
        <f t="shared" si="96"/>
        <v>0</v>
      </c>
      <c r="AA878" s="60">
        <f t="shared" si="97"/>
        <v>0</v>
      </c>
    </row>
    <row r="879" spans="1:27">
      <c r="A879" s="83" t="str">
        <f t="shared" si="92"/>
        <v/>
      </c>
      <c r="B879" s="83" t="str">
        <f t="shared" si="93"/>
        <v/>
      </c>
      <c r="S879" s="83" t="str">
        <f t="shared" si="94"/>
        <v/>
      </c>
      <c r="T879" s="83" t="str">
        <f t="shared" si="91"/>
        <v/>
      </c>
      <c r="Y879" s="60">
        <f t="shared" si="95"/>
        <v>0</v>
      </c>
      <c r="Z879" s="49">
        <f t="shared" si="96"/>
        <v>0</v>
      </c>
      <c r="AA879" s="60">
        <f t="shared" si="97"/>
        <v>0</v>
      </c>
    </row>
    <row r="880" spans="1:27">
      <c r="A880" s="83" t="str">
        <f t="shared" si="92"/>
        <v/>
      </c>
      <c r="B880" s="83" t="str">
        <f t="shared" si="93"/>
        <v/>
      </c>
      <c r="S880" s="83" t="str">
        <f t="shared" si="94"/>
        <v/>
      </c>
      <c r="T880" s="83" t="str">
        <f t="shared" si="91"/>
        <v/>
      </c>
      <c r="Y880" s="60">
        <f t="shared" si="95"/>
        <v>0</v>
      </c>
      <c r="Z880" s="49">
        <f t="shared" si="96"/>
        <v>0</v>
      </c>
      <c r="AA880" s="60">
        <f t="shared" si="97"/>
        <v>0</v>
      </c>
    </row>
    <row r="881" spans="1:27">
      <c r="A881" s="83" t="str">
        <f t="shared" si="92"/>
        <v/>
      </c>
      <c r="B881" s="83" t="str">
        <f t="shared" si="93"/>
        <v/>
      </c>
      <c r="S881" s="83" t="str">
        <f t="shared" si="94"/>
        <v/>
      </c>
      <c r="T881" s="83" t="str">
        <f t="shared" si="91"/>
        <v/>
      </c>
      <c r="Y881" s="60">
        <f t="shared" si="95"/>
        <v>0</v>
      </c>
      <c r="Z881" s="49">
        <f t="shared" si="96"/>
        <v>0</v>
      </c>
      <c r="AA881" s="60">
        <f t="shared" si="97"/>
        <v>0</v>
      </c>
    </row>
    <row r="882" spans="1:27">
      <c r="A882" s="83" t="str">
        <f t="shared" si="92"/>
        <v/>
      </c>
      <c r="B882" s="83" t="str">
        <f t="shared" si="93"/>
        <v/>
      </c>
      <c r="S882" s="83" t="str">
        <f t="shared" si="94"/>
        <v/>
      </c>
      <c r="T882" s="83" t="str">
        <f t="shared" si="91"/>
        <v/>
      </c>
      <c r="Y882" s="60">
        <f t="shared" si="95"/>
        <v>0</v>
      </c>
      <c r="Z882" s="49">
        <f t="shared" si="96"/>
        <v>0</v>
      </c>
      <c r="AA882" s="60">
        <f t="shared" si="97"/>
        <v>0</v>
      </c>
    </row>
    <row r="883" spans="1:27">
      <c r="A883" s="83" t="str">
        <f t="shared" si="92"/>
        <v/>
      </c>
      <c r="B883" s="83" t="str">
        <f t="shared" si="93"/>
        <v/>
      </c>
      <c r="S883" s="83" t="str">
        <f t="shared" si="94"/>
        <v/>
      </c>
      <c r="T883" s="83" t="str">
        <f t="shared" si="91"/>
        <v/>
      </c>
      <c r="Y883" s="60">
        <f t="shared" si="95"/>
        <v>0</v>
      </c>
      <c r="Z883" s="49">
        <f t="shared" si="96"/>
        <v>0</v>
      </c>
      <c r="AA883" s="60">
        <f t="shared" si="97"/>
        <v>0</v>
      </c>
    </row>
    <row r="884" spans="1:27">
      <c r="A884" s="83" t="str">
        <f t="shared" si="92"/>
        <v/>
      </c>
      <c r="B884" s="83" t="str">
        <f t="shared" si="93"/>
        <v/>
      </c>
      <c r="S884" s="83" t="str">
        <f t="shared" si="94"/>
        <v/>
      </c>
      <c r="T884" s="83" t="str">
        <f t="shared" si="91"/>
        <v/>
      </c>
      <c r="Y884" s="60">
        <f t="shared" si="95"/>
        <v>0</v>
      </c>
      <c r="Z884" s="49">
        <f t="shared" si="96"/>
        <v>0</v>
      </c>
      <c r="AA884" s="60">
        <f t="shared" si="97"/>
        <v>0</v>
      </c>
    </row>
    <row r="885" spans="1:27">
      <c r="A885" s="83" t="str">
        <f t="shared" si="92"/>
        <v/>
      </c>
      <c r="B885" s="83" t="str">
        <f t="shared" si="93"/>
        <v/>
      </c>
      <c r="S885" s="83" t="str">
        <f t="shared" si="94"/>
        <v/>
      </c>
      <c r="T885" s="83" t="str">
        <f t="shared" si="91"/>
        <v/>
      </c>
      <c r="Y885" s="60">
        <f t="shared" si="95"/>
        <v>0</v>
      </c>
      <c r="Z885" s="49">
        <f t="shared" si="96"/>
        <v>0</v>
      </c>
      <c r="AA885" s="60">
        <f t="shared" si="97"/>
        <v>0</v>
      </c>
    </row>
    <row r="886" spans="1:27">
      <c r="A886" s="83" t="str">
        <f t="shared" si="92"/>
        <v/>
      </c>
      <c r="B886" s="83" t="str">
        <f t="shared" si="93"/>
        <v/>
      </c>
      <c r="S886" s="83" t="str">
        <f t="shared" si="94"/>
        <v/>
      </c>
      <c r="T886" s="83" t="str">
        <f t="shared" si="91"/>
        <v/>
      </c>
      <c r="Y886" s="60">
        <f t="shared" si="95"/>
        <v>0</v>
      </c>
      <c r="Z886" s="49">
        <f t="shared" si="96"/>
        <v>0</v>
      </c>
      <c r="AA886" s="60">
        <f t="shared" si="97"/>
        <v>0</v>
      </c>
    </row>
    <row r="887" spans="1:27">
      <c r="A887" s="83" t="str">
        <f t="shared" si="92"/>
        <v/>
      </c>
      <c r="B887" s="83" t="str">
        <f t="shared" si="93"/>
        <v/>
      </c>
      <c r="S887" s="83" t="str">
        <f t="shared" si="94"/>
        <v/>
      </c>
      <c r="T887" s="83" t="str">
        <f t="shared" si="91"/>
        <v/>
      </c>
      <c r="Y887" s="60">
        <f t="shared" si="95"/>
        <v>0</v>
      </c>
      <c r="Z887" s="49">
        <f t="shared" si="96"/>
        <v>0</v>
      </c>
      <c r="AA887" s="60">
        <f t="shared" si="97"/>
        <v>0</v>
      </c>
    </row>
    <row r="888" spans="1:27">
      <c r="A888" s="83" t="str">
        <f t="shared" si="92"/>
        <v/>
      </c>
      <c r="B888" s="83" t="str">
        <f t="shared" si="93"/>
        <v/>
      </c>
      <c r="S888" s="83" t="str">
        <f t="shared" si="94"/>
        <v/>
      </c>
      <c r="T888" s="83" t="str">
        <f t="shared" si="91"/>
        <v/>
      </c>
      <c r="Y888" s="60">
        <f t="shared" si="95"/>
        <v>0</v>
      </c>
      <c r="Z888" s="49">
        <f t="shared" si="96"/>
        <v>0</v>
      </c>
      <c r="AA888" s="60">
        <f t="shared" si="97"/>
        <v>0</v>
      </c>
    </row>
    <row r="889" spans="1:27">
      <c r="A889" s="83" t="str">
        <f t="shared" si="92"/>
        <v/>
      </c>
      <c r="B889" s="83" t="str">
        <f t="shared" si="93"/>
        <v/>
      </c>
      <c r="S889" s="83" t="str">
        <f t="shared" si="94"/>
        <v/>
      </c>
      <c r="T889" s="83" t="str">
        <f t="shared" si="91"/>
        <v/>
      </c>
      <c r="Y889" s="60">
        <f t="shared" si="95"/>
        <v>0</v>
      </c>
      <c r="Z889" s="49">
        <f t="shared" si="96"/>
        <v>0</v>
      </c>
      <c r="AA889" s="60">
        <f t="shared" si="97"/>
        <v>0</v>
      </c>
    </row>
    <row r="890" spans="1:27">
      <c r="A890" s="83" t="str">
        <f t="shared" si="92"/>
        <v/>
      </c>
      <c r="B890" s="83" t="str">
        <f t="shared" si="93"/>
        <v/>
      </c>
      <c r="S890" s="83" t="str">
        <f t="shared" si="94"/>
        <v/>
      </c>
      <c r="T890" s="83" t="str">
        <f t="shared" si="91"/>
        <v/>
      </c>
      <c r="Y890" s="60">
        <f t="shared" si="95"/>
        <v>0</v>
      </c>
      <c r="Z890" s="49">
        <f t="shared" si="96"/>
        <v>0</v>
      </c>
      <c r="AA890" s="60">
        <f t="shared" si="97"/>
        <v>0</v>
      </c>
    </row>
    <row r="891" spans="1:27">
      <c r="A891" s="83" t="str">
        <f t="shared" si="92"/>
        <v/>
      </c>
      <c r="B891" s="83" t="str">
        <f t="shared" si="93"/>
        <v/>
      </c>
      <c r="S891" s="83" t="str">
        <f t="shared" si="94"/>
        <v/>
      </c>
      <c r="T891" s="83" t="str">
        <f t="shared" si="91"/>
        <v/>
      </c>
      <c r="Y891" s="60">
        <f t="shared" si="95"/>
        <v>0</v>
      </c>
      <c r="Z891" s="49">
        <f t="shared" si="96"/>
        <v>0</v>
      </c>
      <c r="AA891" s="60">
        <f t="shared" si="97"/>
        <v>0</v>
      </c>
    </row>
    <row r="892" spans="1:27">
      <c r="A892" s="83" t="str">
        <f t="shared" si="92"/>
        <v/>
      </c>
      <c r="B892" s="83" t="str">
        <f t="shared" si="93"/>
        <v/>
      </c>
      <c r="S892" s="83" t="str">
        <f t="shared" si="94"/>
        <v/>
      </c>
      <c r="T892" s="83" t="str">
        <f t="shared" si="91"/>
        <v/>
      </c>
      <c r="Y892" s="60">
        <f t="shared" si="95"/>
        <v>0</v>
      </c>
      <c r="Z892" s="49">
        <f t="shared" si="96"/>
        <v>0</v>
      </c>
      <c r="AA892" s="60">
        <f t="shared" si="97"/>
        <v>0</v>
      </c>
    </row>
    <row r="893" spans="1:27">
      <c r="A893" s="83" t="str">
        <f t="shared" si="92"/>
        <v/>
      </c>
      <c r="B893" s="83" t="str">
        <f t="shared" si="93"/>
        <v/>
      </c>
      <c r="S893" s="83" t="str">
        <f t="shared" si="94"/>
        <v/>
      </c>
      <c r="T893" s="83" t="str">
        <f t="shared" si="91"/>
        <v/>
      </c>
      <c r="Y893" s="60">
        <f t="shared" si="95"/>
        <v>0</v>
      </c>
      <c r="Z893" s="49">
        <f t="shared" si="96"/>
        <v>0</v>
      </c>
      <c r="AA893" s="60">
        <f t="shared" si="97"/>
        <v>0</v>
      </c>
    </row>
    <row r="894" spans="1:27">
      <c r="A894" s="83" t="str">
        <f t="shared" si="92"/>
        <v/>
      </c>
      <c r="B894" s="83" t="str">
        <f t="shared" si="93"/>
        <v/>
      </c>
      <c r="S894" s="83" t="str">
        <f t="shared" si="94"/>
        <v/>
      </c>
      <c r="T894" s="83" t="str">
        <f t="shared" si="91"/>
        <v/>
      </c>
      <c r="Y894" s="60">
        <f t="shared" si="95"/>
        <v>0</v>
      </c>
      <c r="Z894" s="49">
        <f t="shared" si="96"/>
        <v>0</v>
      </c>
      <c r="AA894" s="60">
        <f t="shared" si="97"/>
        <v>0</v>
      </c>
    </row>
    <row r="895" spans="1:27">
      <c r="A895" s="83" t="str">
        <f t="shared" si="92"/>
        <v/>
      </c>
      <c r="B895" s="83" t="str">
        <f t="shared" si="93"/>
        <v/>
      </c>
      <c r="S895" s="83" t="str">
        <f t="shared" si="94"/>
        <v/>
      </c>
      <c r="T895" s="83" t="str">
        <f t="shared" si="91"/>
        <v/>
      </c>
      <c r="Y895" s="60">
        <f t="shared" si="95"/>
        <v>0</v>
      </c>
      <c r="Z895" s="49">
        <f t="shared" si="96"/>
        <v>0</v>
      </c>
      <c r="AA895" s="60">
        <f t="shared" si="97"/>
        <v>0</v>
      </c>
    </row>
    <row r="896" spans="1:27">
      <c r="A896" s="83" t="str">
        <f t="shared" si="92"/>
        <v/>
      </c>
      <c r="B896" s="83" t="str">
        <f t="shared" si="93"/>
        <v/>
      </c>
      <c r="S896" s="83" t="str">
        <f t="shared" si="94"/>
        <v/>
      </c>
      <c r="T896" s="83" t="str">
        <f t="shared" si="91"/>
        <v/>
      </c>
      <c r="Y896" s="60">
        <f t="shared" si="95"/>
        <v>0</v>
      </c>
      <c r="Z896" s="49">
        <f t="shared" si="96"/>
        <v>0</v>
      </c>
      <c r="AA896" s="60">
        <f t="shared" si="97"/>
        <v>0</v>
      </c>
    </row>
    <row r="897" spans="1:27">
      <c r="A897" s="83" t="str">
        <f t="shared" si="92"/>
        <v/>
      </c>
      <c r="B897" s="83" t="str">
        <f t="shared" si="93"/>
        <v/>
      </c>
      <c r="S897" s="83" t="str">
        <f t="shared" si="94"/>
        <v/>
      </c>
      <c r="T897" s="83" t="str">
        <f t="shared" si="91"/>
        <v/>
      </c>
      <c r="Y897" s="60">
        <f t="shared" si="95"/>
        <v>0</v>
      </c>
      <c r="Z897" s="49">
        <f t="shared" si="96"/>
        <v>0</v>
      </c>
      <c r="AA897" s="60">
        <f t="shared" si="97"/>
        <v>0</v>
      </c>
    </row>
    <row r="898" spans="1:27">
      <c r="A898" s="83" t="str">
        <f t="shared" si="92"/>
        <v/>
      </c>
      <c r="B898" s="83" t="str">
        <f t="shared" si="93"/>
        <v/>
      </c>
      <c r="S898" s="83" t="str">
        <f t="shared" si="94"/>
        <v/>
      </c>
      <c r="T898" s="83" t="str">
        <f t="shared" ref="T898:T961" si="98">IF(A898&lt;&gt;"",IF(FIND(" ",G898)&gt;=1,MID(G898,FIND(" ",G898)+1,LEN(G898)),""),"")</f>
        <v/>
      </c>
      <c r="Y898" s="60">
        <f t="shared" si="95"/>
        <v>0</v>
      </c>
      <c r="Z898" s="49">
        <f t="shared" si="96"/>
        <v>0</v>
      </c>
      <c r="AA898" s="60">
        <f t="shared" si="97"/>
        <v>0</v>
      </c>
    </row>
    <row r="899" spans="1:27">
      <c r="A899" s="83" t="str">
        <f t="shared" ref="A899:A962" si="99">IF(G899&amp;Q899&lt;&gt;"",S899&amp;Q899,"")</f>
        <v/>
      </c>
      <c r="B899" s="83" t="str">
        <f t="shared" ref="B899:B962" si="100">IF(C899&lt;&gt;"",LEFT(C899,9),"")</f>
        <v/>
      </c>
      <c r="S899" s="83" t="str">
        <f t="shared" ref="S899:S962" si="101">IF(G899&lt;&gt;"",IF(FIND(" ",G899)&gt;=1,MID(G899,1,FIND(" ",G899)-1),G899),"")</f>
        <v/>
      </c>
      <c r="T899" s="83" t="str">
        <f t="shared" si="98"/>
        <v/>
      </c>
      <c r="Y899" s="60">
        <f t="shared" ref="Y899:Y962" si="102">IFERROR(VALUE(MID($C899,1,2)),0)</f>
        <v>0</v>
      </c>
      <c r="Z899" s="49">
        <f t="shared" ref="Z899:Z962" si="103">IFERROR(VALUE(MID($C899,4,3)),0)</f>
        <v>0</v>
      </c>
      <c r="AA899" s="60">
        <f t="shared" ref="AA899:AA962" si="104">VALUE(RIGHT("00"&amp;Y899,2)&amp;RIGHT("000"&amp;Z899,3))</f>
        <v>0</v>
      </c>
    </row>
    <row r="900" spans="1:27">
      <c r="A900" s="83" t="str">
        <f t="shared" si="99"/>
        <v/>
      </c>
      <c r="B900" s="83" t="str">
        <f t="shared" si="100"/>
        <v/>
      </c>
      <c r="S900" s="83" t="str">
        <f t="shared" si="101"/>
        <v/>
      </c>
      <c r="T900" s="83" t="str">
        <f t="shared" si="98"/>
        <v/>
      </c>
      <c r="Y900" s="60">
        <f t="shared" si="102"/>
        <v>0</v>
      </c>
      <c r="Z900" s="49">
        <f t="shared" si="103"/>
        <v>0</v>
      </c>
      <c r="AA900" s="60">
        <f t="shared" si="104"/>
        <v>0</v>
      </c>
    </row>
    <row r="901" spans="1:27">
      <c r="A901" s="83" t="str">
        <f t="shared" si="99"/>
        <v/>
      </c>
      <c r="B901" s="83" t="str">
        <f t="shared" si="100"/>
        <v/>
      </c>
      <c r="S901" s="83" t="str">
        <f t="shared" si="101"/>
        <v/>
      </c>
      <c r="T901" s="83" t="str">
        <f t="shared" si="98"/>
        <v/>
      </c>
      <c r="Y901" s="60">
        <f t="shared" si="102"/>
        <v>0</v>
      </c>
      <c r="Z901" s="49">
        <f t="shared" si="103"/>
        <v>0</v>
      </c>
      <c r="AA901" s="60">
        <f t="shared" si="104"/>
        <v>0</v>
      </c>
    </row>
    <row r="902" spans="1:27">
      <c r="A902" s="83" t="str">
        <f t="shared" si="99"/>
        <v/>
      </c>
      <c r="B902" s="83" t="str">
        <f t="shared" si="100"/>
        <v/>
      </c>
      <c r="S902" s="83" t="str">
        <f t="shared" si="101"/>
        <v/>
      </c>
      <c r="T902" s="83" t="str">
        <f t="shared" si="98"/>
        <v/>
      </c>
      <c r="Y902" s="60">
        <f t="shared" si="102"/>
        <v>0</v>
      </c>
      <c r="Z902" s="49">
        <f t="shared" si="103"/>
        <v>0</v>
      </c>
      <c r="AA902" s="60">
        <f t="shared" si="104"/>
        <v>0</v>
      </c>
    </row>
    <row r="903" spans="1:27">
      <c r="A903" s="83" t="str">
        <f t="shared" si="99"/>
        <v/>
      </c>
      <c r="B903" s="83" t="str">
        <f t="shared" si="100"/>
        <v/>
      </c>
      <c r="S903" s="83" t="str">
        <f t="shared" si="101"/>
        <v/>
      </c>
      <c r="T903" s="83" t="str">
        <f t="shared" si="98"/>
        <v/>
      </c>
      <c r="Y903" s="60">
        <f t="shared" si="102"/>
        <v>0</v>
      </c>
      <c r="Z903" s="49">
        <f t="shared" si="103"/>
        <v>0</v>
      </c>
      <c r="AA903" s="60">
        <f t="shared" si="104"/>
        <v>0</v>
      </c>
    </row>
    <row r="904" spans="1:27">
      <c r="A904" s="83" t="str">
        <f t="shared" si="99"/>
        <v/>
      </c>
      <c r="B904" s="83" t="str">
        <f t="shared" si="100"/>
        <v/>
      </c>
      <c r="S904" s="83" t="str">
        <f t="shared" si="101"/>
        <v/>
      </c>
      <c r="T904" s="83" t="str">
        <f t="shared" si="98"/>
        <v/>
      </c>
      <c r="Y904" s="60">
        <f t="shared" si="102"/>
        <v>0</v>
      </c>
      <c r="Z904" s="49">
        <f t="shared" si="103"/>
        <v>0</v>
      </c>
      <c r="AA904" s="60">
        <f t="shared" si="104"/>
        <v>0</v>
      </c>
    </row>
    <row r="905" spans="1:27">
      <c r="A905" s="83" t="str">
        <f t="shared" si="99"/>
        <v/>
      </c>
      <c r="B905" s="83" t="str">
        <f t="shared" si="100"/>
        <v/>
      </c>
      <c r="S905" s="83" t="str">
        <f t="shared" si="101"/>
        <v/>
      </c>
      <c r="T905" s="83" t="str">
        <f t="shared" si="98"/>
        <v/>
      </c>
      <c r="Y905" s="60">
        <f t="shared" si="102"/>
        <v>0</v>
      </c>
      <c r="Z905" s="49">
        <f t="shared" si="103"/>
        <v>0</v>
      </c>
      <c r="AA905" s="60">
        <f t="shared" si="104"/>
        <v>0</v>
      </c>
    </row>
    <row r="906" spans="1:27">
      <c r="A906" s="83" t="str">
        <f t="shared" si="99"/>
        <v/>
      </c>
      <c r="B906" s="83" t="str">
        <f t="shared" si="100"/>
        <v/>
      </c>
      <c r="S906" s="83" t="str">
        <f t="shared" si="101"/>
        <v/>
      </c>
      <c r="T906" s="83" t="str">
        <f t="shared" si="98"/>
        <v/>
      </c>
      <c r="Y906" s="60">
        <f t="shared" si="102"/>
        <v>0</v>
      </c>
      <c r="Z906" s="49">
        <f t="shared" si="103"/>
        <v>0</v>
      </c>
      <c r="AA906" s="60">
        <f t="shared" si="104"/>
        <v>0</v>
      </c>
    </row>
    <row r="907" spans="1:27">
      <c r="A907" s="83" t="str">
        <f t="shared" si="99"/>
        <v/>
      </c>
      <c r="B907" s="83" t="str">
        <f t="shared" si="100"/>
        <v/>
      </c>
      <c r="S907" s="83" t="str">
        <f t="shared" si="101"/>
        <v/>
      </c>
      <c r="T907" s="83" t="str">
        <f t="shared" si="98"/>
        <v/>
      </c>
      <c r="Y907" s="60">
        <f t="shared" si="102"/>
        <v>0</v>
      </c>
      <c r="Z907" s="49">
        <f t="shared" si="103"/>
        <v>0</v>
      </c>
      <c r="AA907" s="60">
        <f t="shared" si="104"/>
        <v>0</v>
      </c>
    </row>
    <row r="908" spans="1:27">
      <c r="A908" s="83" t="str">
        <f t="shared" si="99"/>
        <v/>
      </c>
      <c r="B908" s="83" t="str">
        <f t="shared" si="100"/>
        <v/>
      </c>
      <c r="S908" s="83" t="str">
        <f t="shared" si="101"/>
        <v/>
      </c>
      <c r="T908" s="83" t="str">
        <f t="shared" si="98"/>
        <v/>
      </c>
      <c r="Y908" s="60">
        <f t="shared" si="102"/>
        <v>0</v>
      </c>
      <c r="Z908" s="49">
        <f t="shared" si="103"/>
        <v>0</v>
      </c>
      <c r="AA908" s="60">
        <f t="shared" si="104"/>
        <v>0</v>
      </c>
    </row>
    <row r="909" spans="1:27">
      <c r="A909" s="83" t="str">
        <f t="shared" si="99"/>
        <v/>
      </c>
      <c r="B909" s="83" t="str">
        <f t="shared" si="100"/>
        <v/>
      </c>
      <c r="S909" s="83" t="str">
        <f t="shared" si="101"/>
        <v/>
      </c>
      <c r="T909" s="83" t="str">
        <f t="shared" si="98"/>
        <v/>
      </c>
      <c r="Y909" s="60">
        <f t="shared" si="102"/>
        <v>0</v>
      </c>
      <c r="Z909" s="49">
        <f t="shared" si="103"/>
        <v>0</v>
      </c>
      <c r="AA909" s="60">
        <f t="shared" si="104"/>
        <v>0</v>
      </c>
    </row>
    <row r="910" spans="1:27">
      <c r="A910" s="83" t="str">
        <f t="shared" si="99"/>
        <v/>
      </c>
      <c r="B910" s="83" t="str">
        <f t="shared" si="100"/>
        <v/>
      </c>
      <c r="S910" s="83" t="str">
        <f t="shared" si="101"/>
        <v/>
      </c>
      <c r="T910" s="83" t="str">
        <f t="shared" si="98"/>
        <v/>
      </c>
      <c r="Y910" s="60">
        <f t="shared" si="102"/>
        <v>0</v>
      </c>
      <c r="Z910" s="49">
        <f t="shared" si="103"/>
        <v>0</v>
      </c>
      <c r="AA910" s="60">
        <f t="shared" si="104"/>
        <v>0</v>
      </c>
    </row>
    <row r="911" spans="1:27">
      <c r="A911" s="83" t="str">
        <f t="shared" si="99"/>
        <v/>
      </c>
      <c r="B911" s="83" t="str">
        <f t="shared" si="100"/>
        <v/>
      </c>
      <c r="S911" s="83" t="str">
        <f t="shared" si="101"/>
        <v/>
      </c>
      <c r="T911" s="83" t="str">
        <f t="shared" si="98"/>
        <v/>
      </c>
      <c r="Y911" s="60">
        <f t="shared" si="102"/>
        <v>0</v>
      </c>
      <c r="Z911" s="49">
        <f t="shared" si="103"/>
        <v>0</v>
      </c>
      <c r="AA911" s="60">
        <f t="shared" si="104"/>
        <v>0</v>
      </c>
    </row>
    <row r="912" spans="1:27">
      <c r="A912" s="83" t="str">
        <f t="shared" si="99"/>
        <v/>
      </c>
      <c r="B912" s="83" t="str">
        <f t="shared" si="100"/>
        <v/>
      </c>
      <c r="S912" s="83" t="str">
        <f t="shared" si="101"/>
        <v/>
      </c>
      <c r="T912" s="83" t="str">
        <f t="shared" si="98"/>
        <v/>
      </c>
      <c r="Y912" s="60">
        <f t="shared" si="102"/>
        <v>0</v>
      </c>
      <c r="Z912" s="49">
        <f t="shared" si="103"/>
        <v>0</v>
      </c>
      <c r="AA912" s="60">
        <f t="shared" si="104"/>
        <v>0</v>
      </c>
    </row>
    <row r="913" spans="1:27">
      <c r="A913" s="83" t="str">
        <f t="shared" si="99"/>
        <v/>
      </c>
      <c r="B913" s="83" t="str">
        <f t="shared" si="100"/>
        <v/>
      </c>
      <c r="S913" s="83" t="str">
        <f t="shared" si="101"/>
        <v/>
      </c>
      <c r="T913" s="83" t="str">
        <f t="shared" si="98"/>
        <v/>
      </c>
      <c r="Y913" s="60">
        <f t="shared" si="102"/>
        <v>0</v>
      </c>
      <c r="Z913" s="49">
        <f t="shared" si="103"/>
        <v>0</v>
      </c>
      <c r="AA913" s="60">
        <f t="shared" si="104"/>
        <v>0</v>
      </c>
    </row>
    <row r="914" spans="1:27">
      <c r="A914" s="83" t="str">
        <f t="shared" si="99"/>
        <v/>
      </c>
      <c r="B914" s="83" t="str">
        <f t="shared" si="100"/>
        <v/>
      </c>
      <c r="S914" s="83" t="str">
        <f t="shared" si="101"/>
        <v/>
      </c>
      <c r="T914" s="83" t="str">
        <f t="shared" si="98"/>
        <v/>
      </c>
      <c r="Y914" s="60">
        <f t="shared" si="102"/>
        <v>0</v>
      </c>
      <c r="Z914" s="49">
        <f t="shared" si="103"/>
        <v>0</v>
      </c>
      <c r="AA914" s="60">
        <f t="shared" si="104"/>
        <v>0</v>
      </c>
    </row>
    <row r="915" spans="1:27">
      <c r="A915" s="83" t="str">
        <f t="shared" si="99"/>
        <v/>
      </c>
      <c r="B915" s="83" t="str">
        <f t="shared" si="100"/>
        <v/>
      </c>
      <c r="S915" s="83" t="str">
        <f t="shared" si="101"/>
        <v/>
      </c>
      <c r="T915" s="83" t="str">
        <f t="shared" si="98"/>
        <v/>
      </c>
      <c r="Y915" s="60">
        <f t="shared" si="102"/>
        <v>0</v>
      </c>
      <c r="Z915" s="49">
        <f t="shared" si="103"/>
        <v>0</v>
      </c>
      <c r="AA915" s="60">
        <f t="shared" si="104"/>
        <v>0</v>
      </c>
    </row>
    <row r="916" spans="1:27">
      <c r="A916" s="83" t="str">
        <f t="shared" si="99"/>
        <v/>
      </c>
      <c r="B916" s="83" t="str">
        <f t="shared" si="100"/>
        <v/>
      </c>
      <c r="S916" s="83" t="str">
        <f t="shared" si="101"/>
        <v/>
      </c>
      <c r="T916" s="83" t="str">
        <f t="shared" si="98"/>
        <v/>
      </c>
      <c r="Y916" s="60">
        <f t="shared" si="102"/>
        <v>0</v>
      </c>
      <c r="Z916" s="49">
        <f t="shared" si="103"/>
        <v>0</v>
      </c>
      <c r="AA916" s="60">
        <f t="shared" si="104"/>
        <v>0</v>
      </c>
    </row>
    <row r="917" spans="1:27">
      <c r="A917" s="83" t="str">
        <f t="shared" si="99"/>
        <v/>
      </c>
      <c r="B917" s="83" t="str">
        <f t="shared" si="100"/>
        <v/>
      </c>
      <c r="S917" s="83" t="str">
        <f t="shared" si="101"/>
        <v/>
      </c>
      <c r="T917" s="83" t="str">
        <f t="shared" si="98"/>
        <v/>
      </c>
      <c r="Y917" s="60">
        <f t="shared" si="102"/>
        <v>0</v>
      </c>
      <c r="Z917" s="49">
        <f t="shared" si="103"/>
        <v>0</v>
      </c>
      <c r="AA917" s="60">
        <f t="shared" si="104"/>
        <v>0</v>
      </c>
    </row>
    <row r="918" spans="1:27">
      <c r="A918" s="83" t="str">
        <f t="shared" si="99"/>
        <v/>
      </c>
      <c r="B918" s="83" t="str">
        <f t="shared" si="100"/>
        <v/>
      </c>
      <c r="S918" s="83" t="str">
        <f t="shared" si="101"/>
        <v/>
      </c>
      <c r="T918" s="83" t="str">
        <f t="shared" si="98"/>
        <v/>
      </c>
      <c r="Y918" s="60">
        <f t="shared" si="102"/>
        <v>0</v>
      </c>
      <c r="Z918" s="49">
        <f t="shared" si="103"/>
        <v>0</v>
      </c>
      <c r="AA918" s="60">
        <f t="shared" si="104"/>
        <v>0</v>
      </c>
    </row>
    <row r="919" spans="1:27">
      <c r="A919" s="83" t="str">
        <f t="shared" si="99"/>
        <v/>
      </c>
      <c r="B919" s="83" t="str">
        <f t="shared" si="100"/>
        <v/>
      </c>
      <c r="S919" s="83" t="str">
        <f t="shared" si="101"/>
        <v/>
      </c>
      <c r="T919" s="83" t="str">
        <f t="shared" si="98"/>
        <v/>
      </c>
      <c r="Y919" s="60">
        <f t="shared" si="102"/>
        <v>0</v>
      </c>
      <c r="Z919" s="49">
        <f t="shared" si="103"/>
        <v>0</v>
      </c>
      <c r="AA919" s="60">
        <f t="shared" si="104"/>
        <v>0</v>
      </c>
    </row>
    <row r="920" spans="1:27">
      <c r="A920" s="83" t="str">
        <f t="shared" si="99"/>
        <v/>
      </c>
      <c r="B920" s="83" t="str">
        <f t="shared" si="100"/>
        <v/>
      </c>
      <c r="S920" s="83" t="str">
        <f t="shared" si="101"/>
        <v/>
      </c>
      <c r="T920" s="83" t="str">
        <f t="shared" si="98"/>
        <v/>
      </c>
      <c r="Y920" s="60">
        <f t="shared" si="102"/>
        <v>0</v>
      </c>
      <c r="Z920" s="49">
        <f t="shared" si="103"/>
        <v>0</v>
      </c>
      <c r="AA920" s="60">
        <f t="shared" si="104"/>
        <v>0</v>
      </c>
    </row>
    <row r="921" spans="1:27">
      <c r="A921" s="83" t="str">
        <f t="shared" si="99"/>
        <v/>
      </c>
      <c r="B921" s="83" t="str">
        <f t="shared" si="100"/>
        <v/>
      </c>
      <c r="S921" s="83" t="str">
        <f t="shared" si="101"/>
        <v/>
      </c>
      <c r="T921" s="83" t="str">
        <f t="shared" si="98"/>
        <v/>
      </c>
      <c r="Y921" s="60">
        <f t="shared" si="102"/>
        <v>0</v>
      </c>
      <c r="Z921" s="49">
        <f t="shared" si="103"/>
        <v>0</v>
      </c>
      <c r="AA921" s="60">
        <f t="shared" si="104"/>
        <v>0</v>
      </c>
    </row>
    <row r="922" spans="1:27">
      <c r="A922" s="83" t="str">
        <f t="shared" si="99"/>
        <v/>
      </c>
      <c r="B922" s="83" t="str">
        <f t="shared" si="100"/>
        <v/>
      </c>
      <c r="S922" s="83" t="str">
        <f t="shared" si="101"/>
        <v/>
      </c>
      <c r="T922" s="83" t="str">
        <f t="shared" si="98"/>
        <v/>
      </c>
      <c r="Y922" s="60">
        <f t="shared" si="102"/>
        <v>0</v>
      </c>
      <c r="Z922" s="49">
        <f t="shared" si="103"/>
        <v>0</v>
      </c>
      <c r="AA922" s="60">
        <f t="shared" si="104"/>
        <v>0</v>
      </c>
    </row>
    <row r="923" spans="1:27">
      <c r="A923" s="83" t="str">
        <f t="shared" si="99"/>
        <v/>
      </c>
      <c r="B923" s="83" t="str">
        <f t="shared" si="100"/>
        <v/>
      </c>
      <c r="S923" s="83" t="str">
        <f t="shared" si="101"/>
        <v/>
      </c>
      <c r="T923" s="83" t="str">
        <f t="shared" si="98"/>
        <v/>
      </c>
      <c r="Y923" s="60">
        <f t="shared" si="102"/>
        <v>0</v>
      </c>
      <c r="Z923" s="49">
        <f t="shared" si="103"/>
        <v>0</v>
      </c>
      <c r="AA923" s="60">
        <f t="shared" si="104"/>
        <v>0</v>
      </c>
    </row>
    <row r="924" spans="1:27">
      <c r="A924" s="83" t="str">
        <f t="shared" si="99"/>
        <v/>
      </c>
      <c r="B924" s="83" t="str">
        <f t="shared" si="100"/>
        <v/>
      </c>
      <c r="S924" s="83" t="str">
        <f t="shared" si="101"/>
        <v/>
      </c>
      <c r="T924" s="83" t="str">
        <f t="shared" si="98"/>
        <v/>
      </c>
      <c r="Y924" s="60">
        <f t="shared" si="102"/>
        <v>0</v>
      </c>
      <c r="Z924" s="49">
        <f t="shared" si="103"/>
        <v>0</v>
      </c>
      <c r="AA924" s="60">
        <f t="shared" si="104"/>
        <v>0</v>
      </c>
    </row>
    <row r="925" spans="1:27">
      <c r="A925" s="83" t="str">
        <f t="shared" si="99"/>
        <v/>
      </c>
      <c r="B925" s="83" t="str">
        <f t="shared" si="100"/>
        <v/>
      </c>
      <c r="S925" s="83" t="str">
        <f t="shared" si="101"/>
        <v/>
      </c>
      <c r="T925" s="83" t="str">
        <f t="shared" si="98"/>
        <v/>
      </c>
      <c r="Y925" s="60">
        <f t="shared" si="102"/>
        <v>0</v>
      </c>
      <c r="Z925" s="49">
        <f t="shared" si="103"/>
        <v>0</v>
      </c>
      <c r="AA925" s="60">
        <f t="shared" si="104"/>
        <v>0</v>
      </c>
    </row>
    <row r="926" spans="1:27">
      <c r="A926" s="83" t="str">
        <f t="shared" si="99"/>
        <v/>
      </c>
      <c r="B926" s="83" t="str">
        <f t="shared" si="100"/>
        <v/>
      </c>
      <c r="S926" s="83" t="str">
        <f t="shared" si="101"/>
        <v/>
      </c>
      <c r="T926" s="83" t="str">
        <f t="shared" si="98"/>
        <v/>
      </c>
      <c r="Y926" s="60">
        <f t="shared" si="102"/>
        <v>0</v>
      </c>
      <c r="Z926" s="49">
        <f t="shared" si="103"/>
        <v>0</v>
      </c>
      <c r="AA926" s="60">
        <f t="shared" si="104"/>
        <v>0</v>
      </c>
    </row>
    <row r="927" spans="1:27">
      <c r="A927" s="83" t="str">
        <f t="shared" si="99"/>
        <v/>
      </c>
      <c r="B927" s="83" t="str">
        <f t="shared" si="100"/>
        <v/>
      </c>
      <c r="S927" s="83" t="str">
        <f t="shared" si="101"/>
        <v/>
      </c>
      <c r="T927" s="83" t="str">
        <f t="shared" si="98"/>
        <v/>
      </c>
      <c r="Y927" s="60">
        <f t="shared" si="102"/>
        <v>0</v>
      </c>
      <c r="Z927" s="49">
        <f t="shared" si="103"/>
        <v>0</v>
      </c>
      <c r="AA927" s="60">
        <f t="shared" si="104"/>
        <v>0</v>
      </c>
    </row>
    <row r="928" spans="1:27">
      <c r="A928" s="83" t="str">
        <f t="shared" si="99"/>
        <v/>
      </c>
      <c r="B928" s="83" t="str">
        <f t="shared" si="100"/>
        <v/>
      </c>
      <c r="S928" s="83" t="str">
        <f t="shared" si="101"/>
        <v/>
      </c>
      <c r="T928" s="83" t="str">
        <f t="shared" si="98"/>
        <v/>
      </c>
      <c r="Y928" s="60">
        <f t="shared" si="102"/>
        <v>0</v>
      </c>
      <c r="Z928" s="49">
        <f t="shared" si="103"/>
        <v>0</v>
      </c>
      <c r="AA928" s="60">
        <f t="shared" si="104"/>
        <v>0</v>
      </c>
    </row>
    <row r="929" spans="1:27">
      <c r="A929" s="83" t="str">
        <f t="shared" si="99"/>
        <v/>
      </c>
      <c r="B929" s="83" t="str">
        <f t="shared" si="100"/>
        <v/>
      </c>
      <c r="S929" s="83" t="str">
        <f t="shared" si="101"/>
        <v/>
      </c>
      <c r="T929" s="83" t="str">
        <f t="shared" si="98"/>
        <v/>
      </c>
      <c r="Y929" s="60">
        <f t="shared" si="102"/>
        <v>0</v>
      </c>
      <c r="Z929" s="49">
        <f t="shared" si="103"/>
        <v>0</v>
      </c>
      <c r="AA929" s="60">
        <f t="shared" si="104"/>
        <v>0</v>
      </c>
    </row>
    <row r="930" spans="1:27">
      <c r="A930" s="83" t="str">
        <f t="shared" si="99"/>
        <v/>
      </c>
      <c r="B930" s="83" t="str">
        <f t="shared" si="100"/>
        <v/>
      </c>
      <c r="S930" s="83" t="str">
        <f t="shared" si="101"/>
        <v/>
      </c>
      <c r="T930" s="83" t="str">
        <f t="shared" si="98"/>
        <v/>
      </c>
      <c r="Y930" s="60">
        <f t="shared" si="102"/>
        <v>0</v>
      </c>
      <c r="Z930" s="49">
        <f t="shared" si="103"/>
        <v>0</v>
      </c>
      <c r="AA930" s="60">
        <f t="shared" si="104"/>
        <v>0</v>
      </c>
    </row>
    <row r="931" spans="1:27">
      <c r="A931" s="83" t="str">
        <f t="shared" si="99"/>
        <v/>
      </c>
      <c r="B931" s="83" t="str">
        <f t="shared" si="100"/>
        <v/>
      </c>
      <c r="S931" s="83" t="str">
        <f t="shared" si="101"/>
        <v/>
      </c>
      <c r="T931" s="83" t="str">
        <f t="shared" si="98"/>
        <v/>
      </c>
      <c r="Y931" s="60">
        <f t="shared" si="102"/>
        <v>0</v>
      </c>
      <c r="Z931" s="49">
        <f t="shared" si="103"/>
        <v>0</v>
      </c>
      <c r="AA931" s="60">
        <f t="shared" si="104"/>
        <v>0</v>
      </c>
    </row>
    <row r="932" spans="1:27">
      <c r="A932" s="83" t="str">
        <f t="shared" si="99"/>
        <v/>
      </c>
      <c r="B932" s="83" t="str">
        <f t="shared" si="100"/>
        <v/>
      </c>
      <c r="S932" s="83" t="str">
        <f t="shared" si="101"/>
        <v/>
      </c>
      <c r="T932" s="83" t="str">
        <f t="shared" si="98"/>
        <v/>
      </c>
      <c r="Y932" s="60">
        <f t="shared" si="102"/>
        <v>0</v>
      </c>
      <c r="Z932" s="49">
        <f t="shared" si="103"/>
        <v>0</v>
      </c>
      <c r="AA932" s="60">
        <f t="shared" si="104"/>
        <v>0</v>
      </c>
    </row>
    <row r="933" spans="1:27">
      <c r="A933" s="83" t="str">
        <f t="shared" si="99"/>
        <v/>
      </c>
      <c r="B933" s="83" t="str">
        <f t="shared" si="100"/>
        <v/>
      </c>
      <c r="S933" s="83" t="str">
        <f t="shared" si="101"/>
        <v/>
      </c>
      <c r="T933" s="83" t="str">
        <f t="shared" si="98"/>
        <v/>
      </c>
      <c r="Y933" s="60">
        <f t="shared" si="102"/>
        <v>0</v>
      </c>
      <c r="Z933" s="49">
        <f t="shared" si="103"/>
        <v>0</v>
      </c>
      <c r="AA933" s="60">
        <f t="shared" si="104"/>
        <v>0</v>
      </c>
    </row>
    <row r="934" spans="1:27">
      <c r="A934" s="83" t="str">
        <f t="shared" si="99"/>
        <v/>
      </c>
      <c r="B934" s="83" t="str">
        <f t="shared" si="100"/>
        <v/>
      </c>
      <c r="S934" s="83" t="str">
        <f t="shared" si="101"/>
        <v/>
      </c>
      <c r="T934" s="83" t="str">
        <f t="shared" si="98"/>
        <v/>
      </c>
      <c r="Y934" s="60">
        <f t="shared" si="102"/>
        <v>0</v>
      </c>
      <c r="Z934" s="49">
        <f t="shared" si="103"/>
        <v>0</v>
      </c>
      <c r="AA934" s="60">
        <f t="shared" si="104"/>
        <v>0</v>
      </c>
    </row>
    <row r="935" spans="1:27">
      <c r="A935" s="83" t="str">
        <f t="shared" si="99"/>
        <v/>
      </c>
      <c r="B935" s="83" t="str">
        <f t="shared" si="100"/>
        <v/>
      </c>
      <c r="S935" s="83" t="str">
        <f t="shared" si="101"/>
        <v/>
      </c>
      <c r="T935" s="83" t="str">
        <f t="shared" si="98"/>
        <v/>
      </c>
      <c r="Y935" s="60">
        <f t="shared" si="102"/>
        <v>0</v>
      </c>
      <c r="Z935" s="49">
        <f t="shared" si="103"/>
        <v>0</v>
      </c>
      <c r="AA935" s="60">
        <f t="shared" si="104"/>
        <v>0</v>
      </c>
    </row>
    <row r="936" spans="1:27">
      <c r="A936" s="83" t="str">
        <f t="shared" si="99"/>
        <v/>
      </c>
      <c r="B936" s="83" t="str">
        <f t="shared" si="100"/>
        <v/>
      </c>
      <c r="S936" s="83" t="str">
        <f t="shared" si="101"/>
        <v/>
      </c>
      <c r="T936" s="83" t="str">
        <f t="shared" si="98"/>
        <v/>
      </c>
      <c r="Y936" s="60">
        <f t="shared" si="102"/>
        <v>0</v>
      </c>
      <c r="Z936" s="49">
        <f t="shared" si="103"/>
        <v>0</v>
      </c>
      <c r="AA936" s="60">
        <f t="shared" si="104"/>
        <v>0</v>
      </c>
    </row>
    <row r="937" spans="1:27">
      <c r="A937" s="83" t="str">
        <f t="shared" si="99"/>
        <v/>
      </c>
      <c r="B937" s="83" t="str">
        <f t="shared" si="100"/>
        <v/>
      </c>
      <c r="S937" s="83" t="str">
        <f t="shared" si="101"/>
        <v/>
      </c>
      <c r="T937" s="83" t="str">
        <f t="shared" si="98"/>
        <v/>
      </c>
      <c r="Y937" s="60">
        <f t="shared" si="102"/>
        <v>0</v>
      </c>
      <c r="Z937" s="49">
        <f t="shared" si="103"/>
        <v>0</v>
      </c>
      <c r="AA937" s="60">
        <f t="shared" si="104"/>
        <v>0</v>
      </c>
    </row>
    <row r="938" spans="1:27">
      <c r="A938" s="83" t="str">
        <f t="shared" si="99"/>
        <v/>
      </c>
      <c r="B938" s="83" t="str">
        <f t="shared" si="100"/>
        <v/>
      </c>
      <c r="S938" s="83" t="str">
        <f t="shared" si="101"/>
        <v/>
      </c>
      <c r="T938" s="83" t="str">
        <f t="shared" si="98"/>
        <v/>
      </c>
      <c r="Y938" s="60">
        <f t="shared" si="102"/>
        <v>0</v>
      </c>
      <c r="Z938" s="49">
        <f t="shared" si="103"/>
        <v>0</v>
      </c>
      <c r="AA938" s="60">
        <f t="shared" si="104"/>
        <v>0</v>
      </c>
    </row>
    <row r="939" spans="1:27">
      <c r="A939" s="83" t="str">
        <f t="shared" si="99"/>
        <v/>
      </c>
      <c r="B939" s="83" t="str">
        <f t="shared" si="100"/>
        <v/>
      </c>
      <c r="S939" s="83" t="str">
        <f t="shared" si="101"/>
        <v/>
      </c>
      <c r="T939" s="83" t="str">
        <f t="shared" si="98"/>
        <v/>
      </c>
      <c r="Y939" s="60">
        <f t="shared" si="102"/>
        <v>0</v>
      </c>
      <c r="Z939" s="49">
        <f t="shared" si="103"/>
        <v>0</v>
      </c>
      <c r="AA939" s="60">
        <f t="shared" si="104"/>
        <v>0</v>
      </c>
    </row>
    <row r="940" spans="1:27">
      <c r="A940" s="83" t="str">
        <f t="shared" si="99"/>
        <v/>
      </c>
      <c r="B940" s="83" t="str">
        <f t="shared" si="100"/>
        <v/>
      </c>
      <c r="S940" s="83" t="str">
        <f t="shared" si="101"/>
        <v/>
      </c>
      <c r="T940" s="83" t="str">
        <f t="shared" si="98"/>
        <v/>
      </c>
      <c r="Y940" s="60">
        <f t="shared" si="102"/>
        <v>0</v>
      </c>
      <c r="Z940" s="49">
        <f t="shared" si="103"/>
        <v>0</v>
      </c>
      <c r="AA940" s="60">
        <f t="shared" si="104"/>
        <v>0</v>
      </c>
    </row>
    <row r="941" spans="1:27">
      <c r="A941" s="83" t="str">
        <f t="shared" si="99"/>
        <v/>
      </c>
      <c r="B941" s="83" t="str">
        <f t="shared" si="100"/>
        <v/>
      </c>
      <c r="S941" s="83" t="str">
        <f t="shared" si="101"/>
        <v/>
      </c>
      <c r="T941" s="83" t="str">
        <f t="shared" si="98"/>
        <v/>
      </c>
      <c r="Y941" s="60">
        <f t="shared" si="102"/>
        <v>0</v>
      </c>
      <c r="Z941" s="49">
        <f t="shared" si="103"/>
        <v>0</v>
      </c>
      <c r="AA941" s="60">
        <f t="shared" si="104"/>
        <v>0</v>
      </c>
    </row>
    <row r="942" spans="1:27">
      <c r="A942" s="83" t="str">
        <f t="shared" si="99"/>
        <v/>
      </c>
      <c r="B942" s="83" t="str">
        <f t="shared" si="100"/>
        <v/>
      </c>
      <c r="S942" s="83" t="str">
        <f t="shared" si="101"/>
        <v/>
      </c>
      <c r="T942" s="83" t="str">
        <f t="shared" si="98"/>
        <v/>
      </c>
      <c r="Y942" s="60">
        <f t="shared" si="102"/>
        <v>0</v>
      </c>
      <c r="Z942" s="49">
        <f t="shared" si="103"/>
        <v>0</v>
      </c>
      <c r="AA942" s="60">
        <f t="shared" si="104"/>
        <v>0</v>
      </c>
    </row>
    <row r="943" spans="1:27">
      <c r="A943" s="83" t="str">
        <f t="shared" si="99"/>
        <v/>
      </c>
      <c r="B943" s="83" t="str">
        <f t="shared" si="100"/>
        <v/>
      </c>
      <c r="S943" s="83" t="str">
        <f t="shared" si="101"/>
        <v/>
      </c>
      <c r="T943" s="83" t="str">
        <f t="shared" si="98"/>
        <v/>
      </c>
      <c r="Y943" s="60">
        <f t="shared" si="102"/>
        <v>0</v>
      </c>
      <c r="Z943" s="49">
        <f t="shared" si="103"/>
        <v>0</v>
      </c>
      <c r="AA943" s="60">
        <f t="shared" si="104"/>
        <v>0</v>
      </c>
    </row>
    <row r="944" spans="1:27">
      <c r="A944" s="83" t="str">
        <f t="shared" si="99"/>
        <v/>
      </c>
      <c r="B944" s="83" t="str">
        <f t="shared" si="100"/>
        <v/>
      </c>
      <c r="S944" s="83" t="str">
        <f t="shared" si="101"/>
        <v/>
      </c>
      <c r="T944" s="83" t="str">
        <f t="shared" si="98"/>
        <v/>
      </c>
      <c r="Y944" s="60">
        <f t="shared" si="102"/>
        <v>0</v>
      </c>
      <c r="Z944" s="49">
        <f t="shared" si="103"/>
        <v>0</v>
      </c>
      <c r="AA944" s="60">
        <f t="shared" si="104"/>
        <v>0</v>
      </c>
    </row>
    <row r="945" spans="1:27">
      <c r="A945" s="83" t="str">
        <f t="shared" si="99"/>
        <v/>
      </c>
      <c r="B945" s="83" t="str">
        <f t="shared" si="100"/>
        <v/>
      </c>
      <c r="S945" s="83" t="str">
        <f t="shared" si="101"/>
        <v/>
      </c>
      <c r="T945" s="83" t="str">
        <f t="shared" si="98"/>
        <v/>
      </c>
      <c r="Y945" s="60">
        <f t="shared" si="102"/>
        <v>0</v>
      </c>
      <c r="Z945" s="49">
        <f t="shared" si="103"/>
        <v>0</v>
      </c>
      <c r="AA945" s="60">
        <f t="shared" si="104"/>
        <v>0</v>
      </c>
    </row>
    <row r="946" spans="1:27">
      <c r="A946" s="83" t="str">
        <f t="shared" si="99"/>
        <v/>
      </c>
      <c r="B946" s="83" t="str">
        <f t="shared" si="100"/>
        <v/>
      </c>
      <c r="S946" s="83" t="str">
        <f t="shared" si="101"/>
        <v/>
      </c>
      <c r="T946" s="83" t="str">
        <f t="shared" si="98"/>
        <v/>
      </c>
      <c r="Y946" s="60">
        <f t="shared" si="102"/>
        <v>0</v>
      </c>
      <c r="Z946" s="49">
        <f t="shared" si="103"/>
        <v>0</v>
      </c>
      <c r="AA946" s="60">
        <f t="shared" si="104"/>
        <v>0</v>
      </c>
    </row>
    <row r="947" spans="1:27">
      <c r="A947" s="83" t="str">
        <f t="shared" si="99"/>
        <v/>
      </c>
      <c r="B947" s="83" t="str">
        <f t="shared" si="100"/>
        <v/>
      </c>
      <c r="S947" s="83" t="str">
        <f t="shared" si="101"/>
        <v/>
      </c>
      <c r="T947" s="83" t="str">
        <f t="shared" si="98"/>
        <v/>
      </c>
      <c r="Y947" s="60">
        <f t="shared" si="102"/>
        <v>0</v>
      </c>
      <c r="Z947" s="49">
        <f t="shared" si="103"/>
        <v>0</v>
      </c>
      <c r="AA947" s="60">
        <f t="shared" si="104"/>
        <v>0</v>
      </c>
    </row>
    <row r="948" spans="1:27">
      <c r="A948" s="83" t="str">
        <f t="shared" si="99"/>
        <v/>
      </c>
      <c r="B948" s="83" t="str">
        <f t="shared" si="100"/>
        <v/>
      </c>
      <c r="S948" s="83" t="str">
        <f t="shared" si="101"/>
        <v/>
      </c>
      <c r="T948" s="83" t="str">
        <f t="shared" si="98"/>
        <v/>
      </c>
      <c r="Y948" s="60">
        <f t="shared" si="102"/>
        <v>0</v>
      </c>
      <c r="Z948" s="49">
        <f t="shared" si="103"/>
        <v>0</v>
      </c>
      <c r="AA948" s="60">
        <f t="shared" si="104"/>
        <v>0</v>
      </c>
    </row>
    <row r="949" spans="1:27">
      <c r="A949" s="83" t="str">
        <f t="shared" si="99"/>
        <v/>
      </c>
      <c r="B949" s="83" t="str">
        <f t="shared" si="100"/>
        <v/>
      </c>
      <c r="S949" s="83" t="str">
        <f t="shared" si="101"/>
        <v/>
      </c>
      <c r="T949" s="83" t="str">
        <f t="shared" si="98"/>
        <v/>
      </c>
      <c r="Y949" s="60">
        <f t="shared" si="102"/>
        <v>0</v>
      </c>
      <c r="Z949" s="49">
        <f t="shared" si="103"/>
        <v>0</v>
      </c>
      <c r="AA949" s="60">
        <f t="shared" si="104"/>
        <v>0</v>
      </c>
    </row>
    <row r="950" spans="1:27">
      <c r="A950" s="83" t="str">
        <f t="shared" si="99"/>
        <v/>
      </c>
      <c r="B950" s="83" t="str">
        <f t="shared" si="100"/>
        <v/>
      </c>
      <c r="S950" s="83" t="str">
        <f t="shared" si="101"/>
        <v/>
      </c>
      <c r="T950" s="83" t="str">
        <f t="shared" si="98"/>
        <v/>
      </c>
      <c r="Y950" s="60">
        <f t="shared" si="102"/>
        <v>0</v>
      </c>
      <c r="Z950" s="49">
        <f t="shared" si="103"/>
        <v>0</v>
      </c>
      <c r="AA950" s="60">
        <f t="shared" si="104"/>
        <v>0</v>
      </c>
    </row>
    <row r="951" spans="1:27">
      <c r="A951" s="83" t="str">
        <f t="shared" si="99"/>
        <v/>
      </c>
      <c r="B951" s="83" t="str">
        <f t="shared" si="100"/>
        <v/>
      </c>
      <c r="S951" s="83" t="str">
        <f t="shared" si="101"/>
        <v/>
      </c>
      <c r="T951" s="83" t="str">
        <f t="shared" si="98"/>
        <v/>
      </c>
      <c r="Y951" s="60">
        <f t="shared" si="102"/>
        <v>0</v>
      </c>
      <c r="Z951" s="49">
        <f t="shared" si="103"/>
        <v>0</v>
      </c>
      <c r="AA951" s="60">
        <f t="shared" si="104"/>
        <v>0</v>
      </c>
    </row>
    <row r="952" spans="1:27">
      <c r="A952" s="83" t="str">
        <f t="shared" si="99"/>
        <v/>
      </c>
      <c r="B952" s="83" t="str">
        <f t="shared" si="100"/>
        <v/>
      </c>
      <c r="S952" s="83" t="str">
        <f t="shared" si="101"/>
        <v/>
      </c>
      <c r="T952" s="83" t="str">
        <f t="shared" si="98"/>
        <v/>
      </c>
      <c r="Y952" s="60">
        <f t="shared" si="102"/>
        <v>0</v>
      </c>
      <c r="Z952" s="49">
        <f t="shared" si="103"/>
        <v>0</v>
      </c>
      <c r="AA952" s="60">
        <f t="shared" si="104"/>
        <v>0</v>
      </c>
    </row>
    <row r="953" spans="1:27">
      <c r="A953" s="83" t="str">
        <f t="shared" si="99"/>
        <v/>
      </c>
      <c r="B953" s="83" t="str">
        <f t="shared" si="100"/>
        <v/>
      </c>
      <c r="S953" s="83" t="str">
        <f t="shared" si="101"/>
        <v/>
      </c>
      <c r="T953" s="83" t="str">
        <f t="shared" si="98"/>
        <v/>
      </c>
      <c r="Y953" s="60">
        <f t="shared" si="102"/>
        <v>0</v>
      </c>
      <c r="Z953" s="49">
        <f t="shared" si="103"/>
        <v>0</v>
      </c>
      <c r="AA953" s="60">
        <f t="shared" si="104"/>
        <v>0</v>
      </c>
    </row>
    <row r="954" spans="1:27">
      <c r="A954" s="83" t="str">
        <f t="shared" si="99"/>
        <v/>
      </c>
      <c r="B954" s="83" t="str">
        <f t="shared" si="100"/>
        <v/>
      </c>
      <c r="S954" s="83" t="str">
        <f t="shared" si="101"/>
        <v/>
      </c>
      <c r="T954" s="83" t="str">
        <f t="shared" si="98"/>
        <v/>
      </c>
      <c r="Y954" s="60">
        <f t="shared" si="102"/>
        <v>0</v>
      </c>
      <c r="Z954" s="49">
        <f t="shared" si="103"/>
        <v>0</v>
      </c>
      <c r="AA954" s="60">
        <f t="shared" si="104"/>
        <v>0</v>
      </c>
    </row>
    <row r="955" spans="1:27">
      <c r="A955" s="83" t="str">
        <f t="shared" si="99"/>
        <v/>
      </c>
      <c r="B955" s="83" t="str">
        <f t="shared" si="100"/>
        <v/>
      </c>
      <c r="S955" s="83" t="str">
        <f t="shared" si="101"/>
        <v/>
      </c>
      <c r="T955" s="83" t="str">
        <f t="shared" si="98"/>
        <v/>
      </c>
      <c r="Y955" s="60">
        <f t="shared" si="102"/>
        <v>0</v>
      </c>
      <c r="Z955" s="49">
        <f t="shared" si="103"/>
        <v>0</v>
      </c>
      <c r="AA955" s="60">
        <f t="shared" si="104"/>
        <v>0</v>
      </c>
    </row>
    <row r="956" spans="1:27">
      <c r="A956" s="83" t="str">
        <f t="shared" si="99"/>
        <v/>
      </c>
      <c r="B956" s="83" t="str">
        <f t="shared" si="100"/>
        <v/>
      </c>
      <c r="S956" s="83" t="str">
        <f t="shared" si="101"/>
        <v/>
      </c>
      <c r="T956" s="83" t="str">
        <f t="shared" si="98"/>
        <v/>
      </c>
      <c r="Y956" s="60">
        <f t="shared" si="102"/>
        <v>0</v>
      </c>
      <c r="Z956" s="49">
        <f t="shared" si="103"/>
        <v>0</v>
      </c>
      <c r="AA956" s="60">
        <f t="shared" si="104"/>
        <v>0</v>
      </c>
    </row>
    <row r="957" spans="1:27">
      <c r="A957" s="83" t="str">
        <f t="shared" si="99"/>
        <v/>
      </c>
      <c r="B957" s="83" t="str">
        <f t="shared" si="100"/>
        <v/>
      </c>
      <c r="S957" s="83" t="str">
        <f t="shared" si="101"/>
        <v/>
      </c>
      <c r="T957" s="83" t="str">
        <f t="shared" si="98"/>
        <v/>
      </c>
      <c r="Y957" s="60">
        <f t="shared" si="102"/>
        <v>0</v>
      </c>
      <c r="Z957" s="49">
        <f t="shared" si="103"/>
        <v>0</v>
      </c>
      <c r="AA957" s="60">
        <f t="shared" si="104"/>
        <v>0</v>
      </c>
    </row>
    <row r="958" spans="1:27">
      <c r="A958" s="83" t="str">
        <f t="shared" si="99"/>
        <v/>
      </c>
      <c r="B958" s="83" t="str">
        <f t="shared" si="100"/>
        <v/>
      </c>
      <c r="S958" s="83" t="str">
        <f t="shared" si="101"/>
        <v/>
      </c>
      <c r="T958" s="83" t="str">
        <f t="shared" si="98"/>
        <v/>
      </c>
      <c r="Y958" s="60">
        <f t="shared" si="102"/>
        <v>0</v>
      </c>
      <c r="Z958" s="49">
        <f t="shared" si="103"/>
        <v>0</v>
      </c>
      <c r="AA958" s="60">
        <f t="shared" si="104"/>
        <v>0</v>
      </c>
    </row>
    <row r="959" spans="1:27">
      <c r="A959" s="83" t="str">
        <f t="shared" si="99"/>
        <v/>
      </c>
      <c r="B959" s="83" t="str">
        <f t="shared" si="100"/>
        <v/>
      </c>
      <c r="S959" s="83" t="str">
        <f t="shared" si="101"/>
        <v/>
      </c>
      <c r="T959" s="83" t="str">
        <f t="shared" si="98"/>
        <v/>
      </c>
      <c r="Y959" s="60">
        <f t="shared" si="102"/>
        <v>0</v>
      </c>
      <c r="Z959" s="49">
        <f t="shared" si="103"/>
        <v>0</v>
      </c>
      <c r="AA959" s="60">
        <f t="shared" si="104"/>
        <v>0</v>
      </c>
    </row>
    <row r="960" spans="1:27">
      <c r="A960" s="83" t="str">
        <f t="shared" si="99"/>
        <v/>
      </c>
      <c r="B960" s="83" t="str">
        <f t="shared" si="100"/>
        <v/>
      </c>
      <c r="S960" s="83" t="str">
        <f t="shared" si="101"/>
        <v/>
      </c>
      <c r="T960" s="83" t="str">
        <f t="shared" si="98"/>
        <v/>
      </c>
      <c r="Y960" s="60">
        <f t="shared" si="102"/>
        <v>0</v>
      </c>
      <c r="Z960" s="49">
        <f t="shared" si="103"/>
        <v>0</v>
      </c>
      <c r="AA960" s="60">
        <f t="shared" si="104"/>
        <v>0</v>
      </c>
    </row>
    <row r="961" spans="1:27">
      <c r="A961" s="83" t="str">
        <f t="shared" si="99"/>
        <v/>
      </c>
      <c r="B961" s="83" t="str">
        <f t="shared" si="100"/>
        <v/>
      </c>
      <c r="S961" s="83" t="str">
        <f t="shared" si="101"/>
        <v/>
      </c>
      <c r="T961" s="83" t="str">
        <f t="shared" si="98"/>
        <v/>
      </c>
      <c r="Y961" s="60">
        <f t="shared" si="102"/>
        <v>0</v>
      </c>
      <c r="Z961" s="49">
        <f t="shared" si="103"/>
        <v>0</v>
      </c>
      <c r="AA961" s="60">
        <f t="shared" si="104"/>
        <v>0</v>
      </c>
    </row>
    <row r="962" spans="1:27">
      <c r="A962" s="83" t="str">
        <f t="shared" si="99"/>
        <v/>
      </c>
      <c r="B962" s="83" t="str">
        <f t="shared" si="100"/>
        <v/>
      </c>
      <c r="S962" s="83" t="str">
        <f t="shared" si="101"/>
        <v/>
      </c>
      <c r="T962" s="83" t="str">
        <f t="shared" ref="T962:T1025" si="105">IF(A962&lt;&gt;"",IF(FIND(" ",G962)&gt;=1,MID(G962,FIND(" ",G962)+1,LEN(G962)),""),"")</f>
        <v/>
      </c>
      <c r="Y962" s="60">
        <f t="shared" si="102"/>
        <v>0</v>
      </c>
      <c r="Z962" s="49">
        <f t="shared" si="103"/>
        <v>0</v>
      </c>
      <c r="AA962" s="60">
        <f t="shared" si="104"/>
        <v>0</v>
      </c>
    </row>
    <row r="963" spans="1:27">
      <c r="A963" s="83" t="str">
        <f t="shared" ref="A963:A1026" si="106">IF(G963&amp;Q963&lt;&gt;"",S963&amp;Q963,"")</f>
        <v/>
      </c>
      <c r="B963" s="83" t="str">
        <f t="shared" ref="B963:B1026" si="107">IF(C963&lt;&gt;"",LEFT(C963,9),"")</f>
        <v/>
      </c>
      <c r="S963" s="83" t="str">
        <f t="shared" ref="S963:S1026" si="108">IF(G963&lt;&gt;"",IF(FIND(" ",G963)&gt;=1,MID(G963,1,FIND(" ",G963)-1),G963),"")</f>
        <v/>
      </c>
      <c r="T963" s="83" t="str">
        <f t="shared" si="105"/>
        <v/>
      </c>
      <c r="Y963" s="60">
        <f t="shared" ref="Y963:Y1026" si="109">IFERROR(VALUE(MID($C963,1,2)),0)</f>
        <v>0</v>
      </c>
      <c r="Z963" s="49">
        <f t="shared" ref="Z963:Z1026" si="110">IFERROR(VALUE(MID($C963,4,3)),0)</f>
        <v>0</v>
      </c>
      <c r="AA963" s="60">
        <f t="shared" ref="AA963:AA1026" si="111">VALUE(RIGHT("00"&amp;Y963,2)&amp;RIGHT("000"&amp;Z963,3))</f>
        <v>0</v>
      </c>
    </row>
    <row r="964" spans="1:27">
      <c r="A964" s="83" t="str">
        <f t="shared" si="106"/>
        <v/>
      </c>
      <c r="B964" s="83" t="str">
        <f t="shared" si="107"/>
        <v/>
      </c>
      <c r="S964" s="83" t="str">
        <f t="shared" si="108"/>
        <v/>
      </c>
      <c r="T964" s="83" t="str">
        <f t="shared" si="105"/>
        <v/>
      </c>
      <c r="Y964" s="60">
        <f t="shared" si="109"/>
        <v>0</v>
      </c>
      <c r="Z964" s="49">
        <f t="shared" si="110"/>
        <v>0</v>
      </c>
      <c r="AA964" s="60">
        <f t="shared" si="111"/>
        <v>0</v>
      </c>
    </row>
    <row r="965" spans="1:27">
      <c r="A965" s="83" t="str">
        <f t="shared" si="106"/>
        <v/>
      </c>
      <c r="B965" s="83" t="str">
        <f t="shared" si="107"/>
        <v/>
      </c>
      <c r="S965" s="83" t="str">
        <f t="shared" si="108"/>
        <v/>
      </c>
      <c r="T965" s="83" t="str">
        <f t="shared" si="105"/>
        <v/>
      </c>
      <c r="Y965" s="60">
        <f t="shared" si="109"/>
        <v>0</v>
      </c>
      <c r="Z965" s="49">
        <f t="shared" si="110"/>
        <v>0</v>
      </c>
      <c r="AA965" s="60">
        <f t="shared" si="111"/>
        <v>0</v>
      </c>
    </row>
    <row r="966" spans="1:27">
      <c r="A966" s="83" t="str">
        <f t="shared" si="106"/>
        <v/>
      </c>
      <c r="B966" s="83" t="str">
        <f t="shared" si="107"/>
        <v/>
      </c>
      <c r="S966" s="83" t="str">
        <f t="shared" si="108"/>
        <v/>
      </c>
      <c r="T966" s="83" t="str">
        <f t="shared" si="105"/>
        <v/>
      </c>
      <c r="Y966" s="60">
        <f t="shared" si="109"/>
        <v>0</v>
      </c>
      <c r="Z966" s="49">
        <f t="shared" si="110"/>
        <v>0</v>
      </c>
      <c r="AA966" s="60">
        <f t="shared" si="111"/>
        <v>0</v>
      </c>
    </row>
    <row r="967" spans="1:27">
      <c r="A967" s="83" t="str">
        <f t="shared" si="106"/>
        <v/>
      </c>
      <c r="B967" s="83" t="str">
        <f t="shared" si="107"/>
        <v/>
      </c>
      <c r="S967" s="83" t="str">
        <f t="shared" si="108"/>
        <v/>
      </c>
      <c r="T967" s="83" t="str">
        <f t="shared" si="105"/>
        <v/>
      </c>
      <c r="Y967" s="60">
        <f t="shared" si="109"/>
        <v>0</v>
      </c>
      <c r="Z967" s="49">
        <f t="shared" si="110"/>
        <v>0</v>
      </c>
      <c r="AA967" s="60">
        <f t="shared" si="111"/>
        <v>0</v>
      </c>
    </row>
    <row r="968" spans="1:27">
      <c r="A968" s="83" t="str">
        <f t="shared" si="106"/>
        <v/>
      </c>
      <c r="B968" s="83" t="str">
        <f t="shared" si="107"/>
        <v/>
      </c>
      <c r="S968" s="83" t="str">
        <f t="shared" si="108"/>
        <v/>
      </c>
      <c r="T968" s="83" t="str">
        <f t="shared" si="105"/>
        <v/>
      </c>
      <c r="Y968" s="60">
        <f t="shared" si="109"/>
        <v>0</v>
      </c>
      <c r="Z968" s="49">
        <f t="shared" si="110"/>
        <v>0</v>
      </c>
      <c r="AA968" s="60">
        <f t="shared" si="111"/>
        <v>0</v>
      </c>
    </row>
    <row r="969" spans="1:27">
      <c r="A969" s="83" t="str">
        <f t="shared" si="106"/>
        <v/>
      </c>
      <c r="B969" s="83" t="str">
        <f t="shared" si="107"/>
        <v/>
      </c>
      <c r="S969" s="83" t="str">
        <f t="shared" si="108"/>
        <v/>
      </c>
      <c r="T969" s="83" t="str">
        <f t="shared" si="105"/>
        <v/>
      </c>
      <c r="Y969" s="60">
        <f t="shared" si="109"/>
        <v>0</v>
      </c>
      <c r="Z969" s="49">
        <f t="shared" si="110"/>
        <v>0</v>
      </c>
      <c r="AA969" s="60">
        <f t="shared" si="111"/>
        <v>0</v>
      </c>
    </row>
    <row r="970" spans="1:27">
      <c r="A970" s="83" t="str">
        <f t="shared" si="106"/>
        <v/>
      </c>
      <c r="B970" s="83" t="str">
        <f t="shared" si="107"/>
        <v/>
      </c>
      <c r="S970" s="83" t="str">
        <f t="shared" si="108"/>
        <v/>
      </c>
      <c r="T970" s="83" t="str">
        <f t="shared" si="105"/>
        <v/>
      </c>
      <c r="Y970" s="60">
        <f t="shared" si="109"/>
        <v>0</v>
      </c>
      <c r="Z970" s="49">
        <f t="shared" si="110"/>
        <v>0</v>
      </c>
      <c r="AA970" s="60">
        <f t="shared" si="111"/>
        <v>0</v>
      </c>
    </row>
    <row r="971" spans="1:27">
      <c r="A971" s="83" t="str">
        <f t="shared" si="106"/>
        <v/>
      </c>
      <c r="B971" s="83" t="str">
        <f t="shared" si="107"/>
        <v/>
      </c>
      <c r="S971" s="83" t="str">
        <f t="shared" si="108"/>
        <v/>
      </c>
      <c r="T971" s="83" t="str">
        <f t="shared" si="105"/>
        <v/>
      </c>
      <c r="Y971" s="60">
        <f t="shared" si="109"/>
        <v>0</v>
      </c>
      <c r="Z971" s="49">
        <f t="shared" si="110"/>
        <v>0</v>
      </c>
      <c r="AA971" s="60">
        <f t="shared" si="111"/>
        <v>0</v>
      </c>
    </row>
    <row r="972" spans="1:27">
      <c r="A972" s="83" t="str">
        <f t="shared" si="106"/>
        <v/>
      </c>
      <c r="B972" s="83" t="str">
        <f t="shared" si="107"/>
        <v/>
      </c>
      <c r="S972" s="83" t="str">
        <f t="shared" si="108"/>
        <v/>
      </c>
      <c r="T972" s="83" t="str">
        <f t="shared" si="105"/>
        <v/>
      </c>
      <c r="Y972" s="60">
        <f t="shared" si="109"/>
        <v>0</v>
      </c>
      <c r="Z972" s="49">
        <f t="shared" si="110"/>
        <v>0</v>
      </c>
      <c r="AA972" s="60">
        <f t="shared" si="111"/>
        <v>0</v>
      </c>
    </row>
    <row r="973" spans="1:27">
      <c r="A973" s="83" t="str">
        <f t="shared" si="106"/>
        <v/>
      </c>
      <c r="B973" s="83" t="str">
        <f t="shared" si="107"/>
        <v/>
      </c>
      <c r="S973" s="83" t="str">
        <f t="shared" si="108"/>
        <v/>
      </c>
      <c r="T973" s="83" t="str">
        <f t="shared" si="105"/>
        <v/>
      </c>
      <c r="Y973" s="60">
        <f t="shared" si="109"/>
        <v>0</v>
      </c>
      <c r="Z973" s="49">
        <f t="shared" si="110"/>
        <v>0</v>
      </c>
      <c r="AA973" s="60">
        <f t="shared" si="111"/>
        <v>0</v>
      </c>
    </row>
    <row r="974" spans="1:27">
      <c r="A974" s="83" t="str">
        <f t="shared" si="106"/>
        <v/>
      </c>
      <c r="B974" s="83" t="str">
        <f t="shared" si="107"/>
        <v/>
      </c>
      <c r="S974" s="83" t="str">
        <f t="shared" si="108"/>
        <v/>
      </c>
      <c r="T974" s="83" t="str">
        <f t="shared" si="105"/>
        <v/>
      </c>
      <c r="Y974" s="60">
        <f t="shared" si="109"/>
        <v>0</v>
      </c>
      <c r="Z974" s="49">
        <f t="shared" si="110"/>
        <v>0</v>
      </c>
      <c r="AA974" s="60">
        <f t="shared" si="111"/>
        <v>0</v>
      </c>
    </row>
    <row r="975" spans="1:27">
      <c r="A975" s="83" t="str">
        <f t="shared" si="106"/>
        <v/>
      </c>
      <c r="B975" s="83" t="str">
        <f t="shared" si="107"/>
        <v/>
      </c>
      <c r="S975" s="83" t="str">
        <f t="shared" si="108"/>
        <v/>
      </c>
      <c r="T975" s="83" t="str">
        <f t="shared" si="105"/>
        <v/>
      </c>
      <c r="Y975" s="60">
        <f t="shared" si="109"/>
        <v>0</v>
      </c>
      <c r="Z975" s="49">
        <f t="shared" si="110"/>
        <v>0</v>
      </c>
      <c r="AA975" s="60">
        <f t="shared" si="111"/>
        <v>0</v>
      </c>
    </row>
    <row r="976" spans="1:27">
      <c r="A976" s="83" t="str">
        <f t="shared" si="106"/>
        <v/>
      </c>
      <c r="B976" s="83" t="str">
        <f t="shared" si="107"/>
        <v/>
      </c>
      <c r="S976" s="83" t="str">
        <f t="shared" si="108"/>
        <v/>
      </c>
      <c r="T976" s="83" t="str">
        <f t="shared" si="105"/>
        <v/>
      </c>
      <c r="Y976" s="60">
        <f t="shared" si="109"/>
        <v>0</v>
      </c>
      <c r="Z976" s="49">
        <f t="shared" si="110"/>
        <v>0</v>
      </c>
      <c r="AA976" s="60">
        <f t="shared" si="111"/>
        <v>0</v>
      </c>
    </row>
    <row r="977" spans="1:27">
      <c r="A977" s="83" t="str">
        <f t="shared" si="106"/>
        <v/>
      </c>
      <c r="B977" s="83" t="str">
        <f t="shared" si="107"/>
        <v/>
      </c>
      <c r="S977" s="83" t="str">
        <f t="shared" si="108"/>
        <v/>
      </c>
      <c r="T977" s="83" t="str">
        <f t="shared" si="105"/>
        <v/>
      </c>
      <c r="Y977" s="60">
        <f t="shared" si="109"/>
        <v>0</v>
      </c>
      <c r="Z977" s="49">
        <f t="shared" si="110"/>
        <v>0</v>
      </c>
      <c r="AA977" s="60">
        <f t="shared" si="111"/>
        <v>0</v>
      </c>
    </row>
    <row r="978" spans="1:27">
      <c r="A978" s="83" t="str">
        <f t="shared" si="106"/>
        <v/>
      </c>
      <c r="B978" s="83" t="str">
        <f t="shared" si="107"/>
        <v/>
      </c>
      <c r="S978" s="83" t="str">
        <f t="shared" si="108"/>
        <v/>
      </c>
      <c r="T978" s="83" t="str">
        <f t="shared" si="105"/>
        <v/>
      </c>
      <c r="Y978" s="60">
        <f t="shared" si="109"/>
        <v>0</v>
      </c>
      <c r="Z978" s="49">
        <f t="shared" si="110"/>
        <v>0</v>
      </c>
      <c r="AA978" s="60">
        <f t="shared" si="111"/>
        <v>0</v>
      </c>
    </row>
    <row r="979" spans="1:27">
      <c r="A979" s="83" t="str">
        <f t="shared" si="106"/>
        <v/>
      </c>
      <c r="B979" s="83" t="str">
        <f t="shared" si="107"/>
        <v/>
      </c>
      <c r="S979" s="83" t="str">
        <f t="shared" si="108"/>
        <v/>
      </c>
      <c r="T979" s="83" t="str">
        <f t="shared" si="105"/>
        <v/>
      </c>
      <c r="Y979" s="60">
        <f t="shared" si="109"/>
        <v>0</v>
      </c>
      <c r="Z979" s="49">
        <f t="shared" si="110"/>
        <v>0</v>
      </c>
      <c r="AA979" s="60">
        <f t="shared" si="111"/>
        <v>0</v>
      </c>
    </row>
    <row r="980" spans="1:27">
      <c r="A980" s="83" t="str">
        <f t="shared" si="106"/>
        <v/>
      </c>
      <c r="B980" s="83" t="str">
        <f t="shared" si="107"/>
        <v/>
      </c>
      <c r="S980" s="83" t="str">
        <f t="shared" si="108"/>
        <v/>
      </c>
      <c r="T980" s="83" t="str">
        <f t="shared" si="105"/>
        <v/>
      </c>
      <c r="Y980" s="60">
        <f t="shared" si="109"/>
        <v>0</v>
      </c>
      <c r="Z980" s="49">
        <f t="shared" si="110"/>
        <v>0</v>
      </c>
      <c r="AA980" s="60">
        <f t="shared" si="111"/>
        <v>0</v>
      </c>
    </row>
    <row r="981" spans="1:27">
      <c r="A981" s="83" t="str">
        <f t="shared" si="106"/>
        <v/>
      </c>
      <c r="B981" s="83" t="str">
        <f t="shared" si="107"/>
        <v/>
      </c>
      <c r="S981" s="83" t="str">
        <f t="shared" si="108"/>
        <v/>
      </c>
      <c r="T981" s="83" t="str">
        <f t="shared" si="105"/>
        <v/>
      </c>
      <c r="Y981" s="60">
        <f t="shared" si="109"/>
        <v>0</v>
      </c>
      <c r="Z981" s="49">
        <f t="shared" si="110"/>
        <v>0</v>
      </c>
      <c r="AA981" s="60">
        <f t="shared" si="111"/>
        <v>0</v>
      </c>
    </row>
    <row r="982" spans="1:27">
      <c r="A982" s="83" t="str">
        <f t="shared" si="106"/>
        <v/>
      </c>
      <c r="B982" s="83" t="str">
        <f t="shared" si="107"/>
        <v/>
      </c>
      <c r="S982" s="83" t="str">
        <f t="shared" si="108"/>
        <v/>
      </c>
      <c r="T982" s="83" t="str">
        <f t="shared" si="105"/>
        <v/>
      </c>
      <c r="Y982" s="60">
        <f t="shared" si="109"/>
        <v>0</v>
      </c>
      <c r="Z982" s="49">
        <f t="shared" si="110"/>
        <v>0</v>
      </c>
      <c r="AA982" s="60">
        <f t="shared" si="111"/>
        <v>0</v>
      </c>
    </row>
    <row r="983" spans="1:27">
      <c r="A983" s="83" t="str">
        <f t="shared" si="106"/>
        <v/>
      </c>
      <c r="B983" s="83" t="str">
        <f t="shared" si="107"/>
        <v/>
      </c>
      <c r="S983" s="83" t="str">
        <f t="shared" si="108"/>
        <v/>
      </c>
      <c r="T983" s="83" t="str">
        <f t="shared" si="105"/>
        <v/>
      </c>
      <c r="Y983" s="60">
        <f t="shared" si="109"/>
        <v>0</v>
      </c>
      <c r="Z983" s="49">
        <f t="shared" si="110"/>
        <v>0</v>
      </c>
      <c r="AA983" s="60">
        <f t="shared" si="111"/>
        <v>0</v>
      </c>
    </row>
    <row r="984" spans="1:27">
      <c r="A984" s="83" t="str">
        <f t="shared" si="106"/>
        <v/>
      </c>
      <c r="B984" s="83" t="str">
        <f t="shared" si="107"/>
        <v/>
      </c>
      <c r="S984" s="83" t="str">
        <f t="shared" si="108"/>
        <v/>
      </c>
      <c r="T984" s="83" t="str">
        <f t="shared" si="105"/>
        <v/>
      </c>
      <c r="Y984" s="60">
        <f t="shared" si="109"/>
        <v>0</v>
      </c>
      <c r="Z984" s="49">
        <f t="shared" si="110"/>
        <v>0</v>
      </c>
      <c r="AA984" s="60">
        <f t="shared" si="111"/>
        <v>0</v>
      </c>
    </row>
    <row r="985" spans="1:27">
      <c r="A985" s="83" t="str">
        <f t="shared" si="106"/>
        <v/>
      </c>
      <c r="B985" s="83" t="str">
        <f t="shared" si="107"/>
        <v/>
      </c>
      <c r="S985" s="83" t="str">
        <f t="shared" si="108"/>
        <v/>
      </c>
      <c r="T985" s="83" t="str">
        <f t="shared" si="105"/>
        <v/>
      </c>
      <c r="Y985" s="60">
        <f t="shared" si="109"/>
        <v>0</v>
      </c>
      <c r="Z985" s="49">
        <f t="shared" si="110"/>
        <v>0</v>
      </c>
      <c r="AA985" s="60">
        <f t="shared" si="111"/>
        <v>0</v>
      </c>
    </row>
    <row r="986" spans="1:27">
      <c r="A986" s="83" t="str">
        <f t="shared" si="106"/>
        <v/>
      </c>
      <c r="B986" s="83" t="str">
        <f t="shared" si="107"/>
        <v/>
      </c>
      <c r="S986" s="83" t="str">
        <f t="shared" si="108"/>
        <v/>
      </c>
      <c r="T986" s="83" t="str">
        <f t="shared" si="105"/>
        <v/>
      </c>
      <c r="Y986" s="60">
        <f t="shared" si="109"/>
        <v>0</v>
      </c>
      <c r="Z986" s="49">
        <f t="shared" si="110"/>
        <v>0</v>
      </c>
      <c r="AA986" s="60">
        <f t="shared" si="111"/>
        <v>0</v>
      </c>
    </row>
    <row r="987" spans="1:27">
      <c r="A987" s="83" t="str">
        <f t="shared" si="106"/>
        <v/>
      </c>
      <c r="B987" s="83" t="str">
        <f t="shared" si="107"/>
        <v/>
      </c>
      <c r="S987" s="83" t="str">
        <f t="shared" si="108"/>
        <v/>
      </c>
      <c r="T987" s="83" t="str">
        <f t="shared" si="105"/>
        <v/>
      </c>
      <c r="Y987" s="60">
        <f t="shared" si="109"/>
        <v>0</v>
      </c>
      <c r="Z987" s="49">
        <f t="shared" si="110"/>
        <v>0</v>
      </c>
      <c r="AA987" s="60">
        <f t="shared" si="111"/>
        <v>0</v>
      </c>
    </row>
    <row r="988" spans="1:27">
      <c r="A988" s="83" t="str">
        <f t="shared" si="106"/>
        <v/>
      </c>
      <c r="B988" s="83" t="str">
        <f t="shared" si="107"/>
        <v/>
      </c>
      <c r="S988" s="83" t="str">
        <f t="shared" si="108"/>
        <v/>
      </c>
      <c r="T988" s="83" t="str">
        <f t="shared" si="105"/>
        <v/>
      </c>
      <c r="Y988" s="60">
        <f t="shared" si="109"/>
        <v>0</v>
      </c>
      <c r="Z988" s="49">
        <f t="shared" si="110"/>
        <v>0</v>
      </c>
      <c r="AA988" s="60">
        <f t="shared" si="111"/>
        <v>0</v>
      </c>
    </row>
    <row r="989" spans="1:27">
      <c r="A989" s="83" t="str">
        <f t="shared" si="106"/>
        <v/>
      </c>
      <c r="B989" s="83" t="str">
        <f t="shared" si="107"/>
        <v/>
      </c>
      <c r="S989" s="83" t="str">
        <f t="shared" si="108"/>
        <v/>
      </c>
      <c r="T989" s="83" t="str">
        <f t="shared" si="105"/>
        <v/>
      </c>
      <c r="Y989" s="60">
        <f t="shared" si="109"/>
        <v>0</v>
      </c>
      <c r="Z989" s="49">
        <f t="shared" si="110"/>
        <v>0</v>
      </c>
      <c r="AA989" s="60">
        <f t="shared" si="111"/>
        <v>0</v>
      </c>
    </row>
    <row r="990" spans="1:27">
      <c r="A990" s="83" t="str">
        <f t="shared" si="106"/>
        <v/>
      </c>
      <c r="B990" s="83" t="str">
        <f t="shared" si="107"/>
        <v/>
      </c>
      <c r="S990" s="83" t="str">
        <f t="shared" si="108"/>
        <v/>
      </c>
      <c r="T990" s="83" t="str">
        <f t="shared" si="105"/>
        <v/>
      </c>
      <c r="Y990" s="60">
        <f t="shared" si="109"/>
        <v>0</v>
      </c>
      <c r="Z990" s="49">
        <f t="shared" si="110"/>
        <v>0</v>
      </c>
      <c r="AA990" s="60">
        <f t="shared" si="111"/>
        <v>0</v>
      </c>
    </row>
    <row r="991" spans="1:27">
      <c r="A991" s="83" t="str">
        <f t="shared" si="106"/>
        <v/>
      </c>
      <c r="B991" s="83" t="str">
        <f t="shared" si="107"/>
        <v/>
      </c>
      <c r="S991" s="83" t="str">
        <f t="shared" si="108"/>
        <v/>
      </c>
      <c r="T991" s="83" t="str">
        <f t="shared" si="105"/>
        <v/>
      </c>
      <c r="Y991" s="60">
        <f t="shared" si="109"/>
        <v>0</v>
      </c>
      <c r="Z991" s="49">
        <f t="shared" si="110"/>
        <v>0</v>
      </c>
      <c r="AA991" s="60">
        <f t="shared" si="111"/>
        <v>0</v>
      </c>
    </row>
    <row r="992" spans="1:27">
      <c r="A992" s="83" t="str">
        <f t="shared" si="106"/>
        <v/>
      </c>
      <c r="B992" s="83" t="str">
        <f t="shared" si="107"/>
        <v/>
      </c>
      <c r="S992" s="83" t="str">
        <f t="shared" si="108"/>
        <v/>
      </c>
      <c r="T992" s="83" t="str">
        <f t="shared" si="105"/>
        <v/>
      </c>
      <c r="Y992" s="60">
        <f t="shared" si="109"/>
        <v>0</v>
      </c>
      <c r="Z992" s="49">
        <f t="shared" si="110"/>
        <v>0</v>
      </c>
      <c r="AA992" s="60">
        <f t="shared" si="111"/>
        <v>0</v>
      </c>
    </row>
    <row r="993" spans="1:27">
      <c r="A993" s="83" t="str">
        <f t="shared" si="106"/>
        <v/>
      </c>
      <c r="B993" s="83" t="str">
        <f t="shared" si="107"/>
        <v/>
      </c>
      <c r="S993" s="83" t="str">
        <f t="shared" si="108"/>
        <v/>
      </c>
      <c r="T993" s="83" t="str">
        <f t="shared" si="105"/>
        <v/>
      </c>
      <c r="Y993" s="60">
        <f t="shared" si="109"/>
        <v>0</v>
      </c>
      <c r="Z993" s="49">
        <f t="shared" si="110"/>
        <v>0</v>
      </c>
      <c r="AA993" s="60">
        <f t="shared" si="111"/>
        <v>0</v>
      </c>
    </row>
    <row r="994" spans="1:27">
      <c r="A994" s="83" t="str">
        <f t="shared" si="106"/>
        <v/>
      </c>
      <c r="B994" s="83" t="str">
        <f t="shared" si="107"/>
        <v/>
      </c>
      <c r="S994" s="83" t="str">
        <f t="shared" si="108"/>
        <v/>
      </c>
      <c r="T994" s="83" t="str">
        <f t="shared" si="105"/>
        <v/>
      </c>
      <c r="Y994" s="60">
        <f t="shared" si="109"/>
        <v>0</v>
      </c>
      <c r="Z994" s="49">
        <f t="shared" si="110"/>
        <v>0</v>
      </c>
      <c r="AA994" s="60">
        <f t="shared" si="111"/>
        <v>0</v>
      </c>
    </row>
    <row r="995" spans="1:27">
      <c r="A995" s="83" t="str">
        <f t="shared" si="106"/>
        <v/>
      </c>
      <c r="B995" s="83" t="str">
        <f t="shared" si="107"/>
        <v/>
      </c>
      <c r="S995" s="83" t="str">
        <f t="shared" si="108"/>
        <v/>
      </c>
      <c r="T995" s="83" t="str">
        <f t="shared" si="105"/>
        <v/>
      </c>
      <c r="Y995" s="60">
        <f t="shared" si="109"/>
        <v>0</v>
      </c>
      <c r="Z995" s="49">
        <f t="shared" si="110"/>
        <v>0</v>
      </c>
      <c r="AA995" s="60">
        <f t="shared" si="111"/>
        <v>0</v>
      </c>
    </row>
    <row r="996" spans="1:27">
      <c r="A996" s="83" t="str">
        <f t="shared" si="106"/>
        <v/>
      </c>
      <c r="B996" s="83" t="str">
        <f t="shared" si="107"/>
        <v/>
      </c>
      <c r="S996" s="83" t="str">
        <f t="shared" si="108"/>
        <v/>
      </c>
      <c r="T996" s="83" t="str">
        <f t="shared" si="105"/>
        <v/>
      </c>
      <c r="Y996" s="60">
        <f t="shared" si="109"/>
        <v>0</v>
      </c>
      <c r="Z996" s="49">
        <f t="shared" si="110"/>
        <v>0</v>
      </c>
      <c r="AA996" s="60">
        <f t="shared" si="111"/>
        <v>0</v>
      </c>
    </row>
    <row r="997" spans="1:27">
      <c r="A997" s="83" t="str">
        <f t="shared" si="106"/>
        <v/>
      </c>
      <c r="B997" s="83" t="str">
        <f t="shared" si="107"/>
        <v/>
      </c>
      <c r="S997" s="83" t="str">
        <f t="shared" si="108"/>
        <v/>
      </c>
      <c r="T997" s="83" t="str">
        <f t="shared" si="105"/>
        <v/>
      </c>
      <c r="Y997" s="60">
        <f t="shared" si="109"/>
        <v>0</v>
      </c>
      <c r="Z997" s="49">
        <f t="shared" si="110"/>
        <v>0</v>
      </c>
      <c r="AA997" s="60">
        <f t="shared" si="111"/>
        <v>0</v>
      </c>
    </row>
    <row r="998" spans="1:27">
      <c r="A998" s="83" t="str">
        <f t="shared" si="106"/>
        <v/>
      </c>
      <c r="B998" s="83" t="str">
        <f t="shared" si="107"/>
        <v/>
      </c>
      <c r="S998" s="83" t="str">
        <f t="shared" si="108"/>
        <v/>
      </c>
      <c r="T998" s="83" t="str">
        <f t="shared" si="105"/>
        <v/>
      </c>
      <c r="Y998" s="60">
        <f t="shared" si="109"/>
        <v>0</v>
      </c>
      <c r="Z998" s="49">
        <f t="shared" si="110"/>
        <v>0</v>
      </c>
      <c r="AA998" s="60">
        <f t="shared" si="111"/>
        <v>0</v>
      </c>
    </row>
    <row r="999" spans="1:27">
      <c r="A999" s="83" t="str">
        <f t="shared" si="106"/>
        <v/>
      </c>
      <c r="B999" s="83" t="str">
        <f t="shared" si="107"/>
        <v/>
      </c>
      <c r="S999" s="83" t="str">
        <f t="shared" si="108"/>
        <v/>
      </c>
      <c r="T999" s="83" t="str">
        <f t="shared" si="105"/>
        <v/>
      </c>
      <c r="Y999" s="60">
        <f t="shared" si="109"/>
        <v>0</v>
      </c>
      <c r="Z999" s="49">
        <f t="shared" si="110"/>
        <v>0</v>
      </c>
      <c r="AA999" s="60">
        <f t="shared" si="111"/>
        <v>0</v>
      </c>
    </row>
    <row r="1000" spans="1:27">
      <c r="A1000" s="83" t="str">
        <f t="shared" si="106"/>
        <v/>
      </c>
      <c r="B1000" s="83" t="str">
        <f t="shared" si="107"/>
        <v/>
      </c>
      <c r="S1000" s="83" t="str">
        <f t="shared" si="108"/>
        <v/>
      </c>
      <c r="T1000" s="83" t="str">
        <f t="shared" si="105"/>
        <v/>
      </c>
      <c r="Y1000" s="60">
        <f t="shared" si="109"/>
        <v>0</v>
      </c>
      <c r="Z1000" s="49">
        <f t="shared" si="110"/>
        <v>0</v>
      </c>
      <c r="AA1000" s="60">
        <f t="shared" si="111"/>
        <v>0</v>
      </c>
    </row>
    <row r="1001" spans="1:27">
      <c r="A1001" s="83" t="str">
        <f t="shared" si="106"/>
        <v/>
      </c>
      <c r="B1001" s="83" t="str">
        <f t="shared" si="107"/>
        <v/>
      </c>
      <c r="S1001" s="83" t="str">
        <f t="shared" si="108"/>
        <v/>
      </c>
      <c r="T1001" s="83" t="str">
        <f t="shared" si="105"/>
        <v/>
      </c>
      <c r="Y1001" s="60">
        <f t="shared" si="109"/>
        <v>0</v>
      </c>
      <c r="Z1001" s="49">
        <f t="shared" si="110"/>
        <v>0</v>
      </c>
      <c r="AA1001" s="60">
        <f t="shared" si="111"/>
        <v>0</v>
      </c>
    </row>
    <row r="1002" spans="1:27">
      <c r="A1002" s="83" t="str">
        <f t="shared" si="106"/>
        <v/>
      </c>
      <c r="B1002" s="83" t="str">
        <f t="shared" si="107"/>
        <v/>
      </c>
      <c r="S1002" s="83" t="str">
        <f t="shared" si="108"/>
        <v/>
      </c>
      <c r="T1002" s="83" t="str">
        <f t="shared" si="105"/>
        <v/>
      </c>
      <c r="Y1002" s="60">
        <f t="shared" si="109"/>
        <v>0</v>
      </c>
      <c r="Z1002" s="49">
        <f t="shared" si="110"/>
        <v>0</v>
      </c>
      <c r="AA1002" s="60">
        <f t="shared" si="111"/>
        <v>0</v>
      </c>
    </row>
    <row r="1003" spans="1:27">
      <c r="A1003" s="83" t="str">
        <f t="shared" si="106"/>
        <v/>
      </c>
      <c r="B1003" s="83" t="str">
        <f t="shared" si="107"/>
        <v/>
      </c>
      <c r="S1003" s="83" t="str">
        <f t="shared" si="108"/>
        <v/>
      </c>
      <c r="T1003" s="83" t="str">
        <f t="shared" si="105"/>
        <v/>
      </c>
      <c r="Y1003" s="60">
        <f t="shared" si="109"/>
        <v>0</v>
      </c>
      <c r="Z1003" s="49">
        <f t="shared" si="110"/>
        <v>0</v>
      </c>
      <c r="AA1003" s="60">
        <f t="shared" si="111"/>
        <v>0</v>
      </c>
    </row>
    <row r="1004" spans="1:27">
      <c r="A1004" s="83" t="str">
        <f t="shared" si="106"/>
        <v/>
      </c>
      <c r="B1004" s="83" t="str">
        <f t="shared" si="107"/>
        <v/>
      </c>
      <c r="S1004" s="83" t="str">
        <f t="shared" si="108"/>
        <v/>
      </c>
      <c r="T1004" s="83" t="str">
        <f t="shared" si="105"/>
        <v/>
      </c>
      <c r="Y1004" s="60">
        <f t="shared" si="109"/>
        <v>0</v>
      </c>
      <c r="Z1004" s="49">
        <f t="shared" si="110"/>
        <v>0</v>
      </c>
      <c r="AA1004" s="60">
        <f t="shared" si="111"/>
        <v>0</v>
      </c>
    </row>
    <row r="1005" spans="1:27">
      <c r="A1005" s="83" t="str">
        <f t="shared" si="106"/>
        <v/>
      </c>
      <c r="B1005" s="83" t="str">
        <f t="shared" si="107"/>
        <v/>
      </c>
      <c r="S1005" s="83" t="str">
        <f t="shared" si="108"/>
        <v/>
      </c>
      <c r="T1005" s="83" t="str">
        <f t="shared" si="105"/>
        <v/>
      </c>
      <c r="Y1005" s="60">
        <f t="shared" si="109"/>
        <v>0</v>
      </c>
      <c r="Z1005" s="49">
        <f t="shared" si="110"/>
        <v>0</v>
      </c>
      <c r="AA1005" s="60">
        <f t="shared" si="111"/>
        <v>0</v>
      </c>
    </row>
    <row r="1006" spans="1:27">
      <c r="A1006" s="83" t="str">
        <f t="shared" si="106"/>
        <v/>
      </c>
      <c r="B1006" s="83" t="str">
        <f t="shared" si="107"/>
        <v/>
      </c>
      <c r="S1006" s="83" t="str">
        <f t="shared" si="108"/>
        <v/>
      </c>
      <c r="T1006" s="83" t="str">
        <f t="shared" si="105"/>
        <v/>
      </c>
      <c r="Y1006" s="60">
        <f t="shared" si="109"/>
        <v>0</v>
      </c>
      <c r="Z1006" s="49">
        <f t="shared" si="110"/>
        <v>0</v>
      </c>
      <c r="AA1006" s="60">
        <f t="shared" si="111"/>
        <v>0</v>
      </c>
    </row>
    <row r="1007" spans="1:27">
      <c r="A1007" s="83" t="str">
        <f t="shared" si="106"/>
        <v/>
      </c>
      <c r="B1007" s="83" t="str">
        <f t="shared" si="107"/>
        <v/>
      </c>
      <c r="S1007" s="83" t="str">
        <f t="shared" si="108"/>
        <v/>
      </c>
      <c r="T1007" s="83" t="str">
        <f t="shared" si="105"/>
        <v/>
      </c>
      <c r="Y1007" s="60">
        <f t="shared" si="109"/>
        <v>0</v>
      </c>
      <c r="Z1007" s="49">
        <f t="shared" si="110"/>
        <v>0</v>
      </c>
      <c r="AA1007" s="60">
        <f t="shared" si="111"/>
        <v>0</v>
      </c>
    </row>
    <row r="1008" spans="1:27">
      <c r="A1008" s="83" t="str">
        <f t="shared" si="106"/>
        <v/>
      </c>
      <c r="B1008" s="83" t="str">
        <f t="shared" si="107"/>
        <v/>
      </c>
      <c r="S1008" s="83" t="str">
        <f t="shared" si="108"/>
        <v/>
      </c>
      <c r="T1008" s="83" t="str">
        <f t="shared" si="105"/>
        <v/>
      </c>
      <c r="Y1008" s="60">
        <f t="shared" si="109"/>
        <v>0</v>
      </c>
      <c r="Z1008" s="49">
        <f t="shared" si="110"/>
        <v>0</v>
      </c>
      <c r="AA1008" s="60">
        <f t="shared" si="111"/>
        <v>0</v>
      </c>
    </row>
    <row r="1009" spans="1:27">
      <c r="A1009" s="83" t="str">
        <f t="shared" si="106"/>
        <v/>
      </c>
      <c r="B1009" s="83" t="str">
        <f t="shared" si="107"/>
        <v/>
      </c>
      <c r="S1009" s="83" t="str">
        <f t="shared" si="108"/>
        <v/>
      </c>
      <c r="T1009" s="83" t="str">
        <f t="shared" si="105"/>
        <v/>
      </c>
      <c r="Y1009" s="60">
        <f t="shared" si="109"/>
        <v>0</v>
      </c>
      <c r="Z1009" s="49">
        <f t="shared" si="110"/>
        <v>0</v>
      </c>
      <c r="AA1009" s="60">
        <f t="shared" si="111"/>
        <v>0</v>
      </c>
    </row>
    <row r="1010" spans="1:27">
      <c r="A1010" s="83" t="str">
        <f t="shared" si="106"/>
        <v/>
      </c>
      <c r="B1010" s="83" t="str">
        <f t="shared" si="107"/>
        <v/>
      </c>
      <c r="S1010" s="83" t="str">
        <f t="shared" si="108"/>
        <v/>
      </c>
      <c r="T1010" s="83" t="str">
        <f t="shared" si="105"/>
        <v/>
      </c>
      <c r="Y1010" s="60">
        <f t="shared" si="109"/>
        <v>0</v>
      </c>
      <c r="Z1010" s="49">
        <f t="shared" si="110"/>
        <v>0</v>
      </c>
      <c r="AA1010" s="60">
        <f t="shared" si="111"/>
        <v>0</v>
      </c>
    </row>
    <row r="1011" spans="1:27">
      <c r="A1011" s="83" t="str">
        <f t="shared" si="106"/>
        <v/>
      </c>
      <c r="B1011" s="83" t="str">
        <f t="shared" si="107"/>
        <v/>
      </c>
      <c r="S1011" s="83" t="str">
        <f t="shared" si="108"/>
        <v/>
      </c>
      <c r="T1011" s="83" t="str">
        <f t="shared" si="105"/>
        <v/>
      </c>
      <c r="Y1011" s="60">
        <f t="shared" si="109"/>
        <v>0</v>
      </c>
      <c r="Z1011" s="49">
        <f t="shared" si="110"/>
        <v>0</v>
      </c>
      <c r="AA1011" s="60">
        <f t="shared" si="111"/>
        <v>0</v>
      </c>
    </row>
    <row r="1012" spans="1:27">
      <c r="A1012" s="83" t="str">
        <f t="shared" si="106"/>
        <v/>
      </c>
      <c r="B1012" s="83" t="str">
        <f t="shared" si="107"/>
        <v/>
      </c>
      <c r="S1012" s="83" t="str">
        <f t="shared" si="108"/>
        <v/>
      </c>
      <c r="T1012" s="83" t="str">
        <f t="shared" si="105"/>
        <v/>
      </c>
      <c r="Y1012" s="60">
        <f t="shared" si="109"/>
        <v>0</v>
      </c>
      <c r="Z1012" s="49">
        <f t="shared" si="110"/>
        <v>0</v>
      </c>
      <c r="AA1012" s="60">
        <f t="shared" si="111"/>
        <v>0</v>
      </c>
    </row>
    <row r="1013" spans="1:27">
      <c r="A1013" s="83" t="str">
        <f t="shared" si="106"/>
        <v/>
      </c>
      <c r="B1013" s="83" t="str">
        <f t="shared" si="107"/>
        <v/>
      </c>
      <c r="S1013" s="83" t="str">
        <f t="shared" si="108"/>
        <v/>
      </c>
      <c r="T1013" s="83" t="str">
        <f t="shared" si="105"/>
        <v/>
      </c>
      <c r="Y1013" s="60">
        <f t="shared" si="109"/>
        <v>0</v>
      </c>
      <c r="Z1013" s="49">
        <f t="shared" si="110"/>
        <v>0</v>
      </c>
      <c r="AA1013" s="60">
        <f t="shared" si="111"/>
        <v>0</v>
      </c>
    </row>
    <row r="1014" spans="1:27">
      <c r="A1014" s="83" t="str">
        <f t="shared" si="106"/>
        <v/>
      </c>
      <c r="B1014" s="83" t="str">
        <f t="shared" si="107"/>
        <v/>
      </c>
      <c r="S1014" s="83" t="str">
        <f t="shared" si="108"/>
        <v/>
      </c>
      <c r="T1014" s="83" t="str">
        <f t="shared" si="105"/>
        <v/>
      </c>
      <c r="Y1014" s="60">
        <f t="shared" si="109"/>
        <v>0</v>
      </c>
      <c r="Z1014" s="49">
        <f t="shared" si="110"/>
        <v>0</v>
      </c>
      <c r="AA1014" s="60">
        <f t="shared" si="111"/>
        <v>0</v>
      </c>
    </row>
    <row r="1015" spans="1:27">
      <c r="A1015" s="83" t="str">
        <f t="shared" si="106"/>
        <v/>
      </c>
      <c r="B1015" s="83" t="str">
        <f t="shared" si="107"/>
        <v/>
      </c>
      <c r="S1015" s="83" t="str">
        <f t="shared" si="108"/>
        <v/>
      </c>
      <c r="T1015" s="83" t="str">
        <f t="shared" si="105"/>
        <v/>
      </c>
      <c r="Y1015" s="60">
        <f t="shared" si="109"/>
        <v>0</v>
      </c>
      <c r="Z1015" s="49">
        <f t="shared" si="110"/>
        <v>0</v>
      </c>
      <c r="AA1015" s="60">
        <f t="shared" si="111"/>
        <v>0</v>
      </c>
    </row>
    <row r="1016" spans="1:27">
      <c r="A1016" s="83" t="str">
        <f t="shared" si="106"/>
        <v/>
      </c>
      <c r="B1016" s="83" t="str">
        <f t="shared" si="107"/>
        <v/>
      </c>
      <c r="S1016" s="83" t="str">
        <f t="shared" si="108"/>
        <v/>
      </c>
      <c r="T1016" s="83" t="str">
        <f t="shared" si="105"/>
        <v/>
      </c>
      <c r="Y1016" s="60">
        <f t="shared" si="109"/>
        <v>0</v>
      </c>
      <c r="Z1016" s="49">
        <f t="shared" si="110"/>
        <v>0</v>
      </c>
      <c r="AA1016" s="60">
        <f t="shared" si="111"/>
        <v>0</v>
      </c>
    </row>
    <row r="1017" spans="1:27">
      <c r="A1017" s="83" t="str">
        <f t="shared" si="106"/>
        <v/>
      </c>
      <c r="B1017" s="83" t="str">
        <f t="shared" si="107"/>
        <v/>
      </c>
      <c r="S1017" s="83" t="str">
        <f t="shared" si="108"/>
        <v/>
      </c>
      <c r="T1017" s="83" t="str">
        <f t="shared" si="105"/>
        <v/>
      </c>
      <c r="Y1017" s="60">
        <f t="shared" si="109"/>
        <v>0</v>
      </c>
      <c r="Z1017" s="49">
        <f t="shared" si="110"/>
        <v>0</v>
      </c>
      <c r="AA1017" s="60">
        <f t="shared" si="111"/>
        <v>0</v>
      </c>
    </row>
    <row r="1018" spans="1:27">
      <c r="A1018" s="83" t="str">
        <f t="shared" si="106"/>
        <v/>
      </c>
      <c r="B1018" s="83" t="str">
        <f t="shared" si="107"/>
        <v/>
      </c>
      <c r="S1018" s="83" t="str">
        <f t="shared" si="108"/>
        <v/>
      </c>
      <c r="T1018" s="83" t="str">
        <f t="shared" si="105"/>
        <v/>
      </c>
      <c r="Y1018" s="60">
        <f t="shared" si="109"/>
        <v>0</v>
      </c>
      <c r="Z1018" s="49">
        <f t="shared" si="110"/>
        <v>0</v>
      </c>
      <c r="AA1018" s="60">
        <f t="shared" si="111"/>
        <v>0</v>
      </c>
    </row>
    <row r="1019" spans="1:27">
      <c r="A1019" s="83" t="str">
        <f t="shared" si="106"/>
        <v/>
      </c>
      <c r="B1019" s="83" t="str">
        <f t="shared" si="107"/>
        <v/>
      </c>
      <c r="S1019" s="83" t="str">
        <f t="shared" si="108"/>
        <v/>
      </c>
      <c r="T1019" s="83" t="str">
        <f t="shared" si="105"/>
        <v/>
      </c>
      <c r="Y1019" s="60">
        <f t="shared" si="109"/>
        <v>0</v>
      </c>
      <c r="Z1019" s="49">
        <f t="shared" si="110"/>
        <v>0</v>
      </c>
      <c r="AA1019" s="60">
        <f t="shared" si="111"/>
        <v>0</v>
      </c>
    </row>
    <row r="1020" spans="1:27">
      <c r="A1020" s="83" t="str">
        <f t="shared" si="106"/>
        <v/>
      </c>
      <c r="B1020" s="83" t="str">
        <f t="shared" si="107"/>
        <v/>
      </c>
      <c r="S1020" s="83" t="str">
        <f t="shared" si="108"/>
        <v/>
      </c>
      <c r="T1020" s="83" t="str">
        <f t="shared" si="105"/>
        <v/>
      </c>
      <c r="Y1020" s="60">
        <f t="shared" si="109"/>
        <v>0</v>
      </c>
      <c r="Z1020" s="49">
        <f t="shared" si="110"/>
        <v>0</v>
      </c>
      <c r="AA1020" s="60">
        <f t="shared" si="111"/>
        <v>0</v>
      </c>
    </row>
    <row r="1021" spans="1:27">
      <c r="A1021" s="83" t="str">
        <f t="shared" si="106"/>
        <v/>
      </c>
      <c r="B1021" s="83" t="str">
        <f t="shared" si="107"/>
        <v/>
      </c>
      <c r="S1021" s="83" t="str">
        <f t="shared" si="108"/>
        <v/>
      </c>
      <c r="T1021" s="83" t="str">
        <f t="shared" si="105"/>
        <v/>
      </c>
      <c r="Y1021" s="60">
        <f t="shared" si="109"/>
        <v>0</v>
      </c>
      <c r="Z1021" s="49">
        <f t="shared" si="110"/>
        <v>0</v>
      </c>
      <c r="AA1021" s="60">
        <f t="shared" si="111"/>
        <v>0</v>
      </c>
    </row>
    <row r="1022" spans="1:27">
      <c r="A1022" s="83" t="str">
        <f t="shared" si="106"/>
        <v/>
      </c>
      <c r="B1022" s="83" t="str">
        <f t="shared" si="107"/>
        <v/>
      </c>
      <c r="S1022" s="83" t="str">
        <f t="shared" si="108"/>
        <v/>
      </c>
      <c r="T1022" s="83" t="str">
        <f t="shared" si="105"/>
        <v/>
      </c>
      <c r="Y1022" s="60">
        <f t="shared" si="109"/>
        <v>0</v>
      </c>
      <c r="Z1022" s="49">
        <f t="shared" si="110"/>
        <v>0</v>
      </c>
      <c r="AA1022" s="60">
        <f t="shared" si="111"/>
        <v>0</v>
      </c>
    </row>
    <row r="1023" spans="1:27">
      <c r="A1023" s="83" t="str">
        <f t="shared" si="106"/>
        <v/>
      </c>
      <c r="B1023" s="83" t="str">
        <f t="shared" si="107"/>
        <v/>
      </c>
      <c r="S1023" s="83" t="str">
        <f t="shared" si="108"/>
        <v/>
      </c>
      <c r="T1023" s="83" t="str">
        <f t="shared" si="105"/>
        <v/>
      </c>
      <c r="Y1023" s="60">
        <f t="shared" si="109"/>
        <v>0</v>
      </c>
      <c r="Z1023" s="49">
        <f t="shared" si="110"/>
        <v>0</v>
      </c>
      <c r="AA1023" s="60">
        <f t="shared" si="111"/>
        <v>0</v>
      </c>
    </row>
    <row r="1024" spans="1:27">
      <c r="A1024" s="83" t="str">
        <f t="shared" si="106"/>
        <v/>
      </c>
      <c r="B1024" s="83" t="str">
        <f t="shared" si="107"/>
        <v/>
      </c>
      <c r="S1024" s="83" t="str">
        <f t="shared" si="108"/>
        <v/>
      </c>
      <c r="T1024" s="83" t="str">
        <f t="shared" si="105"/>
        <v/>
      </c>
      <c r="Y1024" s="60">
        <f t="shared" si="109"/>
        <v>0</v>
      </c>
      <c r="Z1024" s="49">
        <f t="shared" si="110"/>
        <v>0</v>
      </c>
      <c r="AA1024" s="60">
        <f t="shared" si="111"/>
        <v>0</v>
      </c>
    </row>
    <row r="1025" spans="1:27">
      <c r="A1025" s="83" t="str">
        <f t="shared" si="106"/>
        <v/>
      </c>
      <c r="B1025" s="83" t="str">
        <f t="shared" si="107"/>
        <v/>
      </c>
      <c r="S1025" s="83" t="str">
        <f t="shared" si="108"/>
        <v/>
      </c>
      <c r="T1025" s="83" t="str">
        <f t="shared" si="105"/>
        <v/>
      </c>
      <c r="Y1025" s="60">
        <f t="shared" si="109"/>
        <v>0</v>
      </c>
      <c r="Z1025" s="49">
        <f t="shared" si="110"/>
        <v>0</v>
      </c>
      <c r="AA1025" s="60">
        <f t="shared" si="111"/>
        <v>0</v>
      </c>
    </row>
    <row r="1026" spans="1:27">
      <c r="A1026" s="83" t="str">
        <f t="shared" si="106"/>
        <v/>
      </c>
      <c r="B1026" s="83" t="str">
        <f t="shared" si="107"/>
        <v/>
      </c>
      <c r="S1026" s="83" t="str">
        <f t="shared" si="108"/>
        <v/>
      </c>
      <c r="T1026" s="83" t="str">
        <f t="shared" ref="T1026:T1089" si="112">IF(A1026&lt;&gt;"",IF(FIND(" ",G1026)&gt;=1,MID(G1026,FIND(" ",G1026)+1,LEN(G1026)),""),"")</f>
        <v/>
      </c>
      <c r="Y1026" s="60">
        <f t="shared" si="109"/>
        <v>0</v>
      </c>
      <c r="Z1026" s="49">
        <f t="shared" si="110"/>
        <v>0</v>
      </c>
      <c r="AA1026" s="60">
        <f t="shared" si="111"/>
        <v>0</v>
      </c>
    </row>
    <row r="1027" spans="1:27">
      <c r="A1027" s="83" t="str">
        <f t="shared" ref="A1027:A1090" si="113">IF(G1027&amp;Q1027&lt;&gt;"",S1027&amp;Q1027,"")</f>
        <v/>
      </c>
      <c r="B1027" s="83" t="str">
        <f t="shared" ref="B1027:B1090" si="114">IF(C1027&lt;&gt;"",LEFT(C1027,9),"")</f>
        <v/>
      </c>
      <c r="S1027" s="83" t="str">
        <f t="shared" ref="S1027:S1090" si="115">IF(G1027&lt;&gt;"",IF(FIND(" ",G1027)&gt;=1,MID(G1027,1,FIND(" ",G1027)-1),G1027),"")</f>
        <v/>
      </c>
      <c r="T1027" s="83" t="str">
        <f t="shared" si="112"/>
        <v/>
      </c>
      <c r="Y1027" s="60">
        <f t="shared" ref="Y1027:Y1090" si="116">IFERROR(VALUE(MID($C1027,1,2)),0)</f>
        <v>0</v>
      </c>
      <c r="Z1027" s="49">
        <f t="shared" ref="Z1027:Z1090" si="117">IFERROR(VALUE(MID($C1027,4,3)),0)</f>
        <v>0</v>
      </c>
      <c r="AA1027" s="60">
        <f t="shared" ref="AA1027:AA1090" si="118">VALUE(RIGHT("00"&amp;Y1027,2)&amp;RIGHT("000"&amp;Z1027,3))</f>
        <v>0</v>
      </c>
    </row>
    <row r="1028" spans="1:27">
      <c r="A1028" s="83" t="str">
        <f t="shared" si="113"/>
        <v/>
      </c>
      <c r="B1028" s="83" t="str">
        <f t="shared" si="114"/>
        <v/>
      </c>
      <c r="S1028" s="83" t="str">
        <f t="shared" si="115"/>
        <v/>
      </c>
      <c r="T1028" s="83" t="str">
        <f t="shared" si="112"/>
        <v/>
      </c>
      <c r="Y1028" s="60">
        <f t="shared" si="116"/>
        <v>0</v>
      </c>
      <c r="Z1028" s="49">
        <f t="shared" si="117"/>
        <v>0</v>
      </c>
      <c r="AA1028" s="60">
        <f t="shared" si="118"/>
        <v>0</v>
      </c>
    </row>
    <row r="1029" spans="1:27">
      <c r="A1029" s="83" t="str">
        <f t="shared" si="113"/>
        <v/>
      </c>
      <c r="B1029" s="83" t="str">
        <f t="shared" si="114"/>
        <v/>
      </c>
      <c r="S1029" s="83" t="str">
        <f t="shared" si="115"/>
        <v/>
      </c>
      <c r="T1029" s="83" t="str">
        <f t="shared" si="112"/>
        <v/>
      </c>
      <c r="Y1029" s="60">
        <f t="shared" si="116"/>
        <v>0</v>
      </c>
      <c r="Z1029" s="49">
        <f t="shared" si="117"/>
        <v>0</v>
      </c>
      <c r="AA1029" s="60">
        <f t="shared" si="118"/>
        <v>0</v>
      </c>
    </row>
    <row r="1030" spans="1:27">
      <c r="A1030" s="83" t="str">
        <f t="shared" si="113"/>
        <v/>
      </c>
      <c r="B1030" s="83" t="str">
        <f t="shared" si="114"/>
        <v/>
      </c>
      <c r="S1030" s="83" t="str">
        <f t="shared" si="115"/>
        <v/>
      </c>
      <c r="T1030" s="83" t="str">
        <f t="shared" si="112"/>
        <v/>
      </c>
      <c r="Y1030" s="60">
        <f t="shared" si="116"/>
        <v>0</v>
      </c>
      <c r="Z1030" s="49">
        <f t="shared" si="117"/>
        <v>0</v>
      </c>
      <c r="AA1030" s="60">
        <f t="shared" si="118"/>
        <v>0</v>
      </c>
    </row>
    <row r="1031" spans="1:27">
      <c r="A1031" s="83" t="str">
        <f t="shared" si="113"/>
        <v/>
      </c>
      <c r="B1031" s="83" t="str">
        <f t="shared" si="114"/>
        <v/>
      </c>
      <c r="S1031" s="83" t="str">
        <f t="shared" si="115"/>
        <v/>
      </c>
      <c r="T1031" s="83" t="str">
        <f t="shared" si="112"/>
        <v/>
      </c>
      <c r="Y1031" s="60">
        <f t="shared" si="116"/>
        <v>0</v>
      </c>
      <c r="Z1031" s="49">
        <f t="shared" si="117"/>
        <v>0</v>
      </c>
      <c r="AA1031" s="60">
        <f t="shared" si="118"/>
        <v>0</v>
      </c>
    </row>
    <row r="1032" spans="1:27">
      <c r="A1032" s="83" t="str">
        <f t="shared" si="113"/>
        <v/>
      </c>
      <c r="B1032" s="83" t="str">
        <f t="shared" si="114"/>
        <v/>
      </c>
      <c r="S1032" s="83" t="str">
        <f t="shared" si="115"/>
        <v/>
      </c>
      <c r="T1032" s="83" t="str">
        <f t="shared" si="112"/>
        <v/>
      </c>
      <c r="Y1032" s="60">
        <f t="shared" si="116"/>
        <v>0</v>
      </c>
      <c r="Z1032" s="49">
        <f t="shared" si="117"/>
        <v>0</v>
      </c>
      <c r="AA1032" s="60">
        <f t="shared" si="118"/>
        <v>0</v>
      </c>
    </row>
    <row r="1033" spans="1:27">
      <c r="A1033" s="83" t="str">
        <f t="shared" si="113"/>
        <v/>
      </c>
      <c r="B1033" s="83" t="str">
        <f t="shared" si="114"/>
        <v/>
      </c>
      <c r="S1033" s="83" t="str">
        <f t="shared" si="115"/>
        <v/>
      </c>
      <c r="T1033" s="83" t="str">
        <f t="shared" si="112"/>
        <v/>
      </c>
      <c r="Y1033" s="60">
        <f t="shared" si="116"/>
        <v>0</v>
      </c>
      <c r="Z1033" s="49">
        <f t="shared" si="117"/>
        <v>0</v>
      </c>
      <c r="AA1033" s="60">
        <f t="shared" si="118"/>
        <v>0</v>
      </c>
    </row>
    <row r="1034" spans="1:27">
      <c r="A1034" s="83" t="str">
        <f t="shared" si="113"/>
        <v/>
      </c>
      <c r="B1034" s="83" t="str">
        <f t="shared" si="114"/>
        <v/>
      </c>
      <c r="S1034" s="83" t="str">
        <f t="shared" si="115"/>
        <v/>
      </c>
      <c r="T1034" s="83" t="str">
        <f t="shared" si="112"/>
        <v/>
      </c>
      <c r="Y1034" s="60">
        <f t="shared" si="116"/>
        <v>0</v>
      </c>
      <c r="Z1034" s="49">
        <f t="shared" si="117"/>
        <v>0</v>
      </c>
      <c r="AA1034" s="60">
        <f t="shared" si="118"/>
        <v>0</v>
      </c>
    </row>
    <row r="1035" spans="1:27">
      <c r="A1035" s="83" t="str">
        <f t="shared" si="113"/>
        <v/>
      </c>
      <c r="B1035" s="83" t="str">
        <f t="shared" si="114"/>
        <v/>
      </c>
      <c r="S1035" s="83" t="str">
        <f t="shared" si="115"/>
        <v/>
      </c>
      <c r="T1035" s="83" t="str">
        <f t="shared" si="112"/>
        <v/>
      </c>
      <c r="Y1035" s="60">
        <f t="shared" si="116"/>
        <v>0</v>
      </c>
      <c r="Z1035" s="49">
        <f t="shared" si="117"/>
        <v>0</v>
      </c>
      <c r="AA1035" s="60">
        <f t="shared" si="118"/>
        <v>0</v>
      </c>
    </row>
    <row r="1036" spans="1:27">
      <c r="A1036" s="83" t="str">
        <f t="shared" si="113"/>
        <v/>
      </c>
      <c r="B1036" s="83" t="str">
        <f t="shared" si="114"/>
        <v/>
      </c>
      <c r="S1036" s="83" t="str">
        <f t="shared" si="115"/>
        <v/>
      </c>
      <c r="T1036" s="83" t="str">
        <f t="shared" si="112"/>
        <v/>
      </c>
      <c r="Y1036" s="60">
        <f t="shared" si="116"/>
        <v>0</v>
      </c>
      <c r="Z1036" s="49">
        <f t="shared" si="117"/>
        <v>0</v>
      </c>
      <c r="AA1036" s="60">
        <f t="shared" si="118"/>
        <v>0</v>
      </c>
    </row>
    <row r="1037" spans="1:27">
      <c r="A1037" s="83" t="str">
        <f t="shared" si="113"/>
        <v/>
      </c>
      <c r="B1037" s="83" t="str">
        <f t="shared" si="114"/>
        <v/>
      </c>
      <c r="S1037" s="83" t="str">
        <f t="shared" si="115"/>
        <v/>
      </c>
      <c r="T1037" s="83" t="str">
        <f t="shared" si="112"/>
        <v/>
      </c>
      <c r="Y1037" s="60">
        <f t="shared" si="116"/>
        <v>0</v>
      </c>
      <c r="Z1037" s="49">
        <f t="shared" si="117"/>
        <v>0</v>
      </c>
      <c r="AA1037" s="60">
        <f t="shared" si="118"/>
        <v>0</v>
      </c>
    </row>
    <row r="1038" spans="1:27">
      <c r="A1038" s="83" t="str">
        <f t="shared" si="113"/>
        <v/>
      </c>
      <c r="B1038" s="83" t="str">
        <f t="shared" si="114"/>
        <v/>
      </c>
      <c r="S1038" s="83" t="str">
        <f t="shared" si="115"/>
        <v/>
      </c>
      <c r="T1038" s="83" t="str">
        <f t="shared" si="112"/>
        <v/>
      </c>
      <c r="Y1038" s="60">
        <f t="shared" si="116"/>
        <v>0</v>
      </c>
      <c r="Z1038" s="49">
        <f t="shared" si="117"/>
        <v>0</v>
      </c>
      <c r="AA1038" s="60">
        <f t="shared" si="118"/>
        <v>0</v>
      </c>
    </row>
    <row r="1039" spans="1:27">
      <c r="A1039" s="83" t="str">
        <f t="shared" si="113"/>
        <v/>
      </c>
      <c r="B1039" s="83" t="str">
        <f t="shared" si="114"/>
        <v/>
      </c>
      <c r="S1039" s="83" t="str">
        <f t="shared" si="115"/>
        <v/>
      </c>
      <c r="T1039" s="83" t="str">
        <f t="shared" si="112"/>
        <v/>
      </c>
      <c r="Y1039" s="60">
        <f t="shared" si="116"/>
        <v>0</v>
      </c>
      <c r="Z1039" s="49">
        <f t="shared" si="117"/>
        <v>0</v>
      </c>
      <c r="AA1039" s="60">
        <f t="shared" si="118"/>
        <v>0</v>
      </c>
    </row>
    <row r="1040" spans="1:27">
      <c r="A1040" s="83" t="str">
        <f t="shared" si="113"/>
        <v/>
      </c>
      <c r="B1040" s="83" t="str">
        <f t="shared" si="114"/>
        <v/>
      </c>
      <c r="S1040" s="83" t="str">
        <f t="shared" si="115"/>
        <v/>
      </c>
      <c r="T1040" s="83" t="str">
        <f t="shared" si="112"/>
        <v/>
      </c>
      <c r="Y1040" s="60">
        <f t="shared" si="116"/>
        <v>0</v>
      </c>
      <c r="Z1040" s="49">
        <f t="shared" si="117"/>
        <v>0</v>
      </c>
      <c r="AA1040" s="60">
        <f t="shared" si="118"/>
        <v>0</v>
      </c>
    </row>
    <row r="1041" spans="1:27">
      <c r="A1041" s="83" t="str">
        <f t="shared" si="113"/>
        <v/>
      </c>
      <c r="B1041" s="83" t="str">
        <f t="shared" si="114"/>
        <v/>
      </c>
      <c r="S1041" s="83" t="str">
        <f t="shared" si="115"/>
        <v/>
      </c>
      <c r="T1041" s="83" t="str">
        <f t="shared" si="112"/>
        <v/>
      </c>
      <c r="Y1041" s="60">
        <f t="shared" si="116"/>
        <v>0</v>
      </c>
      <c r="Z1041" s="49">
        <f t="shared" si="117"/>
        <v>0</v>
      </c>
      <c r="AA1041" s="60">
        <f t="shared" si="118"/>
        <v>0</v>
      </c>
    </row>
    <row r="1042" spans="1:27">
      <c r="A1042" s="83" t="str">
        <f t="shared" si="113"/>
        <v/>
      </c>
      <c r="B1042" s="83" t="str">
        <f t="shared" si="114"/>
        <v/>
      </c>
      <c r="S1042" s="83" t="str">
        <f t="shared" si="115"/>
        <v/>
      </c>
      <c r="T1042" s="83" t="str">
        <f t="shared" si="112"/>
        <v/>
      </c>
      <c r="Y1042" s="60">
        <f t="shared" si="116"/>
        <v>0</v>
      </c>
      <c r="Z1042" s="49">
        <f t="shared" si="117"/>
        <v>0</v>
      </c>
      <c r="AA1042" s="60">
        <f t="shared" si="118"/>
        <v>0</v>
      </c>
    </row>
    <row r="1043" spans="1:27">
      <c r="A1043" s="83" t="str">
        <f t="shared" si="113"/>
        <v/>
      </c>
      <c r="B1043" s="83" t="str">
        <f t="shared" si="114"/>
        <v/>
      </c>
      <c r="S1043" s="83" t="str">
        <f t="shared" si="115"/>
        <v/>
      </c>
      <c r="T1043" s="83" t="str">
        <f t="shared" si="112"/>
        <v/>
      </c>
      <c r="Y1043" s="60">
        <f t="shared" si="116"/>
        <v>0</v>
      </c>
      <c r="Z1043" s="49">
        <f t="shared" si="117"/>
        <v>0</v>
      </c>
      <c r="AA1043" s="60">
        <f t="shared" si="118"/>
        <v>0</v>
      </c>
    </row>
    <row r="1044" spans="1:27">
      <c r="A1044" s="83" t="str">
        <f t="shared" si="113"/>
        <v/>
      </c>
      <c r="B1044" s="83" t="str">
        <f t="shared" si="114"/>
        <v/>
      </c>
      <c r="S1044" s="83" t="str">
        <f t="shared" si="115"/>
        <v/>
      </c>
      <c r="T1044" s="83" t="str">
        <f t="shared" si="112"/>
        <v/>
      </c>
      <c r="Y1044" s="60">
        <f t="shared" si="116"/>
        <v>0</v>
      </c>
      <c r="Z1044" s="49">
        <f t="shared" si="117"/>
        <v>0</v>
      </c>
      <c r="AA1044" s="60">
        <f t="shared" si="118"/>
        <v>0</v>
      </c>
    </row>
    <row r="1045" spans="1:27">
      <c r="A1045" s="83" t="str">
        <f t="shared" si="113"/>
        <v/>
      </c>
      <c r="B1045" s="83" t="str">
        <f t="shared" si="114"/>
        <v/>
      </c>
      <c r="S1045" s="83" t="str">
        <f t="shared" si="115"/>
        <v/>
      </c>
      <c r="T1045" s="83" t="str">
        <f t="shared" si="112"/>
        <v/>
      </c>
      <c r="Y1045" s="60">
        <f t="shared" si="116"/>
        <v>0</v>
      </c>
      <c r="Z1045" s="49">
        <f t="shared" si="117"/>
        <v>0</v>
      </c>
      <c r="AA1045" s="60">
        <f t="shared" si="118"/>
        <v>0</v>
      </c>
    </row>
    <row r="1046" spans="1:27">
      <c r="A1046" s="83" t="str">
        <f t="shared" si="113"/>
        <v/>
      </c>
      <c r="B1046" s="83" t="str">
        <f t="shared" si="114"/>
        <v/>
      </c>
      <c r="S1046" s="83" t="str">
        <f t="shared" si="115"/>
        <v/>
      </c>
      <c r="T1046" s="83" t="str">
        <f t="shared" si="112"/>
        <v/>
      </c>
      <c r="Y1046" s="60">
        <f t="shared" si="116"/>
        <v>0</v>
      </c>
      <c r="Z1046" s="49">
        <f t="shared" si="117"/>
        <v>0</v>
      </c>
      <c r="AA1046" s="60">
        <f t="shared" si="118"/>
        <v>0</v>
      </c>
    </row>
    <row r="1047" spans="1:27">
      <c r="A1047" s="83" t="str">
        <f t="shared" si="113"/>
        <v/>
      </c>
      <c r="B1047" s="83" t="str">
        <f t="shared" si="114"/>
        <v/>
      </c>
      <c r="S1047" s="83" t="str">
        <f t="shared" si="115"/>
        <v/>
      </c>
      <c r="T1047" s="83" t="str">
        <f t="shared" si="112"/>
        <v/>
      </c>
      <c r="Y1047" s="60">
        <f t="shared" si="116"/>
        <v>0</v>
      </c>
      <c r="Z1047" s="49">
        <f t="shared" si="117"/>
        <v>0</v>
      </c>
      <c r="AA1047" s="60">
        <f t="shared" si="118"/>
        <v>0</v>
      </c>
    </row>
    <row r="1048" spans="1:27">
      <c r="A1048" s="83" t="str">
        <f t="shared" si="113"/>
        <v/>
      </c>
      <c r="B1048" s="83" t="str">
        <f t="shared" si="114"/>
        <v/>
      </c>
      <c r="S1048" s="83" t="str">
        <f t="shared" si="115"/>
        <v/>
      </c>
      <c r="T1048" s="83" t="str">
        <f t="shared" si="112"/>
        <v/>
      </c>
      <c r="Y1048" s="60">
        <f t="shared" si="116"/>
        <v>0</v>
      </c>
      <c r="Z1048" s="49">
        <f t="shared" si="117"/>
        <v>0</v>
      </c>
      <c r="AA1048" s="60">
        <f t="shared" si="118"/>
        <v>0</v>
      </c>
    </row>
    <row r="1049" spans="1:27">
      <c r="A1049" s="83" t="str">
        <f t="shared" si="113"/>
        <v/>
      </c>
      <c r="B1049" s="83" t="str">
        <f t="shared" si="114"/>
        <v/>
      </c>
      <c r="S1049" s="83" t="str">
        <f t="shared" si="115"/>
        <v/>
      </c>
      <c r="T1049" s="83" t="str">
        <f t="shared" si="112"/>
        <v/>
      </c>
      <c r="Y1049" s="60">
        <f t="shared" si="116"/>
        <v>0</v>
      </c>
      <c r="Z1049" s="49">
        <f t="shared" si="117"/>
        <v>0</v>
      </c>
      <c r="AA1049" s="60">
        <f t="shared" si="118"/>
        <v>0</v>
      </c>
    </row>
    <row r="1050" spans="1:27">
      <c r="A1050" s="83" t="str">
        <f t="shared" si="113"/>
        <v/>
      </c>
      <c r="B1050" s="83" t="str">
        <f t="shared" si="114"/>
        <v/>
      </c>
      <c r="S1050" s="83" t="str">
        <f t="shared" si="115"/>
        <v/>
      </c>
      <c r="T1050" s="83" t="str">
        <f t="shared" si="112"/>
        <v/>
      </c>
      <c r="Y1050" s="60">
        <f t="shared" si="116"/>
        <v>0</v>
      </c>
      <c r="Z1050" s="49">
        <f t="shared" si="117"/>
        <v>0</v>
      </c>
      <c r="AA1050" s="60">
        <f t="shared" si="118"/>
        <v>0</v>
      </c>
    </row>
    <row r="1051" spans="1:27">
      <c r="A1051" s="83" t="str">
        <f t="shared" si="113"/>
        <v/>
      </c>
      <c r="B1051" s="83" t="str">
        <f t="shared" si="114"/>
        <v/>
      </c>
      <c r="S1051" s="83" t="str">
        <f t="shared" si="115"/>
        <v/>
      </c>
      <c r="T1051" s="83" t="str">
        <f t="shared" si="112"/>
        <v/>
      </c>
      <c r="Y1051" s="60">
        <f t="shared" si="116"/>
        <v>0</v>
      </c>
      <c r="Z1051" s="49">
        <f t="shared" si="117"/>
        <v>0</v>
      </c>
      <c r="AA1051" s="60">
        <f t="shared" si="118"/>
        <v>0</v>
      </c>
    </row>
    <row r="1052" spans="1:27">
      <c r="A1052" s="83" t="str">
        <f t="shared" si="113"/>
        <v/>
      </c>
      <c r="B1052" s="83" t="str">
        <f t="shared" si="114"/>
        <v/>
      </c>
      <c r="S1052" s="83" t="str">
        <f t="shared" si="115"/>
        <v/>
      </c>
      <c r="T1052" s="83" t="str">
        <f t="shared" si="112"/>
        <v/>
      </c>
      <c r="Y1052" s="60">
        <f t="shared" si="116"/>
        <v>0</v>
      </c>
      <c r="Z1052" s="49">
        <f t="shared" si="117"/>
        <v>0</v>
      </c>
      <c r="AA1052" s="60">
        <f t="shared" si="118"/>
        <v>0</v>
      </c>
    </row>
    <row r="1053" spans="1:27">
      <c r="A1053" s="83" t="str">
        <f t="shared" si="113"/>
        <v/>
      </c>
      <c r="B1053" s="83" t="str">
        <f t="shared" si="114"/>
        <v/>
      </c>
      <c r="S1053" s="83" t="str">
        <f t="shared" si="115"/>
        <v/>
      </c>
      <c r="T1053" s="83" t="str">
        <f t="shared" si="112"/>
        <v/>
      </c>
      <c r="Y1053" s="60">
        <f t="shared" si="116"/>
        <v>0</v>
      </c>
      <c r="Z1053" s="49">
        <f t="shared" si="117"/>
        <v>0</v>
      </c>
      <c r="AA1053" s="60">
        <f t="shared" si="118"/>
        <v>0</v>
      </c>
    </row>
    <row r="1054" spans="1:27">
      <c r="A1054" s="83" t="str">
        <f t="shared" si="113"/>
        <v/>
      </c>
      <c r="B1054" s="83" t="str">
        <f t="shared" si="114"/>
        <v/>
      </c>
      <c r="S1054" s="83" t="str">
        <f t="shared" si="115"/>
        <v/>
      </c>
      <c r="T1054" s="83" t="str">
        <f t="shared" si="112"/>
        <v/>
      </c>
      <c r="Y1054" s="60">
        <f t="shared" si="116"/>
        <v>0</v>
      </c>
      <c r="Z1054" s="49">
        <f t="shared" si="117"/>
        <v>0</v>
      </c>
      <c r="AA1054" s="60">
        <f t="shared" si="118"/>
        <v>0</v>
      </c>
    </row>
    <row r="1055" spans="1:27">
      <c r="A1055" s="83" t="str">
        <f t="shared" si="113"/>
        <v/>
      </c>
      <c r="B1055" s="83" t="str">
        <f t="shared" si="114"/>
        <v/>
      </c>
      <c r="S1055" s="83" t="str">
        <f t="shared" si="115"/>
        <v/>
      </c>
      <c r="T1055" s="83" t="str">
        <f t="shared" si="112"/>
        <v/>
      </c>
      <c r="Y1055" s="60">
        <f t="shared" si="116"/>
        <v>0</v>
      </c>
      <c r="Z1055" s="49">
        <f t="shared" si="117"/>
        <v>0</v>
      </c>
      <c r="AA1055" s="60">
        <f t="shared" si="118"/>
        <v>0</v>
      </c>
    </row>
    <row r="1056" spans="1:27">
      <c r="A1056" s="83" t="str">
        <f t="shared" si="113"/>
        <v/>
      </c>
      <c r="B1056" s="83" t="str">
        <f t="shared" si="114"/>
        <v/>
      </c>
      <c r="S1056" s="83" t="str">
        <f t="shared" si="115"/>
        <v/>
      </c>
      <c r="T1056" s="83" t="str">
        <f t="shared" si="112"/>
        <v/>
      </c>
      <c r="Y1056" s="60">
        <f t="shared" si="116"/>
        <v>0</v>
      </c>
      <c r="Z1056" s="49">
        <f t="shared" si="117"/>
        <v>0</v>
      </c>
      <c r="AA1056" s="60">
        <f t="shared" si="118"/>
        <v>0</v>
      </c>
    </row>
    <row r="1057" spans="1:27">
      <c r="A1057" s="83" t="str">
        <f t="shared" si="113"/>
        <v/>
      </c>
      <c r="B1057" s="83" t="str">
        <f t="shared" si="114"/>
        <v/>
      </c>
      <c r="S1057" s="83" t="str">
        <f t="shared" si="115"/>
        <v/>
      </c>
      <c r="T1057" s="83" t="str">
        <f t="shared" si="112"/>
        <v/>
      </c>
      <c r="Y1057" s="60">
        <f t="shared" si="116"/>
        <v>0</v>
      </c>
      <c r="Z1057" s="49">
        <f t="shared" si="117"/>
        <v>0</v>
      </c>
      <c r="AA1057" s="60">
        <f t="shared" si="118"/>
        <v>0</v>
      </c>
    </row>
    <row r="1058" spans="1:27">
      <c r="A1058" s="83" t="str">
        <f t="shared" si="113"/>
        <v/>
      </c>
      <c r="B1058" s="83" t="str">
        <f t="shared" si="114"/>
        <v/>
      </c>
      <c r="S1058" s="83" t="str">
        <f t="shared" si="115"/>
        <v/>
      </c>
      <c r="T1058" s="83" t="str">
        <f t="shared" si="112"/>
        <v/>
      </c>
      <c r="Y1058" s="60">
        <f t="shared" si="116"/>
        <v>0</v>
      </c>
      <c r="Z1058" s="49">
        <f t="shared" si="117"/>
        <v>0</v>
      </c>
      <c r="AA1058" s="60">
        <f t="shared" si="118"/>
        <v>0</v>
      </c>
    </row>
    <row r="1059" spans="1:27">
      <c r="A1059" s="83" t="str">
        <f t="shared" si="113"/>
        <v/>
      </c>
      <c r="B1059" s="83" t="str">
        <f t="shared" si="114"/>
        <v/>
      </c>
      <c r="S1059" s="83" t="str">
        <f t="shared" si="115"/>
        <v/>
      </c>
      <c r="T1059" s="83" t="str">
        <f t="shared" si="112"/>
        <v/>
      </c>
      <c r="Y1059" s="60">
        <f t="shared" si="116"/>
        <v>0</v>
      </c>
      <c r="Z1059" s="49">
        <f t="shared" si="117"/>
        <v>0</v>
      </c>
      <c r="AA1059" s="60">
        <f t="shared" si="118"/>
        <v>0</v>
      </c>
    </row>
    <row r="1060" spans="1:27">
      <c r="A1060" s="83" t="str">
        <f t="shared" si="113"/>
        <v/>
      </c>
      <c r="B1060" s="83" t="str">
        <f t="shared" si="114"/>
        <v/>
      </c>
      <c r="S1060" s="83" t="str">
        <f t="shared" si="115"/>
        <v/>
      </c>
      <c r="T1060" s="83" t="str">
        <f t="shared" si="112"/>
        <v/>
      </c>
      <c r="Y1060" s="60">
        <f t="shared" si="116"/>
        <v>0</v>
      </c>
      <c r="Z1060" s="49">
        <f t="shared" si="117"/>
        <v>0</v>
      </c>
      <c r="AA1060" s="60">
        <f t="shared" si="118"/>
        <v>0</v>
      </c>
    </row>
    <row r="1061" spans="1:27">
      <c r="A1061" s="83" t="str">
        <f t="shared" si="113"/>
        <v/>
      </c>
      <c r="B1061" s="83" t="str">
        <f t="shared" si="114"/>
        <v/>
      </c>
      <c r="S1061" s="83" t="str">
        <f t="shared" si="115"/>
        <v/>
      </c>
      <c r="T1061" s="83" t="str">
        <f t="shared" si="112"/>
        <v/>
      </c>
      <c r="Y1061" s="60">
        <f t="shared" si="116"/>
        <v>0</v>
      </c>
      <c r="Z1061" s="49">
        <f t="shared" si="117"/>
        <v>0</v>
      </c>
      <c r="AA1061" s="60">
        <f t="shared" si="118"/>
        <v>0</v>
      </c>
    </row>
    <row r="1062" spans="1:27">
      <c r="A1062" s="83" t="str">
        <f t="shared" si="113"/>
        <v/>
      </c>
      <c r="B1062" s="83" t="str">
        <f t="shared" si="114"/>
        <v/>
      </c>
      <c r="S1062" s="83" t="str">
        <f t="shared" si="115"/>
        <v/>
      </c>
      <c r="T1062" s="83" t="str">
        <f t="shared" si="112"/>
        <v/>
      </c>
      <c r="Y1062" s="60">
        <f t="shared" si="116"/>
        <v>0</v>
      </c>
      <c r="Z1062" s="49">
        <f t="shared" si="117"/>
        <v>0</v>
      </c>
      <c r="AA1062" s="60">
        <f t="shared" si="118"/>
        <v>0</v>
      </c>
    </row>
    <row r="1063" spans="1:27">
      <c r="A1063" s="83" t="str">
        <f t="shared" si="113"/>
        <v/>
      </c>
      <c r="B1063" s="83" t="str">
        <f t="shared" si="114"/>
        <v/>
      </c>
      <c r="S1063" s="83" t="str">
        <f t="shared" si="115"/>
        <v/>
      </c>
      <c r="T1063" s="83" t="str">
        <f t="shared" si="112"/>
        <v/>
      </c>
      <c r="Y1063" s="60">
        <f t="shared" si="116"/>
        <v>0</v>
      </c>
      <c r="Z1063" s="49">
        <f t="shared" si="117"/>
        <v>0</v>
      </c>
      <c r="AA1063" s="60">
        <f t="shared" si="118"/>
        <v>0</v>
      </c>
    </row>
    <row r="1064" spans="1:27">
      <c r="A1064" s="83" t="str">
        <f t="shared" si="113"/>
        <v/>
      </c>
      <c r="B1064" s="83" t="str">
        <f t="shared" si="114"/>
        <v/>
      </c>
      <c r="S1064" s="83" t="str">
        <f t="shared" si="115"/>
        <v/>
      </c>
      <c r="T1064" s="83" t="str">
        <f t="shared" si="112"/>
        <v/>
      </c>
      <c r="Y1064" s="60">
        <f t="shared" si="116"/>
        <v>0</v>
      </c>
      <c r="Z1064" s="49">
        <f t="shared" si="117"/>
        <v>0</v>
      </c>
      <c r="AA1064" s="60">
        <f t="shared" si="118"/>
        <v>0</v>
      </c>
    </row>
    <row r="1065" spans="1:27">
      <c r="A1065" s="83" t="str">
        <f t="shared" si="113"/>
        <v/>
      </c>
      <c r="B1065" s="83" t="str">
        <f t="shared" si="114"/>
        <v/>
      </c>
      <c r="S1065" s="83" t="str">
        <f t="shared" si="115"/>
        <v/>
      </c>
      <c r="T1065" s="83" t="str">
        <f t="shared" si="112"/>
        <v/>
      </c>
      <c r="Y1065" s="60">
        <f t="shared" si="116"/>
        <v>0</v>
      </c>
      <c r="Z1065" s="49">
        <f t="shared" si="117"/>
        <v>0</v>
      </c>
      <c r="AA1065" s="60">
        <f t="shared" si="118"/>
        <v>0</v>
      </c>
    </row>
    <row r="1066" spans="1:27">
      <c r="A1066" s="83" t="str">
        <f t="shared" si="113"/>
        <v/>
      </c>
      <c r="B1066" s="83" t="str">
        <f t="shared" si="114"/>
        <v/>
      </c>
      <c r="S1066" s="83" t="str">
        <f t="shared" si="115"/>
        <v/>
      </c>
      <c r="T1066" s="83" t="str">
        <f t="shared" si="112"/>
        <v/>
      </c>
      <c r="Y1066" s="60">
        <f t="shared" si="116"/>
        <v>0</v>
      </c>
      <c r="Z1066" s="49">
        <f t="shared" si="117"/>
        <v>0</v>
      </c>
      <c r="AA1066" s="60">
        <f t="shared" si="118"/>
        <v>0</v>
      </c>
    </row>
    <row r="1067" spans="1:27">
      <c r="A1067" s="83" t="str">
        <f t="shared" si="113"/>
        <v/>
      </c>
      <c r="B1067" s="83" t="str">
        <f t="shared" si="114"/>
        <v/>
      </c>
      <c r="S1067" s="83" t="str">
        <f t="shared" si="115"/>
        <v/>
      </c>
      <c r="T1067" s="83" t="str">
        <f t="shared" si="112"/>
        <v/>
      </c>
      <c r="Y1067" s="60">
        <f t="shared" si="116"/>
        <v>0</v>
      </c>
      <c r="Z1067" s="49">
        <f t="shared" si="117"/>
        <v>0</v>
      </c>
      <c r="AA1067" s="60">
        <f t="shared" si="118"/>
        <v>0</v>
      </c>
    </row>
    <row r="1068" spans="1:27">
      <c r="A1068" s="83" t="str">
        <f t="shared" si="113"/>
        <v/>
      </c>
      <c r="B1068" s="83" t="str">
        <f t="shared" si="114"/>
        <v/>
      </c>
      <c r="S1068" s="83" t="str">
        <f t="shared" si="115"/>
        <v/>
      </c>
      <c r="T1068" s="83" t="str">
        <f t="shared" si="112"/>
        <v/>
      </c>
      <c r="Y1068" s="60">
        <f t="shared" si="116"/>
        <v>0</v>
      </c>
      <c r="Z1068" s="49">
        <f t="shared" si="117"/>
        <v>0</v>
      </c>
      <c r="AA1068" s="60">
        <f t="shared" si="118"/>
        <v>0</v>
      </c>
    </row>
    <row r="1069" spans="1:27">
      <c r="A1069" s="83" t="str">
        <f t="shared" si="113"/>
        <v/>
      </c>
      <c r="B1069" s="83" t="str">
        <f t="shared" si="114"/>
        <v/>
      </c>
      <c r="S1069" s="83" t="str">
        <f t="shared" si="115"/>
        <v/>
      </c>
      <c r="T1069" s="83" t="str">
        <f t="shared" si="112"/>
        <v/>
      </c>
      <c r="Y1069" s="60">
        <f t="shared" si="116"/>
        <v>0</v>
      </c>
      <c r="Z1069" s="49">
        <f t="shared" si="117"/>
        <v>0</v>
      </c>
      <c r="AA1069" s="60">
        <f t="shared" si="118"/>
        <v>0</v>
      </c>
    </row>
    <row r="1070" spans="1:27">
      <c r="A1070" s="83" t="str">
        <f t="shared" si="113"/>
        <v/>
      </c>
      <c r="B1070" s="83" t="str">
        <f t="shared" si="114"/>
        <v/>
      </c>
      <c r="S1070" s="83" t="str">
        <f t="shared" si="115"/>
        <v/>
      </c>
      <c r="T1070" s="83" t="str">
        <f t="shared" si="112"/>
        <v/>
      </c>
      <c r="Y1070" s="60">
        <f t="shared" si="116"/>
        <v>0</v>
      </c>
      <c r="Z1070" s="49">
        <f t="shared" si="117"/>
        <v>0</v>
      </c>
      <c r="AA1070" s="60">
        <f t="shared" si="118"/>
        <v>0</v>
      </c>
    </row>
    <row r="1071" spans="1:27">
      <c r="A1071" s="83" t="str">
        <f t="shared" si="113"/>
        <v/>
      </c>
      <c r="B1071" s="83" t="str">
        <f t="shared" si="114"/>
        <v/>
      </c>
      <c r="S1071" s="83" t="str">
        <f t="shared" si="115"/>
        <v/>
      </c>
      <c r="T1071" s="83" t="str">
        <f t="shared" si="112"/>
        <v/>
      </c>
      <c r="Y1071" s="60">
        <f t="shared" si="116"/>
        <v>0</v>
      </c>
      <c r="Z1071" s="49">
        <f t="shared" si="117"/>
        <v>0</v>
      </c>
      <c r="AA1071" s="60">
        <f t="shared" si="118"/>
        <v>0</v>
      </c>
    </row>
    <row r="1072" spans="1:27">
      <c r="A1072" s="83" t="str">
        <f t="shared" si="113"/>
        <v/>
      </c>
      <c r="B1072" s="83" t="str">
        <f t="shared" si="114"/>
        <v/>
      </c>
      <c r="S1072" s="83" t="str">
        <f t="shared" si="115"/>
        <v/>
      </c>
      <c r="T1072" s="83" t="str">
        <f t="shared" si="112"/>
        <v/>
      </c>
      <c r="Y1072" s="60">
        <f t="shared" si="116"/>
        <v>0</v>
      </c>
      <c r="Z1072" s="49">
        <f t="shared" si="117"/>
        <v>0</v>
      </c>
      <c r="AA1072" s="60">
        <f t="shared" si="118"/>
        <v>0</v>
      </c>
    </row>
    <row r="1073" spans="1:27">
      <c r="A1073" s="83" t="str">
        <f t="shared" si="113"/>
        <v/>
      </c>
      <c r="B1073" s="83" t="str">
        <f t="shared" si="114"/>
        <v/>
      </c>
      <c r="S1073" s="83" t="str">
        <f t="shared" si="115"/>
        <v/>
      </c>
      <c r="T1073" s="83" t="str">
        <f t="shared" si="112"/>
        <v/>
      </c>
      <c r="Y1073" s="60">
        <f t="shared" si="116"/>
        <v>0</v>
      </c>
      <c r="Z1073" s="49">
        <f t="shared" si="117"/>
        <v>0</v>
      </c>
      <c r="AA1073" s="60">
        <f t="shared" si="118"/>
        <v>0</v>
      </c>
    </row>
    <row r="1074" spans="1:27">
      <c r="A1074" s="83" t="str">
        <f t="shared" si="113"/>
        <v/>
      </c>
      <c r="B1074" s="83" t="str">
        <f t="shared" si="114"/>
        <v/>
      </c>
      <c r="S1074" s="83" t="str">
        <f t="shared" si="115"/>
        <v/>
      </c>
      <c r="T1074" s="83" t="str">
        <f t="shared" si="112"/>
        <v/>
      </c>
      <c r="Y1074" s="60">
        <f t="shared" si="116"/>
        <v>0</v>
      </c>
      <c r="Z1074" s="49">
        <f t="shared" si="117"/>
        <v>0</v>
      </c>
      <c r="AA1074" s="60">
        <f t="shared" si="118"/>
        <v>0</v>
      </c>
    </row>
    <row r="1075" spans="1:27">
      <c r="A1075" s="83" t="str">
        <f t="shared" si="113"/>
        <v/>
      </c>
      <c r="B1075" s="83" t="str">
        <f t="shared" si="114"/>
        <v/>
      </c>
      <c r="S1075" s="83" t="str">
        <f t="shared" si="115"/>
        <v/>
      </c>
      <c r="T1075" s="83" t="str">
        <f t="shared" si="112"/>
        <v/>
      </c>
      <c r="Y1075" s="60">
        <f t="shared" si="116"/>
        <v>0</v>
      </c>
      <c r="Z1075" s="49">
        <f t="shared" si="117"/>
        <v>0</v>
      </c>
      <c r="AA1075" s="60">
        <f t="shared" si="118"/>
        <v>0</v>
      </c>
    </row>
    <row r="1076" spans="1:27">
      <c r="A1076" s="83" t="str">
        <f t="shared" si="113"/>
        <v/>
      </c>
      <c r="B1076" s="83" t="str">
        <f t="shared" si="114"/>
        <v/>
      </c>
      <c r="S1076" s="83" t="str">
        <f t="shared" si="115"/>
        <v/>
      </c>
      <c r="T1076" s="83" t="str">
        <f t="shared" si="112"/>
        <v/>
      </c>
      <c r="Y1076" s="60">
        <f t="shared" si="116"/>
        <v>0</v>
      </c>
      <c r="Z1076" s="49">
        <f t="shared" si="117"/>
        <v>0</v>
      </c>
      <c r="AA1076" s="60">
        <f t="shared" si="118"/>
        <v>0</v>
      </c>
    </row>
    <row r="1077" spans="1:27">
      <c r="A1077" s="83" t="str">
        <f t="shared" si="113"/>
        <v/>
      </c>
      <c r="B1077" s="83" t="str">
        <f t="shared" si="114"/>
        <v/>
      </c>
      <c r="S1077" s="83" t="str">
        <f t="shared" si="115"/>
        <v/>
      </c>
      <c r="T1077" s="83" t="str">
        <f t="shared" si="112"/>
        <v/>
      </c>
      <c r="Y1077" s="60">
        <f t="shared" si="116"/>
        <v>0</v>
      </c>
      <c r="Z1077" s="49">
        <f t="shared" si="117"/>
        <v>0</v>
      </c>
      <c r="AA1077" s="60">
        <f t="shared" si="118"/>
        <v>0</v>
      </c>
    </row>
    <row r="1078" spans="1:27">
      <c r="A1078" s="83" t="str">
        <f t="shared" si="113"/>
        <v/>
      </c>
      <c r="B1078" s="83" t="str">
        <f t="shared" si="114"/>
        <v/>
      </c>
      <c r="S1078" s="83" t="str">
        <f t="shared" si="115"/>
        <v/>
      </c>
      <c r="T1078" s="83" t="str">
        <f t="shared" si="112"/>
        <v/>
      </c>
      <c r="Y1078" s="60">
        <f t="shared" si="116"/>
        <v>0</v>
      </c>
      <c r="Z1078" s="49">
        <f t="shared" si="117"/>
        <v>0</v>
      </c>
      <c r="AA1078" s="60">
        <f t="shared" si="118"/>
        <v>0</v>
      </c>
    </row>
    <row r="1079" spans="1:27">
      <c r="A1079" s="83" t="str">
        <f t="shared" si="113"/>
        <v/>
      </c>
      <c r="B1079" s="83" t="str">
        <f t="shared" si="114"/>
        <v/>
      </c>
      <c r="S1079" s="83" t="str">
        <f t="shared" si="115"/>
        <v/>
      </c>
      <c r="T1079" s="83" t="str">
        <f t="shared" si="112"/>
        <v/>
      </c>
      <c r="Y1079" s="60">
        <f t="shared" si="116"/>
        <v>0</v>
      </c>
      <c r="Z1079" s="49">
        <f t="shared" si="117"/>
        <v>0</v>
      </c>
      <c r="AA1079" s="60">
        <f t="shared" si="118"/>
        <v>0</v>
      </c>
    </row>
    <row r="1080" spans="1:27">
      <c r="A1080" s="83" t="str">
        <f t="shared" si="113"/>
        <v/>
      </c>
      <c r="B1080" s="83" t="str">
        <f t="shared" si="114"/>
        <v/>
      </c>
      <c r="S1080" s="83" t="str">
        <f t="shared" si="115"/>
        <v/>
      </c>
      <c r="T1080" s="83" t="str">
        <f t="shared" si="112"/>
        <v/>
      </c>
      <c r="Y1080" s="60">
        <f t="shared" si="116"/>
        <v>0</v>
      </c>
      <c r="Z1080" s="49">
        <f t="shared" si="117"/>
        <v>0</v>
      </c>
      <c r="AA1080" s="60">
        <f t="shared" si="118"/>
        <v>0</v>
      </c>
    </row>
    <row r="1081" spans="1:27">
      <c r="A1081" s="83" t="str">
        <f t="shared" si="113"/>
        <v/>
      </c>
      <c r="B1081" s="83" t="str">
        <f t="shared" si="114"/>
        <v/>
      </c>
      <c r="S1081" s="83" t="str">
        <f t="shared" si="115"/>
        <v/>
      </c>
      <c r="T1081" s="83" t="str">
        <f t="shared" si="112"/>
        <v/>
      </c>
      <c r="Y1081" s="60">
        <f t="shared" si="116"/>
        <v>0</v>
      </c>
      <c r="Z1081" s="49">
        <f t="shared" si="117"/>
        <v>0</v>
      </c>
      <c r="AA1081" s="60">
        <f t="shared" si="118"/>
        <v>0</v>
      </c>
    </row>
    <row r="1082" spans="1:27">
      <c r="A1082" s="83" t="str">
        <f t="shared" si="113"/>
        <v/>
      </c>
      <c r="B1082" s="83" t="str">
        <f t="shared" si="114"/>
        <v/>
      </c>
      <c r="S1082" s="83" t="str">
        <f t="shared" si="115"/>
        <v/>
      </c>
      <c r="T1082" s="83" t="str">
        <f t="shared" si="112"/>
        <v/>
      </c>
      <c r="Y1082" s="60">
        <f t="shared" si="116"/>
        <v>0</v>
      </c>
      <c r="Z1082" s="49">
        <f t="shared" si="117"/>
        <v>0</v>
      </c>
      <c r="AA1082" s="60">
        <f t="shared" si="118"/>
        <v>0</v>
      </c>
    </row>
    <row r="1083" spans="1:27">
      <c r="A1083" s="83" t="str">
        <f t="shared" si="113"/>
        <v/>
      </c>
      <c r="B1083" s="83" t="str">
        <f t="shared" si="114"/>
        <v/>
      </c>
      <c r="S1083" s="83" t="str">
        <f t="shared" si="115"/>
        <v/>
      </c>
      <c r="T1083" s="83" t="str">
        <f t="shared" si="112"/>
        <v/>
      </c>
      <c r="Y1083" s="60">
        <f t="shared" si="116"/>
        <v>0</v>
      </c>
      <c r="Z1083" s="49">
        <f t="shared" si="117"/>
        <v>0</v>
      </c>
      <c r="AA1083" s="60">
        <f t="shared" si="118"/>
        <v>0</v>
      </c>
    </row>
    <row r="1084" spans="1:27">
      <c r="A1084" s="83" t="str">
        <f t="shared" si="113"/>
        <v/>
      </c>
      <c r="B1084" s="83" t="str">
        <f t="shared" si="114"/>
        <v/>
      </c>
      <c r="S1084" s="83" t="str">
        <f t="shared" si="115"/>
        <v/>
      </c>
      <c r="T1084" s="83" t="str">
        <f t="shared" si="112"/>
        <v/>
      </c>
      <c r="Y1084" s="60">
        <f t="shared" si="116"/>
        <v>0</v>
      </c>
      <c r="Z1084" s="49">
        <f t="shared" si="117"/>
        <v>0</v>
      </c>
      <c r="AA1084" s="60">
        <f t="shared" si="118"/>
        <v>0</v>
      </c>
    </row>
    <row r="1085" spans="1:27">
      <c r="A1085" s="83" t="str">
        <f t="shared" si="113"/>
        <v/>
      </c>
      <c r="B1085" s="83" t="str">
        <f t="shared" si="114"/>
        <v/>
      </c>
      <c r="S1085" s="83" t="str">
        <f t="shared" si="115"/>
        <v/>
      </c>
      <c r="T1085" s="83" t="str">
        <f t="shared" si="112"/>
        <v/>
      </c>
      <c r="Y1085" s="60">
        <f t="shared" si="116"/>
        <v>0</v>
      </c>
      <c r="Z1085" s="49">
        <f t="shared" si="117"/>
        <v>0</v>
      </c>
      <c r="AA1085" s="60">
        <f t="shared" si="118"/>
        <v>0</v>
      </c>
    </row>
    <row r="1086" spans="1:27">
      <c r="A1086" s="83" t="str">
        <f t="shared" si="113"/>
        <v/>
      </c>
      <c r="B1086" s="83" t="str">
        <f t="shared" si="114"/>
        <v/>
      </c>
      <c r="S1086" s="83" t="str">
        <f t="shared" si="115"/>
        <v/>
      </c>
      <c r="T1086" s="83" t="str">
        <f t="shared" si="112"/>
        <v/>
      </c>
      <c r="Y1086" s="60">
        <f t="shared" si="116"/>
        <v>0</v>
      </c>
      <c r="Z1086" s="49">
        <f t="shared" si="117"/>
        <v>0</v>
      </c>
      <c r="AA1086" s="60">
        <f t="shared" si="118"/>
        <v>0</v>
      </c>
    </row>
    <row r="1087" spans="1:27">
      <c r="A1087" s="83" t="str">
        <f t="shared" si="113"/>
        <v/>
      </c>
      <c r="B1087" s="83" t="str">
        <f t="shared" si="114"/>
        <v/>
      </c>
      <c r="S1087" s="83" t="str">
        <f t="shared" si="115"/>
        <v/>
      </c>
      <c r="T1087" s="83" t="str">
        <f t="shared" si="112"/>
        <v/>
      </c>
      <c r="Y1087" s="60">
        <f t="shared" si="116"/>
        <v>0</v>
      </c>
      <c r="Z1087" s="49">
        <f t="shared" si="117"/>
        <v>0</v>
      </c>
      <c r="AA1087" s="60">
        <f t="shared" si="118"/>
        <v>0</v>
      </c>
    </row>
    <row r="1088" spans="1:27">
      <c r="A1088" s="83" t="str">
        <f t="shared" si="113"/>
        <v/>
      </c>
      <c r="B1088" s="83" t="str">
        <f t="shared" si="114"/>
        <v/>
      </c>
      <c r="S1088" s="83" t="str">
        <f t="shared" si="115"/>
        <v/>
      </c>
      <c r="T1088" s="83" t="str">
        <f t="shared" si="112"/>
        <v/>
      </c>
      <c r="Y1088" s="60">
        <f t="shared" si="116"/>
        <v>0</v>
      </c>
      <c r="Z1088" s="49">
        <f t="shared" si="117"/>
        <v>0</v>
      </c>
      <c r="AA1088" s="60">
        <f t="shared" si="118"/>
        <v>0</v>
      </c>
    </row>
    <row r="1089" spans="1:27">
      <c r="A1089" s="83" t="str">
        <f t="shared" si="113"/>
        <v/>
      </c>
      <c r="B1089" s="83" t="str">
        <f t="shared" si="114"/>
        <v/>
      </c>
      <c r="S1089" s="83" t="str">
        <f t="shared" si="115"/>
        <v/>
      </c>
      <c r="T1089" s="83" t="str">
        <f t="shared" si="112"/>
        <v/>
      </c>
      <c r="Y1089" s="60">
        <f t="shared" si="116"/>
        <v>0</v>
      </c>
      <c r="Z1089" s="49">
        <f t="shared" si="117"/>
        <v>0</v>
      </c>
      <c r="AA1089" s="60">
        <f t="shared" si="118"/>
        <v>0</v>
      </c>
    </row>
    <row r="1090" spans="1:27">
      <c r="A1090" s="83" t="str">
        <f t="shared" si="113"/>
        <v/>
      </c>
      <c r="B1090" s="83" t="str">
        <f t="shared" si="114"/>
        <v/>
      </c>
      <c r="S1090" s="83" t="str">
        <f t="shared" si="115"/>
        <v/>
      </c>
      <c r="T1090" s="83" t="str">
        <f t="shared" ref="T1090:T1153" si="119">IF(A1090&lt;&gt;"",IF(FIND(" ",G1090)&gt;=1,MID(G1090,FIND(" ",G1090)+1,LEN(G1090)),""),"")</f>
        <v/>
      </c>
      <c r="Y1090" s="60">
        <f t="shared" si="116"/>
        <v>0</v>
      </c>
      <c r="Z1090" s="49">
        <f t="shared" si="117"/>
        <v>0</v>
      </c>
      <c r="AA1090" s="60">
        <f t="shared" si="118"/>
        <v>0</v>
      </c>
    </row>
    <row r="1091" spans="1:27">
      <c r="A1091" s="83" t="str">
        <f t="shared" ref="A1091:A1154" si="120">IF(G1091&amp;Q1091&lt;&gt;"",S1091&amp;Q1091,"")</f>
        <v/>
      </c>
      <c r="B1091" s="83" t="str">
        <f t="shared" ref="B1091:B1154" si="121">IF(C1091&lt;&gt;"",LEFT(C1091,9),"")</f>
        <v/>
      </c>
      <c r="S1091" s="83" t="str">
        <f t="shared" ref="S1091:S1154" si="122">IF(G1091&lt;&gt;"",IF(FIND(" ",G1091)&gt;=1,MID(G1091,1,FIND(" ",G1091)-1),G1091),"")</f>
        <v/>
      </c>
      <c r="T1091" s="83" t="str">
        <f t="shared" si="119"/>
        <v/>
      </c>
      <c r="Y1091" s="60">
        <f t="shared" ref="Y1091:Y1154" si="123">IFERROR(VALUE(MID($C1091,1,2)),0)</f>
        <v>0</v>
      </c>
      <c r="Z1091" s="49">
        <f t="shared" ref="Z1091:Z1154" si="124">IFERROR(VALUE(MID($C1091,4,3)),0)</f>
        <v>0</v>
      </c>
      <c r="AA1091" s="60">
        <f t="shared" ref="AA1091:AA1154" si="125">VALUE(RIGHT("00"&amp;Y1091,2)&amp;RIGHT("000"&amp;Z1091,3))</f>
        <v>0</v>
      </c>
    </row>
    <row r="1092" spans="1:27">
      <c r="A1092" s="83" t="str">
        <f t="shared" si="120"/>
        <v/>
      </c>
      <c r="B1092" s="83" t="str">
        <f t="shared" si="121"/>
        <v/>
      </c>
      <c r="S1092" s="83" t="str">
        <f t="shared" si="122"/>
        <v/>
      </c>
      <c r="T1092" s="83" t="str">
        <f t="shared" si="119"/>
        <v/>
      </c>
      <c r="Y1092" s="60">
        <f t="shared" si="123"/>
        <v>0</v>
      </c>
      <c r="Z1092" s="49">
        <f t="shared" si="124"/>
        <v>0</v>
      </c>
      <c r="AA1092" s="60">
        <f t="shared" si="125"/>
        <v>0</v>
      </c>
    </row>
    <row r="1093" spans="1:27">
      <c r="A1093" s="83" t="str">
        <f t="shared" si="120"/>
        <v/>
      </c>
      <c r="B1093" s="83" t="str">
        <f t="shared" si="121"/>
        <v/>
      </c>
      <c r="S1093" s="83" t="str">
        <f t="shared" si="122"/>
        <v/>
      </c>
      <c r="T1093" s="83" t="str">
        <f t="shared" si="119"/>
        <v/>
      </c>
      <c r="Y1093" s="60">
        <f t="shared" si="123"/>
        <v>0</v>
      </c>
      <c r="Z1093" s="49">
        <f t="shared" si="124"/>
        <v>0</v>
      </c>
      <c r="AA1093" s="60">
        <f t="shared" si="125"/>
        <v>0</v>
      </c>
    </row>
    <row r="1094" spans="1:27">
      <c r="A1094" s="83" t="str">
        <f t="shared" si="120"/>
        <v/>
      </c>
      <c r="B1094" s="83" t="str">
        <f t="shared" si="121"/>
        <v/>
      </c>
      <c r="S1094" s="83" t="str">
        <f t="shared" si="122"/>
        <v/>
      </c>
      <c r="T1094" s="83" t="str">
        <f t="shared" si="119"/>
        <v/>
      </c>
      <c r="Y1094" s="60">
        <f t="shared" si="123"/>
        <v>0</v>
      </c>
      <c r="Z1094" s="49">
        <f t="shared" si="124"/>
        <v>0</v>
      </c>
      <c r="AA1094" s="60">
        <f t="shared" si="125"/>
        <v>0</v>
      </c>
    </row>
    <row r="1095" spans="1:27">
      <c r="A1095" s="83" t="str">
        <f t="shared" si="120"/>
        <v/>
      </c>
      <c r="B1095" s="83" t="str">
        <f t="shared" si="121"/>
        <v/>
      </c>
      <c r="S1095" s="83" t="str">
        <f t="shared" si="122"/>
        <v/>
      </c>
      <c r="T1095" s="83" t="str">
        <f t="shared" si="119"/>
        <v/>
      </c>
      <c r="Y1095" s="60">
        <f t="shared" si="123"/>
        <v>0</v>
      </c>
      <c r="Z1095" s="49">
        <f t="shared" si="124"/>
        <v>0</v>
      </c>
      <c r="AA1095" s="60">
        <f t="shared" si="125"/>
        <v>0</v>
      </c>
    </row>
    <row r="1096" spans="1:27">
      <c r="A1096" s="83" t="str">
        <f t="shared" si="120"/>
        <v/>
      </c>
      <c r="B1096" s="83" t="str">
        <f t="shared" si="121"/>
        <v/>
      </c>
      <c r="S1096" s="83" t="str">
        <f t="shared" si="122"/>
        <v/>
      </c>
      <c r="T1096" s="83" t="str">
        <f t="shared" si="119"/>
        <v/>
      </c>
      <c r="Y1096" s="60">
        <f t="shared" si="123"/>
        <v>0</v>
      </c>
      <c r="Z1096" s="49">
        <f t="shared" si="124"/>
        <v>0</v>
      </c>
      <c r="AA1096" s="60">
        <f t="shared" si="125"/>
        <v>0</v>
      </c>
    </row>
    <row r="1097" spans="1:27">
      <c r="A1097" s="83" t="str">
        <f t="shared" si="120"/>
        <v/>
      </c>
      <c r="B1097" s="83" t="str">
        <f t="shared" si="121"/>
        <v/>
      </c>
      <c r="S1097" s="83" t="str">
        <f t="shared" si="122"/>
        <v/>
      </c>
      <c r="T1097" s="83" t="str">
        <f t="shared" si="119"/>
        <v/>
      </c>
      <c r="Y1097" s="60">
        <f t="shared" si="123"/>
        <v>0</v>
      </c>
      <c r="Z1097" s="49">
        <f t="shared" si="124"/>
        <v>0</v>
      </c>
      <c r="AA1097" s="60">
        <f t="shared" si="125"/>
        <v>0</v>
      </c>
    </row>
    <row r="1098" spans="1:27">
      <c r="A1098" s="83" t="str">
        <f t="shared" si="120"/>
        <v/>
      </c>
      <c r="B1098" s="83" t="str">
        <f t="shared" si="121"/>
        <v/>
      </c>
      <c r="S1098" s="83" t="str">
        <f t="shared" si="122"/>
        <v/>
      </c>
      <c r="T1098" s="83" t="str">
        <f t="shared" si="119"/>
        <v/>
      </c>
      <c r="Y1098" s="60">
        <f t="shared" si="123"/>
        <v>0</v>
      </c>
      <c r="Z1098" s="49">
        <f t="shared" si="124"/>
        <v>0</v>
      </c>
      <c r="AA1098" s="60">
        <f t="shared" si="125"/>
        <v>0</v>
      </c>
    </row>
    <row r="1099" spans="1:27">
      <c r="A1099" s="83" t="str">
        <f t="shared" si="120"/>
        <v/>
      </c>
      <c r="B1099" s="83" t="str">
        <f t="shared" si="121"/>
        <v/>
      </c>
      <c r="S1099" s="83" t="str">
        <f t="shared" si="122"/>
        <v/>
      </c>
      <c r="T1099" s="83" t="str">
        <f t="shared" si="119"/>
        <v/>
      </c>
      <c r="Y1099" s="60">
        <f t="shared" si="123"/>
        <v>0</v>
      </c>
      <c r="Z1099" s="49">
        <f t="shared" si="124"/>
        <v>0</v>
      </c>
      <c r="AA1099" s="60">
        <f t="shared" si="125"/>
        <v>0</v>
      </c>
    </row>
    <row r="1100" spans="1:27">
      <c r="A1100" s="83" t="str">
        <f t="shared" si="120"/>
        <v/>
      </c>
      <c r="B1100" s="83" t="str">
        <f t="shared" si="121"/>
        <v/>
      </c>
      <c r="S1100" s="83" t="str">
        <f t="shared" si="122"/>
        <v/>
      </c>
      <c r="T1100" s="83" t="str">
        <f t="shared" si="119"/>
        <v/>
      </c>
      <c r="Y1100" s="60">
        <f t="shared" si="123"/>
        <v>0</v>
      </c>
      <c r="Z1100" s="49">
        <f t="shared" si="124"/>
        <v>0</v>
      </c>
      <c r="AA1100" s="60">
        <f t="shared" si="125"/>
        <v>0</v>
      </c>
    </row>
    <row r="1101" spans="1:27">
      <c r="A1101" s="83" t="str">
        <f t="shared" si="120"/>
        <v/>
      </c>
      <c r="B1101" s="83" t="str">
        <f t="shared" si="121"/>
        <v/>
      </c>
      <c r="S1101" s="83" t="str">
        <f t="shared" si="122"/>
        <v/>
      </c>
      <c r="T1101" s="83" t="str">
        <f t="shared" si="119"/>
        <v/>
      </c>
      <c r="Y1101" s="60">
        <f t="shared" si="123"/>
        <v>0</v>
      </c>
      <c r="Z1101" s="49">
        <f t="shared" si="124"/>
        <v>0</v>
      </c>
      <c r="AA1101" s="60">
        <f t="shared" si="125"/>
        <v>0</v>
      </c>
    </row>
    <row r="1102" spans="1:27">
      <c r="A1102" s="83" t="str">
        <f t="shared" si="120"/>
        <v/>
      </c>
      <c r="B1102" s="83" t="str">
        <f t="shared" si="121"/>
        <v/>
      </c>
      <c r="S1102" s="83" t="str">
        <f t="shared" si="122"/>
        <v/>
      </c>
      <c r="T1102" s="83" t="str">
        <f t="shared" si="119"/>
        <v/>
      </c>
      <c r="Y1102" s="60">
        <f t="shared" si="123"/>
        <v>0</v>
      </c>
      <c r="Z1102" s="49">
        <f t="shared" si="124"/>
        <v>0</v>
      </c>
      <c r="AA1102" s="60">
        <f t="shared" si="125"/>
        <v>0</v>
      </c>
    </row>
    <row r="1103" spans="1:27">
      <c r="A1103" s="83" t="str">
        <f t="shared" si="120"/>
        <v/>
      </c>
      <c r="B1103" s="83" t="str">
        <f t="shared" si="121"/>
        <v/>
      </c>
      <c r="S1103" s="83" t="str">
        <f t="shared" si="122"/>
        <v/>
      </c>
      <c r="T1103" s="83" t="str">
        <f t="shared" si="119"/>
        <v/>
      </c>
      <c r="Y1103" s="60">
        <f t="shared" si="123"/>
        <v>0</v>
      </c>
      <c r="Z1103" s="49">
        <f t="shared" si="124"/>
        <v>0</v>
      </c>
      <c r="AA1103" s="60">
        <f t="shared" si="125"/>
        <v>0</v>
      </c>
    </row>
    <row r="1104" spans="1:27">
      <c r="A1104" s="83" t="str">
        <f t="shared" si="120"/>
        <v/>
      </c>
      <c r="B1104" s="83" t="str">
        <f t="shared" si="121"/>
        <v/>
      </c>
      <c r="S1104" s="83" t="str">
        <f t="shared" si="122"/>
        <v/>
      </c>
      <c r="T1104" s="83" t="str">
        <f t="shared" si="119"/>
        <v/>
      </c>
      <c r="Y1104" s="60">
        <f t="shared" si="123"/>
        <v>0</v>
      </c>
      <c r="Z1104" s="49">
        <f t="shared" si="124"/>
        <v>0</v>
      </c>
      <c r="AA1104" s="60">
        <f t="shared" si="125"/>
        <v>0</v>
      </c>
    </row>
    <row r="1105" spans="1:27">
      <c r="A1105" s="83" t="str">
        <f t="shared" si="120"/>
        <v/>
      </c>
      <c r="B1105" s="83" t="str">
        <f t="shared" si="121"/>
        <v/>
      </c>
      <c r="S1105" s="83" t="str">
        <f t="shared" si="122"/>
        <v/>
      </c>
      <c r="T1105" s="83" t="str">
        <f t="shared" si="119"/>
        <v/>
      </c>
      <c r="Y1105" s="60">
        <f t="shared" si="123"/>
        <v>0</v>
      </c>
      <c r="Z1105" s="49">
        <f t="shared" si="124"/>
        <v>0</v>
      </c>
      <c r="AA1105" s="60">
        <f t="shared" si="125"/>
        <v>0</v>
      </c>
    </row>
    <row r="1106" spans="1:27">
      <c r="A1106" s="83" t="str">
        <f t="shared" si="120"/>
        <v/>
      </c>
      <c r="B1106" s="83" t="str">
        <f t="shared" si="121"/>
        <v/>
      </c>
      <c r="S1106" s="83" t="str">
        <f t="shared" si="122"/>
        <v/>
      </c>
      <c r="T1106" s="83" t="str">
        <f t="shared" si="119"/>
        <v/>
      </c>
      <c r="Y1106" s="60">
        <f t="shared" si="123"/>
        <v>0</v>
      </c>
      <c r="Z1106" s="49">
        <f t="shared" si="124"/>
        <v>0</v>
      </c>
      <c r="AA1106" s="60">
        <f t="shared" si="125"/>
        <v>0</v>
      </c>
    </row>
    <row r="1107" spans="1:27">
      <c r="A1107" s="83" t="str">
        <f t="shared" si="120"/>
        <v/>
      </c>
      <c r="B1107" s="83" t="str">
        <f t="shared" si="121"/>
        <v/>
      </c>
      <c r="S1107" s="83" t="str">
        <f t="shared" si="122"/>
        <v/>
      </c>
      <c r="T1107" s="83" t="str">
        <f t="shared" si="119"/>
        <v/>
      </c>
      <c r="Y1107" s="60">
        <f t="shared" si="123"/>
        <v>0</v>
      </c>
      <c r="Z1107" s="49">
        <f t="shared" si="124"/>
        <v>0</v>
      </c>
      <c r="AA1107" s="60">
        <f t="shared" si="125"/>
        <v>0</v>
      </c>
    </row>
    <row r="1108" spans="1:27">
      <c r="A1108" s="83" t="str">
        <f t="shared" si="120"/>
        <v/>
      </c>
      <c r="B1108" s="83" t="str">
        <f t="shared" si="121"/>
        <v/>
      </c>
      <c r="S1108" s="83" t="str">
        <f t="shared" si="122"/>
        <v/>
      </c>
      <c r="T1108" s="83" t="str">
        <f t="shared" si="119"/>
        <v/>
      </c>
      <c r="Y1108" s="60">
        <f t="shared" si="123"/>
        <v>0</v>
      </c>
      <c r="Z1108" s="49">
        <f t="shared" si="124"/>
        <v>0</v>
      </c>
      <c r="AA1108" s="60">
        <f t="shared" si="125"/>
        <v>0</v>
      </c>
    </row>
    <row r="1109" spans="1:27">
      <c r="A1109" s="83" t="str">
        <f t="shared" si="120"/>
        <v/>
      </c>
      <c r="B1109" s="83" t="str">
        <f t="shared" si="121"/>
        <v/>
      </c>
      <c r="S1109" s="83" t="str">
        <f t="shared" si="122"/>
        <v/>
      </c>
      <c r="T1109" s="83" t="str">
        <f t="shared" si="119"/>
        <v/>
      </c>
      <c r="Y1109" s="60">
        <f t="shared" si="123"/>
        <v>0</v>
      </c>
      <c r="Z1109" s="49">
        <f t="shared" si="124"/>
        <v>0</v>
      </c>
      <c r="AA1109" s="60">
        <f t="shared" si="125"/>
        <v>0</v>
      </c>
    </row>
    <row r="1110" spans="1:27">
      <c r="A1110" s="83" t="str">
        <f t="shared" si="120"/>
        <v/>
      </c>
      <c r="B1110" s="83" t="str">
        <f t="shared" si="121"/>
        <v/>
      </c>
      <c r="S1110" s="83" t="str">
        <f t="shared" si="122"/>
        <v/>
      </c>
      <c r="T1110" s="83" t="str">
        <f t="shared" si="119"/>
        <v/>
      </c>
      <c r="Y1110" s="60">
        <f t="shared" si="123"/>
        <v>0</v>
      </c>
      <c r="Z1110" s="49">
        <f t="shared" si="124"/>
        <v>0</v>
      </c>
      <c r="AA1110" s="60">
        <f t="shared" si="125"/>
        <v>0</v>
      </c>
    </row>
    <row r="1111" spans="1:27">
      <c r="A1111" s="83" t="str">
        <f t="shared" si="120"/>
        <v/>
      </c>
      <c r="B1111" s="83" t="str">
        <f t="shared" si="121"/>
        <v/>
      </c>
      <c r="S1111" s="83" t="str">
        <f t="shared" si="122"/>
        <v/>
      </c>
      <c r="T1111" s="83" t="str">
        <f t="shared" si="119"/>
        <v/>
      </c>
      <c r="Y1111" s="60">
        <f t="shared" si="123"/>
        <v>0</v>
      </c>
      <c r="Z1111" s="49">
        <f t="shared" si="124"/>
        <v>0</v>
      </c>
      <c r="AA1111" s="60">
        <f t="shared" si="125"/>
        <v>0</v>
      </c>
    </row>
    <row r="1112" spans="1:27">
      <c r="A1112" s="83" t="str">
        <f t="shared" si="120"/>
        <v/>
      </c>
      <c r="B1112" s="83" t="str">
        <f t="shared" si="121"/>
        <v/>
      </c>
      <c r="S1112" s="83" t="str">
        <f t="shared" si="122"/>
        <v/>
      </c>
      <c r="T1112" s="83" t="str">
        <f t="shared" si="119"/>
        <v/>
      </c>
      <c r="Y1112" s="60">
        <f t="shared" si="123"/>
        <v>0</v>
      </c>
      <c r="Z1112" s="49">
        <f t="shared" si="124"/>
        <v>0</v>
      </c>
      <c r="AA1112" s="60">
        <f t="shared" si="125"/>
        <v>0</v>
      </c>
    </row>
    <row r="1113" spans="1:27">
      <c r="A1113" s="83" t="str">
        <f t="shared" si="120"/>
        <v/>
      </c>
      <c r="B1113" s="83" t="str">
        <f t="shared" si="121"/>
        <v/>
      </c>
      <c r="S1113" s="83" t="str">
        <f t="shared" si="122"/>
        <v/>
      </c>
      <c r="T1113" s="83" t="str">
        <f t="shared" si="119"/>
        <v/>
      </c>
      <c r="Y1113" s="60">
        <f t="shared" si="123"/>
        <v>0</v>
      </c>
      <c r="Z1113" s="49">
        <f t="shared" si="124"/>
        <v>0</v>
      </c>
      <c r="AA1113" s="60">
        <f t="shared" si="125"/>
        <v>0</v>
      </c>
    </row>
    <row r="1114" spans="1:27">
      <c r="A1114" s="83" t="str">
        <f t="shared" si="120"/>
        <v/>
      </c>
      <c r="B1114" s="83" t="str">
        <f t="shared" si="121"/>
        <v/>
      </c>
      <c r="S1114" s="83" t="str">
        <f t="shared" si="122"/>
        <v/>
      </c>
      <c r="T1114" s="83" t="str">
        <f t="shared" si="119"/>
        <v/>
      </c>
      <c r="Y1114" s="60">
        <f t="shared" si="123"/>
        <v>0</v>
      </c>
      <c r="Z1114" s="49">
        <f t="shared" si="124"/>
        <v>0</v>
      </c>
      <c r="AA1114" s="60">
        <f t="shared" si="125"/>
        <v>0</v>
      </c>
    </row>
    <row r="1115" spans="1:27">
      <c r="A1115" s="83" t="str">
        <f t="shared" si="120"/>
        <v/>
      </c>
      <c r="B1115" s="83" t="str">
        <f t="shared" si="121"/>
        <v/>
      </c>
      <c r="S1115" s="83" t="str">
        <f t="shared" si="122"/>
        <v/>
      </c>
      <c r="T1115" s="83" t="str">
        <f t="shared" si="119"/>
        <v/>
      </c>
      <c r="Y1115" s="60">
        <f t="shared" si="123"/>
        <v>0</v>
      </c>
      <c r="Z1115" s="49">
        <f t="shared" si="124"/>
        <v>0</v>
      </c>
      <c r="AA1115" s="60">
        <f t="shared" si="125"/>
        <v>0</v>
      </c>
    </row>
    <row r="1116" spans="1:27">
      <c r="A1116" s="83" t="str">
        <f t="shared" si="120"/>
        <v/>
      </c>
      <c r="B1116" s="83" t="str">
        <f t="shared" si="121"/>
        <v/>
      </c>
      <c r="S1116" s="83" t="str">
        <f t="shared" si="122"/>
        <v/>
      </c>
      <c r="T1116" s="83" t="str">
        <f t="shared" si="119"/>
        <v/>
      </c>
      <c r="Y1116" s="60">
        <f t="shared" si="123"/>
        <v>0</v>
      </c>
      <c r="Z1116" s="49">
        <f t="shared" si="124"/>
        <v>0</v>
      </c>
      <c r="AA1116" s="60">
        <f t="shared" si="125"/>
        <v>0</v>
      </c>
    </row>
    <row r="1117" spans="1:27">
      <c r="A1117" s="83" t="str">
        <f t="shared" si="120"/>
        <v/>
      </c>
      <c r="B1117" s="83" t="str">
        <f t="shared" si="121"/>
        <v/>
      </c>
      <c r="S1117" s="83" t="str">
        <f t="shared" si="122"/>
        <v/>
      </c>
      <c r="T1117" s="83" t="str">
        <f t="shared" si="119"/>
        <v/>
      </c>
      <c r="Y1117" s="60">
        <f t="shared" si="123"/>
        <v>0</v>
      </c>
      <c r="Z1117" s="49">
        <f t="shared" si="124"/>
        <v>0</v>
      </c>
      <c r="AA1117" s="60">
        <f t="shared" si="125"/>
        <v>0</v>
      </c>
    </row>
    <row r="1118" spans="1:27">
      <c r="A1118" s="83" t="str">
        <f t="shared" si="120"/>
        <v/>
      </c>
      <c r="B1118" s="83" t="str">
        <f t="shared" si="121"/>
        <v/>
      </c>
      <c r="S1118" s="83" t="str">
        <f t="shared" si="122"/>
        <v/>
      </c>
      <c r="T1118" s="83" t="str">
        <f t="shared" si="119"/>
        <v/>
      </c>
      <c r="Y1118" s="60">
        <f t="shared" si="123"/>
        <v>0</v>
      </c>
      <c r="Z1118" s="49">
        <f t="shared" si="124"/>
        <v>0</v>
      </c>
      <c r="AA1118" s="60">
        <f t="shared" si="125"/>
        <v>0</v>
      </c>
    </row>
    <row r="1119" spans="1:27">
      <c r="A1119" s="83" t="str">
        <f t="shared" si="120"/>
        <v/>
      </c>
      <c r="B1119" s="83" t="str">
        <f t="shared" si="121"/>
        <v/>
      </c>
      <c r="S1119" s="83" t="str">
        <f t="shared" si="122"/>
        <v/>
      </c>
      <c r="T1119" s="83" t="str">
        <f t="shared" si="119"/>
        <v/>
      </c>
      <c r="Y1119" s="60">
        <f t="shared" si="123"/>
        <v>0</v>
      </c>
      <c r="Z1119" s="49">
        <f t="shared" si="124"/>
        <v>0</v>
      </c>
      <c r="AA1119" s="60">
        <f t="shared" si="125"/>
        <v>0</v>
      </c>
    </row>
    <row r="1120" spans="1:27">
      <c r="A1120" s="83" t="str">
        <f t="shared" si="120"/>
        <v/>
      </c>
      <c r="B1120" s="83" t="str">
        <f t="shared" si="121"/>
        <v/>
      </c>
      <c r="S1120" s="83" t="str">
        <f t="shared" si="122"/>
        <v/>
      </c>
      <c r="T1120" s="83" t="str">
        <f t="shared" si="119"/>
        <v/>
      </c>
      <c r="Y1120" s="60">
        <f t="shared" si="123"/>
        <v>0</v>
      </c>
      <c r="Z1120" s="49">
        <f t="shared" si="124"/>
        <v>0</v>
      </c>
      <c r="AA1120" s="60">
        <f t="shared" si="125"/>
        <v>0</v>
      </c>
    </row>
    <row r="1121" spans="1:27">
      <c r="A1121" s="83" t="str">
        <f t="shared" si="120"/>
        <v/>
      </c>
      <c r="B1121" s="83" t="str">
        <f t="shared" si="121"/>
        <v/>
      </c>
      <c r="S1121" s="83" t="str">
        <f t="shared" si="122"/>
        <v/>
      </c>
      <c r="T1121" s="83" t="str">
        <f t="shared" si="119"/>
        <v/>
      </c>
      <c r="Y1121" s="60">
        <f t="shared" si="123"/>
        <v>0</v>
      </c>
      <c r="Z1121" s="49">
        <f t="shared" si="124"/>
        <v>0</v>
      </c>
      <c r="AA1121" s="60">
        <f t="shared" si="125"/>
        <v>0</v>
      </c>
    </row>
    <row r="1122" spans="1:27">
      <c r="A1122" s="83" t="str">
        <f t="shared" si="120"/>
        <v/>
      </c>
      <c r="B1122" s="83" t="str">
        <f t="shared" si="121"/>
        <v/>
      </c>
      <c r="S1122" s="83" t="str">
        <f t="shared" si="122"/>
        <v/>
      </c>
      <c r="T1122" s="83" t="str">
        <f t="shared" si="119"/>
        <v/>
      </c>
      <c r="Y1122" s="60">
        <f t="shared" si="123"/>
        <v>0</v>
      </c>
      <c r="Z1122" s="49">
        <f t="shared" si="124"/>
        <v>0</v>
      </c>
      <c r="AA1122" s="60">
        <f t="shared" si="125"/>
        <v>0</v>
      </c>
    </row>
    <row r="1123" spans="1:27">
      <c r="A1123" s="83" t="str">
        <f t="shared" si="120"/>
        <v/>
      </c>
      <c r="B1123" s="83" t="str">
        <f t="shared" si="121"/>
        <v/>
      </c>
      <c r="S1123" s="83" t="str">
        <f t="shared" si="122"/>
        <v/>
      </c>
      <c r="T1123" s="83" t="str">
        <f t="shared" si="119"/>
        <v/>
      </c>
      <c r="Y1123" s="60">
        <f t="shared" si="123"/>
        <v>0</v>
      </c>
      <c r="Z1123" s="49">
        <f t="shared" si="124"/>
        <v>0</v>
      </c>
      <c r="AA1123" s="60">
        <f t="shared" si="125"/>
        <v>0</v>
      </c>
    </row>
    <row r="1124" spans="1:27">
      <c r="A1124" s="83" t="str">
        <f t="shared" si="120"/>
        <v/>
      </c>
      <c r="B1124" s="83" t="str">
        <f t="shared" si="121"/>
        <v/>
      </c>
      <c r="S1124" s="83" t="str">
        <f t="shared" si="122"/>
        <v/>
      </c>
      <c r="T1124" s="83" t="str">
        <f t="shared" si="119"/>
        <v/>
      </c>
      <c r="Y1124" s="60">
        <f t="shared" si="123"/>
        <v>0</v>
      </c>
      <c r="Z1124" s="49">
        <f t="shared" si="124"/>
        <v>0</v>
      </c>
      <c r="AA1124" s="60">
        <f t="shared" si="125"/>
        <v>0</v>
      </c>
    </row>
    <row r="1125" spans="1:27">
      <c r="A1125" s="83" t="str">
        <f t="shared" si="120"/>
        <v/>
      </c>
      <c r="B1125" s="83" t="str">
        <f t="shared" si="121"/>
        <v/>
      </c>
      <c r="S1125" s="83" t="str">
        <f t="shared" si="122"/>
        <v/>
      </c>
      <c r="T1125" s="83" t="str">
        <f t="shared" si="119"/>
        <v/>
      </c>
      <c r="Y1125" s="60">
        <f t="shared" si="123"/>
        <v>0</v>
      </c>
      <c r="Z1125" s="49">
        <f t="shared" si="124"/>
        <v>0</v>
      </c>
      <c r="AA1125" s="60">
        <f t="shared" si="125"/>
        <v>0</v>
      </c>
    </row>
    <row r="1126" spans="1:27">
      <c r="A1126" s="83" t="str">
        <f t="shared" si="120"/>
        <v/>
      </c>
      <c r="B1126" s="83" t="str">
        <f t="shared" si="121"/>
        <v/>
      </c>
      <c r="S1126" s="83" t="str">
        <f t="shared" si="122"/>
        <v/>
      </c>
      <c r="T1126" s="83" t="str">
        <f t="shared" si="119"/>
        <v/>
      </c>
      <c r="Y1126" s="60">
        <f t="shared" si="123"/>
        <v>0</v>
      </c>
      <c r="Z1126" s="49">
        <f t="shared" si="124"/>
        <v>0</v>
      </c>
      <c r="AA1126" s="60">
        <f t="shared" si="125"/>
        <v>0</v>
      </c>
    </row>
    <row r="1127" spans="1:27">
      <c r="A1127" s="83" t="str">
        <f t="shared" si="120"/>
        <v/>
      </c>
      <c r="B1127" s="83" t="str">
        <f t="shared" si="121"/>
        <v/>
      </c>
      <c r="S1127" s="83" t="str">
        <f t="shared" si="122"/>
        <v/>
      </c>
      <c r="T1127" s="83" t="str">
        <f t="shared" si="119"/>
        <v/>
      </c>
      <c r="Y1127" s="60">
        <f t="shared" si="123"/>
        <v>0</v>
      </c>
      <c r="Z1127" s="49">
        <f t="shared" si="124"/>
        <v>0</v>
      </c>
      <c r="AA1127" s="60">
        <f t="shared" si="125"/>
        <v>0</v>
      </c>
    </row>
    <row r="1128" spans="1:27">
      <c r="A1128" s="83" t="str">
        <f t="shared" si="120"/>
        <v/>
      </c>
      <c r="B1128" s="83" t="str">
        <f t="shared" si="121"/>
        <v/>
      </c>
      <c r="S1128" s="83" t="str">
        <f t="shared" si="122"/>
        <v/>
      </c>
      <c r="T1128" s="83" t="str">
        <f t="shared" si="119"/>
        <v/>
      </c>
      <c r="Y1128" s="60">
        <f t="shared" si="123"/>
        <v>0</v>
      </c>
      <c r="Z1128" s="49">
        <f t="shared" si="124"/>
        <v>0</v>
      </c>
      <c r="AA1128" s="60">
        <f t="shared" si="125"/>
        <v>0</v>
      </c>
    </row>
    <row r="1129" spans="1:27">
      <c r="A1129" s="83" t="str">
        <f t="shared" si="120"/>
        <v/>
      </c>
      <c r="B1129" s="83" t="str">
        <f t="shared" si="121"/>
        <v/>
      </c>
      <c r="S1129" s="83" t="str">
        <f t="shared" si="122"/>
        <v/>
      </c>
      <c r="T1129" s="83" t="str">
        <f t="shared" si="119"/>
        <v/>
      </c>
      <c r="Y1129" s="60">
        <f t="shared" si="123"/>
        <v>0</v>
      </c>
      <c r="Z1129" s="49">
        <f t="shared" si="124"/>
        <v>0</v>
      </c>
      <c r="AA1129" s="60">
        <f t="shared" si="125"/>
        <v>0</v>
      </c>
    </row>
    <row r="1130" spans="1:27">
      <c r="A1130" s="83" t="str">
        <f t="shared" si="120"/>
        <v/>
      </c>
      <c r="B1130" s="83" t="str">
        <f t="shared" si="121"/>
        <v/>
      </c>
      <c r="S1130" s="83" t="str">
        <f t="shared" si="122"/>
        <v/>
      </c>
      <c r="T1130" s="83" t="str">
        <f t="shared" si="119"/>
        <v/>
      </c>
      <c r="Y1130" s="60">
        <f t="shared" si="123"/>
        <v>0</v>
      </c>
      <c r="Z1130" s="49">
        <f t="shared" si="124"/>
        <v>0</v>
      </c>
      <c r="AA1130" s="60">
        <f t="shared" si="125"/>
        <v>0</v>
      </c>
    </row>
    <row r="1131" spans="1:27">
      <c r="A1131" s="83" t="str">
        <f t="shared" si="120"/>
        <v/>
      </c>
      <c r="B1131" s="83" t="str">
        <f t="shared" si="121"/>
        <v/>
      </c>
      <c r="S1131" s="83" t="str">
        <f t="shared" si="122"/>
        <v/>
      </c>
      <c r="T1131" s="83" t="str">
        <f t="shared" si="119"/>
        <v/>
      </c>
      <c r="Y1131" s="60">
        <f t="shared" si="123"/>
        <v>0</v>
      </c>
      <c r="Z1131" s="49">
        <f t="shared" si="124"/>
        <v>0</v>
      </c>
      <c r="AA1131" s="60">
        <f t="shared" si="125"/>
        <v>0</v>
      </c>
    </row>
    <row r="1132" spans="1:27">
      <c r="A1132" s="83" t="str">
        <f t="shared" si="120"/>
        <v/>
      </c>
      <c r="B1132" s="83" t="str">
        <f t="shared" si="121"/>
        <v/>
      </c>
      <c r="S1132" s="83" t="str">
        <f t="shared" si="122"/>
        <v/>
      </c>
      <c r="T1132" s="83" t="str">
        <f t="shared" si="119"/>
        <v/>
      </c>
      <c r="Y1132" s="60">
        <f t="shared" si="123"/>
        <v>0</v>
      </c>
      <c r="Z1132" s="49">
        <f t="shared" si="124"/>
        <v>0</v>
      </c>
      <c r="AA1132" s="60">
        <f t="shared" si="125"/>
        <v>0</v>
      </c>
    </row>
    <row r="1133" spans="1:27">
      <c r="A1133" s="83" t="str">
        <f t="shared" si="120"/>
        <v/>
      </c>
      <c r="B1133" s="83" t="str">
        <f t="shared" si="121"/>
        <v/>
      </c>
      <c r="S1133" s="83" t="str">
        <f t="shared" si="122"/>
        <v/>
      </c>
      <c r="T1133" s="83" t="str">
        <f t="shared" si="119"/>
        <v/>
      </c>
      <c r="Y1133" s="60">
        <f t="shared" si="123"/>
        <v>0</v>
      </c>
      <c r="Z1133" s="49">
        <f t="shared" si="124"/>
        <v>0</v>
      </c>
      <c r="AA1133" s="60">
        <f t="shared" si="125"/>
        <v>0</v>
      </c>
    </row>
    <row r="1134" spans="1:27">
      <c r="A1134" s="83" t="str">
        <f t="shared" si="120"/>
        <v/>
      </c>
      <c r="B1134" s="83" t="str">
        <f t="shared" si="121"/>
        <v/>
      </c>
      <c r="S1134" s="83" t="str">
        <f t="shared" si="122"/>
        <v/>
      </c>
      <c r="T1134" s="83" t="str">
        <f t="shared" si="119"/>
        <v/>
      </c>
      <c r="Y1134" s="60">
        <f t="shared" si="123"/>
        <v>0</v>
      </c>
      <c r="Z1134" s="49">
        <f t="shared" si="124"/>
        <v>0</v>
      </c>
      <c r="AA1134" s="60">
        <f t="shared" si="125"/>
        <v>0</v>
      </c>
    </row>
    <row r="1135" spans="1:27">
      <c r="A1135" s="83" t="str">
        <f t="shared" si="120"/>
        <v/>
      </c>
      <c r="B1135" s="83" t="str">
        <f t="shared" si="121"/>
        <v/>
      </c>
      <c r="S1135" s="83" t="str">
        <f t="shared" si="122"/>
        <v/>
      </c>
      <c r="T1135" s="83" t="str">
        <f t="shared" si="119"/>
        <v/>
      </c>
      <c r="Y1135" s="60">
        <f t="shared" si="123"/>
        <v>0</v>
      </c>
      <c r="Z1135" s="49">
        <f t="shared" si="124"/>
        <v>0</v>
      </c>
      <c r="AA1135" s="60">
        <f t="shared" si="125"/>
        <v>0</v>
      </c>
    </row>
    <row r="1136" spans="1:27">
      <c r="A1136" s="83" t="str">
        <f t="shared" si="120"/>
        <v/>
      </c>
      <c r="B1136" s="83" t="str">
        <f t="shared" si="121"/>
        <v/>
      </c>
      <c r="S1136" s="83" t="str">
        <f t="shared" si="122"/>
        <v/>
      </c>
      <c r="T1136" s="83" t="str">
        <f t="shared" si="119"/>
        <v/>
      </c>
      <c r="Y1136" s="60">
        <f t="shared" si="123"/>
        <v>0</v>
      </c>
      <c r="Z1136" s="49">
        <f t="shared" si="124"/>
        <v>0</v>
      </c>
      <c r="AA1136" s="60">
        <f t="shared" si="125"/>
        <v>0</v>
      </c>
    </row>
    <row r="1137" spans="1:27">
      <c r="A1137" s="83" t="str">
        <f t="shared" si="120"/>
        <v/>
      </c>
      <c r="B1137" s="83" t="str">
        <f t="shared" si="121"/>
        <v/>
      </c>
      <c r="S1137" s="83" t="str">
        <f t="shared" si="122"/>
        <v/>
      </c>
      <c r="T1137" s="83" t="str">
        <f t="shared" si="119"/>
        <v/>
      </c>
      <c r="Y1137" s="60">
        <f t="shared" si="123"/>
        <v>0</v>
      </c>
      <c r="Z1137" s="49">
        <f t="shared" si="124"/>
        <v>0</v>
      </c>
      <c r="AA1137" s="60">
        <f t="shared" si="125"/>
        <v>0</v>
      </c>
    </row>
    <row r="1138" spans="1:27">
      <c r="A1138" s="83" t="str">
        <f t="shared" si="120"/>
        <v/>
      </c>
      <c r="B1138" s="83" t="str">
        <f t="shared" si="121"/>
        <v/>
      </c>
      <c r="S1138" s="83" t="str">
        <f t="shared" si="122"/>
        <v/>
      </c>
      <c r="T1138" s="83" t="str">
        <f t="shared" si="119"/>
        <v/>
      </c>
      <c r="Y1138" s="60">
        <f t="shared" si="123"/>
        <v>0</v>
      </c>
      <c r="Z1138" s="49">
        <f t="shared" si="124"/>
        <v>0</v>
      </c>
      <c r="AA1138" s="60">
        <f t="shared" si="125"/>
        <v>0</v>
      </c>
    </row>
    <row r="1139" spans="1:27">
      <c r="A1139" s="83" t="str">
        <f t="shared" si="120"/>
        <v/>
      </c>
      <c r="B1139" s="83" t="str">
        <f t="shared" si="121"/>
        <v/>
      </c>
      <c r="S1139" s="83" t="str">
        <f t="shared" si="122"/>
        <v/>
      </c>
      <c r="T1139" s="83" t="str">
        <f t="shared" si="119"/>
        <v/>
      </c>
      <c r="Y1139" s="60">
        <f t="shared" si="123"/>
        <v>0</v>
      </c>
      <c r="Z1139" s="49">
        <f t="shared" si="124"/>
        <v>0</v>
      </c>
      <c r="AA1139" s="60">
        <f t="shared" si="125"/>
        <v>0</v>
      </c>
    </row>
    <row r="1140" spans="1:27">
      <c r="A1140" s="83" t="str">
        <f t="shared" si="120"/>
        <v/>
      </c>
      <c r="B1140" s="83" t="str">
        <f t="shared" si="121"/>
        <v/>
      </c>
      <c r="S1140" s="83" t="str">
        <f t="shared" si="122"/>
        <v/>
      </c>
      <c r="T1140" s="83" t="str">
        <f t="shared" si="119"/>
        <v/>
      </c>
      <c r="Y1140" s="60">
        <f t="shared" si="123"/>
        <v>0</v>
      </c>
      <c r="Z1140" s="49">
        <f t="shared" si="124"/>
        <v>0</v>
      </c>
      <c r="AA1140" s="60">
        <f t="shared" si="125"/>
        <v>0</v>
      </c>
    </row>
    <row r="1141" spans="1:27">
      <c r="A1141" s="83" t="str">
        <f t="shared" si="120"/>
        <v/>
      </c>
      <c r="B1141" s="83" t="str">
        <f t="shared" si="121"/>
        <v/>
      </c>
      <c r="S1141" s="83" t="str">
        <f t="shared" si="122"/>
        <v/>
      </c>
      <c r="T1141" s="83" t="str">
        <f t="shared" si="119"/>
        <v/>
      </c>
      <c r="Y1141" s="60">
        <f t="shared" si="123"/>
        <v>0</v>
      </c>
      <c r="Z1141" s="49">
        <f t="shared" si="124"/>
        <v>0</v>
      </c>
      <c r="AA1141" s="60">
        <f t="shared" si="125"/>
        <v>0</v>
      </c>
    </row>
    <row r="1142" spans="1:27">
      <c r="A1142" s="83" t="str">
        <f t="shared" si="120"/>
        <v/>
      </c>
      <c r="B1142" s="83" t="str">
        <f t="shared" si="121"/>
        <v/>
      </c>
      <c r="S1142" s="83" t="str">
        <f t="shared" si="122"/>
        <v/>
      </c>
      <c r="T1142" s="83" t="str">
        <f t="shared" si="119"/>
        <v/>
      </c>
      <c r="Y1142" s="60">
        <f t="shared" si="123"/>
        <v>0</v>
      </c>
      <c r="Z1142" s="49">
        <f t="shared" si="124"/>
        <v>0</v>
      </c>
      <c r="AA1142" s="60">
        <f t="shared" si="125"/>
        <v>0</v>
      </c>
    </row>
    <row r="1143" spans="1:27">
      <c r="A1143" s="83" t="str">
        <f t="shared" si="120"/>
        <v/>
      </c>
      <c r="B1143" s="83" t="str">
        <f t="shared" si="121"/>
        <v/>
      </c>
      <c r="S1143" s="83" t="str">
        <f t="shared" si="122"/>
        <v/>
      </c>
      <c r="T1143" s="83" t="str">
        <f t="shared" si="119"/>
        <v/>
      </c>
      <c r="Y1143" s="60">
        <f t="shared" si="123"/>
        <v>0</v>
      </c>
      <c r="Z1143" s="49">
        <f t="shared" si="124"/>
        <v>0</v>
      </c>
      <c r="AA1143" s="60">
        <f t="shared" si="125"/>
        <v>0</v>
      </c>
    </row>
    <row r="1144" spans="1:27">
      <c r="A1144" s="83" t="str">
        <f t="shared" si="120"/>
        <v/>
      </c>
      <c r="B1144" s="83" t="str">
        <f t="shared" si="121"/>
        <v/>
      </c>
      <c r="S1144" s="83" t="str">
        <f t="shared" si="122"/>
        <v/>
      </c>
      <c r="T1144" s="83" t="str">
        <f t="shared" si="119"/>
        <v/>
      </c>
      <c r="Y1144" s="60">
        <f t="shared" si="123"/>
        <v>0</v>
      </c>
      <c r="Z1144" s="49">
        <f t="shared" si="124"/>
        <v>0</v>
      </c>
      <c r="AA1144" s="60">
        <f t="shared" si="125"/>
        <v>0</v>
      </c>
    </row>
    <row r="1145" spans="1:27">
      <c r="A1145" s="83" t="str">
        <f t="shared" si="120"/>
        <v/>
      </c>
      <c r="B1145" s="83" t="str">
        <f t="shared" si="121"/>
        <v/>
      </c>
      <c r="S1145" s="83" t="str">
        <f t="shared" si="122"/>
        <v/>
      </c>
      <c r="T1145" s="83" t="str">
        <f t="shared" si="119"/>
        <v/>
      </c>
      <c r="Y1145" s="60">
        <f t="shared" si="123"/>
        <v>0</v>
      </c>
      <c r="Z1145" s="49">
        <f t="shared" si="124"/>
        <v>0</v>
      </c>
      <c r="AA1145" s="60">
        <f t="shared" si="125"/>
        <v>0</v>
      </c>
    </row>
    <row r="1146" spans="1:27">
      <c r="A1146" s="83" t="str">
        <f t="shared" si="120"/>
        <v/>
      </c>
      <c r="B1146" s="83" t="str">
        <f t="shared" si="121"/>
        <v/>
      </c>
      <c r="S1146" s="83" t="str">
        <f t="shared" si="122"/>
        <v/>
      </c>
      <c r="T1146" s="83" t="str">
        <f t="shared" si="119"/>
        <v/>
      </c>
      <c r="Y1146" s="60">
        <f t="shared" si="123"/>
        <v>0</v>
      </c>
      <c r="Z1146" s="49">
        <f t="shared" si="124"/>
        <v>0</v>
      </c>
      <c r="AA1146" s="60">
        <f t="shared" si="125"/>
        <v>0</v>
      </c>
    </row>
    <row r="1147" spans="1:27">
      <c r="A1147" s="83" t="str">
        <f t="shared" si="120"/>
        <v/>
      </c>
      <c r="B1147" s="83" t="str">
        <f t="shared" si="121"/>
        <v/>
      </c>
      <c r="S1147" s="83" t="str">
        <f t="shared" si="122"/>
        <v/>
      </c>
      <c r="T1147" s="83" t="str">
        <f t="shared" si="119"/>
        <v/>
      </c>
      <c r="Y1147" s="60">
        <f t="shared" si="123"/>
        <v>0</v>
      </c>
      <c r="Z1147" s="49">
        <f t="shared" si="124"/>
        <v>0</v>
      </c>
      <c r="AA1147" s="60">
        <f t="shared" si="125"/>
        <v>0</v>
      </c>
    </row>
    <row r="1148" spans="1:27">
      <c r="A1148" s="83" t="str">
        <f t="shared" si="120"/>
        <v/>
      </c>
      <c r="B1148" s="83" t="str">
        <f t="shared" si="121"/>
        <v/>
      </c>
      <c r="S1148" s="83" t="str">
        <f t="shared" si="122"/>
        <v/>
      </c>
      <c r="T1148" s="83" t="str">
        <f t="shared" si="119"/>
        <v/>
      </c>
      <c r="Y1148" s="60">
        <f t="shared" si="123"/>
        <v>0</v>
      </c>
      <c r="Z1148" s="49">
        <f t="shared" si="124"/>
        <v>0</v>
      </c>
      <c r="AA1148" s="60">
        <f t="shared" si="125"/>
        <v>0</v>
      </c>
    </row>
    <row r="1149" spans="1:27">
      <c r="A1149" s="83" t="str">
        <f t="shared" si="120"/>
        <v/>
      </c>
      <c r="B1149" s="83" t="str">
        <f t="shared" si="121"/>
        <v/>
      </c>
      <c r="S1149" s="83" t="str">
        <f t="shared" si="122"/>
        <v/>
      </c>
      <c r="T1149" s="83" t="str">
        <f t="shared" si="119"/>
        <v/>
      </c>
      <c r="Y1149" s="60">
        <f t="shared" si="123"/>
        <v>0</v>
      </c>
      <c r="Z1149" s="49">
        <f t="shared" si="124"/>
        <v>0</v>
      </c>
      <c r="AA1149" s="60">
        <f t="shared" si="125"/>
        <v>0</v>
      </c>
    </row>
    <row r="1150" spans="1:27">
      <c r="A1150" s="83" t="str">
        <f t="shared" si="120"/>
        <v/>
      </c>
      <c r="B1150" s="83" t="str">
        <f t="shared" si="121"/>
        <v/>
      </c>
      <c r="S1150" s="83" t="str">
        <f t="shared" si="122"/>
        <v/>
      </c>
      <c r="T1150" s="83" t="str">
        <f t="shared" si="119"/>
        <v/>
      </c>
      <c r="Y1150" s="60">
        <f t="shared" si="123"/>
        <v>0</v>
      </c>
      <c r="Z1150" s="49">
        <f t="shared" si="124"/>
        <v>0</v>
      </c>
      <c r="AA1150" s="60">
        <f t="shared" si="125"/>
        <v>0</v>
      </c>
    </row>
    <row r="1151" spans="1:27">
      <c r="A1151" s="83" t="str">
        <f t="shared" si="120"/>
        <v/>
      </c>
      <c r="B1151" s="83" t="str">
        <f t="shared" si="121"/>
        <v/>
      </c>
      <c r="S1151" s="83" t="str">
        <f t="shared" si="122"/>
        <v/>
      </c>
      <c r="T1151" s="83" t="str">
        <f t="shared" si="119"/>
        <v/>
      </c>
      <c r="Y1151" s="60">
        <f t="shared" si="123"/>
        <v>0</v>
      </c>
      <c r="Z1151" s="49">
        <f t="shared" si="124"/>
        <v>0</v>
      </c>
      <c r="AA1151" s="60">
        <f t="shared" si="125"/>
        <v>0</v>
      </c>
    </row>
    <row r="1152" spans="1:27">
      <c r="A1152" s="83" t="str">
        <f t="shared" si="120"/>
        <v/>
      </c>
      <c r="B1152" s="83" t="str">
        <f t="shared" si="121"/>
        <v/>
      </c>
      <c r="S1152" s="83" t="str">
        <f t="shared" si="122"/>
        <v/>
      </c>
      <c r="T1152" s="83" t="str">
        <f t="shared" si="119"/>
        <v/>
      </c>
      <c r="Y1152" s="60">
        <f t="shared" si="123"/>
        <v>0</v>
      </c>
      <c r="Z1152" s="49">
        <f t="shared" si="124"/>
        <v>0</v>
      </c>
      <c r="AA1152" s="60">
        <f t="shared" si="125"/>
        <v>0</v>
      </c>
    </row>
    <row r="1153" spans="1:27">
      <c r="A1153" s="83" t="str">
        <f t="shared" si="120"/>
        <v/>
      </c>
      <c r="B1153" s="83" t="str">
        <f t="shared" si="121"/>
        <v/>
      </c>
      <c r="S1153" s="83" t="str">
        <f t="shared" si="122"/>
        <v/>
      </c>
      <c r="T1153" s="83" t="str">
        <f t="shared" si="119"/>
        <v/>
      </c>
      <c r="Y1153" s="60">
        <f t="shared" si="123"/>
        <v>0</v>
      </c>
      <c r="Z1153" s="49">
        <f t="shared" si="124"/>
        <v>0</v>
      </c>
      <c r="AA1153" s="60">
        <f t="shared" si="125"/>
        <v>0</v>
      </c>
    </row>
    <row r="1154" spans="1:27">
      <c r="A1154" s="83" t="str">
        <f t="shared" si="120"/>
        <v/>
      </c>
      <c r="B1154" s="83" t="str">
        <f t="shared" si="121"/>
        <v/>
      </c>
      <c r="S1154" s="83" t="str">
        <f t="shared" si="122"/>
        <v/>
      </c>
      <c r="T1154" s="83" t="str">
        <f t="shared" ref="T1154:T1217" si="126">IF(A1154&lt;&gt;"",IF(FIND(" ",G1154)&gt;=1,MID(G1154,FIND(" ",G1154)+1,LEN(G1154)),""),"")</f>
        <v/>
      </c>
      <c r="Y1154" s="60">
        <f t="shared" si="123"/>
        <v>0</v>
      </c>
      <c r="Z1154" s="49">
        <f t="shared" si="124"/>
        <v>0</v>
      </c>
      <c r="AA1154" s="60">
        <f t="shared" si="125"/>
        <v>0</v>
      </c>
    </row>
    <row r="1155" spans="1:27">
      <c r="A1155" s="83" t="str">
        <f t="shared" ref="A1155:A1218" si="127">IF(G1155&amp;Q1155&lt;&gt;"",S1155&amp;Q1155,"")</f>
        <v/>
      </c>
      <c r="B1155" s="83" t="str">
        <f t="shared" ref="B1155:B1218" si="128">IF(C1155&lt;&gt;"",LEFT(C1155,9),"")</f>
        <v/>
      </c>
      <c r="S1155" s="83" t="str">
        <f t="shared" ref="S1155:S1218" si="129">IF(G1155&lt;&gt;"",IF(FIND(" ",G1155)&gt;=1,MID(G1155,1,FIND(" ",G1155)-1),G1155),"")</f>
        <v/>
      </c>
      <c r="T1155" s="83" t="str">
        <f t="shared" si="126"/>
        <v/>
      </c>
      <c r="Y1155" s="60">
        <f t="shared" ref="Y1155:Y1218" si="130">IFERROR(VALUE(MID($C1155,1,2)),0)</f>
        <v>0</v>
      </c>
      <c r="Z1155" s="49">
        <f t="shared" ref="Z1155:Z1218" si="131">IFERROR(VALUE(MID($C1155,4,3)),0)</f>
        <v>0</v>
      </c>
      <c r="AA1155" s="60">
        <f t="shared" ref="AA1155:AA1218" si="132">VALUE(RIGHT("00"&amp;Y1155,2)&amp;RIGHT("000"&amp;Z1155,3))</f>
        <v>0</v>
      </c>
    </row>
    <row r="1156" spans="1:27">
      <c r="A1156" s="83" t="str">
        <f t="shared" si="127"/>
        <v/>
      </c>
      <c r="B1156" s="83" t="str">
        <f t="shared" si="128"/>
        <v/>
      </c>
      <c r="S1156" s="83" t="str">
        <f t="shared" si="129"/>
        <v/>
      </c>
      <c r="T1156" s="83" t="str">
        <f t="shared" si="126"/>
        <v/>
      </c>
      <c r="Y1156" s="60">
        <f t="shared" si="130"/>
        <v>0</v>
      </c>
      <c r="Z1156" s="49">
        <f t="shared" si="131"/>
        <v>0</v>
      </c>
      <c r="AA1156" s="60">
        <f t="shared" si="132"/>
        <v>0</v>
      </c>
    </row>
    <row r="1157" spans="1:27">
      <c r="A1157" s="83" t="str">
        <f t="shared" si="127"/>
        <v/>
      </c>
      <c r="B1157" s="83" t="str">
        <f t="shared" si="128"/>
        <v/>
      </c>
      <c r="S1157" s="83" t="str">
        <f t="shared" si="129"/>
        <v/>
      </c>
      <c r="T1157" s="83" t="str">
        <f t="shared" si="126"/>
        <v/>
      </c>
      <c r="Y1157" s="60">
        <f t="shared" si="130"/>
        <v>0</v>
      </c>
      <c r="Z1157" s="49">
        <f t="shared" si="131"/>
        <v>0</v>
      </c>
      <c r="AA1157" s="60">
        <f t="shared" si="132"/>
        <v>0</v>
      </c>
    </row>
    <row r="1158" spans="1:27">
      <c r="A1158" s="83" t="str">
        <f t="shared" si="127"/>
        <v/>
      </c>
      <c r="B1158" s="83" t="str">
        <f t="shared" si="128"/>
        <v/>
      </c>
      <c r="S1158" s="83" t="str">
        <f t="shared" si="129"/>
        <v/>
      </c>
      <c r="T1158" s="83" t="str">
        <f t="shared" si="126"/>
        <v/>
      </c>
      <c r="Y1158" s="60">
        <f t="shared" si="130"/>
        <v>0</v>
      </c>
      <c r="Z1158" s="49">
        <f t="shared" si="131"/>
        <v>0</v>
      </c>
      <c r="AA1158" s="60">
        <f t="shared" si="132"/>
        <v>0</v>
      </c>
    </row>
    <row r="1159" spans="1:27">
      <c r="A1159" s="83" t="str">
        <f t="shared" si="127"/>
        <v/>
      </c>
      <c r="B1159" s="83" t="str">
        <f t="shared" si="128"/>
        <v/>
      </c>
      <c r="S1159" s="83" t="str">
        <f t="shared" si="129"/>
        <v/>
      </c>
      <c r="T1159" s="83" t="str">
        <f t="shared" si="126"/>
        <v/>
      </c>
      <c r="Y1159" s="60">
        <f t="shared" si="130"/>
        <v>0</v>
      </c>
      <c r="Z1159" s="49">
        <f t="shared" si="131"/>
        <v>0</v>
      </c>
      <c r="AA1159" s="60">
        <f t="shared" si="132"/>
        <v>0</v>
      </c>
    </row>
    <row r="1160" spans="1:27">
      <c r="A1160" s="83" t="str">
        <f t="shared" si="127"/>
        <v/>
      </c>
      <c r="B1160" s="83" t="str">
        <f t="shared" si="128"/>
        <v/>
      </c>
      <c r="S1160" s="83" t="str">
        <f t="shared" si="129"/>
        <v/>
      </c>
      <c r="T1160" s="83" t="str">
        <f t="shared" si="126"/>
        <v/>
      </c>
      <c r="Y1160" s="60">
        <f t="shared" si="130"/>
        <v>0</v>
      </c>
      <c r="Z1160" s="49">
        <f t="shared" si="131"/>
        <v>0</v>
      </c>
      <c r="AA1160" s="60">
        <f t="shared" si="132"/>
        <v>0</v>
      </c>
    </row>
    <row r="1161" spans="1:27">
      <c r="A1161" s="83" t="str">
        <f t="shared" si="127"/>
        <v/>
      </c>
      <c r="B1161" s="83" t="str">
        <f t="shared" si="128"/>
        <v/>
      </c>
      <c r="S1161" s="83" t="str">
        <f t="shared" si="129"/>
        <v/>
      </c>
      <c r="T1161" s="83" t="str">
        <f t="shared" si="126"/>
        <v/>
      </c>
      <c r="Y1161" s="60">
        <f t="shared" si="130"/>
        <v>0</v>
      </c>
      <c r="Z1161" s="49">
        <f t="shared" si="131"/>
        <v>0</v>
      </c>
      <c r="AA1161" s="60">
        <f t="shared" si="132"/>
        <v>0</v>
      </c>
    </row>
    <row r="1162" spans="1:27">
      <c r="A1162" s="83" t="str">
        <f t="shared" si="127"/>
        <v/>
      </c>
      <c r="B1162" s="83" t="str">
        <f t="shared" si="128"/>
        <v/>
      </c>
      <c r="S1162" s="83" t="str">
        <f t="shared" si="129"/>
        <v/>
      </c>
      <c r="T1162" s="83" t="str">
        <f t="shared" si="126"/>
        <v/>
      </c>
      <c r="Y1162" s="60">
        <f t="shared" si="130"/>
        <v>0</v>
      </c>
      <c r="Z1162" s="49">
        <f t="shared" si="131"/>
        <v>0</v>
      </c>
      <c r="AA1162" s="60">
        <f t="shared" si="132"/>
        <v>0</v>
      </c>
    </row>
    <row r="1163" spans="1:27">
      <c r="A1163" s="83" t="str">
        <f t="shared" si="127"/>
        <v/>
      </c>
      <c r="B1163" s="83" t="str">
        <f t="shared" si="128"/>
        <v/>
      </c>
      <c r="S1163" s="83" t="str">
        <f t="shared" si="129"/>
        <v/>
      </c>
      <c r="T1163" s="83" t="str">
        <f t="shared" si="126"/>
        <v/>
      </c>
      <c r="Y1163" s="60">
        <f t="shared" si="130"/>
        <v>0</v>
      </c>
      <c r="Z1163" s="49">
        <f t="shared" si="131"/>
        <v>0</v>
      </c>
      <c r="AA1163" s="60">
        <f t="shared" si="132"/>
        <v>0</v>
      </c>
    </row>
    <row r="1164" spans="1:27">
      <c r="A1164" s="83" t="str">
        <f t="shared" si="127"/>
        <v/>
      </c>
      <c r="B1164" s="83" t="str">
        <f t="shared" si="128"/>
        <v/>
      </c>
      <c r="S1164" s="83" t="str">
        <f t="shared" si="129"/>
        <v/>
      </c>
      <c r="T1164" s="83" t="str">
        <f t="shared" si="126"/>
        <v/>
      </c>
      <c r="Y1164" s="60">
        <f t="shared" si="130"/>
        <v>0</v>
      </c>
      <c r="Z1164" s="49">
        <f t="shared" si="131"/>
        <v>0</v>
      </c>
      <c r="AA1164" s="60">
        <f t="shared" si="132"/>
        <v>0</v>
      </c>
    </row>
    <row r="1165" spans="1:27">
      <c r="A1165" s="83" t="str">
        <f t="shared" si="127"/>
        <v/>
      </c>
      <c r="B1165" s="83" t="str">
        <f t="shared" si="128"/>
        <v/>
      </c>
      <c r="S1165" s="83" t="str">
        <f t="shared" si="129"/>
        <v/>
      </c>
      <c r="T1165" s="83" t="str">
        <f t="shared" si="126"/>
        <v/>
      </c>
      <c r="Y1165" s="60">
        <f t="shared" si="130"/>
        <v>0</v>
      </c>
      <c r="Z1165" s="49">
        <f t="shared" si="131"/>
        <v>0</v>
      </c>
      <c r="AA1165" s="60">
        <f t="shared" si="132"/>
        <v>0</v>
      </c>
    </row>
    <row r="1166" spans="1:27">
      <c r="A1166" s="83" t="str">
        <f t="shared" si="127"/>
        <v/>
      </c>
      <c r="B1166" s="83" t="str">
        <f t="shared" si="128"/>
        <v/>
      </c>
      <c r="S1166" s="83" t="str">
        <f t="shared" si="129"/>
        <v/>
      </c>
      <c r="T1166" s="83" t="str">
        <f t="shared" si="126"/>
        <v/>
      </c>
      <c r="Y1166" s="60">
        <f t="shared" si="130"/>
        <v>0</v>
      </c>
      <c r="Z1166" s="49">
        <f t="shared" si="131"/>
        <v>0</v>
      </c>
      <c r="AA1166" s="60">
        <f t="shared" si="132"/>
        <v>0</v>
      </c>
    </row>
    <row r="1167" spans="1:27">
      <c r="A1167" s="83" t="str">
        <f t="shared" si="127"/>
        <v/>
      </c>
      <c r="B1167" s="83" t="str">
        <f t="shared" si="128"/>
        <v/>
      </c>
      <c r="S1167" s="83" t="str">
        <f t="shared" si="129"/>
        <v/>
      </c>
      <c r="T1167" s="83" t="str">
        <f t="shared" si="126"/>
        <v/>
      </c>
      <c r="Y1167" s="60">
        <f t="shared" si="130"/>
        <v>0</v>
      </c>
      <c r="Z1167" s="49">
        <f t="shared" si="131"/>
        <v>0</v>
      </c>
      <c r="AA1167" s="60">
        <f t="shared" si="132"/>
        <v>0</v>
      </c>
    </row>
    <row r="1168" spans="1:27">
      <c r="A1168" s="83" t="str">
        <f t="shared" si="127"/>
        <v/>
      </c>
      <c r="B1168" s="83" t="str">
        <f t="shared" si="128"/>
        <v/>
      </c>
      <c r="S1168" s="83" t="str">
        <f t="shared" si="129"/>
        <v/>
      </c>
      <c r="T1168" s="83" t="str">
        <f t="shared" si="126"/>
        <v/>
      </c>
      <c r="Y1168" s="60">
        <f t="shared" si="130"/>
        <v>0</v>
      </c>
      <c r="Z1168" s="49">
        <f t="shared" si="131"/>
        <v>0</v>
      </c>
      <c r="AA1168" s="60">
        <f t="shared" si="132"/>
        <v>0</v>
      </c>
    </row>
    <row r="1169" spans="1:27">
      <c r="A1169" s="83" t="str">
        <f t="shared" si="127"/>
        <v/>
      </c>
      <c r="B1169" s="83" t="str">
        <f t="shared" si="128"/>
        <v/>
      </c>
      <c r="S1169" s="83" t="str">
        <f t="shared" si="129"/>
        <v/>
      </c>
      <c r="T1169" s="83" t="str">
        <f t="shared" si="126"/>
        <v/>
      </c>
      <c r="Y1169" s="60">
        <f t="shared" si="130"/>
        <v>0</v>
      </c>
      <c r="Z1169" s="49">
        <f t="shared" si="131"/>
        <v>0</v>
      </c>
      <c r="AA1169" s="60">
        <f t="shared" si="132"/>
        <v>0</v>
      </c>
    </row>
    <row r="1170" spans="1:27">
      <c r="A1170" s="83" t="str">
        <f t="shared" si="127"/>
        <v/>
      </c>
      <c r="B1170" s="83" t="str">
        <f t="shared" si="128"/>
        <v/>
      </c>
      <c r="S1170" s="83" t="str">
        <f t="shared" si="129"/>
        <v/>
      </c>
      <c r="T1170" s="83" t="str">
        <f t="shared" si="126"/>
        <v/>
      </c>
      <c r="Y1170" s="60">
        <f t="shared" si="130"/>
        <v>0</v>
      </c>
      <c r="Z1170" s="49">
        <f t="shared" si="131"/>
        <v>0</v>
      </c>
      <c r="AA1170" s="60">
        <f t="shared" si="132"/>
        <v>0</v>
      </c>
    </row>
    <row r="1171" spans="1:27">
      <c r="A1171" s="83" t="str">
        <f t="shared" si="127"/>
        <v/>
      </c>
      <c r="B1171" s="83" t="str">
        <f t="shared" si="128"/>
        <v/>
      </c>
      <c r="S1171" s="83" t="str">
        <f t="shared" si="129"/>
        <v/>
      </c>
      <c r="T1171" s="83" t="str">
        <f t="shared" si="126"/>
        <v/>
      </c>
      <c r="Y1171" s="60">
        <f t="shared" si="130"/>
        <v>0</v>
      </c>
      <c r="Z1171" s="49">
        <f t="shared" si="131"/>
        <v>0</v>
      </c>
      <c r="AA1171" s="60">
        <f t="shared" si="132"/>
        <v>0</v>
      </c>
    </row>
    <row r="1172" spans="1:27">
      <c r="A1172" s="83" t="str">
        <f t="shared" si="127"/>
        <v/>
      </c>
      <c r="B1172" s="83" t="str">
        <f t="shared" si="128"/>
        <v/>
      </c>
      <c r="S1172" s="83" t="str">
        <f t="shared" si="129"/>
        <v/>
      </c>
      <c r="T1172" s="83" t="str">
        <f t="shared" si="126"/>
        <v/>
      </c>
      <c r="Y1172" s="60">
        <f t="shared" si="130"/>
        <v>0</v>
      </c>
      <c r="Z1172" s="49">
        <f t="shared" si="131"/>
        <v>0</v>
      </c>
      <c r="AA1172" s="60">
        <f t="shared" si="132"/>
        <v>0</v>
      </c>
    </row>
    <row r="1173" spans="1:27">
      <c r="A1173" s="83" t="str">
        <f t="shared" si="127"/>
        <v/>
      </c>
      <c r="B1173" s="83" t="str">
        <f t="shared" si="128"/>
        <v/>
      </c>
      <c r="S1173" s="83" t="str">
        <f t="shared" si="129"/>
        <v/>
      </c>
      <c r="T1173" s="83" t="str">
        <f t="shared" si="126"/>
        <v/>
      </c>
      <c r="Y1173" s="60">
        <f t="shared" si="130"/>
        <v>0</v>
      </c>
      <c r="Z1173" s="49">
        <f t="shared" si="131"/>
        <v>0</v>
      </c>
      <c r="AA1173" s="60">
        <f t="shared" si="132"/>
        <v>0</v>
      </c>
    </row>
    <row r="1174" spans="1:27">
      <c r="A1174" s="83" t="str">
        <f t="shared" si="127"/>
        <v/>
      </c>
      <c r="B1174" s="83" t="str">
        <f t="shared" si="128"/>
        <v/>
      </c>
      <c r="S1174" s="83" t="str">
        <f t="shared" si="129"/>
        <v/>
      </c>
      <c r="T1174" s="83" t="str">
        <f t="shared" si="126"/>
        <v/>
      </c>
      <c r="Y1174" s="60">
        <f t="shared" si="130"/>
        <v>0</v>
      </c>
      <c r="Z1174" s="49">
        <f t="shared" si="131"/>
        <v>0</v>
      </c>
      <c r="AA1174" s="60">
        <f t="shared" si="132"/>
        <v>0</v>
      </c>
    </row>
    <row r="1175" spans="1:27">
      <c r="A1175" s="83" t="str">
        <f t="shared" si="127"/>
        <v/>
      </c>
      <c r="B1175" s="83" t="str">
        <f t="shared" si="128"/>
        <v/>
      </c>
      <c r="S1175" s="83" t="str">
        <f t="shared" si="129"/>
        <v/>
      </c>
      <c r="T1175" s="83" t="str">
        <f t="shared" si="126"/>
        <v/>
      </c>
      <c r="Y1175" s="60">
        <f t="shared" si="130"/>
        <v>0</v>
      </c>
      <c r="Z1175" s="49">
        <f t="shared" si="131"/>
        <v>0</v>
      </c>
      <c r="AA1175" s="60">
        <f t="shared" si="132"/>
        <v>0</v>
      </c>
    </row>
    <row r="1176" spans="1:27">
      <c r="A1176" s="83" t="str">
        <f t="shared" si="127"/>
        <v/>
      </c>
      <c r="B1176" s="83" t="str">
        <f t="shared" si="128"/>
        <v/>
      </c>
      <c r="S1176" s="83" t="str">
        <f t="shared" si="129"/>
        <v/>
      </c>
      <c r="T1176" s="83" t="str">
        <f t="shared" si="126"/>
        <v/>
      </c>
      <c r="Y1176" s="60">
        <f t="shared" si="130"/>
        <v>0</v>
      </c>
      <c r="Z1176" s="49">
        <f t="shared" si="131"/>
        <v>0</v>
      </c>
      <c r="AA1176" s="60">
        <f t="shared" si="132"/>
        <v>0</v>
      </c>
    </row>
    <row r="1177" spans="1:27">
      <c r="A1177" s="83" t="str">
        <f t="shared" si="127"/>
        <v/>
      </c>
      <c r="B1177" s="83" t="str">
        <f t="shared" si="128"/>
        <v/>
      </c>
      <c r="S1177" s="83" t="str">
        <f t="shared" si="129"/>
        <v/>
      </c>
      <c r="T1177" s="83" t="str">
        <f t="shared" si="126"/>
        <v/>
      </c>
      <c r="Y1177" s="60">
        <f t="shared" si="130"/>
        <v>0</v>
      </c>
      <c r="Z1177" s="49">
        <f t="shared" si="131"/>
        <v>0</v>
      </c>
      <c r="AA1177" s="60">
        <f t="shared" si="132"/>
        <v>0</v>
      </c>
    </row>
    <row r="1178" spans="1:27">
      <c r="A1178" s="83" t="str">
        <f t="shared" si="127"/>
        <v/>
      </c>
      <c r="B1178" s="83" t="str">
        <f t="shared" si="128"/>
        <v/>
      </c>
      <c r="S1178" s="83" t="str">
        <f t="shared" si="129"/>
        <v/>
      </c>
      <c r="T1178" s="83" t="str">
        <f t="shared" si="126"/>
        <v/>
      </c>
      <c r="Y1178" s="60">
        <f t="shared" si="130"/>
        <v>0</v>
      </c>
      <c r="Z1178" s="49">
        <f t="shared" si="131"/>
        <v>0</v>
      </c>
      <c r="AA1178" s="60">
        <f t="shared" si="132"/>
        <v>0</v>
      </c>
    </row>
    <row r="1179" spans="1:27">
      <c r="A1179" s="83" t="str">
        <f t="shared" si="127"/>
        <v/>
      </c>
      <c r="B1179" s="83" t="str">
        <f t="shared" si="128"/>
        <v/>
      </c>
      <c r="S1179" s="83" t="str">
        <f t="shared" si="129"/>
        <v/>
      </c>
      <c r="T1179" s="83" t="str">
        <f t="shared" si="126"/>
        <v/>
      </c>
      <c r="Y1179" s="60">
        <f t="shared" si="130"/>
        <v>0</v>
      </c>
      <c r="Z1179" s="49">
        <f t="shared" si="131"/>
        <v>0</v>
      </c>
      <c r="AA1179" s="60">
        <f t="shared" si="132"/>
        <v>0</v>
      </c>
    </row>
    <row r="1180" spans="1:27">
      <c r="A1180" s="83" t="str">
        <f t="shared" si="127"/>
        <v/>
      </c>
      <c r="B1180" s="83" t="str">
        <f t="shared" si="128"/>
        <v/>
      </c>
      <c r="S1180" s="83" t="str">
        <f t="shared" si="129"/>
        <v/>
      </c>
      <c r="T1180" s="83" t="str">
        <f t="shared" si="126"/>
        <v/>
      </c>
      <c r="Y1180" s="60">
        <f t="shared" si="130"/>
        <v>0</v>
      </c>
      <c r="Z1180" s="49">
        <f t="shared" si="131"/>
        <v>0</v>
      </c>
      <c r="AA1180" s="60">
        <f t="shared" si="132"/>
        <v>0</v>
      </c>
    </row>
    <row r="1181" spans="1:27">
      <c r="A1181" s="83" t="str">
        <f t="shared" si="127"/>
        <v/>
      </c>
      <c r="B1181" s="83" t="str">
        <f t="shared" si="128"/>
        <v/>
      </c>
      <c r="S1181" s="83" t="str">
        <f t="shared" si="129"/>
        <v/>
      </c>
      <c r="T1181" s="83" t="str">
        <f t="shared" si="126"/>
        <v/>
      </c>
      <c r="Y1181" s="60">
        <f t="shared" si="130"/>
        <v>0</v>
      </c>
      <c r="Z1181" s="49">
        <f t="shared" si="131"/>
        <v>0</v>
      </c>
      <c r="AA1181" s="60">
        <f t="shared" si="132"/>
        <v>0</v>
      </c>
    </row>
    <row r="1182" spans="1:27">
      <c r="A1182" s="83" t="str">
        <f t="shared" si="127"/>
        <v/>
      </c>
      <c r="B1182" s="83" t="str">
        <f t="shared" si="128"/>
        <v/>
      </c>
      <c r="S1182" s="83" t="str">
        <f t="shared" si="129"/>
        <v/>
      </c>
      <c r="T1182" s="83" t="str">
        <f t="shared" si="126"/>
        <v/>
      </c>
      <c r="Y1182" s="60">
        <f t="shared" si="130"/>
        <v>0</v>
      </c>
      <c r="Z1182" s="49">
        <f t="shared" si="131"/>
        <v>0</v>
      </c>
      <c r="AA1182" s="60">
        <f t="shared" si="132"/>
        <v>0</v>
      </c>
    </row>
    <row r="1183" spans="1:27">
      <c r="A1183" s="83" t="str">
        <f t="shared" si="127"/>
        <v/>
      </c>
      <c r="B1183" s="83" t="str">
        <f t="shared" si="128"/>
        <v/>
      </c>
      <c r="S1183" s="83" t="str">
        <f t="shared" si="129"/>
        <v/>
      </c>
      <c r="T1183" s="83" t="str">
        <f t="shared" si="126"/>
        <v/>
      </c>
      <c r="Y1183" s="60">
        <f t="shared" si="130"/>
        <v>0</v>
      </c>
      <c r="Z1183" s="49">
        <f t="shared" si="131"/>
        <v>0</v>
      </c>
      <c r="AA1183" s="60">
        <f t="shared" si="132"/>
        <v>0</v>
      </c>
    </row>
    <row r="1184" spans="1:27">
      <c r="A1184" s="83" t="str">
        <f t="shared" si="127"/>
        <v/>
      </c>
      <c r="B1184" s="83" t="str">
        <f t="shared" si="128"/>
        <v/>
      </c>
      <c r="S1184" s="83" t="str">
        <f t="shared" si="129"/>
        <v/>
      </c>
      <c r="T1184" s="83" t="str">
        <f t="shared" si="126"/>
        <v/>
      </c>
      <c r="Y1184" s="60">
        <f t="shared" si="130"/>
        <v>0</v>
      </c>
      <c r="Z1184" s="49">
        <f t="shared" si="131"/>
        <v>0</v>
      </c>
      <c r="AA1184" s="60">
        <f t="shared" si="132"/>
        <v>0</v>
      </c>
    </row>
    <row r="1185" spans="1:27">
      <c r="A1185" s="83" t="str">
        <f t="shared" si="127"/>
        <v/>
      </c>
      <c r="B1185" s="83" t="str">
        <f t="shared" si="128"/>
        <v/>
      </c>
      <c r="S1185" s="83" t="str">
        <f t="shared" si="129"/>
        <v/>
      </c>
      <c r="T1185" s="83" t="str">
        <f t="shared" si="126"/>
        <v/>
      </c>
      <c r="Y1185" s="60">
        <f t="shared" si="130"/>
        <v>0</v>
      </c>
      <c r="Z1185" s="49">
        <f t="shared" si="131"/>
        <v>0</v>
      </c>
      <c r="AA1185" s="60">
        <f t="shared" si="132"/>
        <v>0</v>
      </c>
    </row>
    <row r="1186" spans="1:27">
      <c r="A1186" s="83" t="str">
        <f t="shared" si="127"/>
        <v/>
      </c>
      <c r="B1186" s="83" t="str">
        <f t="shared" si="128"/>
        <v/>
      </c>
      <c r="S1186" s="83" t="str">
        <f t="shared" si="129"/>
        <v/>
      </c>
      <c r="T1186" s="83" t="str">
        <f t="shared" si="126"/>
        <v/>
      </c>
      <c r="Y1186" s="60">
        <f t="shared" si="130"/>
        <v>0</v>
      </c>
      <c r="Z1186" s="49">
        <f t="shared" si="131"/>
        <v>0</v>
      </c>
      <c r="AA1186" s="60">
        <f t="shared" si="132"/>
        <v>0</v>
      </c>
    </row>
    <row r="1187" spans="1:27">
      <c r="A1187" s="83" t="str">
        <f t="shared" si="127"/>
        <v/>
      </c>
      <c r="B1187" s="83" t="str">
        <f t="shared" si="128"/>
        <v/>
      </c>
      <c r="S1187" s="83" t="str">
        <f t="shared" si="129"/>
        <v/>
      </c>
      <c r="T1187" s="83" t="str">
        <f t="shared" si="126"/>
        <v/>
      </c>
      <c r="Y1187" s="60">
        <f t="shared" si="130"/>
        <v>0</v>
      </c>
      <c r="Z1187" s="49">
        <f t="shared" si="131"/>
        <v>0</v>
      </c>
      <c r="AA1187" s="60">
        <f t="shared" si="132"/>
        <v>0</v>
      </c>
    </row>
    <row r="1188" spans="1:27">
      <c r="A1188" s="83" t="str">
        <f t="shared" si="127"/>
        <v/>
      </c>
      <c r="B1188" s="83" t="str">
        <f t="shared" si="128"/>
        <v/>
      </c>
      <c r="S1188" s="83" t="str">
        <f t="shared" si="129"/>
        <v/>
      </c>
      <c r="T1188" s="83" t="str">
        <f t="shared" si="126"/>
        <v/>
      </c>
      <c r="Y1188" s="60">
        <f t="shared" si="130"/>
        <v>0</v>
      </c>
      <c r="Z1188" s="49">
        <f t="shared" si="131"/>
        <v>0</v>
      </c>
      <c r="AA1188" s="60">
        <f t="shared" si="132"/>
        <v>0</v>
      </c>
    </row>
    <row r="1189" spans="1:27">
      <c r="A1189" s="83" t="str">
        <f t="shared" si="127"/>
        <v/>
      </c>
      <c r="B1189" s="83" t="str">
        <f t="shared" si="128"/>
        <v/>
      </c>
      <c r="S1189" s="83" t="str">
        <f t="shared" si="129"/>
        <v/>
      </c>
      <c r="T1189" s="83" t="str">
        <f t="shared" si="126"/>
        <v/>
      </c>
      <c r="Y1189" s="60">
        <f t="shared" si="130"/>
        <v>0</v>
      </c>
      <c r="Z1189" s="49">
        <f t="shared" si="131"/>
        <v>0</v>
      </c>
      <c r="AA1189" s="60">
        <f t="shared" si="132"/>
        <v>0</v>
      </c>
    </row>
    <row r="1190" spans="1:27">
      <c r="A1190" s="83" t="str">
        <f t="shared" si="127"/>
        <v/>
      </c>
      <c r="B1190" s="83" t="str">
        <f t="shared" si="128"/>
        <v/>
      </c>
      <c r="S1190" s="83" t="str">
        <f t="shared" si="129"/>
        <v/>
      </c>
      <c r="T1190" s="83" t="str">
        <f t="shared" si="126"/>
        <v/>
      </c>
      <c r="Y1190" s="60">
        <f t="shared" si="130"/>
        <v>0</v>
      </c>
      <c r="Z1190" s="49">
        <f t="shared" si="131"/>
        <v>0</v>
      </c>
      <c r="AA1190" s="60">
        <f t="shared" si="132"/>
        <v>0</v>
      </c>
    </row>
    <row r="1191" spans="1:27">
      <c r="A1191" s="83" t="str">
        <f t="shared" si="127"/>
        <v/>
      </c>
      <c r="B1191" s="83" t="str">
        <f t="shared" si="128"/>
        <v/>
      </c>
      <c r="S1191" s="83" t="str">
        <f t="shared" si="129"/>
        <v/>
      </c>
      <c r="T1191" s="83" t="str">
        <f t="shared" si="126"/>
        <v/>
      </c>
      <c r="Y1191" s="60">
        <f t="shared" si="130"/>
        <v>0</v>
      </c>
      <c r="Z1191" s="49">
        <f t="shared" si="131"/>
        <v>0</v>
      </c>
      <c r="AA1191" s="60">
        <f t="shared" si="132"/>
        <v>0</v>
      </c>
    </row>
    <row r="1192" spans="1:27">
      <c r="A1192" s="83" t="str">
        <f t="shared" si="127"/>
        <v/>
      </c>
      <c r="B1192" s="83" t="str">
        <f t="shared" si="128"/>
        <v/>
      </c>
      <c r="S1192" s="83" t="str">
        <f t="shared" si="129"/>
        <v/>
      </c>
      <c r="T1192" s="83" t="str">
        <f t="shared" si="126"/>
        <v/>
      </c>
      <c r="Y1192" s="60">
        <f t="shared" si="130"/>
        <v>0</v>
      </c>
      <c r="Z1192" s="49">
        <f t="shared" si="131"/>
        <v>0</v>
      </c>
      <c r="AA1192" s="60">
        <f t="shared" si="132"/>
        <v>0</v>
      </c>
    </row>
    <row r="1193" spans="1:27">
      <c r="A1193" s="83" t="str">
        <f t="shared" si="127"/>
        <v/>
      </c>
      <c r="B1193" s="83" t="str">
        <f t="shared" si="128"/>
        <v/>
      </c>
      <c r="S1193" s="83" t="str">
        <f t="shared" si="129"/>
        <v/>
      </c>
      <c r="T1193" s="83" t="str">
        <f t="shared" si="126"/>
        <v/>
      </c>
      <c r="Y1193" s="60">
        <f t="shared" si="130"/>
        <v>0</v>
      </c>
      <c r="Z1193" s="49">
        <f t="shared" si="131"/>
        <v>0</v>
      </c>
      <c r="AA1193" s="60">
        <f t="shared" si="132"/>
        <v>0</v>
      </c>
    </row>
    <row r="1194" spans="1:27">
      <c r="A1194" s="83" t="str">
        <f t="shared" si="127"/>
        <v/>
      </c>
      <c r="B1194" s="83" t="str">
        <f t="shared" si="128"/>
        <v/>
      </c>
      <c r="S1194" s="83" t="str">
        <f t="shared" si="129"/>
        <v/>
      </c>
      <c r="T1194" s="83" t="str">
        <f t="shared" si="126"/>
        <v/>
      </c>
      <c r="Y1194" s="60">
        <f t="shared" si="130"/>
        <v>0</v>
      </c>
      <c r="Z1194" s="49">
        <f t="shared" si="131"/>
        <v>0</v>
      </c>
      <c r="AA1194" s="60">
        <f t="shared" si="132"/>
        <v>0</v>
      </c>
    </row>
    <row r="1195" spans="1:27">
      <c r="A1195" s="83" t="str">
        <f t="shared" si="127"/>
        <v/>
      </c>
      <c r="B1195" s="83" t="str">
        <f t="shared" si="128"/>
        <v/>
      </c>
      <c r="S1195" s="83" t="str">
        <f t="shared" si="129"/>
        <v/>
      </c>
      <c r="T1195" s="83" t="str">
        <f t="shared" si="126"/>
        <v/>
      </c>
      <c r="Y1195" s="60">
        <f t="shared" si="130"/>
        <v>0</v>
      </c>
      <c r="Z1195" s="49">
        <f t="shared" si="131"/>
        <v>0</v>
      </c>
      <c r="AA1195" s="60">
        <f t="shared" si="132"/>
        <v>0</v>
      </c>
    </row>
    <row r="1196" spans="1:27">
      <c r="A1196" s="83" t="str">
        <f t="shared" si="127"/>
        <v/>
      </c>
      <c r="B1196" s="83" t="str">
        <f t="shared" si="128"/>
        <v/>
      </c>
      <c r="S1196" s="83" t="str">
        <f t="shared" si="129"/>
        <v/>
      </c>
      <c r="T1196" s="83" t="str">
        <f t="shared" si="126"/>
        <v/>
      </c>
      <c r="Y1196" s="60">
        <f t="shared" si="130"/>
        <v>0</v>
      </c>
      <c r="Z1196" s="49">
        <f t="shared" si="131"/>
        <v>0</v>
      </c>
      <c r="AA1196" s="60">
        <f t="shared" si="132"/>
        <v>0</v>
      </c>
    </row>
    <row r="1197" spans="1:27">
      <c r="A1197" s="83" t="str">
        <f t="shared" si="127"/>
        <v/>
      </c>
      <c r="B1197" s="83" t="str">
        <f t="shared" si="128"/>
        <v/>
      </c>
      <c r="S1197" s="83" t="str">
        <f t="shared" si="129"/>
        <v/>
      </c>
      <c r="T1197" s="83" t="str">
        <f t="shared" si="126"/>
        <v/>
      </c>
      <c r="Y1197" s="60">
        <f t="shared" si="130"/>
        <v>0</v>
      </c>
      <c r="Z1197" s="49">
        <f t="shared" si="131"/>
        <v>0</v>
      </c>
      <c r="AA1197" s="60">
        <f t="shared" si="132"/>
        <v>0</v>
      </c>
    </row>
    <row r="1198" spans="1:27">
      <c r="A1198" s="83" t="str">
        <f t="shared" si="127"/>
        <v/>
      </c>
      <c r="B1198" s="83" t="str">
        <f t="shared" si="128"/>
        <v/>
      </c>
      <c r="S1198" s="83" t="str">
        <f t="shared" si="129"/>
        <v/>
      </c>
      <c r="T1198" s="83" t="str">
        <f t="shared" si="126"/>
        <v/>
      </c>
      <c r="Y1198" s="60">
        <f t="shared" si="130"/>
        <v>0</v>
      </c>
      <c r="Z1198" s="49">
        <f t="shared" si="131"/>
        <v>0</v>
      </c>
      <c r="AA1198" s="60">
        <f t="shared" si="132"/>
        <v>0</v>
      </c>
    </row>
    <row r="1199" spans="1:27">
      <c r="A1199" s="83" t="str">
        <f t="shared" si="127"/>
        <v/>
      </c>
      <c r="B1199" s="83" t="str">
        <f t="shared" si="128"/>
        <v/>
      </c>
      <c r="S1199" s="83" t="str">
        <f t="shared" si="129"/>
        <v/>
      </c>
      <c r="T1199" s="83" t="str">
        <f t="shared" si="126"/>
        <v/>
      </c>
      <c r="Y1199" s="60">
        <f t="shared" si="130"/>
        <v>0</v>
      </c>
      <c r="Z1199" s="49">
        <f t="shared" si="131"/>
        <v>0</v>
      </c>
      <c r="AA1199" s="60">
        <f t="shared" si="132"/>
        <v>0</v>
      </c>
    </row>
    <row r="1200" spans="1:27">
      <c r="A1200" s="83" t="str">
        <f t="shared" si="127"/>
        <v/>
      </c>
      <c r="B1200" s="83" t="str">
        <f t="shared" si="128"/>
        <v/>
      </c>
      <c r="S1200" s="83" t="str">
        <f t="shared" si="129"/>
        <v/>
      </c>
      <c r="T1200" s="83" t="str">
        <f t="shared" si="126"/>
        <v/>
      </c>
      <c r="Y1200" s="60">
        <f t="shared" si="130"/>
        <v>0</v>
      </c>
      <c r="Z1200" s="49">
        <f t="shared" si="131"/>
        <v>0</v>
      </c>
      <c r="AA1200" s="60">
        <f t="shared" si="132"/>
        <v>0</v>
      </c>
    </row>
    <row r="1201" spans="1:27">
      <c r="A1201" s="83" t="str">
        <f t="shared" si="127"/>
        <v/>
      </c>
      <c r="B1201" s="83" t="str">
        <f t="shared" si="128"/>
        <v/>
      </c>
      <c r="S1201" s="83" t="str">
        <f t="shared" si="129"/>
        <v/>
      </c>
      <c r="T1201" s="83" t="str">
        <f t="shared" si="126"/>
        <v/>
      </c>
      <c r="Y1201" s="60">
        <f t="shared" si="130"/>
        <v>0</v>
      </c>
      <c r="Z1201" s="49">
        <f t="shared" si="131"/>
        <v>0</v>
      </c>
      <c r="AA1201" s="60">
        <f t="shared" si="132"/>
        <v>0</v>
      </c>
    </row>
    <row r="1202" spans="1:27">
      <c r="A1202" s="83" t="str">
        <f t="shared" si="127"/>
        <v/>
      </c>
      <c r="B1202" s="83" t="str">
        <f t="shared" si="128"/>
        <v/>
      </c>
      <c r="S1202" s="83" t="str">
        <f t="shared" si="129"/>
        <v/>
      </c>
      <c r="T1202" s="83" t="str">
        <f t="shared" si="126"/>
        <v/>
      </c>
      <c r="Y1202" s="60">
        <f t="shared" si="130"/>
        <v>0</v>
      </c>
      <c r="Z1202" s="49">
        <f t="shared" si="131"/>
        <v>0</v>
      </c>
      <c r="AA1202" s="60">
        <f t="shared" si="132"/>
        <v>0</v>
      </c>
    </row>
    <row r="1203" spans="1:27">
      <c r="A1203" s="83" t="str">
        <f t="shared" si="127"/>
        <v/>
      </c>
      <c r="B1203" s="83" t="str">
        <f t="shared" si="128"/>
        <v/>
      </c>
      <c r="S1203" s="83" t="str">
        <f t="shared" si="129"/>
        <v/>
      </c>
      <c r="T1203" s="83" t="str">
        <f t="shared" si="126"/>
        <v/>
      </c>
      <c r="Y1203" s="60">
        <f t="shared" si="130"/>
        <v>0</v>
      </c>
      <c r="Z1203" s="49">
        <f t="shared" si="131"/>
        <v>0</v>
      </c>
      <c r="AA1203" s="60">
        <f t="shared" si="132"/>
        <v>0</v>
      </c>
    </row>
    <row r="1204" spans="1:27">
      <c r="A1204" s="83" t="str">
        <f t="shared" si="127"/>
        <v/>
      </c>
      <c r="B1204" s="83" t="str">
        <f t="shared" si="128"/>
        <v/>
      </c>
      <c r="S1204" s="83" t="str">
        <f t="shared" si="129"/>
        <v/>
      </c>
      <c r="T1204" s="83" t="str">
        <f t="shared" si="126"/>
        <v/>
      </c>
      <c r="Y1204" s="60">
        <f t="shared" si="130"/>
        <v>0</v>
      </c>
      <c r="Z1204" s="49">
        <f t="shared" si="131"/>
        <v>0</v>
      </c>
      <c r="AA1204" s="60">
        <f t="shared" si="132"/>
        <v>0</v>
      </c>
    </row>
    <row r="1205" spans="1:27">
      <c r="A1205" s="83" t="str">
        <f t="shared" si="127"/>
        <v/>
      </c>
      <c r="B1205" s="83" t="str">
        <f t="shared" si="128"/>
        <v/>
      </c>
      <c r="S1205" s="83" t="str">
        <f t="shared" si="129"/>
        <v/>
      </c>
      <c r="T1205" s="83" t="str">
        <f t="shared" si="126"/>
        <v/>
      </c>
      <c r="Y1205" s="60">
        <f t="shared" si="130"/>
        <v>0</v>
      </c>
      <c r="Z1205" s="49">
        <f t="shared" si="131"/>
        <v>0</v>
      </c>
      <c r="AA1205" s="60">
        <f t="shared" si="132"/>
        <v>0</v>
      </c>
    </row>
    <row r="1206" spans="1:27">
      <c r="A1206" s="83" t="str">
        <f t="shared" si="127"/>
        <v/>
      </c>
      <c r="B1206" s="83" t="str">
        <f t="shared" si="128"/>
        <v/>
      </c>
      <c r="S1206" s="83" t="str">
        <f t="shared" si="129"/>
        <v/>
      </c>
      <c r="T1206" s="83" t="str">
        <f t="shared" si="126"/>
        <v/>
      </c>
      <c r="Y1206" s="60">
        <f t="shared" si="130"/>
        <v>0</v>
      </c>
      <c r="Z1206" s="49">
        <f t="shared" si="131"/>
        <v>0</v>
      </c>
      <c r="AA1206" s="60">
        <f t="shared" si="132"/>
        <v>0</v>
      </c>
    </row>
    <row r="1207" spans="1:27">
      <c r="A1207" s="83" t="str">
        <f t="shared" si="127"/>
        <v/>
      </c>
      <c r="B1207" s="83" t="str">
        <f t="shared" si="128"/>
        <v/>
      </c>
      <c r="S1207" s="83" t="str">
        <f t="shared" si="129"/>
        <v/>
      </c>
      <c r="T1207" s="83" t="str">
        <f t="shared" si="126"/>
        <v/>
      </c>
      <c r="Y1207" s="60">
        <f t="shared" si="130"/>
        <v>0</v>
      </c>
      <c r="Z1207" s="49">
        <f t="shared" si="131"/>
        <v>0</v>
      </c>
      <c r="AA1207" s="60">
        <f t="shared" si="132"/>
        <v>0</v>
      </c>
    </row>
    <row r="1208" spans="1:27">
      <c r="A1208" s="83" t="str">
        <f t="shared" si="127"/>
        <v/>
      </c>
      <c r="B1208" s="83" t="str">
        <f t="shared" si="128"/>
        <v/>
      </c>
      <c r="S1208" s="83" t="str">
        <f t="shared" si="129"/>
        <v/>
      </c>
      <c r="T1208" s="83" t="str">
        <f t="shared" si="126"/>
        <v/>
      </c>
      <c r="Y1208" s="60">
        <f t="shared" si="130"/>
        <v>0</v>
      </c>
      <c r="Z1208" s="49">
        <f t="shared" si="131"/>
        <v>0</v>
      </c>
      <c r="AA1208" s="60">
        <f t="shared" si="132"/>
        <v>0</v>
      </c>
    </row>
    <row r="1209" spans="1:27">
      <c r="A1209" s="83" t="str">
        <f t="shared" si="127"/>
        <v/>
      </c>
      <c r="B1209" s="83" t="str">
        <f t="shared" si="128"/>
        <v/>
      </c>
      <c r="S1209" s="83" t="str">
        <f t="shared" si="129"/>
        <v/>
      </c>
      <c r="T1209" s="83" t="str">
        <f t="shared" si="126"/>
        <v/>
      </c>
      <c r="Y1209" s="60">
        <f t="shared" si="130"/>
        <v>0</v>
      </c>
      <c r="Z1209" s="49">
        <f t="shared" si="131"/>
        <v>0</v>
      </c>
      <c r="AA1209" s="60">
        <f t="shared" si="132"/>
        <v>0</v>
      </c>
    </row>
    <row r="1210" spans="1:27">
      <c r="A1210" s="83" t="str">
        <f t="shared" si="127"/>
        <v/>
      </c>
      <c r="B1210" s="83" t="str">
        <f t="shared" si="128"/>
        <v/>
      </c>
      <c r="S1210" s="83" t="str">
        <f t="shared" si="129"/>
        <v/>
      </c>
      <c r="T1210" s="83" t="str">
        <f t="shared" si="126"/>
        <v/>
      </c>
      <c r="Y1210" s="60">
        <f t="shared" si="130"/>
        <v>0</v>
      </c>
      <c r="Z1210" s="49">
        <f t="shared" si="131"/>
        <v>0</v>
      </c>
      <c r="AA1210" s="60">
        <f t="shared" si="132"/>
        <v>0</v>
      </c>
    </row>
    <row r="1211" spans="1:27">
      <c r="A1211" s="83" t="str">
        <f t="shared" si="127"/>
        <v/>
      </c>
      <c r="B1211" s="83" t="str">
        <f t="shared" si="128"/>
        <v/>
      </c>
      <c r="S1211" s="83" t="str">
        <f t="shared" si="129"/>
        <v/>
      </c>
      <c r="T1211" s="83" t="str">
        <f t="shared" si="126"/>
        <v/>
      </c>
      <c r="Y1211" s="60">
        <f t="shared" si="130"/>
        <v>0</v>
      </c>
      <c r="Z1211" s="49">
        <f t="shared" si="131"/>
        <v>0</v>
      </c>
      <c r="AA1211" s="60">
        <f t="shared" si="132"/>
        <v>0</v>
      </c>
    </row>
    <row r="1212" spans="1:27">
      <c r="A1212" s="83" t="str">
        <f t="shared" si="127"/>
        <v/>
      </c>
      <c r="B1212" s="83" t="str">
        <f t="shared" si="128"/>
        <v/>
      </c>
      <c r="S1212" s="83" t="str">
        <f t="shared" si="129"/>
        <v/>
      </c>
      <c r="T1212" s="83" t="str">
        <f t="shared" si="126"/>
        <v/>
      </c>
      <c r="Y1212" s="60">
        <f t="shared" si="130"/>
        <v>0</v>
      </c>
      <c r="Z1212" s="49">
        <f t="shared" si="131"/>
        <v>0</v>
      </c>
      <c r="AA1212" s="60">
        <f t="shared" si="132"/>
        <v>0</v>
      </c>
    </row>
    <row r="1213" spans="1:27">
      <c r="A1213" s="83" t="str">
        <f t="shared" si="127"/>
        <v/>
      </c>
      <c r="B1213" s="83" t="str">
        <f t="shared" si="128"/>
        <v/>
      </c>
      <c r="S1213" s="83" t="str">
        <f t="shared" si="129"/>
        <v/>
      </c>
      <c r="T1213" s="83" t="str">
        <f t="shared" si="126"/>
        <v/>
      </c>
      <c r="Y1213" s="60">
        <f t="shared" si="130"/>
        <v>0</v>
      </c>
      <c r="Z1213" s="49">
        <f t="shared" si="131"/>
        <v>0</v>
      </c>
      <c r="AA1213" s="60">
        <f t="shared" si="132"/>
        <v>0</v>
      </c>
    </row>
    <row r="1214" spans="1:27">
      <c r="A1214" s="83" t="str">
        <f t="shared" si="127"/>
        <v/>
      </c>
      <c r="B1214" s="83" t="str">
        <f t="shared" si="128"/>
        <v/>
      </c>
      <c r="S1214" s="83" t="str">
        <f t="shared" si="129"/>
        <v/>
      </c>
      <c r="T1214" s="83" t="str">
        <f t="shared" si="126"/>
        <v/>
      </c>
      <c r="Y1214" s="60">
        <f t="shared" si="130"/>
        <v>0</v>
      </c>
      <c r="Z1214" s="49">
        <f t="shared" si="131"/>
        <v>0</v>
      </c>
      <c r="AA1214" s="60">
        <f t="shared" si="132"/>
        <v>0</v>
      </c>
    </row>
    <row r="1215" spans="1:27">
      <c r="A1215" s="83" t="str">
        <f t="shared" si="127"/>
        <v/>
      </c>
      <c r="B1215" s="83" t="str">
        <f t="shared" si="128"/>
        <v/>
      </c>
      <c r="S1215" s="83" t="str">
        <f t="shared" si="129"/>
        <v/>
      </c>
      <c r="T1215" s="83" t="str">
        <f t="shared" si="126"/>
        <v/>
      </c>
      <c r="Y1215" s="60">
        <f t="shared" si="130"/>
        <v>0</v>
      </c>
      <c r="Z1215" s="49">
        <f t="shared" si="131"/>
        <v>0</v>
      </c>
      <c r="AA1215" s="60">
        <f t="shared" si="132"/>
        <v>0</v>
      </c>
    </row>
    <row r="1216" spans="1:27">
      <c r="A1216" s="83" t="str">
        <f t="shared" si="127"/>
        <v/>
      </c>
      <c r="B1216" s="83" t="str">
        <f t="shared" si="128"/>
        <v/>
      </c>
      <c r="S1216" s="83" t="str">
        <f t="shared" si="129"/>
        <v/>
      </c>
      <c r="T1216" s="83" t="str">
        <f t="shared" si="126"/>
        <v/>
      </c>
      <c r="Y1216" s="60">
        <f t="shared" si="130"/>
        <v>0</v>
      </c>
      <c r="Z1216" s="49">
        <f t="shared" si="131"/>
        <v>0</v>
      </c>
      <c r="AA1216" s="60">
        <f t="shared" si="132"/>
        <v>0</v>
      </c>
    </row>
    <row r="1217" spans="1:27">
      <c r="A1217" s="83" t="str">
        <f t="shared" si="127"/>
        <v/>
      </c>
      <c r="B1217" s="83" t="str">
        <f t="shared" si="128"/>
        <v/>
      </c>
      <c r="S1217" s="83" t="str">
        <f t="shared" si="129"/>
        <v/>
      </c>
      <c r="T1217" s="83" t="str">
        <f t="shared" si="126"/>
        <v/>
      </c>
      <c r="Y1217" s="60">
        <f t="shared" si="130"/>
        <v>0</v>
      </c>
      <c r="Z1217" s="49">
        <f t="shared" si="131"/>
        <v>0</v>
      </c>
      <c r="AA1217" s="60">
        <f t="shared" si="132"/>
        <v>0</v>
      </c>
    </row>
    <row r="1218" spans="1:27">
      <c r="A1218" s="83" t="str">
        <f t="shared" si="127"/>
        <v/>
      </c>
      <c r="B1218" s="83" t="str">
        <f t="shared" si="128"/>
        <v/>
      </c>
      <c r="S1218" s="83" t="str">
        <f t="shared" si="129"/>
        <v/>
      </c>
      <c r="T1218" s="83" t="str">
        <f t="shared" ref="T1218:T1281" si="133">IF(A1218&lt;&gt;"",IF(FIND(" ",G1218)&gt;=1,MID(G1218,FIND(" ",G1218)+1,LEN(G1218)),""),"")</f>
        <v/>
      </c>
      <c r="Y1218" s="60">
        <f t="shared" si="130"/>
        <v>0</v>
      </c>
      <c r="Z1218" s="49">
        <f t="shared" si="131"/>
        <v>0</v>
      </c>
      <c r="AA1218" s="60">
        <f t="shared" si="132"/>
        <v>0</v>
      </c>
    </row>
    <row r="1219" spans="1:27">
      <c r="A1219" s="83" t="str">
        <f t="shared" ref="A1219:A1282" si="134">IF(G1219&amp;Q1219&lt;&gt;"",S1219&amp;Q1219,"")</f>
        <v/>
      </c>
      <c r="B1219" s="83" t="str">
        <f t="shared" ref="B1219:B1282" si="135">IF(C1219&lt;&gt;"",LEFT(C1219,9),"")</f>
        <v/>
      </c>
      <c r="S1219" s="83" t="str">
        <f t="shared" ref="S1219:S1282" si="136">IF(G1219&lt;&gt;"",IF(FIND(" ",G1219)&gt;=1,MID(G1219,1,FIND(" ",G1219)-1),G1219),"")</f>
        <v/>
      </c>
      <c r="T1219" s="83" t="str">
        <f t="shared" si="133"/>
        <v/>
      </c>
      <c r="Y1219" s="60">
        <f t="shared" ref="Y1219:Y1282" si="137">IFERROR(VALUE(MID($C1219,1,2)),0)</f>
        <v>0</v>
      </c>
      <c r="Z1219" s="49">
        <f t="shared" ref="Z1219:Z1282" si="138">IFERROR(VALUE(MID($C1219,4,3)),0)</f>
        <v>0</v>
      </c>
      <c r="AA1219" s="60">
        <f t="shared" ref="AA1219:AA1282" si="139">VALUE(RIGHT("00"&amp;Y1219,2)&amp;RIGHT("000"&amp;Z1219,3))</f>
        <v>0</v>
      </c>
    </row>
    <row r="1220" spans="1:27">
      <c r="A1220" s="83" t="str">
        <f t="shared" si="134"/>
        <v/>
      </c>
      <c r="B1220" s="83" t="str">
        <f t="shared" si="135"/>
        <v/>
      </c>
      <c r="S1220" s="83" t="str">
        <f t="shared" si="136"/>
        <v/>
      </c>
      <c r="T1220" s="83" t="str">
        <f t="shared" si="133"/>
        <v/>
      </c>
      <c r="Y1220" s="60">
        <f t="shared" si="137"/>
        <v>0</v>
      </c>
      <c r="Z1220" s="49">
        <f t="shared" si="138"/>
        <v>0</v>
      </c>
      <c r="AA1220" s="60">
        <f t="shared" si="139"/>
        <v>0</v>
      </c>
    </row>
    <row r="1221" spans="1:27">
      <c r="A1221" s="83" t="str">
        <f t="shared" si="134"/>
        <v/>
      </c>
      <c r="B1221" s="83" t="str">
        <f t="shared" si="135"/>
        <v/>
      </c>
      <c r="S1221" s="83" t="str">
        <f t="shared" si="136"/>
        <v/>
      </c>
      <c r="T1221" s="83" t="str">
        <f t="shared" si="133"/>
        <v/>
      </c>
      <c r="Y1221" s="60">
        <f t="shared" si="137"/>
        <v>0</v>
      </c>
      <c r="Z1221" s="49">
        <f t="shared" si="138"/>
        <v>0</v>
      </c>
      <c r="AA1221" s="60">
        <f t="shared" si="139"/>
        <v>0</v>
      </c>
    </row>
    <row r="1222" spans="1:27">
      <c r="A1222" s="83" t="str">
        <f t="shared" si="134"/>
        <v/>
      </c>
      <c r="B1222" s="83" t="str">
        <f t="shared" si="135"/>
        <v/>
      </c>
      <c r="S1222" s="83" t="str">
        <f t="shared" si="136"/>
        <v/>
      </c>
      <c r="T1222" s="83" t="str">
        <f t="shared" si="133"/>
        <v/>
      </c>
      <c r="Y1222" s="60">
        <f t="shared" si="137"/>
        <v>0</v>
      </c>
      <c r="Z1222" s="49">
        <f t="shared" si="138"/>
        <v>0</v>
      </c>
      <c r="AA1222" s="60">
        <f t="shared" si="139"/>
        <v>0</v>
      </c>
    </row>
    <row r="1223" spans="1:27">
      <c r="A1223" s="83" t="str">
        <f t="shared" si="134"/>
        <v/>
      </c>
      <c r="B1223" s="83" t="str">
        <f t="shared" si="135"/>
        <v/>
      </c>
      <c r="S1223" s="83" t="str">
        <f t="shared" si="136"/>
        <v/>
      </c>
      <c r="T1223" s="83" t="str">
        <f t="shared" si="133"/>
        <v/>
      </c>
      <c r="Y1223" s="60">
        <f t="shared" si="137"/>
        <v>0</v>
      </c>
      <c r="Z1223" s="49">
        <f t="shared" si="138"/>
        <v>0</v>
      </c>
      <c r="AA1223" s="60">
        <f t="shared" si="139"/>
        <v>0</v>
      </c>
    </row>
    <row r="1224" spans="1:27">
      <c r="A1224" s="83" t="str">
        <f t="shared" si="134"/>
        <v/>
      </c>
      <c r="B1224" s="83" t="str">
        <f t="shared" si="135"/>
        <v/>
      </c>
      <c r="S1224" s="83" t="str">
        <f t="shared" si="136"/>
        <v/>
      </c>
      <c r="T1224" s="83" t="str">
        <f t="shared" si="133"/>
        <v/>
      </c>
      <c r="Y1224" s="60">
        <f t="shared" si="137"/>
        <v>0</v>
      </c>
      <c r="Z1224" s="49">
        <f t="shared" si="138"/>
        <v>0</v>
      </c>
      <c r="AA1224" s="60">
        <f t="shared" si="139"/>
        <v>0</v>
      </c>
    </row>
    <row r="1225" spans="1:27">
      <c r="A1225" s="83" t="str">
        <f t="shared" si="134"/>
        <v/>
      </c>
      <c r="B1225" s="83" t="str">
        <f t="shared" si="135"/>
        <v/>
      </c>
      <c r="S1225" s="83" t="str">
        <f t="shared" si="136"/>
        <v/>
      </c>
      <c r="T1225" s="83" t="str">
        <f t="shared" si="133"/>
        <v/>
      </c>
      <c r="Y1225" s="60">
        <f t="shared" si="137"/>
        <v>0</v>
      </c>
      <c r="Z1225" s="49">
        <f t="shared" si="138"/>
        <v>0</v>
      </c>
      <c r="AA1225" s="60">
        <f t="shared" si="139"/>
        <v>0</v>
      </c>
    </row>
    <row r="1226" spans="1:27">
      <c r="A1226" s="83" t="str">
        <f t="shared" si="134"/>
        <v/>
      </c>
      <c r="B1226" s="83" t="str">
        <f t="shared" si="135"/>
        <v/>
      </c>
      <c r="S1226" s="83" t="str">
        <f t="shared" si="136"/>
        <v/>
      </c>
      <c r="T1226" s="83" t="str">
        <f t="shared" si="133"/>
        <v/>
      </c>
      <c r="Y1226" s="60">
        <f t="shared" si="137"/>
        <v>0</v>
      </c>
      <c r="Z1226" s="49">
        <f t="shared" si="138"/>
        <v>0</v>
      </c>
      <c r="AA1226" s="60">
        <f t="shared" si="139"/>
        <v>0</v>
      </c>
    </row>
    <row r="1227" spans="1:27">
      <c r="A1227" s="83" t="str">
        <f t="shared" si="134"/>
        <v/>
      </c>
      <c r="B1227" s="83" t="str">
        <f t="shared" si="135"/>
        <v/>
      </c>
      <c r="S1227" s="83" t="str">
        <f t="shared" si="136"/>
        <v/>
      </c>
      <c r="T1227" s="83" t="str">
        <f t="shared" si="133"/>
        <v/>
      </c>
      <c r="Y1227" s="60">
        <f t="shared" si="137"/>
        <v>0</v>
      </c>
      <c r="Z1227" s="49">
        <f t="shared" si="138"/>
        <v>0</v>
      </c>
      <c r="AA1227" s="60">
        <f t="shared" si="139"/>
        <v>0</v>
      </c>
    </row>
    <row r="1228" spans="1:27">
      <c r="A1228" s="83" t="str">
        <f t="shared" si="134"/>
        <v/>
      </c>
      <c r="B1228" s="83" t="str">
        <f t="shared" si="135"/>
        <v/>
      </c>
      <c r="S1228" s="83" t="str">
        <f t="shared" si="136"/>
        <v/>
      </c>
      <c r="T1228" s="83" t="str">
        <f t="shared" si="133"/>
        <v/>
      </c>
      <c r="Y1228" s="60">
        <f t="shared" si="137"/>
        <v>0</v>
      </c>
      <c r="Z1228" s="49">
        <f t="shared" si="138"/>
        <v>0</v>
      </c>
      <c r="AA1228" s="60">
        <f t="shared" si="139"/>
        <v>0</v>
      </c>
    </row>
    <row r="1229" spans="1:27">
      <c r="A1229" s="83" t="str">
        <f t="shared" si="134"/>
        <v/>
      </c>
      <c r="B1229" s="83" t="str">
        <f t="shared" si="135"/>
        <v/>
      </c>
      <c r="S1229" s="83" t="str">
        <f t="shared" si="136"/>
        <v/>
      </c>
      <c r="T1229" s="83" t="str">
        <f t="shared" si="133"/>
        <v/>
      </c>
      <c r="Y1229" s="60">
        <f t="shared" si="137"/>
        <v>0</v>
      </c>
      <c r="Z1229" s="49">
        <f t="shared" si="138"/>
        <v>0</v>
      </c>
      <c r="AA1229" s="60">
        <f t="shared" si="139"/>
        <v>0</v>
      </c>
    </row>
    <row r="1230" spans="1:27">
      <c r="A1230" s="83" t="str">
        <f t="shared" si="134"/>
        <v/>
      </c>
      <c r="B1230" s="83" t="str">
        <f t="shared" si="135"/>
        <v/>
      </c>
      <c r="S1230" s="83" t="str">
        <f t="shared" si="136"/>
        <v/>
      </c>
      <c r="T1230" s="83" t="str">
        <f t="shared" si="133"/>
        <v/>
      </c>
      <c r="Y1230" s="60">
        <f t="shared" si="137"/>
        <v>0</v>
      </c>
      <c r="Z1230" s="49">
        <f t="shared" si="138"/>
        <v>0</v>
      </c>
      <c r="AA1230" s="60">
        <f t="shared" si="139"/>
        <v>0</v>
      </c>
    </row>
    <row r="1231" spans="1:27">
      <c r="A1231" s="83" t="str">
        <f t="shared" si="134"/>
        <v/>
      </c>
      <c r="B1231" s="83" t="str">
        <f t="shared" si="135"/>
        <v/>
      </c>
      <c r="S1231" s="83" t="str">
        <f t="shared" si="136"/>
        <v/>
      </c>
      <c r="T1231" s="83" t="str">
        <f t="shared" si="133"/>
        <v/>
      </c>
      <c r="Y1231" s="60">
        <f t="shared" si="137"/>
        <v>0</v>
      </c>
      <c r="Z1231" s="49">
        <f t="shared" si="138"/>
        <v>0</v>
      </c>
      <c r="AA1231" s="60">
        <f t="shared" si="139"/>
        <v>0</v>
      </c>
    </row>
    <row r="1232" spans="1:27">
      <c r="A1232" s="83" t="str">
        <f t="shared" si="134"/>
        <v/>
      </c>
      <c r="B1232" s="83" t="str">
        <f t="shared" si="135"/>
        <v/>
      </c>
      <c r="S1232" s="83" t="str">
        <f t="shared" si="136"/>
        <v/>
      </c>
      <c r="T1232" s="83" t="str">
        <f t="shared" si="133"/>
        <v/>
      </c>
      <c r="Y1232" s="60">
        <f t="shared" si="137"/>
        <v>0</v>
      </c>
      <c r="Z1232" s="49">
        <f t="shared" si="138"/>
        <v>0</v>
      </c>
      <c r="AA1232" s="60">
        <f t="shared" si="139"/>
        <v>0</v>
      </c>
    </row>
    <row r="1233" spans="1:27">
      <c r="A1233" s="83" t="str">
        <f t="shared" si="134"/>
        <v/>
      </c>
      <c r="B1233" s="83" t="str">
        <f t="shared" si="135"/>
        <v/>
      </c>
      <c r="S1233" s="83" t="str">
        <f t="shared" si="136"/>
        <v/>
      </c>
      <c r="T1233" s="83" t="str">
        <f t="shared" si="133"/>
        <v/>
      </c>
      <c r="Y1233" s="60">
        <f t="shared" si="137"/>
        <v>0</v>
      </c>
      <c r="Z1233" s="49">
        <f t="shared" si="138"/>
        <v>0</v>
      </c>
      <c r="AA1233" s="60">
        <f t="shared" si="139"/>
        <v>0</v>
      </c>
    </row>
    <row r="1234" spans="1:27">
      <c r="A1234" s="83" t="str">
        <f t="shared" si="134"/>
        <v/>
      </c>
      <c r="B1234" s="83" t="str">
        <f t="shared" si="135"/>
        <v/>
      </c>
      <c r="S1234" s="83" t="str">
        <f t="shared" si="136"/>
        <v/>
      </c>
      <c r="T1234" s="83" t="str">
        <f t="shared" si="133"/>
        <v/>
      </c>
      <c r="Y1234" s="60">
        <f t="shared" si="137"/>
        <v>0</v>
      </c>
      <c r="Z1234" s="49">
        <f t="shared" si="138"/>
        <v>0</v>
      </c>
      <c r="AA1234" s="60">
        <f t="shared" si="139"/>
        <v>0</v>
      </c>
    </row>
    <row r="1235" spans="1:27">
      <c r="A1235" s="83" t="str">
        <f t="shared" si="134"/>
        <v/>
      </c>
      <c r="B1235" s="83" t="str">
        <f t="shared" si="135"/>
        <v/>
      </c>
      <c r="S1235" s="83" t="str">
        <f t="shared" si="136"/>
        <v/>
      </c>
      <c r="T1235" s="83" t="str">
        <f t="shared" si="133"/>
        <v/>
      </c>
      <c r="Y1235" s="60">
        <f t="shared" si="137"/>
        <v>0</v>
      </c>
      <c r="Z1235" s="49">
        <f t="shared" si="138"/>
        <v>0</v>
      </c>
      <c r="AA1235" s="60">
        <f t="shared" si="139"/>
        <v>0</v>
      </c>
    </row>
    <row r="1236" spans="1:27">
      <c r="A1236" s="83" t="str">
        <f t="shared" si="134"/>
        <v/>
      </c>
      <c r="B1236" s="83" t="str">
        <f t="shared" si="135"/>
        <v/>
      </c>
      <c r="S1236" s="83" t="str">
        <f t="shared" si="136"/>
        <v/>
      </c>
      <c r="T1236" s="83" t="str">
        <f t="shared" si="133"/>
        <v/>
      </c>
      <c r="Y1236" s="60">
        <f t="shared" si="137"/>
        <v>0</v>
      </c>
      <c r="Z1236" s="49">
        <f t="shared" si="138"/>
        <v>0</v>
      </c>
      <c r="AA1236" s="60">
        <f t="shared" si="139"/>
        <v>0</v>
      </c>
    </row>
    <row r="1237" spans="1:27">
      <c r="A1237" s="83" t="str">
        <f t="shared" si="134"/>
        <v/>
      </c>
      <c r="B1237" s="83" t="str">
        <f t="shared" si="135"/>
        <v/>
      </c>
      <c r="S1237" s="83" t="str">
        <f t="shared" si="136"/>
        <v/>
      </c>
      <c r="T1237" s="83" t="str">
        <f t="shared" si="133"/>
        <v/>
      </c>
      <c r="Y1237" s="60">
        <f t="shared" si="137"/>
        <v>0</v>
      </c>
      <c r="Z1237" s="49">
        <f t="shared" si="138"/>
        <v>0</v>
      </c>
      <c r="AA1237" s="60">
        <f t="shared" si="139"/>
        <v>0</v>
      </c>
    </row>
    <row r="1238" spans="1:27">
      <c r="A1238" s="83" t="str">
        <f t="shared" si="134"/>
        <v/>
      </c>
      <c r="B1238" s="83" t="str">
        <f t="shared" si="135"/>
        <v/>
      </c>
      <c r="S1238" s="83" t="str">
        <f t="shared" si="136"/>
        <v/>
      </c>
      <c r="T1238" s="83" t="str">
        <f t="shared" si="133"/>
        <v/>
      </c>
      <c r="Y1238" s="60">
        <f t="shared" si="137"/>
        <v>0</v>
      </c>
      <c r="Z1238" s="49">
        <f t="shared" si="138"/>
        <v>0</v>
      </c>
      <c r="AA1238" s="60">
        <f t="shared" si="139"/>
        <v>0</v>
      </c>
    </row>
    <row r="1239" spans="1:27">
      <c r="A1239" s="83" t="str">
        <f t="shared" si="134"/>
        <v/>
      </c>
      <c r="B1239" s="83" t="str">
        <f t="shared" si="135"/>
        <v/>
      </c>
      <c r="S1239" s="83" t="str">
        <f t="shared" si="136"/>
        <v/>
      </c>
      <c r="T1239" s="83" t="str">
        <f t="shared" si="133"/>
        <v/>
      </c>
      <c r="Y1239" s="60">
        <f t="shared" si="137"/>
        <v>0</v>
      </c>
      <c r="Z1239" s="49">
        <f t="shared" si="138"/>
        <v>0</v>
      </c>
      <c r="AA1239" s="60">
        <f t="shared" si="139"/>
        <v>0</v>
      </c>
    </row>
    <row r="1240" spans="1:27">
      <c r="A1240" s="83" t="str">
        <f t="shared" si="134"/>
        <v/>
      </c>
      <c r="B1240" s="83" t="str">
        <f t="shared" si="135"/>
        <v/>
      </c>
      <c r="S1240" s="83" t="str">
        <f t="shared" si="136"/>
        <v/>
      </c>
      <c r="T1240" s="83" t="str">
        <f t="shared" si="133"/>
        <v/>
      </c>
      <c r="Y1240" s="60">
        <f t="shared" si="137"/>
        <v>0</v>
      </c>
      <c r="Z1240" s="49">
        <f t="shared" si="138"/>
        <v>0</v>
      </c>
      <c r="AA1240" s="60">
        <f t="shared" si="139"/>
        <v>0</v>
      </c>
    </row>
    <row r="1241" spans="1:27">
      <c r="A1241" s="83" t="str">
        <f t="shared" si="134"/>
        <v/>
      </c>
      <c r="B1241" s="83" t="str">
        <f t="shared" si="135"/>
        <v/>
      </c>
      <c r="S1241" s="83" t="str">
        <f t="shared" si="136"/>
        <v/>
      </c>
      <c r="T1241" s="83" t="str">
        <f t="shared" si="133"/>
        <v/>
      </c>
      <c r="Y1241" s="60">
        <f t="shared" si="137"/>
        <v>0</v>
      </c>
      <c r="Z1241" s="49">
        <f t="shared" si="138"/>
        <v>0</v>
      </c>
      <c r="AA1241" s="60">
        <f t="shared" si="139"/>
        <v>0</v>
      </c>
    </row>
    <row r="1242" spans="1:27">
      <c r="A1242" s="83" t="str">
        <f t="shared" si="134"/>
        <v/>
      </c>
      <c r="B1242" s="83" t="str">
        <f t="shared" si="135"/>
        <v/>
      </c>
      <c r="S1242" s="83" t="str">
        <f t="shared" si="136"/>
        <v/>
      </c>
      <c r="T1242" s="83" t="str">
        <f t="shared" si="133"/>
        <v/>
      </c>
      <c r="Y1242" s="60">
        <f t="shared" si="137"/>
        <v>0</v>
      </c>
      <c r="Z1242" s="49">
        <f t="shared" si="138"/>
        <v>0</v>
      </c>
      <c r="AA1242" s="60">
        <f t="shared" si="139"/>
        <v>0</v>
      </c>
    </row>
    <row r="1243" spans="1:27">
      <c r="A1243" s="83" t="str">
        <f t="shared" si="134"/>
        <v/>
      </c>
      <c r="B1243" s="83" t="str">
        <f t="shared" si="135"/>
        <v/>
      </c>
      <c r="S1243" s="83" t="str">
        <f t="shared" si="136"/>
        <v/>
      </c>
      <c r="T1243" s="83" t="str">
        <f t="shared" si="133"/>
        <v/>
      </c>
      <c r="Y1243" s="60">
        <f t="shared" si="137"/>
        <v>0</v>
      </c>
      <c r="Z1243" s="49">
        <f t="shared" si="138"/>
        <v>0</v>
      </c>
      <c r="AA1243" s="60">
        <f t="shared" si="139"/>
        <v>0</v>
      </c>
    </row>
    <row r="1244" spans="1:27">
      <c r="A1244" s="83" t="str">
        <f t="shared" si="134"/>
        <v/>
      </c>
      <c r="B1244" s="83" t="str">
        <f t="shared" si="135"/>
        <v/>
      </c>
      <c r="S1244" s="83" t="str">
        <f t="shared" si="136"/>
        <v/>
      </c>
      <c r="T1244" s="83" t="str">
        <f t="shared" si="133"/>
        <v/>
      </c>
      <c r="Y1244" s="60">
        <f t="shared" si="137"/>
        <v>0</v>
      </c>
      <c r="Z1244" s="49">
        <f t="shared" si="138"/>
        <v>0</v>
      </c>
      <c r="AA1244" s="60">
        <f t="shared" si="139"/>
        <v>0</v>
      </c>
    </row>
    <row r="1245" spans="1:27">
      <c r="A1245" s="83" t="str">
        <f t="shared" si="134"/>
        <v/>
      </c>
      <c r="B1245" s="83" t="str">
        <f t="shared" si="135"/>
        <v/>
      </c>
      <c r="S1245" s="83" t="str">
        <f t="shared" si="136"/>
        <v/>
      </c>
      <c r="T1245" s="83" t="str">
        <f t="shared" si="133"/>
        <v/>
      </c>
      <c r="Y1245" s="60">
        <f t="shared" si="137"/>
        <v>0</v>
      </c>
      <c r="Z1245" s="49">
        <f t="shared" si="138"/>
        <v>0</v>
      </c>
      <c r="AA1245" s="60">
        <f t="shared" si="139"/>
        <v>0</v>
      </c>
    </row>
    <row r="1246" spans="1:27">
      <c r="A1246" s="83" t="str">
        <f t="shared" si="134"/>
        <v/>
      </c>
      <c r="B1246" s="83" t="str">
        <f t="shared" si="135"/>
        <v/>
      </c>
      <c r="S1246" s="83" t="str">
        <f t="shared" si="136"/>
        <v/>
      </c>
      <c r="T1246" s="83" t="str">
        <f t="shared" si="133"/>
        <v/>
      </c>
      <c r="Y1246" s="60">
        <f t="shared" si="137"/>
        <v>0</v>
      </c>
      <c r="Z1246" s="49">
        <f t="shared" si="138"/>
        <v>0</v>
      </c>
      <c r="AA1246" s="60">
        <f t="shared" si="139"/>
        <v>0</v>
      </c>
    </row>
    <row r="1247" spans="1:27">
      <c r="A1247" s="83" t="str">
        <f t="shared" si="134"/>
        <v/>
      </c>
      <c r="B1247" s="83" t="str">
        <f t="shared" si="135"/>
        <v/>
      </c>
      <c r="S1247" s="83" t="str">
        <f t="shared" si="136"/>
        <v/>
      </c>
      <c r="T1247" s="83" t="str">
        <f t="shared" si="133"/>
        <v/>
      </c>
      <c r="Y1247" s="60">
        <f t="shared" si="137"/>
        <v>0</v>
      </c>
      <c r="Z1247" s="49">
        <f t="shared" si="138"/>
        <v>0</v>
      </c>
      <c r="AA1247" s="60">
        <f t="shared" si="139"/>
        <v>0</v>
      </c>
    </row>
    <row r="1248" spans="1:27">
      <c r="A1248" s="83" t="str">
        <f t="shared" si="134"/>
        <v/>
      </c>
      <c r="B1248" s="83" t="str">
        <f t="shared" si="135"/>
        <v/>
      </c>
      <c r="S1248" s="83" t="str">
        <f t="shared" si="136"/>
        <v/>
      </c>
      <c r="T1248" s="83" t="str">
        <f t="shared" si="133"/>
        <v/>
      </c>
      <c r="Y1248" s="60">
        <f t="shared" si="137"/>
        <v>0</v>
      </c>
      <c r="Z1248" s="49">
        <f t="shared" si="138"/>
        <v>0</v>
      </c>
      <c r="AA1248" s="60">
        <f t="shared" si="139"/>
        <v>0</v>
      </c>
    </row>
    <row r="1249" spans="1:27">
      <c r="A1249" s="83" t="str">
        <f t="shared" si="134"/>
        <v/>
      </c>
      <c r="B1249" s="83" t="str">
        <f t="shared" si="135"/>
        <v/>
      </c>
      <c r="S1249" s="83" t="str">
        <f t="shared" si="136"/>
        <v/>
      </c>
      <c r="T1249" s="83" t="str">
        <f t="shared" si="133"/>
        <v/>
      </c>
      <c r="Y1249" s="60">
        <f t="shared" si="137"/>
        <v>0</v>
      </c>
      <c r="Z1249" s="49">
        <f t="shared" si="138"/>
        <v>0</v>
      </c>
      <c r="AA1249" s="60">
        <f t="shared" si="139"/>
        <v>0</v>
      </c>
    </row>
    <row r="1250" spans="1:27">
      <c r="A1250" s="83" t="str">
        <f t="shared" si="134"/>
        <v/>
      </c>
      <c r="B1250" s="83" t="str">
        <f t="shared" si="135"/>
        <v/>
      </c>
      <c r="S1250" s="83" t="str">
        <f t="shared" si="136"/>
        <v/>
      </c>
      <c r="T1250" s="83" t="str">
        <f t="shared" si="133"/>
        <v/>
      </c>
      <c r="Y1250" s="60">
        <f t="shared" si="137"/>
        <v>0</v>
      </c>
      <c r="Z1250" s="49">
        <f t="shared" si="138"/>
        <v>0</v>
      </c>
      <c r="AA1250" s="60">
        <f t="shared" si="139"/>
        <v>0</v>
      </c>
    </row>
    <row r="1251" spans="1:27">
      <c r="A1251" s="83" t="str">
        <f t="shared" si="134"/>
        <v/>
      </c>
      <c r="B1251" s="83" t="str">
        <f t="shared" si="135"/>
        <v/>
      </c>
      <c r="S1251" s="83" t="str">
        <f t="shared" si="136"/>
        <v/>
      </c>
      <c r="T1251" s="83" t="str">
        <f t="shared" si="133"/>
        <v/>
      </c>
      <c r="Y1251" s="60">
        <f t="shared" si="137"/>
        <v>0</v>
      </c>
      <c r="Z1251" s="49">
        <f t="shared" si="138"/>
        <v>0</v>
      </c>
      <c r="AA1251" s="60">
        <f t="shared" si="139"/>
        <v>0</v>
      </c>
    </row>
    <row r="1252" spans="1:27">
      <c r="A1252" s="83" t="str">
        <f t="shared" si="134"/>
        <v/>
      </c>
      <c r="B1252" s="83" t="str">
        <f t="shared" si="135"/>
        <v/>
      </c>
      <c r="S1252" s="83" t="str">
        <f t="shared" si="136"/>
        <v/>
      </c>
      <c r="T1252" s="83" t="str">
        <f t="shared" si="133"/>
        <v/>
      </c>
      <c r="Y1252" s="60">
        <f t="shared" si="137"/>
        <v>0</v>
      </c>
      <c r="Z1252" s="49">
        <f t="shared" si="138"/>
        <v>0</v>
      </c>
      <c r="AA1252" s="60">
        <f t="shared" si="139"/>
        <v>0</v>
      </c>
    </row>
    <row r="1253" spans="1:27">
      <c r="A1253" s="83" t="str">
        <f t="shared" si="134"/>
        <v/>
      </c>
      <c r="B1253" s="83" t="str">
        <f t="shared" si="135"/>
        <v/>
      </c>
      <c r="S1253" s="83" t="str">
        <f t="shared" si="136"/>
        <v/>
      </c>
      <c r="T1253" s="83" t="str">
        <f t="shared" si="133"/>
        <v/>
      </c>
      <c r="Y1253" s="60">
        <f t="shared" si="137"/>
        <v>0</v>
      </c>
      <c r="Z1253" s="49">
        <f t="shared" si="138"/>
        <v>0</v>
      </c>
      <c r="AA1253" s="60">
        <f t="shared" si="139"/>
        <v>0</v>
      </c>
    </row>
    <row r="1254" spans="1:27">
      <c r="A1254" s="83" t="str">
        <f t="shared" si="134"/>
        <v/>
      </c>
      <c r="B1254" s="83" t="str">
        <f t="shared" si="135"/>
        <v/>
      </c>
      <c r="S1254" s="83" t="str">
        <f t="shared" si="136"/>
        <v/>
      </c>
      <c r="T1254" s="83" t="str">
        <f t="shared" si="133"/>
        <v/>
      </c>
      <c r="Y1254" s="60">
        <f t="shared" si="137"/>
        <v>0</v>
      </c>
      <c r="Z1254" s="49">
        <f t="shared" si="138"/>
        <v>0</v>
      </c>
      <c r="AA1254" s="60">
        <f t="shared" si="139"/>
        <v>0</v>
      </c>
    </row>
    <row r="1255" spans="1:27">
      <c r="A1255" s="83" t="str">
        <f t="shared" si="134"/>
        <v/>
      </c>
      <c r="B1255" s="83" t="str">
        <f t="shared" si="135"/>
        <v/>
      </c>
      <c r="S1255" s="83" t="str">
        <f t="shared" si="136"/>
        <v/>
      </c>
      <c r="T1255" s="83" t="str">
        <f t="shared" si="133"/>
        <v/>
      </c>
      <c r="Y1255" s="60">
        <f t="shared" si="137"/>
        <v>0</v>
      </c>
      <c r="Z1255" s="49">
        <f t="shared" si="138"/>
        <v>0</v>
      </c>
      <c r="AA1255" s="60">
        <f t="shared" si="139"/>
        <v>0</v>
      </c>
    </row>
    <row r="1256" spans="1:27">
      <c r="A1256" s="83" t="str">
        <f t="shared" si="134"/>
        <v/>
      </c>
      <c r="B1256" s="83" t="str">
        <f t="shared" si="135"/>
        <v/>
      </c>
      <c r="S1256" s="83" t="str">
        <f t="shared" si="136"/>
        <v/>
      </c>
      <c r="T1256" s="83" t="str">
        <f t="shared" si="133"/>
        <v/>
      </c>
      <c r="Y1256" s="60">
        <f t="shared" si="137"/>
        <v>0</v>
      </c>
      <c r="Z1256" s="49">
        <f t="shared" si="138"/>
        <v>0</v>
      </c>
      <c r="AA1256" s="60">
        <f t="shared" si="139"/>
        <v>0</v>
      </c>
    </row>
    <row r="1257" spans="1:27">
      <c r="A1257" s="83" t="str">
        <f t="shared" si="134"/>
        <v/>
      </c>
      <c r="B1257" s="83" t="str">
        <f t="shared" si="135"/>
        <v/>
      </c>
      <c r="S1257" s="83" t="str">
        <f t="shared" si="136"/>
        <v/>
      </c>
      <c r="T1257" s="83" t="str">
        <f t="shared" si="133"/>
        <v/>
      </c>
      <c r="Y1257" s="60">
        <f t="shared" si="137"/>
        <v>0</v>
      </c>
      <c r="Z1257" s="49">
        <f t="shared" si="138"/>
        <v>0</v>
      </c>
      <c r="AA1257" s="60">
        <f t="shared" si="139"/>
        <v>0</v>
      </c>
    </row>
    <row r="1258" spans="1:27">
      <c r="A1258" s="83" t="str">
        <f t="shared" si="134"/>
        <v/>
      </c>
      <c r="B1258" s="83" t="str">
        <f t="shared" si="135"/>
        <v/>
      </c>
      <c r="S1258" s="83" t="str">
        <f t="shared" si="136"/>
        <v/>
      </c>
      <c r="T1258" s="83" t="str">
        <f t="shared" si="133"/>
        <v/>
      </c>
      <c r="Y1258" s="60">
        <f t="shared" si="137"/>
        <v>0</v>
      </c>
      <c r="Z1258" s="49">
        <f t="shared" si="138"/>
        <v>0</v>
      </c>
      <c r="AA1258" s="60">
        <f t="shared" si="139"/>
        <v>0</v>
      </c>
    </row>
    <row r="1259" spans="1:27">
      <c r="A1259" s="83" t="str">
        <f t="shared" si="134"/>
        <v/>
      </c>
      <c r="B1259" s="83" t="str">
        <f t="shared" si="135"/>
        <v/>
      </c>
      <c r="S1259" s="83" t="str">
        <f t="shared" si="136"/>
        <v/>
      </c>
      <c r="T1259" s="83" t="str">
        <f t="shared" si="133"/>
        <v/>
      </c>
      <c r="Y1259" s="60">
        <f t="shared" si="137"/>
        <v>0</v>
      </c>
      <c r="Z1259" s="49">
        <f t="shared" si="138"/>
        <v>0</v>
      </c>
      <c r="AA1259" s="60">
        <f t="shared" si="139"/>
        <v>0</v>
      </c>
    </row>
    <row r="1260" spans="1:27">
      <c r="A1260" s="83" t="str">
        <f t="shared" si="134"/>
        <v/>
      </c>
      <c r="B1260" s="83" t="str">
        <f t="shared" si="135"/>
        <v/>
      </c>
      <c r="S1260" s="83" t="str">
        <f t="shared" si="136"/>
        <v/>
      </c>
      <c r="T1260" s="83" t="str">
        <f t="shared" si="133"/>
        <v/>
      </c>
      <c r="Y1260" s="60">
        <f t="shared" si="137"/>
        <v>0</v>
      </c>
      <c r="Z1260" s="49">
        <f t="shared" si="138"/>
        <v>0</v>
      </c>
      <c r="AA1260" s="60">
        <f t="shared" si="139"/>
        <v>0</v>
      </c>
    </row>
    <row r="1261" spans="1:27">
      <c r="A1261" s="83" t="str">
        <f t="shared" si="134"/>
        <v/>
      </c>
      <c r="B1261" s="83" t="str">
        <f t="shared" si="135"/>
        <v/>
      </c>
      <c r="S1261" s="83" t="str">
        <f t="shared" si="136"/>
        <v/>
      </c>
      <c r="T1261" s="83" t="str">
        <f t="shared" si="133"/>
        <v/>
      </c>
      <c r="Y1261" s="60">
        <f t="shared" si="137"/>
        <v>0</v>
      </c>
      <c r="Z1261" s="49">
        <f t="shared" si="138"/>
        <v>0</v>
      </c>
      <c r="AA1261" s="60">
        <f t="shared" si="139"/>
        <v>0</v>
      </c>
    </row>
    <row r="1262" spans="1:27">
      <c r="A1262" s="83" t="str">
        <f t="shared" si="134"/>
        <v/>
      </c>
      <c r="B1262" s="83" t="str">
        <f t="shared" si="135"/>
        <v/>
      </c>
      <c r="S1262" s="83" t="str">
        <f t="shared" si="136"/>
        <v/>
      </c>
      <c r="T1262" s="83" t="str">
        <f t="shared" si="133"/>
        <v/>
      </c>
      <c r="Y1262" s="60">
        <f t="shared" si="137"/>
        <v>0</v>
      </c>
      <c r="Z1262" s="49">
        <f t="shared" si="138"/>
        <v>0</v>
      </c>
      <c r="AA1262" s="60">
        <f t="shared" si="139"/>
        <v>0</v>
      </c>
    </row>
    <row r="1263" spans="1:27">
      <c r="A1263" s="83" t="str">
        <f t="shared" si="134"/>
        <v/>
      </c>
      <c r="B1263" s="83" t="str">
        <f t="shared" si="135"/>
        <v/>
      </c>
      <c r="S1263" s="83" t="str">
        <f t="shared" si="136"/>
        <v/>
      </c>
      <c r="T1263" s="83" t="str">
        <f t="shared" si="133"/>
        <v/>
      </c>
      <c r="Y1263" s="60">
        <f t="shared" si="137"/>
        <v>0</v>
      </c>
      <c r="Z1263" s="49">
        <f t="shared" si="138"/>
        <v>0</v>
      </c>
      <c r="AA1263" s="60">
        <f t="shared" si="139"/>
        <v>0</v>
      </c>
    </row>
    <row r="1264" spans="1:27">
      <c r="A1264" s="83" t="str">
        <f t="shared" si="134"/>
        <v/>
      </c>
      <c r="B1264" s="83" t="str">
        <f t="shared" si="135"/>
        <v/>
      </c>
      <c r="S1264" s="83" t="str">
        <f t="shared" si="136"/>
        <v/>
      </c>
      <c r="T1264" s="83" t="str">
        <f t="shared" si="133"/>
        <v/>
      </c>
      <c r="Y1264" s="60">
        <f t="shared" si="137"/>
        <v>0</v>
      </c>
      <c r="Z1264" s="49">
        <f t="shared" si="138"/>
        <v>0</v>
      </c>
      <c r="AA1264" s="60">
        <f t="shared" si="139"/>
        <v>0</v>
      </c>
    </row>
    <row r="1265" spans="1:27">
      <c r="A1265" s="83" t="str">
        <f t="shared" si="134"/>
        <v/>
      </c>
      <c r="B1265" s="83" t="str">
        <f t="shared" si="135"/>
        <v/>
      </c>
      <c r="S1265" s="83" t="str">
        <f t="shared" si="136"/>
        <v/>
      </c>
      <c r="T1265" s="83" t="str">
        <f t="shared" si="133"/>
        <v/>
      </c>
      <c r="Y1265" s="60">
        <f t="shared" si="137"/>
        <v>0</v>
      </c>
      <c r="Z1265" s="49">
        <f t="shared" si="138"/>
        <v>0</v>
      </c>
      <c r="AA1265" s="60">
        <f t="shared" si="139"/>
        <v>0</v>
      </c>
    </row>
    <row r="1266" spans="1:27">
      <c r="A1266" s="83" t="str">
        <f t="shared" si="134"/>
        <v/>
      </c>
      <c r="B1266" s="83" t="str">
        <f t="shared" si="135"/>
        <v/>
      </c>
      <c r="S1266" s="83" t="str">
        <f t="shared" si="136"/>
        <v/>
      </c>
      <c r="T1266" s="83" t="str">
        <f t="shared" si="133"/>
        <v/>
      </c>
      <c r="Y1266" s="60">
        <f t="shared" si="137"/>
        <v>0</v>
      </c>
      <c r="Z1266" s="49">
        <f t="shared" si="138"/>
        <v>0</v>
      </c>
      <c r="AA1266" s="60">
        <f t="shared" si="139"/>
        <v>0</v>
      </c>
    </row>
    <row r="1267" spans="1:27">
      <c r="A1267" s="83" t="str">
        <f t="shared" si="134"/>
        <v/>
      </c>
      <c r="B1267" s="83" t="str">
        <f t="shared" si="135"/>
        <v/>
      </c>
      <c r="S1267" s="83" t="str">
        <f t="shared" si="136"/>
        <v/>
      </c>
      <c r="T1267" s="83" t="str">
        <f t="shared" si="133"/>
        <v/>
      </c>
      <c r="Y1267" s="60">
        <f t="shared" si="137"/>
        <v>0</v>
      </c>
      <c r="Z1267" s="49">
        <f t="shared" si="138"/>
        <v>0</v>
      </c>
      <c r="AA1267" s="60">
        <f t="shared" si="139"/>
        <v>0</v>
      </c>
    </row>
    <row r="1268" spans="1:27">
      <c r="A1268" s="83" t="str">
        <f t="shared" si="134"/>
        <v/>
      </c>
      <c r="B1268" s="83" t="str">
        <f t="shared" si="135"/>
        <v/>
      </c>
      <c r="S1268" s="83" t="str">
        <f t="shared" si="136"/>
        <v/>
      </c>
      <c r="T1268" s="83" t="str">
        <f t="shared" si="133"/>
        <v/>
      </c>
      <c r="Y1268" s="60">
        <f t="shared" si="137"/>
        <v>0</v>
      </c>
      <c r="Z1268" s="49">
        <f t="shared" si="138"/>
        <v>0</v>
      </c>
      <c r="AA1268" s="60">
        <f t="shared" si="139"/>
        <v>0</v>
      </c>
    </row>
    <row r="1269" spans="1:27">
      <c r="A1269" s="83" t="str">
        <f t="shared" si="134"/>
        <v/>
      </c>
      <c r="B1269" s="83" t="str">
        <f t="shared" si="135"/>
        <v/>
      </c>
      <c r="S1269" s="83" t="str">
        <f t="shared" si="136"/>
        <v/>
      </c>
      <c r="T1269" s="83" t="str">
        <f t="shared" si="133"/>
        <v/>
      </c>
      <c r="Y1269" s="60">
        <f t="shared" si="137"/>
        <v>0</v>
      </c>
      <c r="Z1269" s="49">
        <f t="shared" si="138"/>
        <v>0</v>
      </c>
      <c r="AA1269" s="60">
        <f t="shared" si="139"/>
        <v>0</v>
      </c>
    </row>
    <row r="1270" spans="1:27">
      <c r="A1270" s="83" t="str">
        <f t="shared" si="134"/>
        <v/>
      </c>
      <c r="B1270" s="83" t="str">
        <f t="shared" si="135"/>
        <v/>
      </c>
      <c r="S1270" s="83" t="str">
        <f t="shared" si="136"/>
        <v/>
      </c>
      <c r="T1270" s="83" t="str">
        <f t="shared" si="133"/>
        <v/>
      </c>
      <c r="Y1270" s="60">
        <f t="shared" si="137"/>
        <v>0</v>
      </c>
      <c r="Z1270" s="49">
        <f t="shared" si="138"/>
        <v>0</v>
      </c>
      <c r="AA1270" s="60">
        <f t="shared" si="139"/>
        <v>0</v>
      </c>
    </row>
    <row r="1271" spans="1:27">
      <c r="A1271" s="83" t="str">
        <f t="shared" si="134"/>
        <v/>
      </c>
      <c r="B1271" s="83" t="str">
        <f t="shared" si="135"/>
        <v/>
      </c>
      <c r="S1271" s="83" t="str">
        <f t="shared" si="136"/>
        <v/>
      </c>
      <c r="T1271" s="83" t="str">
        <f t="shared" si="133"/>
        <v/>
      </c>
      <c r="Y1271" s="60">
        <f t="shared" si="137"/>
        <v>0</v>
      </c>
      <c r="Z1271" s="49">
        <f t="shared" si="138"/>
        <v>0</v>
      </c>
      <c r="AA1271" s="60">
        <f t="shared" si="139"/>
        <v>0</v>
      </c>
    </row>
    <row r="1272" spans="1:27">
      <c r="A1272" s="83" t="str">
        <f t="shared" si="134"/>
        <v/>
      </c>
      <c r="B1272" s="83" t="str">
        <f t="shared" si="135"/>
        <v/>
      </c>
      <c r="S1272" s="83" t="str">
        <f t="shared" si="136"/>
        <v/>
      </c>
      <c r="T1272" s="83" t="str">
        <f t="shared" si="133"/>
        <v/>
      </c>
      <c r="Y1272" s="60">
        <f t="shared" si="137"/>
        <v>0</v>
      </c>
      <c r="Z1272" s="49">
        <f t="shared" si="138"/>
        <v>0</v>
      </c>
      <c r="AA1272" s="60">
        <f t="shared" si="139"/>
        <v>0</v>
      </c>
    </row>
    <row r="1273" spans="1:27">
      <c r="A1273" s="83" t="str">
        <f t="shared" si="134"/>
        <v/>
      </c>
      <c r="B1273" s="83" t="str">
        <f t="shared" si="135"/>
        <v/>
      </c>
      <c r="S1273" s="83" t="str">
        <f t="shared" si="136"/>
        <v/>
      </c>
      <c r="T1273" s="83" t="str">
        <f t="shared" si="133"/>
        <v/>
      </c>
      <c r="Y1273" s="60">
        <f t="shared" si="137"/>
        <v>0</v>
      </c>
      <c r="Z1273" s="49">
        <f t="shared" si="138"/>
        <v>0</v>
      </c>
      <c r="AA1273" s="60">
        <f t="shared" si="139"/>
        <v>0</v>
      </c>
    </row>
    <row r="1274" spans="1:27">
      <c r="A1274" s="83" t="str">
        <f t="shared" si="134"/>
        <v/>
      </c>
      <c r="B1274" s="83" t="str">
        <f t="shared" si="135"/>
        <v/>
      </c>
      <c r="S1274" s="83" t="str">
        <f t="shared" si="136"/>
        <v/>
      </c>
      <c r="T1274" s="83" t="str">
        <f t="shared" si="133"/>
        <v/>
      </c>
      <c r="Y1274" s="60">
        <f t="shared" si="137"/>
        <v>0</v>
      </c>
      <c r="Z1274" s="49">
        <f t="shared" si="138"/>
        <v>0</v>
      </c>
      <c r="AA1274" s="60">
        <f t="shared" si="139"/>
        <v>0</v>
      </c>
    </row>
    <row r="1275" spans="1:27">
      <c r="A1275" s="83" t="str">
        <f t="shared" si="134"/>
        <v/>
      </c>
      <c r="B1275" s="83" t="str">
        <f t="shared" si="135"/>
        <v/>
      </c>
      <c r="S1275" s="83" t="str">
        <f t="shared" si="136"/>
        <v/>
      </c>
      <c r="T1275" s="83" t="str">
        <f t="shared" si="133"/>
        <v/>
      </c>
      <c r="Y1275" s="60">
        <f t="shared" si="137"/>
        <v>0</v>
      </c>
      <c r="Z1275" s="49">
        <f t="shared" si="138"/>
        <v>0</v>
      </c>
      <c r="AA1275" s="60">
        <f t="shared" si="139"/>
        <v>0</v>
      </c>
    </row>
    <row r="1276" spans="1:27">
      <c r="A1276" s="83" t="str">
        <f t="shared" si="134"/>
        <v/>
      </c>
      <c r="B1276" s="83" t="str">
        <f t="shared" si="135"/>
        <v/>
      </c>
      <c r="S1276" s="83" t="str">
        <f t="shared" si="136"/>
        <v/>
      </c>
      <c r="T1276" s="83" t="str">
        <f t="shared" si="133"/>
        <v/>
      </c>
      <c r="Y1276" s="60">
        <f t="shared" si="137"/>
        <v>0</v>
      </c>
      <c r="Z1276" s="49">
        <f t="shared" si="138"/>
        <v>0</v>
      </c>
      <c r="AA1276" s="60">
        <f t="shared" si="139"/>
        <v>0</v>
      </c>
    </row>
    <row r="1277" spans="1:27">
      <c r="A1277" s="83" t="str">
        <f t="shared" si="134"/>
        <v/>
      </c>
      <c r="B1277" s="83" t="str">
        <f t="shared" si="135"/>
        <v/>
      </c>
      <c r="S1277" s="83" t="str">
        <f t="shared" si="136"/>
        <v/>
      </c>
      <c r="T1277" s="83" t="str">
        <f t="shared" si="133"/>
        <v/>
      </c>
      <c r="Y1277" s="60">
        <f t="shared" si="137"/>
        <v>0</v>
      </c>
      <c r="Z1277" s="49">
        <f t="shared" si="138"/>
        <v>0</v>
      </c>
      <c r="AA1277" s="60">
        <f t="shared" si="139"/>
        <v>0</v>
      </c>
    </row>
    <row r="1278" spans="1:27">
      <c r="A1278" s="83" t="str">
        <f t="shared" si="134"/>
        <v/>
      </c>
      <c r="B1278" s="83" t="str">
        <f t="shared" si="135"/>
        <v/>
      </c>
      <c r="S1278" s="83" t="str">
        <f t="shared" si="136"/>
        <v/>
      </c>
      <c r="T1278" s="83" t="str">
        <f t="shared" si="133"/>
        <v/>
      </c>
      <c r="Y1278" s="60">
        <f t="shared" si="137"/>
        <v>0</v>
      </c>
      <c r="Z1278" s="49">
        <f t="shared" si="138"/>
        <v>0</v>
      </c>
      <c r="AA1278" s="60">
        <f t="shared" si="139"/>
        <v>0</v>
      </c>
    </row>
    <row r="1279" spans="1:27">
      <c r="A1279" s="83" t="str">
        <f t="shared" si="134"/>
        <v/>
      </c>
      <c r="B1279" s="83" t="str">
        <f t="shared" si="135"/>
        <v/>
      </c>
      <c r="S1279" s="83" t="str">
        <f t="shared" si="136"/>
        <v/>
      </c>
      <c r="T1279" s="83" t="str">
        <f t="shared" si="133"/>
        <v/>
      </c>
      <c r="Y1279" s="60">
        <f t="shared" si="137"/>
        <v>0</v>
      </c>
      <c r="Z1279" s="49">
        <f t="shared" si="138"/>
        <v>0</v>
      </c>
      <c r="AA1279" s="60">
        <f t="shared" si="139"/>
        <v>0</v>
      </c>
    </row>
    <row r="1280" spans="1:27">
      <c r="A1280" s="83" t="str">
        <f t="shared" si="134"/>
        <v/>
      </c>
      <c r="B1280" s="83" t="str">
        <f t="shared" si="135"/>
        <v/>
      </c>
      <c r="S1280" s="83" t="str">
        <f t="shared" si="136"/>
        <v/>
      </c>
      <c r="T1280" s="83" t="str">
        <f t="shared" si="133"/>
        <v/>
      </c>
      <c r="Y1280" s="60">
        <f t="shared" si="137"/>
        <v>0</v>
      </c>
      <c r="Z1280" s="49">
        <f t="shared" si="138"/>
        <v>0</v>
      </c>
      <c r="AA1280" s="60">
        <f t="shared" si="139"/>
        <v>0</v>
      </c>
    </row>
    <row r="1281" spans="1:27">
      <c r="A1281" s="83" t="str">
        <f t="shared" si="134"/>
        <v/>
      </c>
      <c r="B1281" s="83" t="str">
        <f t="shared" si="135"/>
        <v/>
      </c>
      <c r="S1281" s="83" t="str">
        <f t="shared" si="136"/>
        <v/>
      </c>
      <c r="T1281" s="83" t="str">
        <f t="shared" si="133"/>
        <v/>
      </c>
      <c r="Y1281" s="60">
        <f t="shared" si="137"/>
        <v>0</v>
      </c>
      <c r="Z1281" s="49">
        <f t="shared" si="138"/>
        <v>0</v>
      </c>
      <c r="AA1281" s="60">
        <f t="shared" si="139"/>
        <v>0</v>
      </c>
    </row>
    <row r="1282" spans="1:27">
      <c r="A1282" s="83" t="str">
        <f t="shared" si="134"/>
        <v/>
      </c>
      <c r="B1282" s="83" t="str">
        <f t="shared" si="135"/>
        <v/>
      </c>
      <c r="S1282" s="83" t="str">
        <f t="shared" si="136"/>
        <v/>
      </c>
      <c r="T1282" s="83" t="str">
        <f t="shared" ref="T1282:T1345" si="140">IF(A1282&lt;&gt;"",IF(FIND(" ",G1282)&gt;=1,MID(G1282,FIND(" ",G1282)+1,LEN(G1282)),""),"")</f>
        <v/>
      </c>
      <c r="Y1282" s="60">
        <f t="shared" si="137"/>
        <v>0</v>
      </c>
      <c r="Z1282" s="49">
        <f t="shared" si="138"/>
        <v>0</v>
      </c>
      <c r="AA1282" s="60">
        <f t="shared" si="139"/>
        <v>0</v>
      </c>
    </row>
    <row r="1283" spans="1:27">
      <c r="A1283" s="83" t="str">
        <f t="shared" ref="A1283:A1346" si="141">IF(G1283&amp;Q1283&lt;&gt;"",S1283&amp;Q1283,"")</f>
        <v/>
      </c>
      <c r="B1283" s="83" t="str">
        <f t="shared" ref="B1283:B1346" si="142">IF(C1283&lt;&gt;"",LEFT(C1283,9),"")</f>
        <v/>
      </c>
      <c r="S1283" s="83" t="str">
        <f t="shared" ref="S1283:S1346" si="143">IF(G1283&lt;&gt;"",IF(FIND(" ",G1283)&gt;=1,MID(G1283,1,FIND(" ",G1283)-1),G1283),"")</f>
        <v/>
      </c>
      <c r="T1283" s="83" t="str">
        <f t="shared" si="140"/>
        <v/>
      </c>
      <c r="Y1283" s="60">
        <f t="shared" ref="Y1283:Y1346" si="144">IFERROR(VALUE(MID($C1283,1,2)),0)</f>
        <v>0</v>
      </c>
      <c r="Z1283" s="49">
        <f t="shared" ref="Z1283:Z1346" si="145">IFERROR(VALUE(MID($C1283,4,3)),0)</f>
        <v>0</v>
      </c>
      <c r="AA1283" s="60">
        <f t="shared" ref="AA1283:AA1346" si="146">VALUE(RIGHT("00"&amp;Y1283,2)&amp;RIGHT("000"&amp;Z1283,3))</f>
        <v>0</v>
      </c>
    </row>
    <row r="1284" spans="1:27">
      <c r="A1284" s="83" t="str">
        <f t="shared" si="141"/>
        <v/>
      </c>
      <c r="B1284" s="83" t="str">
        <f t="shared" si="142"/>
        <v/>
      </c>
      <c r="S1284" s="83" t="str">
        <f t="shared" si="143"/>
        <v/>
      </c>
      <c r="T1284" s="83" t="str">
        <f t="shared" si="140"/>
        <v/>
      </c>
      <c r="Y1284" s="60">
        <f t="shared" si="144"/>
        <v>0</v>
      </c>
      <c r="Z1284" s="49">
        <f t="shared" si="145"/>
        <v>0</v>
      </c>
      <c r="AA1284" s="60">
        <f t="shared" si="146"/>
        <v>0</v>
      </c>
    </row>
    <row r="1285" spans="1:27">
      <c r="A1285" s="83" t="str">
        <f t="shared" si="141"/>
        <v/>
      </c>
      <c r="B1285" s="83" t="str">
        <f t="shared" si="142"/>
        <v/>
      </c>
      <c r="S1285" s="83" t="str">
        <f t="shared" si="143"/>
        <v/>
      </c>
      <c r="T1285" s="83" t="str">
        <f t="shared" si="140"/>
        <v/>
      </c>
      <c r="Y1285" s="60">
        <f t="shared" si="144"/>
        <v>0</v>
      </c>
      <c r="Z1285" s="49">
        <f t="shared" si="145"/>
        <v>0</v>
      </c>
      <c r="AA1285" s="60">
        <f t="shared" si="146"/>
        <v>0</v>
      </c>
    </row>
    <row r="1286" spans="1:27">
      <c r="A1286" s="83" t="str">
        <f t="shared" si="141"/>
        <v/>
      </c>
      <c r="B1286" s="83" t="str">
        <f t="shared" si="142"/>
        <v/>
      </c>
      <c r="S1286" s="83" t="str">
        <f t="shared" si="143"/>
        <v/>
      </c>
      <c r="T1286" s="83" t="str">
        <f t="shared" si="140"/>
        <v/>
      </c>
      <c r="Y1286" s="60">
        <f t="shared" si="144"/>
        <v>0</v>
      </c>
      <c r="Z1286" s="49">
        <f t="shared" si="145"/>
        <v>0</v>
      </c>
      <c r="AA1286" s="60">
        <f t="shared" si="146"/>
        <v>0</v>
      </c>
    </row>
    <row r="1287" spans="1:27">
      <c r="A1287" s="83" t="str">
        <f t="shared" si="141"/>
        <v/>
      </c>
      <c r="B1287" s="83" t="str">
        <f t="shared" si="142"/>
        <v/>
      </c>
      <c r="S1287" s="83" t="str">
        <f t="shared" si="143"/>
        <v/>
      </c>
      <c r="T1287" s="83" t="str">
        <f t="shared" si="140"/>
        <v/>
      </c>
      <c r="Y1287" s="60">
        <f t="shared" si="144"/>
        <v>0</v>
      </c>
      <c r="Z1287" s="49">
        <f t="shared" si="145"/>
        <v>0</v>
      </c>
      <c r="AA1287" s="60">
        <f t="shared" si="146"/>
        <v>0</v>
      </c>
    </row>
    <row r="1288" spans="1:27">
      <c r="A1288" s="83" t="str">
        <f t="shared" si="141"/>
        <v/>
      </c>
      <c r="B1288" s="83" t="str">
        <f t="shared" si="142"/>
        <v/>
      </c>
      <c r="S1288" s="83" t="str">
        <f t="shared" si="143"/>
        <v/>
      </c>
      <c r="T1288" s="83" t="str">
        <f t="shared" si="140"/>
        <v/>
      </c>
      <c r="Y1288" s="60">
        <f t="shared" si="144"/>
        <v>0</v>
      </c>
      <c r="Z1288" s="49">
        <f t="shared" si="145"/>
        <v>0</v>
      </c>
      <c r="AA1288" s="60">
        <f t="shared" si="146"/>
        <v>0</v>
      </c>
    </row>
    <row r="1289" spans="1:27">
      <c r="A1289" s="83" t="str">
        <f t="shared" si="141"/>
        <v/>
      </c>
      <c r="B1289" s="83" t="str">
        <f t="shared" si="142"/>
        <v/>
      </c>
      <c r="S1289" s="83" t="str">
        <f t="shared" si="143"/>
        <v/>
      </c>
      <c r="T1289" s="83" t="str">
        <f t="shared" si="140"/>
        <v/>
      </c>
      <c r="Y1289" s="60">
        <f t="shared" si="144"/>
        <v>0</v>
      </c>
      <c r="Z1289" s="49">
        <f t="shared" si="145"/>
        <v>0</v>
      </c>
      <c r="AA1289" s="60">
        <f t="shared" si="146"/>
        <v>0</v>
      </c>
    </row>
    <row r="1290" spans="1:27">
      <c r="A1290" s="83" t="str">
        <f t="shared" si="141"/>
        <v/>
      </c>
      <c r="B1290" s="83" t="str">
        <f t="shared" si="142"/>
        <v/>
      </c>
      <c r="S1290" s="83" t="str">
        <f t="shared" si="143"/>
        <v/>
      </c>
      <c r="T1290" s="83" t="str">
        <f t="shared" si="140"/>
        <v/>
      </c>
      <c r="Y1290" s="60">
        <f t="shared" si="144"/>
        <v>0</v>
      </c>
      <c r="Z1290" s="49">
        <f t="shared" si="145"/>
        <v>0</v>
      </c>
      <c r="AA1290" s="60">
        <f t="shared" si="146"/>
        <v>0</v>
      </c>
    </row>
    <row r="1291" spans="1:27">
      <c r="A1291" s="83" t="str">
        <f t="shared" si="141"/>
        <v/>
      </c>
      <c r="B1291" s="83" t="str">
        <f t="shared" si="142"/>
        <v/>
      </c>
      <c r="S1291" s="83" t="str">
        <f t="shared" si="143"/>
        <v/>
      </c>
      <c r="T1291" s="83" t="str">
        <f t="shared" si="140"/>
        <v/>
      </c>
      <c r="Y1291" s="60">
        <f t="shared" si="144"/>
        <v>0</v>
      </c>
      <c r="Z1291" s="49">
        <f t="shared" si="145"/>
        <v>0</v>
      </c>
      <c r="AA1291" s="60">
        <f t="shared" si="146"/>
        <v>0</v>
      </c>
    </row>
    <row r="1292" spans="1:27">
      <c r="A1292" s="83" t="str">
        <f t="shared" si="141"/>
        <v/>
      </c>
      <c r="B1292" s="83" t="str">
        <f t="shared" si="142"/>
        <v/>
      </c>
      <c r="S1292" s="83" t="str">
        <f t="shared" si="143"/>
        <v/>
      </c>
      <c r="T1292" s="83" t="str">
        <f t="shared" si="140"/>
        <v/>
      </c>
      <c r="Y1292" s="60">
        <f t="shared" si="144"/>
        <v>0</v>
      </c>
      <c r="Z1292" s="49">
        <f t="shared" si="145"/>
        <v>0</v>
      </c>
      <c r="AA1292" s="60">
        <f t="shared" si="146"/>
        <v>0</v>
      </c>
    </row>
    <row r="1293" spans="1:27">
      <c r="A1293" s="83" t="str">
        <f t="shared" si="141"/>
        <v/>
      </c>
      <c r="B1293" s="83" t="str">
        <f t="shared" si="142"/>
        <v/>
      </c>
      <c r="S1293" s="83" t="str">
        <f t="shared" si="143"/>
        <v/>
      </c>
      <c r="T1293" s="83" t="str">
        <f t="shared" si="140"/>
        <v/>
      </c>
      <c r="Y1293" s="60">
        <f t="shared" si="144"/>
        <v>0</v>
      </c>
      <c r="Z1293" s="49">
        <f t="shared" si="145"/>
        <v>0</v>
      </c>
      <c r="AA1293" s="60">
        <f t="shared" si="146"/>
        <v>0</v>
      </c>
    </row>
    <row r="1294" spans="1:27">
      <c r="A1294" s="83" t="str">
        <f t="shared" si="141"/>
        <v/>
      </c>
      <c r="B1294" s="83" t="str">
        <f t="shared" si="142"/>
        <v/>
      </c>
      <c r="S1294" s="83" t="str">
        <f t="shared" si="143"/>
        <v/>
      </c>
      <c r="T1294" s="83" t="str">
        <f t="shared" si="140"/>
        <v/>
      </c>
      <c r="Y1294" s="60">
        <f t="shared" si="144"/>
        <v>0</v>
      </c>
      <c r="Z1294" s="49">
        <f t="shared" si="145"/>
        <v>0</v>
      </c>
      <c r="AA1294" s="60">
        <f t="shared" si="146"/>
        <v>0</v>
      </c>
    </row>
    <row r="1295" spans="1:27">
      <c r="A1295" s="83" t="str">
        <f t="shared" si="141"/>
        <v/>
      </c>
      <c r="B1295" s="83" t="str">
        <f t="shared" si="142"/>
        <v/>
      </c>
      <c r="S1295" s="83" t="str">
        <f t="shared" si="143"/>
        <v/>
      </c>
      <c r="T1295" s="83" t="str">
        <f t="shared" si="140"/>
        <v/>
      </c>
      <c r="Y1295" s="60">
        <f t="shared" si="144"/>
        <v>0</v>
      </c>
      <c r="Z1295" s="49">
        <f t="shared" si="145"/>
        <v>0</v>
      </c>
      <c r="AA1295" s="60">
        <f t="shared" si="146"/>
        <v>0</v>
      </c>
    </row>
    <row r="1296" spans="1:27">
      <c r="A1296" s="83" t="str">
        <f t="shared" si="141"/>
        <v/>
      </c>
      <c r="B1296" s="83" t="str">
        <f t="shared" si="142"/>
        <v/>
      </c>
      <c r="S1296" s="83" t="str">
        <f t="shared" si="143"/>
        <v/>
      </c>
      <c r="T1296" s="83" t="str">
        <f t="shared" si="140"/>
        <v/>
      </c>
      <c r="Y1296" s="60">
        <f t="shared" si="144"/>
        <v>0</v>
      </c>
      <c r="Z1296" s="49">
        <f t="shared" si="145"/>
        <v>0</v>
      </c>
      <c r="AA1296" s="60">
        <f t="shared" si="146"/>
        <v>0</v>
      </c>
    </row>
    <row r="1297" spans="1:27">
      <c r="A1297" s="83" t="str">
        <f t="shared" si="141"/>
        <v/>
      </c>
      <c r="B1297" s="83" t="str">
        <f t="shared" si="142"/>
        <v/>
      </c>
      <c r="S1297" s="83" t="str">
        <f t="shared" si="143"/>
        <v/>
      </c>
      <c r="T1297" s="83" t="str">
        <f t="shared" si="140"/>
        <v/>
      </c>
      <c r="Y1297" s="60">
        <f t="shared" si="144"/>
        <v>0</v>
      </c>
      <c r="Z1297" s="49">
        <f t="shared" si="145"/>
        <v>0</v>
      </c>
      <c r="AA1297" s="60">
        <f t="shared" si="146"/>
        <v>0</v>
      </c>
    </row>
    <row r="1298" spans="1:27">
      <c r="A1298" s="83" t="str">
        <f t="shared" si="141"/>
        <v/>
      </c>
      <c r="B1298" s="83" t="str">
        <f t="shared" si="142"/>
        <v/>
      </c>
      <c r="S1298" s="83" t="str">
        <f t="shared" si="143"/>
        <v/>
      </c>
      <c r="T1298" s="83" t="str">
        <f t="shared" si="140"/>
        <v/>
      </c>
      <c r="Y1298" s="60">
        <f t="shared" si="144"/>
        <v>0</v>
      </c>
      <c r="Z1298" s="49">
        <f t="shared" si="145"/>
        <v>0</v>
      </c>
      <c r="AA1298" s="60">
        <f t="shared" si="146"/>
        <v>0</v>
      </c>
    </row>
    <row r="1299" spans="1:27">
      <c r="A1299" s="83" t="str">
        <f t="shared" si="141"/>
        <v/>
      </c>
      <c r="B1299" s="83" t="str">
        <f t="shared" si="142"/>
        <v/>
      </c>
      <c r="S1299" s="83" t="str">
        <f t="shared" si="143"/>
        <v/>
      </c>
      <c r="T1299" s="83" t="str">
        <f t="shared" si="140"/>
        <v/>
      </c>
      <c r="Y1299" s="60">
        <f t="shared" si="144"/>
        <v>0</v>
      </c>
      <c r="Z1299" s="49">
        <f t="shared" si="145"/>
        <v>0</v>
      </c>
      <c r="AA1299" s="60">
        <f t="shared" si="146"/>
        <v>0</v>
      </c>
    </row>
    <row r="1300" spans="1:27">
      <c r="A1300" s="83" t="str">
        <f t="shared" si="141"/>
        <v/>
      </c>
      <c r="B1300" s="83" t="str">
        <f t="shared" si="142"/>
        <v/>
      </c>
      <c r="S1300" s="83" t="str">
        <f t="shared" si="143"/>
        <v/>
      </c>
      <c r="T1300" s="83" t="str">
        <f t="shared" si="140"/>
        <v/>
      </c>
      <c r="Y1300" s="60">
        <f t="shared" si="144"/>
        <v>0</v>
      </c>
      <c r="Z1300" s="49">
        <f t="shared" si="145"/>
        <v>0</v>
      </c>
      <c r="AA1300" s="60">
        <f t="shared" si="146"/>
        <v>0</v>
      </c>
    </row>
    <row r="1301" spans="1:27">
      <c r="A1301" s="83" t="str">
        <f t="shared" si="141"/>
        <v/>
      </c>
      <c r="B1301" s="83" t="str">
        <f t="shared" si="142"/>
        <v/>
      </c>
      <c r="S1301" s="83" t="str">
        <f t="shared" si="143"/>
        <v/>
      </c>
      <c r="T1301" s="83" t="str">
        <f t="shared" si="140"/>
        <v/>
      </c>
      <c r="Y1301" s="60">
        <f t="shared" si="144"/>
        <v>0</v>
      </c>
      <c r="Z1301" s="49">
        <f t="shared" si="145"/>
        <v>0</v>
      </c>
      <c r="AA1301" s="60">
        <f t="shared" si="146"/>
        <v>0</v>
      </c>
    </row>
    <row r="1302" spans="1:27">
      <c r="A1302" s="83" t="str">
        <f t="shared" si="141"/>
        <v/>
      </c>
      <c r="B1302" s="83" t="str">
        <f t="shared" si="142"/>
        <v/>
      </c>
      <c r="S1302" s="83" t="str">
        <f t="shared" si="143"/>
        <v/>
      </c>
      <c r="T1302" s="83" t="str">
        <f t="shared" si="140"/>
        <v/>
      </c>
      <c r="Y1302" s="60">
        <f t="shared" si="144"/>
        <v>0</v>
      </c>
      <c r="Z1302" s="49">
        <f t="shared" si="145"/>
        <v>0</v>
      </c>
      <c r="AA1302" s="60">
        <f t="shared" si="146"/>
        <v>0</v>
      </c>
    </row>
    <row r="1303" spans="1:27">
      <c r="A1303" s="83" t="str">
        <f t="shared" si="141"/>
        <v/>
      </c>
      <c r="B1303" s="83" t="str">
        <f t="shared" si="142"/>
        <v/>
      </c>
      <c r="S1303" s="83" t="str">
        <f t="shared" si="143"/>
        <v/>
      </c>
      <c r="T1303" s="83" t="str">
        <f t="shared" si="140"/>
        <v/>
      </c>
      <c r="Y1303" s="60">
        <f t="shared" si="144"/>
        <v>0</v>
      </c>
      <c r="Z1303" s="49">
        <f t="shared" si="145"/>
        <v>0</v>
      </c>
      <c r="AA1303" s="60">
        <f t="shared" si="146"/>
        <v>0</v>
      </c>
    </row>
    <row r="1304" spans="1:27">
      <c r="A1304" s="83" t="str">
        <f t="shared" si="141"/>
        <v/>
      </c>
      <c r="B1304" s="83" t="str">
        <f t="shared" si="142"/>
        <v/>
      </c>
      <c r="S1304" s="83" t="str">
        <f t="shared" si="143"/>
        <v/>
      </c>
      <c r="T1304" s="83" t="str">
        <f t="shared" si="140"/>
        <v/>
      </c>
      <c r="Y1304" s="60">
        <f t="shared" si="144"/>
        <v>0</v>
      </c>
      <c r="Z1304" s="49">
        <f t="shared" si="145"/>
        <v>0</v>
      </c>
      <c r="AA1304" s="60">
        <f t="shared" si="146"/>
        <v>0</v>
      </c>
    </row>
    <row r="1305" spans="1:27">
      <c r="A1305" s="83" t="str">
        <f t="shared" si="141"/>
        <v/>
      </c>
      <c r="B1305" s="83" t="str">
        <f t="shared" si="142"/>
        <v/>
      </c>
      <c r="S1305" s="83" t="str">
        <f t="shared" si="143"/>
        <v/>
      </c>
      <c r="T1305" s="83" t="str">
        <f t="shared" si="140"/>
        <v/>
      </c>
      <c r="Y1305" s="60">
        <f t="shared" si="144"/>
        <v>0</v>
      </c>
      <c r="Z1305" s="49">
        <f t="shared" si="145"/>
        <v>0</v>
      </c>
      <c r="AA1305" s="60">
        <f t="shared" si="146"/>
        <v>0</v>
      </c>
    </row>
    <row r="1306" spans="1:27">
      <c r="A1306" s="83" t="str">
        <f t="shared" si="141"/>
        <v/>
      </c>
      <c r="B1306" s="83" t="str">
        <f t="shared" si="142"/>
        <v/>
      </c>
      <c r="S1306" s="83" t="str">
        <f t="shared" si="143"/>
        <v/>
      </c>
      <c r="T1306" s="83" t="str">
        <f t="shared" si="140"/>
        <v/>
      </c>
      <c r="Y1306" s="60">
        <f t="shared" si="144"/>
        <v>0</v>
      </c>
      <c r="Z1306" s="49">
        <f t="shared" si="145"/>
        <v>0</v>
      </c>
      <c r="AA1306" s="60">
        <f t="shared" si="146"/>
        <v>0</v>
      </c>
    </row>
    <row r="1307" spans="1:27">
      <c r="A1307" s="83" t="str">
        <f t="shared" si="141"/>
        <v/>
      </c>
      <c r="B1307" s="83" t="str">
        <f t="shared" si="142"/>
        <v/>
      </c>
      <c r="S1307" s="83" t="str">
        <f t="shared" si="143"/>
        <v/>
      </c>
      <c r="T1307" s="83" t="str">
        <f t="shared" si="140"/>
        <v/>
      </c>
      <c r="Y1307" s="60">
        <f t="shared" si="144"/>
        <v>0</v>
      </c>
      <c r="Z1307" s="49">
        <f t="shared" si="145"/>
        <v>0</v>
      </c>
      <c r="AA1307" s="60">
        <f t="shared" si="146"/>
        <v>0</v>
      </c>
    </row>
    <row r="1308" spans="1:27">
      <c r="A1308" s="83" t="str">
        <f t="shared" si="141"/>
        <v/>
      </c>
      <c r="B1308" s="83" t="str">
        <f t="shared" si="142"/>
        <v/>
      </c>
      <c r="S1308" s="83" t="str">
        <f t="shared" si="143"/>
        <v/>
      </c>
      <c r="T1308" s="83" t="str">
        <f t="shared" si="140"/>
        <v/>
      </c>
      <c r="Y1308" s="60">
        <f t="shared" si="144"/>
        <v>0</v>
      </c>
      <c r="Z1308" s="49">
        <f t="shared" si="145"/>
        <v>0</v>
      </c>
      <c r="AA1308" s="60">
        <f t="shared" si="146"/>
        <v>0</v>
      </c>
    </row>
    <row r="1309" spans="1:27">
      <c r="A1309" s="83" t="str">
        <f t="shared" si="141"/>
        <v/>
      </c>
      <c r="B1309" s="83" t="str">
        <f t="shared" si="142"/>
        <v/>
      </c>
      <c r="S1309" s="83" t="str">
        <f t="shared" si="143"/>
        <v/>
      </c>
      <c r="T1309" s="83" t="str">
        <f t="shared" si="140"/>
        <v/>
      </c>
      <c r="Y1309" s="60">
        <f t="shared" si="144"/>
        <v>0</v>
      </c>
      <c r="Z1309" s="49">
        <f t="shared" si="145"/>
        <v>0</v>
      </c>
      <c r="AA1309" s="60">
        <f t="shared" si="146"/>
        <v>0</v>
      </c>
    </row>
    <row r="1310" spans="1:27">
      <c r="A1310" s="83" t="str">
        <f t="shared" si="141"/>
        <v/>
      </c>
      <c r="B1310" s="83" t="str">
        <f t="shared" si="142"/>
        <v/>
      </c>
      <c r="S1310" s="83" t="str">
        <f t="shared" si="143"/>
        <v/>
      </c>
      <c r="T1310" s="83" t="str">
        <f t="shared" si="140"/>
        <v/>
      </c>
      <c r="Y1310" s="60">
        <f t="shared" si="144"/>
        <v>0</v>
      </c>
      <c r="Z1310" s="49">
        <f t="shared" si="145"/>
        <v>0</v>
      </c>
      <c r="AA1310" s="60">
        <f t="shared" si="146"/>
        <v>0</v>
      </c>
    </row>
    <row r="1311" spans="1:27">
      <c r="A1311" s="83" t="str">
        <f t="shared" si="141"/>
        <v/>
      </c>
      <c r="B1311" s="83" t="str">
        <f t="shared" si="142"/>
        <v/>
      </c>
      <c r="S1311" s="83" t="str">
        <f t="shared" si="143"/>
        <v/>
      </c>
      <c r="T1311" s="83" t="str">
        <f t="shared" si="140"/>
        <v/>
      </c>
      <c r="Y1311" s="60">
        <f t="shared" si="144"/>
        <v>0</v>
      </c>
      <c r="Z1311" s="49">
        <f t="shared" si="145"/>
        <v>0</v>
      </c>
      <c r="AA1311" s="60">
        <f t="shared" si="146"/>
        <v>0</v>
      </c>
    </row>
    <row r="1312" spans="1:27">
      <c r="A1312" s="83" t="str">
        <f t="shared" si="141"/>
        <v/>
      </c>
      <c r="B1312" s="83" t="str">
        <f t="shared" si="142"/>
        <v/>
      </c>
      <c r="S1312" s="83" t="str">
        <f t="shared" si="143"/>
        <v/>
      </c>
      <c r="T1312" s="83" t="str">
        <f t="shared" si="140"/>
        <v/>
      </c>
      <c r="Y1312" s="60">
        <f t="shared" si="144"/>
        <v>0</v>
      </c>
      <c r="Z1312" s="49">
        <f t="shared" si="145"/>
        <v>0</v>
      </c>
      <c r="AA1312" s="60">
        <f t="shared" si="146"/>
        <v>0</v>
      </c>
    </row>
    <row r="1313" spans="1:27">
      <c r="A1313" s="83" t="str">
        <f t="shared" si="141"/>
        <v/>
      </c>
      <c r="B1313" s="83" t="str">
        <f t="shared" si="142"/>
        <v/>
      </c>
      <c r="S1313" s="83" t="str">
        <f t="shared" si="143"/>
        <v/>
      </c>
      <c r="T1313" s="83" t="str">
        <f t="shared" si="140"/>
        <v/>
      </c>
      <c r="Y1313" s="60">
        <f t="shared" si="144"/>
        <v>0</v>
      </c>
      <c r="Z1313" s="49">
        <f t="shared" si="145"/>
        <v>0</v>
      </c>
      <c r="AA1313" s="60">
        <f t="shared" si="146"/>
        <v>0</v>
      </c>
    </row>
    <row r="1314" spans="1:27">
      <c r="A1314" s="83" t="str">
        <f t="shared" si="141"/>
        <v/>
      </c>
      <c r="B1314" s="83" t="str">
        <f t="shared" si="142"/>
        <v/>
      </c>
      <c r="S1314" s="83" t="str">
        <f t="shared" si="143"/>
        <v/>
      </c>
      <c r="T1314" s="83" t="str">
        <f t="shared" si="140"/>
        <v/>
      </c>
      <c r="Y1314" s="60">
        <f t="shared" si="144"/>
        <v>0</v>
      </c>
      <c r="Z1314" s="49">
        <f t="shared" si="145"/>
        <v>0</v>
      </c>
      <c r="AA1314" s="60">
        <f t="shared" si="146"/>
        <v>0</v>
      </c>
    </row>
    <row r="1315" spans="1:27">
      <c r="A1315" s="83" t="str">
        <f t="shared" si="141"/>
        <v/>
      </c>
      <c r="B1315" s="83" t="str">
        <f t="shared" si="142"/>
        <v/>
      </c>
      <c r="S1315" s="83" t="str">
        <f t="shared" si="143"/>
        <v/>
      </c>
      <c r="T1315" s="83" t="str">
        <f t="shared" si="140"/>
        <v/>
      </c>
      <c r="Y1315" s="60">
        <f t="shared" si="144"/>
        <v>0</v>
      </c>
      <c r="Z1315" s="49">
        <f t="shared" si="145"/>
        <v>0</v>
      </c>
      <c r="AA1315" s="60">
        <f t="shared" si="146"/>
        <v>0</v>
      </c>
    </row>
    <row r="1316" spans="1:27">
      <c r="A1316" s="83" t="str">
        <f t="shared" si="141"/>
        <v/>
      </c>
      <c r="B1316" s="83" t="str">
        <f t="shared" si="142"/>
        <v/>
      </c>
      <c r="S1316" s="83" t="str">
        <f t="shared" si="143"/>
        <v/>
      </c>
      <c r="T1316" s="83" t="str">
        <f t="shared" si="140"/>
        <v/>
      </c>
      <c r="Y1316" s="60">
        <f t="shared" si="144"/>
        <v>0</v>
      </c>
      <c r="Z1316" s="49">
        <f t="shared" si="145"/>
        <v>0</v>
      </c>
      <c r="AA1316" s="60">
        <f t="shared" si="146"/>
        <v>0</v>
      </c>
    </row>
    <row r="1317" spans="1:27">
      <c r="A1317" s="83" t="str">
        <f t="shared" si="141"/>
        <v/>
      </c>
      <c r="B1317" s="83" t="str">
        <f t="shared" si="142"/>
        <v/>
      </c>
      <c r="S1317" s="83" t="str">
        <f t="shared" si="143"/>
        <v/>
      </c>
      <c r="T1317" s="83" t="str">
        <f t="shared" si="140"/>
        <v/>
      </c>
      <c r="Y1317" s="60">
        <f t="shared" si="144"/>
        <v>0</v>
      </c>
      <c r="Z1317" s="49">
        <f t="shared" si="145"/>
        <v>0</v>
      </c>
      <c r="AA1317" s="60">
        <f t="shared" si="146"/>
        <v>0</v>
      </c>
    </row>
    <row r="1318" spans="1:27">
      <c r="A1318" s="83" t="str">
        <f t="shared" si="141"/>
        <v/>
      </c>
      <c r="B1318" s="83" t="str">
        <f t="shared" si="142"/>
        <v/>
      </c>
      <c r="S1318" s="83" t="str">
        <f t="shared" si="143"/>
        <v/>
      </c>
      <c r="T1318" s="83" t="str">
        <f t="shared" si="140"/>
        <v/>
      </c>
      <c r="Y1318" s="60">
        <f t="shared" si="144"/>
        <v>0</v>
      </c>
      <c r="Z1318" s="49">
        <f t="shared" si="145"/>
        <v>0</v>
      </c>
      <c r="AA1318" s="60">
        <f t="shared" si="146"/>
        <v>0</v>
      </c>
    </row>
    <row r="1319" spans="1:27">
      <c r="A1319" s="83" t="str">
        <f t="shared" si="141"/>
        <v/>
      </c>
      <c r="B1319" s="83" t="str">
        <f t="shared" si="142"/>
        <v/>
      </c>
      <c r="S1319" s="83" t="str">
        <f t="shared" si="143"/>
        <v/>
      </c>
      <c r="T1319" s="83" t="str">
        <f t="shared" si="140"/>
        <v/>
      </c>
      <c r="Y1319" s="60">
        <f t="shared" si="144"/>
        <v>0</v>
      </c>
      <c r="Z1319" s="49">
        <f t="shared" si="145"/>
        <v>0</v>
      </c>
      <c r="AA1319" s="60">
        <f t="shared" si="146"/>
        <v>0</v>
      </c>
    </row>
    <row r="1320" spans="1:27">
      <c r="A1320" s="83" t="str">
        <f t="shared" si="141"/>
        <v/>
      </c>
      <c r="B1320" s="83" t="str">
        <f t="shared" si="142"/>
        <v/>
      </c>
      <c r="S1320" s="83" t="str">
        <f t="shared" si="143"/>
        <v/>
      </c>
      <c r="T1320" s="83" t="str">
        <f t="shared" si="140"/>
        <v/>
      </c>
      <c r="Y1320" s="60">
        <f t="shared" si="144"/>
        <v>0</v>
      </c>
      <c r="Z1320" s="49">
        <f t="shared" si="145"/>
        <v>0</v>
      </c>
      <c r="AA1320" s="60">
        <f t="shared" si="146"/>
        <v>0</v>
      </c>
    </row>
    <row r="1321" spans="1:27">
      <c r="A1321" s="83" t="str">
        <f t="shared" si="141"/>
        <v/>
      </c>
      <c r="B1321" s="83" t="str">
        <f t="shared" si="142"/>
        <v/>
      </c>
      <c r="S1321" s="83" t="str">
        <f t="shared" si="143"/>
        <v/>
      </c>
      <c r="T1321" s="83" t="str">
        <f t="shared" si="140"/>
        <v/>
      </c>
      <c r="Y1321" s="60">
        <f t="shared" si="144"/>
        <v>0</v>
      </c>
      <c r="Z1321" s="49">
        <f t="shared" si="145"/>
        <v>0</v>
      </c>
      <c r="AA1321" s="60">
        <f t="shared" si="146"/>
        <v>0</v>
      </c>
    </row>
    <row r="1322" spans="1:27">
      <c r="A1322" s="83" t="str">
        <f t="shared" si="141"/>
        <v/>
      </c>
      <c r="B1322" s="83" t="str">
        <f t="shared" si="142"/>
        <v/>
      </c>
      <c r="S1322" s="83" t="str">
        <f t="shared" si="143"/>
        <v/>
      </c>
      <c r="T1322" s="83" t="str">
        <f t="shared" si="140"/>
        <v/>
      </c>
      <c r="Y1322" s="60">
        <f t="shared" si="144"/>
        <v>0</v>
      </c>
      <c r="Z1322" s="49">
        <f t="shared" si="145"/>
        <v>0</v>
      </c>
      <c r="AA1322" s="60">
        <f t="shared" si="146"/>
        <v>0</v>
      </c>
    </row>
    <row r="1323" spans="1:27">
      <c r="A1323" s="83" t="str">
        <f t="shared" si="141"/>
        <v/>
      </c>
      <c r="B1323" s="83" t="str">
        <f t="shared" si="142"/>
        <v/>
      </c>
      <c r="S1323" s="83" t="str">
        <f t="shared" si="143"/>
        <v/>
      </c>
      <c r="T1323" s="83" t="str">
        <f t="shared" si="140"/>
        <v/>
      </c>
      <c r="Y1323" s="60">
        <f t="shared" si="144"/>
        <v>0</v>
      </c>
      <c r="Z1323" s="49">
        <f t="shared" si="145"/>
        <v>0</v>
      </c>
      <c r="AA1323" s="60">
        <f t="shared" si="146"/>
        <v>0</v>
      </c>
    </row>
    <row r="1324" spans="1:27">
      <c r="A1324" s="83" t="str">
        <f t="shared" si="141"/>
        <v/>
      </c>
      <c r="B1324" s="83" t="str">
        <f t="shared" si="142"/>
        <v/>
      </c>
      <c r="S1324" s="83" t="str">
        <f t="shared" si="143"/>
        <v/>
      </c>
      <c r="T1324" s="83" t="str">
        <f t="shared" si="140"/>
        <v/>
      </c>
      <c r="Y1324" s="60">
        <f t="shared" si="144"/>
        <v>0</v>
      </c>
      <c r="Z1324" s="49">
        <f t="shared" si="145"/>
        <v>0</v>
      </c>
      <c r="AA1324" s="60">
        <f t="shared" si="146"/>
        <v>0</v>
      </c>
    </row>
    <row r="1325" spans="1:27">
      <c r="A1325" s="83" t="str">
        <f t="shared" si="141"/>
        <v/>
      </c>
      <c r="B1325" s="83" t="str">
        <f t="shared" si="142"/>
        <v/>
      </c>
      <c r="S1325" s="83" t="str">
        <f t="shared" si="143"/>
        <v/>
      </c>
      <c r="T1325" s="83" t="str">
        <f t="shared" si="140"/>
        <v/>
      </c>
      <c r="Y1325" s="60">
        <f t="shared" si="144"/>
        <v>0</v>
      </c>
      <c r="Z1325" s="49">
        <f t="shared" si="145"/>
        <v>0</v>
      </c>
      <c r="AA1325" s="60">
        <f t="shared" si="146"/>
        <v>0</v>
      </c>
    </row>
    <row r="1326" spans="1:27">
      <c r="A1326" s="83" t="str">
        <f t="shared" si="141"/>
        <v/>
      </c>
      <c r="B1326" s="83" t="str">
        <f t="shared" si="142"/>
        <v/>
      </c>
      <c r="S1326" s="83" t="str">
        <f t="shared" si="143"/>
        <v/>
      </c>
      <c r="T1326" s="83" t="str">
        <f t="shared" si="140"/>
        <v/>
      </c>
      <c r="Y1326" s="60">
        <f t="shared" si="144"/>
        <v>0</v>
      </c>
      <c r="Z1326" s="49">
        <f t="shared" si="145"/>
        <v>0</v>
      </c>
      <c r="AA1326" s="60">
        <f t="shared" si="146"/>
        <v>0</v>
      </c>
    </row>
    <row r="1327" spans="1:27">
      <c r="A1327" s="83" t="str">
        <f t="shared" si="141"/>
        <v/>
      </c>
      <c r="B1327" s="83" t="str">
        <f t="shared" si="142"/>
        <v/>
      </c>
      <c r="S1327" s="83" t="str">
        <f t="shared" si="143"/>
        <v/>
      </c>
      <c r="T1327" s="83" t="str">
        <f t="shared" si="140"/>
        <v/>
      </c>
      <c r="Y1327" s="60">
        <f t="shared" si="144"/>
        <v>0</v>
      </c>
      <c r="Z1327" s="49">
        <f t="shared" si="145"/>
        <v>0</v>
      </c>
      <c r="AA1327" s="60">
        <f t="shared" si="146"/>
        <v>0</v>
      </c>
    </row>
    <row r="1328" spans="1:27">
      <c r="A1328" s="83" t="str">
        <f t="shared" si="141"/>
        <v/>
      </c>
      <c r="B1328" s="83" t="str">
        <f t="shared" si="142"/>
        <v/>
      </c>
      <c r="S1328" s="83" t="str">
        <f t="shared" si="143"/>
        <v/>
      </c>
      <c r="T1328" s="83" t="str">
        <f t="shared" si="140"/>
        <v/>
      </c>
      <c r="Y1328" s="60">
        <f t="shared" si="144"/>
        <v>0</v>
      </c>
      <c r="Z1328" s="49">
        <f t="shared" si="145"/>
        <v>0</v>
      </c>
      <c r="AA1328" s="60">
        <f t="shared" si="146"/>
        <v>0</v>
      </c>
    </row>
    <row r="1329" spans="1:27">
      <c r="A1329" s="83" t="str">
        <f t="shared" si="141"/>
        <v/>
      </c>
      <c r="B1329" s="83" t="str">
        <f t="shared" si="142"/>
        <v/>
      </c>
      <c r="S1329" s="83" t="str">
        <f t="shared" si="143"/>
        <v/>
      </c>
      <c r="T1329" s="83" t="str">
        <f t="shared" si="140"/>
        <v/>
      </c>
      <c r="Y1329" s="60">
        <f t="shared" si="144"/>
        <v>0</v>
      </c>
      <c r="Z1329" s="49">
        <f t="shared" si="145"/>
        <v>0</v>
      </c>
      <c r="AA1329" s="60">
        <f t="shared" si="146"/>
        <v>0</v>
      </c>
    </row>
    <row r="1330" spans="1:27">
      <c r="A1330" s="83" t="str">
        <f t="shared" si="141"/>
        <v/>
      </c>
      <c r="B1330" s="83" t="str">
        <f t="shared" si="142"/>
        <v/>
      </c>
      <c r="S1330" s="83" t="str">
        <f t="shared" si="143"/>
        <v/>
      </c>
      <c r="T1330" s="83" t="str">
        <f t="shared" si="140"/>
        <v/>
      </c>
      <c r="Y1330" s="60">
        <f t="shared" si="144"/>
        <v>0</v>
      </c>
      <c r="Z1330" s="49">
        <f t="shared" si="145"/>
        <v>0</v>
      </c>
      <c r="AA1330" s="60">
        <f t="shared" si="146"/>
        <v>0</v>
      </c>
    </row>
    <row r="1331" spans="1:27">
      <c r="A1331" s="83" t="str">
        <f t="shared" si="141"/>
        <v/>
      </c>
      <c r="B1331" s="83" t="str">
        <f t="shared" si="142"/>
        <v/>
      </c>
      <c r="S1331" s="83" t="str">
        <f t="shared" si="143"/>
        <v/>
      </c>
      <c r="T1331" s="83" t="str">
        <f t="shared" si="140"/>
        <v/>
      </c>
      <c r="Y1331" s="60">
        <f t="shared" si="144"/>
        <v>0</v>
      </c>
      <c r="Z1331" s="49">
        <f t="shared" si="145"/>
        <v>0</v>
      </c>
      <c r="AA1331" s="60">
        <f t="shared" si="146"/>
        <v>0</v>
      </c>
    </row>
    <row r="1332" spans="1:27">
      <c r="A1332" s="83" t="str">
        <f t="shared" si="141"/>
        <v/>
      </c>
      <c r="B1332" s="83" t="str">
        <f t="shared" si="142"/>
        <v/>
      </c>
      <c r="S1332" s="83" t="str">
        <f t="shared" si="143"/>
        <v/>
      </c>
      <c r="T1332" s="83" t="str">
        <f t="shared" si="140"/>
        <v/>
      </c>
      <c r="Y1332" s="60">
        <f t="shared" si="144"/>
        <v>0</v>
      </c>
      <c r="Z1332" s="49">
        <f t="shared" si="145"/>
        <v>0</v>
      </c>
      <c r="AA1332" s="60">
        <f t="shared" si="146"/>
        <v>0</v>
      </c>
    </row>
    <row r="1333" spans="1:27">
      <c r="A1333" s="83" t="str">
        <f t="shared" si="141"/>
        <v/>
      </c>
      <c r="B1333" s="83" t="str">
        <f t="shared" si="142"/>
        <v/>
      </c>
      <c r="S1333" s="83" t="str">
        <f t="shared" si="143"/>
        <v/>
      </c>
      <c r="T1333" s="83" t="str">
        <f t="shared" si="140"/>
        <v/>
      </c>
      <c r="Y1333" s="60">
        <f t="shared" si="144"/>
        <v>0</v>
      </c>
      <c r="Z1333" s="49">
        <f t="shared" si="145"/>
        <v>0</v>
      </c>
      <c r="AA1333" s="60">
        <f t="shared" si="146"/>
        <v>0</v>
      </c>
    </row>
    <row r="1334" spans="1:27">
      <c r="A1334" s="83" t="str">
        <f t="shared" si="141"/>
        <v/>
      </c>
      <c r="B1334" s="83" t="str">
        <f t="shared" si="142"/>
        <v/>
      </c>
      <c r="S1334" s="83" t="str">
        <f t="shared" si="143"/>
        <v/>
      </c>
      <c r="T1334" s="83" t="str">
        <f t="shared" si="140"/>
        <v/>
      </c>
      <c r="Y1334" s="60">
        <f t="shared" si="144"/>
        <v>0</v>
      </c>
      <c r="Z1334" s="49">
        <f t="shared" si="145"/>
        <v>0</v>
      </c>
      <c r="AA1334" s="60">
        <f t="shared" si="146"/>
        <v>0</v>
      </c>
    </row>
    <row r="1335" spans="1:27">
      <c r="A1335" s="83" t="str">
        <f t="shared" si="141"/>
        <v/>
      </c>
      <c r="B1335" s="83" t="str">
        <f t="shared" si="142"/>
        <v/>
      </c>
      <c r="S1335" s="83" t="str">
        <f t="shared" si="143"/>
        <v/>
      </c>
      <c r="T1335" s="83" t="str">
        <f t="shared" si="140"/>
        <v/>
      </c>
      <c r="Y1335" s="60">
        <f t="shared" si="144"/>
        <v>0</v>
      </c>
      <c r="Z1335" s="49">
        <f t="shared" si="145"/>
        <v>0</v>
      </c>
      <c r="AA1335" s="60">
        <f t="shared" si="146"/>
        <v>0</v>
      </c>
    </row>
    <row r="1336" spans="1:27">
      <c r="A1336" s="83" t="str">
        <f t="shared" si="141"/>
        <v/>
      </c>
      <c r="B1336" s="83" t="str">
        <f t="shared" si="142"/>
        <v/>
      </c>
      <c r="S1336" s="83" t="str">
        <f t="shared" si="143"/>
        <v/>
      </c>
      <c r="T1336" s="83" t="str">
        <f t="shared" si="140"/>
        <v/>
      </c>
      <c r="Y1336" s="60">
        <f t="shared" si="144"/>
        <v>0</v>
      </c>
      <c r="Z1336" s="49">
        <f t="shared" si="145"/>
        <v>0</v>
      </c>
      <c r="AA1336" s="60">
        <f t="shared" si="146"/>
        <v>0</v>
      </c>
    </row>
    <row r="1337" spans="1:27">
      <c r="A1337" s="83" t="str">
        <f t="shared" si="141"/>
        <v/>
      </c>
      <c r="B1337" s="83" t="str">
        <f t="shared" si="142"/>
        <v/>
      </c>
      <c r="S1337" s="83" t="str">
        <f t="shared" si="143"/>
        <v/>
      </c>
      <c r="T1337" s="83" t="str">
        <f t="shared" si="140"/>
        <v/>
      </c>
      <c r="Y1337" s="60">
        <f t="shared" si="144"/>
        <v>0</v>
      </c>
      <c r="Z1337" s="49">
        <f t="shared" si="145"/>
        <v>0</v>
      </c>
      <c r="AA1337" s="60">
        <f t="shared" si="146"/>
        <v>0</v>
      </c>
    </row>
    <row r="1338" spans="1:27">
      <c r="A1338" s="83" t="str">
        <f t="shared" si="141"/>
        <v/>
      </c>
      <c r="B1338" s="83" t="str">
        <f t="shared" si="142"/>
        <v/>
      </c>
      <c r="S1338" s="83" t="str">
        <f t="shared" si="143"/>
        <v/>
      </c>
      <c r="T1338" s="83" t="str">
        <f t="shared" si="140"/>
        <v/>
      </c>
      <c r="Y1338" s="60">
        <f t="shared" si="144"/>
        <v>0</v>
      </c>
      <c r="Z1338" s="49">
        <f t="shared" si="145"/>
        <v>0</v>
      </c>
      <c r="AA1338" s="60">
        <f t="shared" si="146"/>
        <v>0</v>
      </c>
    </row>
    <row r="1339" spans="1:27">
      <c r="A1339" s="83" t="str">
        <f t="shared" si="141"/>
        <v/>
      </c>
      <c r="B1339" s="83" t="str">
        <f t="shared" si="142"/>
        <v/>
      </c>
      <c r="S1339" s="83" t="str">
        <f t="shared" si="143"/>
        <v/>
      </c>
      <c r="T1339" s="83" t="str">
        <f t="shared" si="140"/>
        <v/>
      </c>
      <c r="Y1339" s="60">
        <f t="shared" si="144"/>
        <v>0</v>
      </c>
      <c r="Z1339" s="49">
        <f t="shared" si="145"/>
        <v>0</v>
      </c>
      <c r="AA1339" s="60">
        <f t="shared" si="146"/>
        <v>0</v>
      </c>
    </row>
    <row r="1340" spans="1:27">
      <c r="A1340" s="83" t="str">
        <f t="shared" si="141"/>
        <v/>
      </c>
      <c r="B1340" s="83" t="str">
        <f t="shared" si="142"/>
        <v/>
      </c>
      <c r="S1340" s="83" t="str">
        <f t="shared" si="143"/>
        <v/>
      </c>
      <c r="T1340" s="83" t="str">
        <f t="shared" si="140"/>
        <v/>
      </c>
      <c r="Y1340" s="60">
        <f t="shared" si="144"/>
        <v>0</v>
      </c>
      <c r="Z1340" s="49">
        <f t="shared" si="145"/>
        <v>0</v>
      </c>
      <c r="AA1340" s="60">
        <f t="shared" si="146"/>
        <v>0</v>
      </c>
    </row>
    <row r="1341" spans="1:27">
      <c r="A1341" s="83" t="str">
        <f t="shared" si="141"/>
        <v/>
      </c>
      <c r="B1341" s="83" t="str">
        <f t="shared" si="142"/>
        <v/>
      </c>
      <c r="S1341" s="83" t="str">
        <f t="shared" si="143"/>
        <v/>
      </c>
      <c r="T1341" s="83" t="str">
        <f t="shared" si="140"/>
        <v/>
      </c>
      <c r="Y1341" s="60">
        <f t="shared" si="144"/>
        <v>0</v>
      </c>
      <c r="Z1341" s="49">
        <f t="shared" si="145"/>
        <v>0</v>
      </c>
      <c r="AA1341" s="60">
        <f t="shared" si="146"/>
        <v>0</v>
      </c>
    </row>
    <row r="1342" spans="1:27">
      <c r="A1342" s="83" t="str">
        <f t="shared" si="141"/>
        <v/>
      </c>
      <c r="B1342" s="83" t="str">
        <f t="shared" si="142"/>
        <v/>
      </c>
      <c r="S1342" s="83" t="str">
        <f t="shared" si="143"/>
        <v/>
      </c>
      <c r="T1342" s="83" t="str">
        <f t="shared" si="140"/>
        <v/>
      </c>
      <c r="Y1342" s="60">
        <f t="shared" si="144"/>
        <v>0</v>
      </c>
      <c r="Z1342" s="49">
        <f t="shared" si="145"/>
        <v>0</v>
      </c>
      <c r="AA1342" s="60">
        <f t="shared" si="146"/>
        <v>0</v>
      </c>
    </row>
    <row r="1343" spans="1:27">
      <c r="A1343" s="83" t="str">
        <f t="shared" si="141"/>
        <v/>
      </c>
      <c r="B1343" s="83" t="str">
        <f t="shared" si="142"/>
        <v/>
      </c>
      <c r="S1343" s="83" t="str">
        <f t="shared" si="143"/>
        <v/>
      </c>
      <c r="T1343" s="83" t="str">
        <f t="shared" si="140"/>
        <v/>
      </c>
      <c r="Y1343" s="60">
        <f t="shared" si="144"/>
        <v>0</v>
      </c>
      <c r="Z1343" s="49">
        <f t="shared" si="145"/>
        <v>0</v>
      </c>
      <c r="AA1343" s="60">
        <f t="shared" si="146"/>
        <v>0</v>
      </c>
    </row>
    <row r="1344" spans="1:27">
      <c r="A1344" s="83" t="str">
        <f t="shared" si="141"/>
        <v/>
      </c>
      <c r="B1344" s="83" t="str">
        <f t="shared" si="142"/>
        <v/>
      </c>
      <c r="S1344" s="83" t="str">
        <f t="shared" si="143"/>
        <v/>
      </c>
      <c r="T1344" s="83" t="str">
        <f t="shared" si="140"/>
        <v/>
      </c>
      <c r="Y1344" s="60">
        <f t="shared" si="144"/>
        <v>0</v>
      </c>
      <c r="Z1344" s="49">
        <f t="shared" si="145"/>
        <v>0</v>
      </c>
      <c r="AA1344" s="60">
        <f t="shared" si="146"/>
        <v>0</v>
      </c>
    </row>
    <row r="1345" spans="1:27">
      <c r="A1345" s="83" t="str">
        <f t="shared" si="141"/>
        <v/>
      </c>
      <c r="B1345" s="83" t="str">
        <f t="shared" si="142"/>
        <v/>
      </c>
      <c r="S1345" s="83" t="str">
        <f t="shared" si="143"/>
        <v/>
      </c>
      <c r="T1345" s="83" t="str">
        <f t="shared" si="140"/>
        <v/>
      </c>
      <c r="Y1345" s="60">
        <f t="shared" si="144"/>
        <v>0</v>
      </c>
      <c r="Z1345" s="49">
        <f t="shared" si="145"/>
        <v>0</v>
      </c>
      <c r="AA1345" s="60">
        <f t="shared" si="146"/>
        <v>0</v>
      </c>
    </row>
    <row r="1346" spans="1:27">
      <c r="A1346" s="83" t="str">
        <f t="shared" si="141"/>
        <v/>
      </c>
      <c r="B1346" s="83" t="str">
        <f t="shared" si="142"/>
        <v/>
      </c>
      <c r="S1346" s="83" t="str">
        <f t="shared" si="143"/>
        <v/>
      </c>
      <c r="T1346" s="83" t="str">
        <f t="shared" ref="T1346:T1409" si="147">IF(A1346&lt;&gt;"",IF(FIND(" ",G1346)&gt;=1,MID(G1346,FIND(" ",G1346)+1,LEN(G1346)),""),"")</f>
        <v/>
      </c>
      <c r="Y1346" s="60">
        <f t="shared" si="144"/>
        <v>0</v>
      </c>
      <c r="Z1346" s="49">
        <f t="shared" si="145"/>
        <v>0</v>
      </c>
      <c r="AA1346" s="60">
        <f t="shared" si="146"/>
        <v>0</v>
      </c>
    </row>
    <row r="1347" spans="1:27">
      <c r="A1347" s="83" t="str">
        <f t="shared" ref="A1347:A1410" si="148">IF(G1347&amp;Q1347&lt;&gt;"",S1347&amp;Q1347,"")</f>
        <v/>
      </c>
      <c r="B1347" s="83" t="str">
        <f t="shared" ref="B1347:B1410" si="149">IF(C1347&lt;&gt;"",LEFT(C1347,9),"")</f>
        <v/>
      </c>
      <c r="S1347" s="83" t="str">
        <f t="shared" ref="S1347:S1410" si="150">IF(G1347&lt;&gt;"",IF(FIND(" ",G1347)&gt;=1,MID(G1347,1,FIND(" ",G1347)-1),G1347),"")</f>
        <v/>
      </c>
      <c r="T1347" s="83" t="str">
        <f t="shared" si="147"/>
        <v/>
      </c>
      <c r="Y1347" s="60">
        <f t="shared" ref="Y1347:Y1410" si="151">IFERROR(VALUE(MID($C1347,1,2)),0)</f>
        <v>0</v>
      </c>
      <c r="Z1347" s="49">
        <f t="shared" ref="Z1347:Z1410" si="152">IFERROR(VALUE(MID($C1347,4,3)),0)</f>
        <v>0</v>
      </c>
      <c r="AA1347" s="60">
        <f t="shared" ref="AA1347:AA1410" si="153">VALUE(RIGHT("00"&amp;Y1347,2)&amp;RIGHT("000"&amp;Z1347,3))</f>
        <v>0</v>
      </c>
    </row>
    <row r="1348" spans="1:27">
      <c r="A1348" s="83" t="str">
        <f t="shared" si="148"/>
        <v/>
      </c>
      <c r="B1348" s="83" t="str">
        <f t="shared" si="149"/>
        <v/>
      </c>
      <c r="S1348" s="83" t="str">
        <f t="shared" si="150"/>
        <v/>
      </c>
      <c r="T1348" s="83" t="str">
        <f t="shared" si="147"/>
        <v/>
      </c>
      <c r="Y1348" s="60">
        <f t="shared" si="151"/>
        <v>0</v>
      </c>
      <c r="Z1348" s="49">
        <f t="shared" si="152"/>
        <v>0</v>
      </c>
      <c r="AA1348" s="60">
        <f t="shared" si="153"/>
        <v>0</v>
      </c>
    </row>
    <row r="1349" spans="1:27">
      <c r="A1349" s="83" t="str">
        <f t="shared" si="148"/>
        <v/>
      </c>
      <c r="B1349" s="83" t="str">
        <f t="shared" si="149"/>
        <v/>
      </c>
      <c r="S1349" s="83" t="str">
        <f t="shared" si="150"/>
        <v/>
      </c>
      <c r="T1349" s="83" t="str">
        <f t="shared" si="147"/>
        <v/>
      </c>
      <c r="Y1349" s="60">
        <f t="shared" si="151"/>
        <v>0</v>
      </c>
      <c r="Z1349" s="49">
        <f t="shared" si="152"/>
        <v>0</v>
      </c>
      <c r="AA1349" s="60">
        <f t="shared" si="153"/>
        <v>0</v>
      </c>
    </row>
    <row r="1350" spans="1:27">
      <c r="A1350" s="83" t="str">
        <f t="shared" si="148"/>
        <v/>
      </c>
      <c r="B1350" s="83" t="str">
        <f t="shared" si="149"/>
        <v/>
      </c>
      <c r="S1350" s="83" t="str">
        <f t="shared" si="150"/>
        <v/>
      </c>
      <c r="T1350" s="83" t="str">
        <f t="shared" si="147"/>
        <v/>
      </c>
      <c r="Y1350" s="60">
        <f t="shared" si="151"/>
        <v>0</v>
      </c>
      <c r="Z1350" s="49">
        <f t="shared" si="152"/>
        <v>0</v>
      </c>
      <c r="AA1350" s="60">
        <f t="shared" si="153"/>
        <v>0</v>
      </c>
    </row>
    <row r="1351" spans="1:27">
      <c r="A1351" s="83" t="str">
        <f t="shared" si="148"/>
        <v/>
      </c>
      <c r="B1351" s="83" t="str">
        <f t="shared" si="149"/>
        <v/>
      </c>
      <c r="S1351" s="83" t="str">
        <f t="shared" si="150"/>
        <v/>
      </c>
      <c r="T1351" s="83" t="str">
        <f t="shared" si="147"/>
        <v/>
      </c>
      <c r="Y1351" s="60">
        <f t="shared" si="151"/>
        <v>0</v>
      </c>
      <c r="Z1351" s="49">
        <f t="shared" si="152"/>
        <v>0</v>
      </c>
      <c r="AA1351" s="60">
        <f t="shared" si="153"/>
        <v>0</v>
      </c>
    </row>
    <row r="1352" spans="1:27">
      <c r="A1352" s="83" t="str">
        <f t="shared" si="148"/>
        <v/>
      </c>
      <c r="B1352" s="83" t="str">
        <f t="shared" si="149"/>
        <v/>
      </c>
      <c r="S1352" s="83" t="str">
        <f t="shared" si="150"/>
        <v/>
      </c>
      <c r="T1352" s="83" t="str">
        <f t="shared" si="147"/>
        <v/>
      </c>
      <c r="Y1352" s="60">
        <f t="shared" si="151"/>
        <v>0</v>
      </c>
      <c r="Z1352" s="49">
        <f t="shared" si="152"/>
        <v>0</v>
      </c>
      <c r="AA1352" s="60">
        <f t="shared" si="153"/>
        <v>0</v>
      </c>
    </row>
    <row r="1353" spans="1:27">
      <c r="A1353" s="83" t="str">
        <f t="shared" si="148"/>
        <v/>
      </c>
      <c r="B1353" s="83" t="str">
        <f t="shared" si="149"/>
        <v/>
      </c>
      <c r="S1353" s="83" t="str">
        <f t="shared" si="150"/>
        <v/>
      </c>
      <c r="T1353" s="83" t="str">
        <f t="shared" si="147"/>
        <v/>
      </c>
      <c r="Y1353" s="60">
        <f t="shared" si="151"/>
        <v>0</v>
      </c>
      <c r="Z1353" s="49">
        <f t="shared" si="152"/>
        <v>0</v>
      </c>
      <c r="AA1353" s="60">
        <f t="shared" si="153"/>
        <v>0</v>
      </c>
    </row>
    <row r="1354" spans="1:27">
      <c r="A1354" s="83" t="str">
        <f t="shared" si="148"/>
        <v/>
      </c>
      <c r="B1354" s="83" t="str">
        <f t="shared" si="149"/>
        <v/>
      </c>
      <c r="S1354" s="83" t="str">
        <f t="shared" si="150"/>
        <v/>
      </c>
      <c r="T1354" s="83" t="str">
        <f t="shared" si="147"/>
        <v/>
      </c>
      <c r="Y1354" s="60">
        <f t="shared" si="151"/>
        <v>0</v>
      </c>
      <c r="Z1354" s="49">
        <f t="shared" si="152"/>
        <v>0</v>
      </c>
      <c r="AA1354" s="60">
        <f t="shared" si="153"/>
        <v>0</v>
      </c>
    </row>
    <row r="1355" spans="1:27">
      <c r="A1355" s="83" t="str">
        <f t="shared" si="148"/>
        <v/>
      </c>
      <c r="B1355" s="83" t="str">
        <f t="shared" si="149"/>
        <v/>
      </c>
      <c r="S1355" s="83" t="str">
        <f t="shared" si="150"/>
        <v/>
      </c>
      <c r="T1355" s="83" t="str">
        <f t="shared" si="147"/>
        <v/>
      </c>
      <c r="Y1355" s="60">
        <f t="shared" si="151"/>
        <v>0</v>
      </c>
      <c r="Z1355" s="49">
        <f t="shared" si="152"/>
        <v>0</v>
      </c>
      <c r="AA1355" s="60">
        <f t="shared" si="153"/>
        <v>0</v>
      </c>
    </row>
    <row r="1356" spans="1:27">
      <c r="A1356" s="83" t="str">
        <f t="shared" si="148"/>
        <v/>
      </c>
      <c r="B1356" s="83" t="str">
        <f t="shared" si="149"/>
        <v/>
      </c>
      <c r="S1356" s="83" t="str">
        <f t="shared" si="150"/>
        <v/>
      </c>
      <c r="T1356" s="83" t="str">
        <f t="shared" si="147"/>
        <v/>
      </c>
      <c r="Y1356" s="60">
        <f t="shared" si="151"/>
        <v>0</v>
      </c>
      <c r="Z1356" s="49">
        <f t="shared" si="152"/>
        <v>0</v>
      </c>
      <c r="AA1356" s="60">
        <f t="shared" si="153"/>
        <v>0</v>
      </c>
    </row>
    <row r="1357" spans="1:27">
      <c r="A1357" s="83" t="str">
        <f t="shared" si="148"/>
        <v/>
      </c>
      <c r="B1357" s="83" t="str">
        <f t="shared" si="149"/>
        <v/>
      </c>
      <c r="S1357" s="83" t="str">
        <f t="shared" si="150"/>
        <v/>
      </c>
      <c r="T1357" s="83" t="str">
        <f t="shared" si="147"/>
        <v/>
      </c>
      <c r="Y1357" s="60">
        <f t="shared" si="151"/>
        <v>0</v>
      </c>
      <c r="Z1357" s="49">
        <f t="shared" si="152"/>
        <v>0</v>
      </c>
      <c r="AA1357" s="60">
        <f t="shared" si="153"/>
        <v>0</v>
      </c>
    </row>
    <row r="1358" spans="1:27">
      <c r="A1358" s="83" t="str">
        <f t="shared" si="148"/>
        <v/>
      </c>
      <c r="B1358" s="83" t="str">
        <f t="shared" si="149"/>
        <v/>
      </c>
      <c r="S1358" s="83" t="str">
        <f t="shared" si="150"/>
        <v/>
      </c>
      <c r="T1358" s="83" t="str">
        <f t="shared" si="147"/>
        <v/>
      </c>
      <c r="Y1358" s="60">
        <f t="shared" si="151"/>
        <v>0</v>
      </c>
      <c r="Z1358" s="49">
        <f t="shared" si="152"/>
        <v>0</v>
      </c>
      <c r="AA1358" s="60">
        <f t="shared" si="153"/>
        <v>0</v>
      </c>
    </row>
    <row r="1359" spans="1:27">
      <c r="A1359" s="83" t="str">
        <f t="shared" si="148"/>
        <v/>
      </c>
      <c r="B1359" s="83" t="str">
        <f t="shared" si="149"/>
        <v/>
      </c>
      <c r="S1359" s="83" t="str">
        <f t="shared" si="150"/>
        <v/>
      </c>
      <c r="T1359" s="83" t="str">
        <f t="shared" si="147"/>
        <v/>
      </c>
      <c r="Y1359" s="60">
        <f t="shared" si="151"/>
        <v>0</v>
      </c>
      <c r="Z1359" s="49">
        <f t="shared" si="152"/>
        <v>0</v>
      </c>
      <c r="AA1359" s="60">
        <f t="shared" si="153"/>
        <v>0</v>
      </c>
    </row>
    <row r="1360" spans="1:27">
      <c r="A1360" s="83" t="str">
        <f t="shared" si="148"/>
        <v/>
      </c>
      <c r="B1360" s="83" t="str">
        <f t="shared" si="149"/>
        <v/>
      </c>
      <c r="S1360" s="83" t="str">
        <f t="shared" si="150"/>
        <v/>
      </c>
      <c r="T1360" s="83" t="str">
        <f t="shared" si="147"/>
        <v/>
      </c>
      <c r="Y1360" s="60">
        <f t="shared" si="151"/>
        <v>0</v>
      </c>
      <c r="Z1360" s="49">
        <f t="shared" si="152"/>
        <v>0</v>
      </c>
      <c r="AA1360" s="60">
        <f t="shared" si="153"/>
        <v>0</v>
      </c>
    </row>
    <row r="1361" spans="1:27">
      <c r="A1361" s="83" t="str">
        <f t="shared" si="148"/>
        <v/>
      </c>
      <c r="B1361" s="83" t="str">
        <f t="shared" si="149"/>
        <v/>
      </c>
      <c r="S1361" s="83" t="str">
        <f t="shared" si="150"/>
        <v/>
      </c>
      <c r="T1361" s="83" t="str">
        <f t="shared" si="147"/>
        <v/>
      </c>
      <c r="Y1361" s="60">
        <f t="shared" si="151"/>
        <v>0</v>
      </c>
      <c r="Z1361" s="49">
        <f t="shared" si="152"/>
        <v>0</v>
      </c>
      <c r="AA1361" s="60">
        <f t="shared" si="153"/>
        <v>0</v>
      </c>
    </row>
    <row r="1362" spans="1:27">
      <c r="A1362" s="83" t="str">
        <f t="shared" si="148"/>
        <v/>
      </c>
      <c r="B1362" s="83" t="str">
        <f t="shared" si="149"/>
        <v/>
      </c>
      <c r="S1362" s="83" t="str">
        <f t="shared" si="150"/>
        <v/>
      </c>
      <c r="T1362" s="83" t="str">
        <f t="shared" si="147"/>
        <v/>
      </c>
      <c r="Y1362" s="60">
        <f t="shared" si="151"/>
        <v>0</v>
      </c>
      <c r="Z1362" s="49">
        <f t="shared" si="152"/>
        <v>0</v>
      </c>
      <c r="AA1362" s="60">
        <f t="shared" si="153"/>
        <v>0</v>
      </c>
    </row>
    <row r="1363" spans="1:27">
      <c r="A1363" s="83" t="str">
        <f t="shared" si="148"/>
        <v/>
      </c>
      <c r="B1363" s="83" t="str">
        <f t="shared" si="149"/>
        <v/>
      </c>
      <c r="S1363" s="83" t="str">
        <f t="shared" si="150"/>
        <v/>
      </c>
      <c r="T1363" s="83" t="str">
        <f t="shared" si="147"/>
        <v/>
      </c>
      <c r="Y1363" s="60">
        <f t="shared" si="151"/>
        <v>0</v>
      </c>
      <c r="Z1363" s="49">
        <f t="shared" si="152"/>
        <v>0</v>
      </c>
      <c r="AA1363" s="60">
        <f t="shared" si="153"/>
        <v>0</v>
      </c>
    </row>
    <row r="1364" spans="1:27">
      <c r="A1364" s="83" t="str">
        <f t="shared" si="148"/>
        <v/>
      </c>
      <c r="B1364" s="83" t="str">
        <f t="shared" si="149"/>
        <v/>
      </c>
      <c r="S1364" s="83" t="str">
        <f t="shared" si="150"/>
        <v/>
      </c>
      <c r="T1364" s="83" t="str">
        <f t="shared" si="147"/>
        <v/>
      </c>
      <c r="Y1364" s="60">
        <f t="shared" si="151"/>
        <v>0</v>
      </c>
      <c r="Z1364" s="49">
        <f t="shared" si="152"/>
        <v>0</v>
      </c>
      <c r="AA1364" s="60">
        <f t="shared" si="153"/>
        <v>0</v>
      </c>
    </row>
    <row r="1365" spans="1:27">
      <c r="A1365" s="83" t="str">
        <f t="shared" si="148"/>
        <v/>
      </c>
      <c r="B1365" s="83" t="str">
        <f t="shared" si="149"/>
        <v/>
      </c>
      <c r="S1365" s="83" t="str">
        <f t="shared" si="150"/>
        <v/>
      </c>
      <c r="T1365" s="83" t="str">
        <f t="shared" si="147"/>
        <v/>
      </c>
      <c r="Y1365" s="60">
        <f t="shared" si="151"/>
        <v>0</v>
      </c>
      <c r="Z1365" s="49">
        <f t="shared" si="152"/>
        <v>0</v>
      </c>
      <c r="AA1365" s="60">
        <f t="shared" si="153"/>
        <v>0</v>
      </c>
    </row>
    <row r="1366" spans="1:27">
      <c r="A1366" s="83" t="str">
        <f t="shared" si="148"/>
        <v/>
      </c>
      <c r="B1366" s="83" t="str">
        <f t="shared" si="149"/>
        <v/>
      </c>
      <c r="S1366" s="83" t="str">
        <f t="shared" si="150"/>
        <v/>
      </c>
      <c r="T1366" s="83" t="str">
        <f t="shared" si="147"/>
        <v/>
      </c>
      <c r="Y1366" s="60">
        <f t="shared" si="151"/>
        <v>0</v>
      </c>
      <c r="Z1366" s="49">
        <f t="shared" si="152"/>
        <v>0</v>
      </c>
      <c r="AA1366" s="60">
        <f t="shared" si="153"/>
        <v>0</v>
      </c>
    </row>
    <row r="1367" spans="1:27">
      <c r="A1367" s="83" t="str">
        <f t="shared" si="148"/>
        <v/>
      </c>
      <c r="B1367" s="83" t="str">
        <f t="shared" si="149"/>
        <v/>
      </c>
      <c r="S1367" s="83" t="str">
        <f t="shared" si="150"/>
        <v/>
      </c>
      <c r="T1367" s="83" t="str">
        <f t="shared" si="147"/>
        <v/>
      </c>
      <c r="Y1367" s="60">
        <f t="shared" si="151"/>
        <v>0</v>
      </c>
      <c r="Z1367" s="49">
        <f t="shared" si="152"/>
        <v>0</v>
      </c>
      <c r="AA1367" s="60">
        <f t="shared" si="153"/>
        <v>0</v>
      </c>
    </row>
    <row r="1368" spans="1:27">
      <c r="A1368" s="83" t="str">
        <f t="shared" si="148"/>
        <v/>
      </c>
      <c r="B1368" s="83" t="str">
        <f t="shared" si="149"/>
        <v/>
      </c>
      <c r="S1368" s="83" t="str">
        <f t="shared" si="150"/>
        <v/>
      </c>
      <c r="T1368" s="83" t="str">
        <f t="shared" si="147"/>
        <v/>
      </c>
      <c r="Y1368" s="60">
        <f t="shared" si="151"/>
        <v>0</v>
      </c>
      <c r="Z1368" s="49">
        <f t="shared" si="152"/>
        <v>0</v>
      </c>
      <c r="AA1368" s="60">
        <f t="shared" si="153"/>
        <v>0</v>
      </c>
    </row>
    <row r="1369" spans="1:27">
      <c r="A1369" s="83" t="str">
        <f t="shared" si="148"/>
        <v/>
      </c>
      <c r="B1369" s="83" t="str">
        <f t="shared" si="149"/>
        <v/>
      </c>
      <c r="S1369" s="83" t="str">
        <f t="shared" si="150"/>
        <v/>
      </c>
      <c r="T1369" s="83" t="str">
        <f t="shared" si="147"/>
        <v/>
      </c>
      <c r="Y1369" s="60">
        <f t="shared" si="151"/>
        <v>0</v>
      </c>
      <c r="Z1369" s="49">
        <f t="shared" si="152"/>
        <v>0</v>
      </c>
      <c r="AA1369" s="60">
        <f t="shared" si="153"/>
        <v>0</v>
      </c>
    </row>
    <row r="1370" spans="1:27">
      <c r="A1370" s="83" t="str">
        <f t="shared" si="148"/>
        <v/>
      </c>
      <c r="B1370" s="83" t="str">
        <f t="shared" si="149"/>
        <v/>
      </c>
      <c r="S1370" s="83" t="str">
        <f t="shared" si="150"/>
        <v/>
      </c>
      <c r="T1370" s="83" t="str">
        <f t="shared" si="147"/>
        <v/>
      </c>
      <c r="Y1370" s="60">
        <f t="shared" si="151"/>
        <v>0</v>
      </c>
      <c r="Z1370" s="49">
        <f t="shared" si="152"/>
        <v>0</v>
      </c>
      <c r="AA1370" s="60">
        <f t="shared" si="153"/>
        <v>0</v>
      </c>
    </row>
    <row r="1371" spans="1:27">
      <c r="A1371" s="83" t="str">
        <f t="shared" si="148"/>
        <v/>
      </c>
      <c r="B1371" s="83" t="str">
        <f t="shared" si="149"/>
        <v/>
      </c>
      <c r="S1371" s="83" t="str">
        <f t="shared" si="150"/>
        <v/>
      </c>
      <c r="T1371" s="83" t="str">
        <f t="shared" si="147"/>
        <v/>
      </c>
      <c r="Y1371" s="60">
        <f t="shared" si="151"/>
        <v>0</v>
      </c>
      <c r="Z1371" s="49">
        <f t="shared" si="152"/>
        <v>0</v>
      </c>
      <c r="AA1371" s="60">
        <f t="shared" si="153"/>
        <v>0</v>
      </c>
    </row>
    <row r="1372" spans="1:27">
      <c r="A1372" s="83" t="str">
        <f t="shared" si="148"/>
        <v/>
      </c>
      <c r="B1372" s="83" t="str">
        <f t="shared" si="149"/>
        <v/>
      </c>
      <c r="S1372" s="83" t="str">
        <f t="shared" si="150"/>
        <v/>
      </c>
      <c r="T1372" s="83" t="str">
        <f t="shared" si="147"/>
        <v/>
      </c>
      <c r="Y1372" s="60">
        <f t="shared" si="151"/>
        <v>0</v>
      </c>
      <c r="Z1372" s="49">
        <f t="shared" si="152"/>
        <v>0</v>
      </c>
      <c r="AA1372" s="60">
        <f t="shared" si="153"/>
        <v>0</v>
      </c>
    </row>
    <row r="1373" spans="1:27">
      <c r="A1373" s="83" t="str">
        <f t="shared" si="148"/>
        <v/>
      </c>
      <c r="B1373" s="83" t="str">
        <f t="shared" si="149"/>
        <v/>
      </c>
      <c r="S1373" s="83" t="str">
        <f t="shared" si="150"/>
        <v/>
      </c>
      <c r="T1373" s="83" t="str">
        <f t="shared" si="147"/>
        <v/>
      </c>
      <c r="Y1373" s="60">
        <f t="shared" si="151"/>
        <v>0</v>
      </c>
      <c r="Z1373" s="49">
        <f t="shared" si="152"/>
        <v>0</v>
      </c>
      <c r="AA1373" s="60">
        <f t="shared" si="153"/>
        <v>0</v>
      </c>
    </row>
    <row r="1374" spans="1:27">
      <c r="A1374" s="83" t="str">
        <f t="shared" si="148"/>
        <v/>
      </c>
      <c r="B1374" s="83" t="str">
        <f t="shared" si="149"/>
        <v/>
      </c>
      <c r="S1374" s="83" t="str">
        <f t="shared" si="150"/>
        <v/>
      </c>
      <c r="T1374" s="83" t="str">
        <f t="shared" si="147"/>
        <v/>
      </c>
      <c r="Y1374" s="60">
        <f t="shared" si="151"/>
        <v>0</v>
      </c>
      <c r="Z1374" s="49">
        <f t="shared" si="152"/>
        <v>0</v>
      </c>
      <c r="AA1374" s="60">
        <f t="shared" si="153"/>
        <v>0</v>
      </c>
    </row>
    <row r="1375" spans="1:27">
      <c r="A1375" s="83" t="str">
        <f t="shared" si="148"/>
        <v/>
      </c>
      <c r="B1375" s="83" t="str">
        <f t="shared" si="149"/>
        <v/>
      </c>
      <c r="S1375" s="83" t="str">
        <f t="shared" si="150"/>
        <v/>
      </c>
      <c r="T1375" s="83" t="str">
        <f t="shared" si="147"/>
        <v/>
      </c>
      <c r="Y1375" s="60">
        <f t="shared" si="151"/>
        <v>0</v>
      </c>
      <c r="Z1375" s="49">
        <f t="shared" si="152"/>
        <v>0</v>
      </c>
      <c r="AA1375" s="60">
        <f t="shared" si="153"/>
        <v>0</v>
      </c>
    </row>
    <row r="1376" spans="1:27">
      <c r="A1376" s="83" t="str">
        <f t="shared" si="148"/>
        <v/>
      </c>
      <c r="B1376" s="83" t="str">
        <f t="shared" si="149"/>
        <v/>
      </c>
      <c r="S1376" s="83" t="str">
        <f t="shared" si="150"/>
        <v/>
      </c>
      <c r="T1376" s="83" t="str">
        <f t="shared" si="147"/>
        <v/>
      </c>
      <c r="Y1376" s="60">
        <f t="shared" si="151"/>
        <v>0</v>
      </c>
      <c r="Z1376" s="49">
        <f t="shared" si="152"/>
        <v>0</v>
      </c>
      <c r="AA1376" s="60">
        <f t="shared" si="153"/>
        <v>0</v>
      </c>
    </row>
    <row r="1377" spans="1:27">
      <c r="A1377" s="83" t="str">
        <f t="shared" si="148"/>
        <v/>
      </c>
      <c r="B1377" s="83" t="str">
        <f t="shared" si="149"/>
        <v/>
      </c>
      <c r="S1377" s="83" t="str">
        <f t="shared" si="150"/>
        <v/>
      </c>
      <c r="T1377" s="83" t="str">
        <f t="shared" si="147"/>
        <v/>
      </c>
      <c r="Y1377" s="60">
        <f t="shared" si="151"/>
        <v>0</v>
      </c>
      <c r="Z1377" s="49">
        <f t="shared" si="152"/>
        <v>0</v>
      </c>
      <c r="AA1377" s="60">
        <f t="shared" si="153"/>
        <v>0</v>
      </c>
    </row>
    <row r="1378" spans="1:27">
      <c r="A1378" s="83" t="str">
        <f t="shared" si="148"/>
        <v/>
      </c>
      <c r="B1378" s="83" t="str">
        <f t="shared" si="149"/>
        <v/>
      </c>
      <c r="S1378" s="83" t="str">
        <f t="shared" si="150"/>
        <v/>
      </c>
      <c r="T1378" s="83" t="str">
        <f t="shared" si="147"/>
        <v/>
      </c>
      <c r="Y1378" s="60">
        <f t="shared" si="151"/>
        <v>0</v>
      </c>
      <c r="Z1378" s="49">
        <f t="shared" si="152"/>
        <v>0</v>
      </c>
      <c r="AA1378" s="60">
        <f t="shared" si="153"/>
        <v>0</v>
      </c>
    </row>
    <row r="1379" spans="1:27">
      <c r="A1379" s="83" t="str">
        <f t="shared" si="148"/>
        <v/>
      </c>
      <c r="B1379" s="83" t="str">
        <f t="shared" si="149"/>
        <v/>
      </c>
      <c r="S1379" s="83" t="str">
        <f t="shared" si="150"/>
        <v/>
      </c>
      <c r="T1379" s="83" t="str">
        <f t="shared" si="147"/>
        <v/>
      </c>
      <c r="Y1379" s="60">
        <f t="shared" si="151"/>
        <v>0</v>
      </c>
      <c r="Z1379" s="49">
        <f t="shared" si="152"/>
        <v>0</v>
      </c>
      <c r="AA1379" s="60">
        <f t="shared" si="153"/>
        <v>0</v>
      </c>
    </row>
    <row r="1380" spans="1:27">
      <c r="A1380" s="83" t="str">
        <f t="shared" si="148"/>
        <v/>
      </c>
      <c r="B1380" s="83" t="str">
        <f t="shared" si="149"/>
        <v/>
      </c>
      <c r="S1380" s="83" t="str">
        <f t="shared" si="150"/>
        <v/>
      </c>
      <c r="T1380" s="83" t="str">
        <f t="shared" si="147"/>
        <v/>
      </c>
      <c r="Y1380" s="60">
        <f t="shared" si="151"/>
        <v>0</v>
      </c>
      <c r="Z1380" s="49">
        <f t="shared" si="152"/>
        <v>0</v>
      </c>
      <c r="AA1380" s="60">
        <f t="shared" si="153"/>
        <v>0</v>
      </c>
    </row>
    <row r="1381" spans="1:27">
      <c r="A1381" s="83" t="str">
        <f t="shared" si="148"/>
        <v/>
      </c>
      <c r="B1381" s="83" t="str">
        <f t="shared" si="149"/>
        <v/>
      </c>
      <c r="S1381" s="83" t="str">
        <f t="shared" si="150"/>
        <v/>
      </c>
      <c r="T1381" s="83" t="str">
        <f t="shared" si="147"/>
        <v/>
      </c>
      <c r="Y1381" s="60">
        <f t="shared" si="151"/>
        <v>0</v>
      </c>
      <c r="Z1381" s="49">
        <f t="shared" si="152"/>
        <v>0</v>
      </c>
      <c r="AA1381" s="60">
        <f t="shared" si="153"/>
        <v>0</v>
      </c>
    </row>
    <row r="1382" spans="1:27">
      <c r="A1382" s="83" t="str">
        <f t="shared" si="148"/>
        <v/>
      </c>
      <c r="B1382" s="83" t="str">
        <f t="shared" si="149"/>
        <v/>
      </c>
      <c r="S1382" s="83" t="str">
        <f t="shared" si="150"/>
        <v/>
      </c>
      <c r="T1382" s="83" t="str">
        <f t="shared" si="147"/>
        <v/>
      </c>
      <c r="Y1382" s="60">
        <f t="shared" si="151"/>
        <v>0</v>
      </c>
      <c r="Z1382" s="49">
        <f t="shared" si="152"/>
        <v>0</v>
      </c>
      <c r="AA1382" s="60">
        <f t="shared" si="153"/>
        <v>0</v>
      </c>
    </row>
    <row r="1383" spans="1:27">
      <c r="A1383" s="83" t="str">
        <f t="shared" si="148"/>
        <v/>
      </c>
      <c r="B1383" s="83" t="str">
        <f t="shared" si="149"/>
        <v/>
      </c>
      <c r="S1383" s="83" t="str">
        <f t="shared" si="150"/>
        <v/>
      </c>
      <c r="T1383" s="83" t="str">
        <f t="shared" si="147"/>
        <v/>
      </c>
      <c r="Y1383" s="60">
        <f t="shared" si="151"/>
        <v>0</v>
      </c>
      <c r="Z1383" s="49">
        <f t="shared" si="152"/>
        <v>0</v>
      </c>
      <c r="AA1383" s="60">
        <f t="shared" si="153"/>
        <v>0</v>
      </c>
    </row>
    <row r="1384" spans="1:27">
      <c r="A1384" s="83" t="str">
        <f t="shared" si="148"/>
        <v/>
      </c>
      <c r="B1384" s="83" t="str">
        <f t="shared" si="149"/>
        <v/>
      </c>
      <c r="S1384" s="83" t="str">
        <f t="shared" si="150"/>
        <v/>
      </c>
      <c r="T1384" s="83" t="str">
        <f t="shared" si="147"/>
        <v/>
      </c>
      <c r="Y1384" s="60">
        <f t="shared" si="151"/>
        <v>0</v>
      </c>
      <c r="Z1384" s="49">
        <f t="shared" si="152"/>
        <v>0</v>
      </c>
      <c r="AA1384" s="60">
        <f t="shared" si="153"/>
        <v>0</v>
      </c>
    </row>
    <row r="1385" spans="1:27">
      <c r="A1385" s="83" t="str">
        <f t="shared" si="148"/>
        <v/>
      </c>
      <c r="B1385" s="83" t="str">
        <f t="shared" si="149"/>
        <v/>
      </c>
      <c r="S1385" s="83" t="str">
        <f t="shared" si="150"/>
        <v/>
      </c>
      <c r="T1385" s="83" t="str">
        <f t="shared" si="147"/>
        <v/>
      </c>
      <c r="Y1385" s="60">
        <f t="shared" si="151"/>
        <v>0</v>
      </c>
      <c r="Z1385" s="49">
        <f t="shared" si="152"/>
        <v>0</v>
      </c>
      <c r="AA1385" s="60">
        <f t="shared" si="153"/>
        <v>0</v>
      </c>
    </row>
    <row r="1386" spans="1:27">
      <c r="A1386" s="83" t="str">
        <f t="shared" si="148"/>
        <v/>
      </c>
      <c r="B1386" s="83" t="str">
        <f t="shared" si="149"/>
        <v/>
      </c>
      <c r="S1386" s="83" t="str">
        <f t="shared" si="150"/>
        <v/>
      </c>
      <c r="T1386" s="83" t="str">
        <f t="shared" si="147"/>
        <v/>
      </c>
      <c r="Y1386" s="60">
        <f t="shared" si="151"/>
        <v>0</v>
      </c>
      <c r="Z1386" s="49">
        <f t="shared" si="152"/>
        <v>0</v>
      </c>
      <c r="AA1386" s="60">
        <f t="shared" si="153"/>
        <v>0</v>
      </c>
    </row>
    <row r="1387" spans="1:27">
      <c r="A1387" s="83" t="str">
        <f t="shared" si="148"/>
        <v/>
      </c>
      <c r="B1387" s="83" t="str">
        <f t="shared" si="149"/>
        <v/>
      </c>
      <c r="S1387" s="83" t="str">
        <f t="shared" si="150"/>
        <v/>
      </c>
      <c r="T1387" s="83" t="str">
        <f t="shared" si="147"/>
        <v/>
      </c>
      <c r="Y1387" s="60">
        <f t="shared" si="151"/>
        <v>0</v>
      </c>
      <c r="Z1387" s="49">
        <f t="shared" si="152"/>
        <v>0</v>
      </c>
      <c r="AA1387" s="60">
        <f t="shared" si="153"/>
        <v>0</v>
      </c>
    </row>
    <row r="1388" spans="1:27">
      <c r="A1388" s="83" t="str">
        <f t="shared" si="148"/>
        <v/>
      </c>
      <c r="B1388" s="83" t="str">
        <f t="shared" si="149"/>
        <v/>
      </c>
      <c r="S1388" s="83" t="str">
        <f t="shared" si="150"/>
        <v/>
      </c>
      <c r="T1388" s="83" t="str">
        <f t="shared" si="147"/>
        <v/>
      </c>
      <c r="Y1388" s="60">
        <f t="shared" si="151"/>
        <v>0</v>
      </c>
      <c r="Z1388" s="49">
        <f t="shared" si="152"/>
        <v>0</v>
      </c>
      <c r="AA1388" s="60">
        <f t="shared" si="153"/>
        <v>0</v>
      </c>
    </row>
    <row r="1389" spans="1:27">
      <c r="A1389" s="83" t="str">
        <f t="shared" si="148"/>
        <v/>
      </c>
      <c r="B1389" s="83" t="str">
        <f t="shared" si="149"/>
        <v/>
      </c>
      <c r="S1389" s="83" t="str">
        <f t="shared" si="150"/>
        <v/>
      </c>
      <c r="T1389" s="83" t="str">
        <f t="shared" si="147"/>
        <v/>
      </c>
      <c r="Y1389" s="60">
        <f t="shared" si="151"/>
        <v>0</v>
      </c>
      <c r="Z1389" s="49">
        <f t="shared" si="152"/>
        <v>0</v>
      </c>
      <c r="AA1389" s="60">
        <f t="shared" si="153"/>
        <v>0</v>
      </c>
    </row>
    <row r="1390" spans="1:27">
      <c r="A1390" s="83" t="str">
        <f t="shared" si="148"/>
        <v/>
      </c>
      <c r="B1390" s="83" t="str">
        <f t="shared" si="149"/>
        <v/>
      </c>
      <c r="S1390" s="83" t="str">
        <f t="shared" si="150"/>
        <v/>
      </c>
      <c r="T1390" s="83" t="str">
        <f t="shared" si="147"/>
        <v/>
      </c>
      <c r="Y1390" s="60">
        <f t="shared" si="151"/>
        <v>0</v>
      </c>
      <c r="Z1390" s="49">
        <f t="shared" si="152"/>
        <v>0</v>
      </c>
      <c r="AA1390" s="60">
        <f t="shared" si="153"/>
        <v>0</v>
      </c>
    </row>
    <row r="1391" spans="1:27">
      <c r="A1391" s="83" t="str">
        <f t="shared" si="148"/>
        <v/>
      </c>
      <c r="B1391" s="83" t="str">
        <f t="shared" si="149"/>
        <v/>
      </c>
      <c r="S1391" s="83" t="str">
        <f t="shared" si="150"/>
        <v/>
      </c>
      <c r="T1391" s="83" t="str">
        <f t="shared" si="147"/>
        <v/>
      </c>
      <c r="Y1391" s="60">
        <f t="shared" si="151"/>
        <v>0</v>
      </c>
      <c r="Z1391" s="49">
        <f t="shared" si="152"/>
        <v>0</v>
      </c>
      <c r="AA1391" s="60">
        <f t="shared" si="153"/>
        <v>0</v>
      </c>
    </row>
    <row r="1392" spans="1:27">
      <c r="A1392" s="83" t="str">
        <f t="shared" si="148"/>
        <v/>
      </c>
      <c r="B1392" s="83" t="str">
        <f t="shared" si="149"/>
        <v/>
      </c>
      <c r="S1392" s="83" t="str">
        <f t="shared" si="150"/>
        <v/>
      </c>
      <c r="T1392" s="83" t="str">
        <f t="shared" si="147"/>
        <v/>
      </c>
      <c r="Y1392" s="60">
        <f t="shared" si="151"/>
        <v>0</v>
      </c>
      <c r="Z1392" s="49">
        <f t="shared" si="152"/>
        <v>0</v>
      </c>
      <c r="AA1392" s="60">
        <f t="shared" si="153"/>
        <v>0</v>
      </c>
    </row>
    <row r="1393" spans="1:27">
      <c r="A1393" s="83" t="str">
        <f t="shared" si="148"/>
        <v/>
      </c>
      <c r="B1393" s="83" t="str">
        <f t="shared" si="149"/>
        <v/>
      </c>
      <c r="S1393" s="83" t="str">
        <f t="shared" si="150"/>
        <v/>
      </c>
      <c r="T1393" s="83" t="str">
        <f t="shared" si="147"/>
        <v/>
      </c>
      <c r="Y1393" s="60">
        <f t="shared" si="151"/>
        <v>0</v>
      </c>
      <c r="Z1393" s="49">
        <f t="shared" si="152"/>
        <v>0</v>
      </c>
      <c r="AA1393" s="60">
        <f t="shared" si="153"/>
        <v>0</v>
      </c>
    </row>
    <row r="1394" spans="1:27">
      <c r="A1394" s="83" t="str">
        <f t="shared" si="148"/>
        <v/>
      </c>
      <c r="B1394" s="83" t="str">
        <f t="shared" si="149"/>
        <v/>
      </c>
      <c r="S1394" s="83" t="str">
        <f t="shared" si="150"/>
        <v/>
      </c>
      <c r="T1394" s="83" t="str">
        <f t="shared" si="147"/>
        <v/>
      </c>
      <c r="Y1394" s="60">
        <f t="shared" si="151"/>
        <v>0</v>
      </c>
      <c r="Z1394" s="49">
        <f t="shared" si="152"/>
        <v>0</v>
      </c>
      <c r="AA1394" s="60">
        <f t="shared" si="153"/>
        <v>0</v>
      </c>
    </row>
    <row r="1395" spans="1:27">
      <c r="A1395" s="83" t="str">
        <f t="shared" si="148"/>
        <v/>
      </c>
      <c r="B1395" s="83" t="str">
        <f t="shared" si="149"/>
        <v/>
      </c>
      <c r="S1395" s="83" t="str">
        <f t="shared" si="150"/>
        <v/>
      </c>
      <c r="T1395" s="83" t="str">
        <f t="shared" si="147"/>
        <v/>
      </c>
      <c r="Y1395" s="60">
        <f t="shared" si="151"/>
        <v>0</v>
      </c>
      <c r="Z1395" s="49">
        <f t="shared" si="152"/>
        <v>0</v>
      </c>
      <c r="AA1395" s="60">
        <f t="shared" si="153"/>
        <v>0</v>
      </c>
    </row>
    <row r="1396" spans="1:27">
      <c r="A1396" s="83" t="str">
        <f t="shared" si="148"/>
        <v/>
      </c>
      <c r="B1396" s="83" t="str">
        <f t="shared" si="149"/>
        <v/>
      </c>
      <c r="S1396" s="83" t="str">
        <f t="shared" si="150"/>
        <v/>
      </c>
      <c r="T1396" s="83" t="str">
        <f t="shared" si="147"/>
        <v/>
      </c>
      <c r="Y1396" s="60">
        <f t="shared" si="151"/>
        <v>0</v>
      </c>
      <c r="Z1396" s="49">
        <f t="shared" si="152"/>
        <v>0</v>
      </c>
      <c r="AA1396" s="60">
        <f t="shared" si="153"/>
        <v>0</v>
      </c>
    </row>
    <row r="1397" spans="1:27">
      <c r="A1397" s="83" t="str">
        <f t="shared" si="148"/>
        <v/>
      </c>
      <c r="B1397" s="83" t="str">
        <f t="shared" si="149"/>
        <v/>
      </c>
      <c r="S1397" s="83" t="str">
        <f t="shared" si="150"/>
        <v/>
      </c>
      <c r="T1397" s="83" t="str">
        <f t="shared" si="147"/>
        <v/>
      </c>
      <c r="Y1397" s="60">
        <f t="shared" si="151"/>
        <v>0</v>
      </c>
      <c r="Z1397" s="49">
        <f t="shared" si="152"/>
        <v>0</v>
      </c>
      <c r="AA1397" s="60">
        <f t="shared" si="153"/>
        <v>0</v>
      </c>
    </row>
    <row r="1398" spans="1:27">
      <c r="A1398" s="83" t="str">
        <f t="shared" si="148"/>
        <v/>
      </c>
      <c r="B1398" s="83" t="str">
        <f t="shared" si="149"/>
        <v/>
      </c>
      <c r="S1398" s="83" t="str">
        <f t="shared" si="150"/>
        <v/>
      </c>
      <c r="T1398" s="83" t="str">
        <f t="shared" si="147"/>
        <v/>
      </c>
      <c r="Y1398" s="60">
        <f t="shared" si="151"/>
        <v>0</v>
      </c>
      <c r="Z1398" s="49">
        <f t="shared" si="152"/>
        <v>0</v>
      </c>
      <c r="AA1398" s="60">
        <f t="shared" si="153"/>
        <v>0</v>
      </c>
    </row>
    <row r="1399" spans="1:27">
      <c r="A1399" s="83" t="str">
        <f t="shared" si="148"/>
        <v/>
      </c>
      <c r="B1399" s="83" t="str">
        <f t="shared" si="149"/>
        <v/>
      </c>
      <c r="S1399" s="83" t="str">
        <f t="shared" si="150"/>
        <v/>
      </c>
      <c r="T1399" s="83" t="str">
        <f t="shared" si="147"/>
        <v/>
      </c>
      <c r="Y1399" s="60">
        <f t="shared" si="151"/>
        <v>0</v>
      </c>
      <c r="Z1399" s="49">
        <f t="shared" si="152"/>
        <v>0</v>
      </c>
      <c r="AA1399" s="60">
        <f t="shared" si="153"/>
        <v>0</v>
      </c>
    </row>
    <row r="1400" spans="1:27">
      <c r="A1400" s="83" t="str">
        <f t="shared" si="148"/>
        <v/>
      </c>
      <c r="B1400" s="83" t="str">
        <f t="shared" si="149"/>
        <v/>
      </c>
      <c r="S1400" s="83" t="str">
        <f t="shared" si="150"/>
        <v/>
      </c>
      <c r="T1400" s="83" t="str">
        <f t="shared" si="147"/>
        <v/>
      </c>
      <c r="Y1400" s="60">
        <f t="shared" si="151"/>
        <v>0</v>
      </c>
      <c r="Z1400" s="49">
        <f t="shared" si="152"/>
        <v>0</v>
      </c>
      <c r="AA1400" s="60">
        <f t="shared" si="153"/>
        <v>0</v>
      </c>
    </row>
    <row r="1401" spans="1:27">
      <c r="A1401" s="83" t="str">
        <f t="shared" si="148"/>
        <v/>
      </c>
      <c r="B1401" s="83" t="str">
        <f t="shared" si="149"/>
        <v/>
      </c>
      <c r="S1401" s="83" t="str">
        <f t="shared" si="150"/>
        <v/>
      </c>
      <c r="T1401" s="83" t="str">
        <f t="shared" si="147"/>
        <v/>
      </c>
      <c r="Y1401" s="60">
        <f t="shared" si="151"/>
        <v>0</v>
      </c>
      <c r="Z1401" s="49">
        <f t="shared" si="152"/>
        <v>0</v>
      </c>
      <c r="AA1401" s="60">
        <f t="shared" si="153"/>
        <v>0</v>
      </c>
    </row>
    <row r="1402" spans="1:27">
      <c r="A1402" s="83" t="str">
        <f t="shared" si="148"/>
        <v/>
      </c>
      <c r="B1402" s="83" t="str">
        <f t="shared" si="149"/>
        <v/>
      </c>
      <c r="S1402" s="83" t="str">
        <f t="shared" si="150"/>
        <v/>
      </c>
      <c r="T1402" s="83" t="str">
        <f t="shared" si="147"/>
        <v/>
      </c>
      <c r="Y1402" s="60">
        <f t="shared" si="151"/>
        <v>0</v>
      </c>
      <c r="Z1402" s="49">
        <f t="shared" si="152"/>
        <v>0</v>
      </c>
      <c r="AA1402" s="60">
        <f t="shared" si="153"/>
        <v>0</v>
      </c>
    </row>
    <row r="1403" spans="1:27">
      <c r="A1403" s="83" t="str">
        <f t="shared" si="148"/>
        <v/>
      </c>
      <c r="B1403" s="83" t="str">
        <f t="shared" si="149"/>
        <v/>
      </c>
      <c r="S1403" s="83" t="str">
        <f t="shared" si="150"/>
        <v/>
      </c>
      <c r="T1403" s="83" t="str">
        <f t="shared" si="147"/>
        <v/>
      </c>
      <c r="Y1403" s="60">
        <f t="shared" si="151"/>
        <v>0</v>
      </c>
      <c r="Z1403" s="49">
        <f t="shared" si="152"/>
        <v>0</v>
      </c>
      <c r="AA1403" s="60">
        <f t="shared" si="153"/>
        <v>0</v>
      </c>
    </row>
    <row r="1404" spans="1:27">
      <c r="A1404" s="83" t="str">
        <f t="shared" si="148"/>
        <v/>
      </c>
      <c r="B1404" s="83" t="str">
        <f t="shared" si="149"/>
        <v/>
      </c>
      <c r="S1404" s="83" t="str">
        <f t="shared" si="150"/>
        <v/>
      </c>
      <c r="T1404" s="83" t="str">
        <f t="shared" si="147"/>
        <v/>
      </c>
      <c r="Y1404" s="60">
        <f t="shared" si="151"/>
        <v>0</v>
      </c>
      <c r="Z1404" s="49">
        <f t="shared" si="152"/>
        <v>0</v>
      </c>
      <c r="AA1404" s="60">
        <f t="shared" si="153"/>
        <v>0</v>
      </c>
    </row>
    <row r="1405" spans="1:27">
      <c r="A1405" s="83" t="str">
        <f t="shared" si="148"/>
        <v/>
      </c>
      <c r="B1405" s="83" t="str">
        <f t="shared" si="149"/>
        <v/>
      </c>
      <c r="S1405" s="83" t="str">
        <f t="shared" si="150"/>
        <v/>
      </c>
      <c r="T1405" s="83" t="str">
        <f t="shared" si="147"/>
        <v/>
      </c>
      <c r="Y1405" s="60">
        <f t="shared" si="151"/>
        <v>0</v>
      </c>
      <c r="Z1405" s="49">
        <f t="shared" si="152"/>
        <v>0</v>
      </c>
      <c r="AA1405" s="60">
        <f t="shared" si="153"/>
        <v>0</v>
      </c>
    </row>
    <row r="1406" spans="1:27">
      <c r="A1406" s="83" t="str">
        <f t="shared" si="148"/>
        <v/>
      </c>
      <c r="B1406" s="83" t="str">
        <f t="shared" si="149"/>
        <v/>
      </c>
      <c r="S1406" s="83" t="str">
        <f t="shared" si="150"/>
        <v/>
      </c>
      <c r="T1406" s="83" t="str">
        <f t="shared" si="147"/>
        <v/>
      </c>
      <c r="Y1406" s="60">
        <f t="shared" si="151"/>
        <v>0</v>
      </c>
      <c r="Z1406" s="49">
        <f t="shared" si="152"/>
        <v>0</v>
      </c>
      <c r="AA1406" s="60">
        <f t="shared" si="153"/>
        <v>0</v>
      </c>
    </row>
    <row r="1407" spans="1:27">
      <c r="A1407" s="83" t="str">
        <f t="shared" si="148"/>
        <v/>
      </c>
      <c r="B1407" s="83" t="str">
        <f t="shared" si="149"/>
        <v/>
      </c>
      <c r="S1407" s="83" t="str">
        <f t="shared" si="150"/>
        <v/>
      </c>
      <c r="T1407" s="83" t="str">
        <f t="shared" si="147"/>
        <v/>
      </c>
      <c r="Y1407" s="60">
        <f t="shared" si="151"/>
        <v>0</v>
      </c>
      <c r="Z1407" s="49">
        <f t="shared" si="152"/>
        <v>0</v>
      </c>
      <c r="AA1407" s="60">
        <f t="shared" si="153"/>
        <v>0</v>
      </c>
    </row>
    <row r="1408" spans="1:27">
      <c r="A1408" s="83" t="str">
        <f t="shared" si="148"/>
        <v/>
      </c>
      <c r="B1408" s="83" t="str">
        <f t="shared" si="149"/>
        <v/>
      </c>
      <c r="S1408" s="83" t="str">
        <f t="shared" si="150"/>
        <v/>
      </c>
      <c r="T1408" s="83" t="str">
        <f t="shared" si="147"/>
        <v/>
      </c>
      <c r="Y1408" s="60">
        <f t="shared" si="151"/>
        <v>0</v>
      </c>
      <c r="Z1408" s="49">
        <f t="shared" si="152"/>
        <v>0</v>
      </c>
      <c r="AA1408" s="60">
        <f t="shared" si="153"/>
        <v>0</v>
      </c>
    </row>
    <row r="1409" spans="1:27">
      <c r="A1409" s="83" t="str">
        <f t="shared" si="148"/>
        <v/>
      </c>
      <c r="B1409" s="83" t="str">
        <f t="shared" si="149"/>
        <v/>
      </c>
      <c r="S1409" s="83" t="str">
        <f t="shared" si="150"/>
        <v/>
      </c>
      <c r="T1409" s="83" t="str">
        <f t="shared" si="147"/>
        <v/>
      </c>
      <c r="Y1409" s="60">
        <f t="shared" si="151"/>
        <v>0</v>
      </c>
      <c r="Z1409" s="49">
        <f t="shared" si="152"/>
        <v>0</v>
      </c>
      <c r="AA1409" s="60">
        <f t="shared" si="153"/>
        <v>0</v>
      </c>
    </row>
    <row r="1410" spans="1:27">
      <c r="A1410" s="83" t="str">
        <f t="shared" si="148"/>
        <v/>
      </c>
      <c r="B1410" s="83" t="str">
        <f t="shared" si="149"/>
        <v/>
      </c>
      <c r="S1410" s="83" t="str">
        <f t="shared" si="150"/>
        <v/>
      </c>
      <c r="T1410" s="83" t="str">
        <f t="shared" ref="T1410:T1473" si="154">IF(A1410&lt;&gt;"",IF(FIND(" ",G1410)&gt;=1,MID(G1410,FIND(" ",G1410)+1,LEN(G1410)),""),"")</f>
        <v/>
      </c>
      <c r="Y1410" s="60">
        <f t="shared" si="151"/>
        <v>0</v>
      </c>
      <c r="Z1410" s="49">
        <f t="shared" si="152"/>
        <v>0</v>
      </c>
      <c r="AA1410" s="60">
        <f t="shared" si="153"/>
        <v>0</v>
      </c>
    </row>
    <row r="1411" spans="1:27">
      <c r="A1411" s="83" t="str">
        <f t="shared" ref="A1411:A1474" si="155">IF(G1411&amp;Q1411&lt;&gt;"",S1411&amp;Q1411,"")</f>
        <v/>
      </c>
      <c r="B1411" s="83" t="str">
        <f t="shared" ref="B1411:B1474" si="156">IF(C1411&lt;&gt;"",LEFT(C1411,9),"")</f>
        <v/>
      </c>
      <c r="S1411" s="83" t="str">
        <f t="shared" ref="S1411:S1474" si="157">IF(G1411&lt;&gt;"",IF(FIND(" ",G1411)&gt;=1,MID(G1411,1,FIND(" ",G1411)-1),G1411),"")</f>
        <v/>
      </c>
      <c r="T1411" s="83" t="str">
        <f t="shared" si="154"/>
        <v/>
      </c>
      <c r="Y1411" s="60">
        <f t="shared" ref="Y1411:Y1474" si="158">IFERROR(VALUE(MID($C1411,1,2)),0)</f>
        <v>0</v>
      </c>
      <c r="Z1411" s="49">
        <f t="shared" ref="Z1411:Z1474" si="159">IFERROR(VALUE(MID($C1411,4,3)),0)</f>
        <v>0</v>
      </c>
      <c r="AA1411" s="60">
        <f t="shared" ref="AA1411:AA1474" si="160">VALUE(RIGHT("00"&amp;Y1411,2)&amp;RIGHT("000"&amp;Z1411,3))</f>
        <v>0</v>
      </c>
    </row>
    <row r="1412" spans="1:27">
      <c r="A1412" s="83" t="str">
        <f t="shared" si="155"/>
        <v/>
      </c>
      <c r="B1412" s="83" t="str">
        <f t="shared" si="156"/>
        <v/>
      </c>
      <c r="S1412" s="83" t="str">
        <f t="shared" si="157"/>
        <v/>
      </c>
      <c r="T1412" s="83" t="str">
        <f t="shared" si="154"/>
        <v/>
      </c>
      <c r="Y1412" s="60">
        <f t="shared" si="158"/>
        <v>0</v>
      </c>
      <c r="Z1412" s="49">
        <f t="shared" si="159"/>
        <v>0</v>
      </c>
      <c r="AA1412" s="60">
        <f t="shared" si="160"/>
        <v>0</v>
      </c>
    </row>
    <row r="1413" spans="1:27">
      <c r="A1413" s="83" t="str">
        <f t="shared" si="155"/>
        <v/>
      </c>
      <c r="B1413" s="83" t="str">
        <f t="shared" si="156"/>
        <v/>
      </c>
      <c r="S1413" s="83" t="str">
        <f t="shared" si="157"/>
        <v/>
      </c>
      <c r="T1413" s="83" t="str">
        <f t="shared" si="154"/>
        <v/>
      </c>
      <c r="Y1413" s="60">
        <f t="shared" si="158"/>
        <v>0</v>
      </c>
      <c r="Z1413" s="49">
        <f t="shared" si="159"/>
        <v>0</v>
      </c>
      <c r="AA1413" s="60">
        <f t="shared" si="160"/>
        <v>0</v>
      </c>
    </row>
    <row r="1414" spans="1:27">
      <c r="A1414" s="83" t="str">
        <f t="shared" si="155"/>
        <v/>
      </c>
      <c r="B1414" s="83" t="str">
        <f t="shared" si="156"/>
        <v/>
      </c>
      <c r="S1414" s="83" t="str">
        <f t="shared" si="157"/>
        <v/>
      </c>
      <c r="T1414" s="83" t="str">
        <f t="shared" si="154"/>
        <v/>
      </c>
      <c r="Y1414" s="60">
        <f t="shared" si="158"/>
        <v>0</v>
      </c>
      <c r="Z1414" s="49">
        <f t="shared" si="159"/>
        <v>0</v>
      </c>
      <c r="AA1414" s="60">
        <f t="shared" si="160"/>
        <v>0</v>
      </c>
    </row>
    <row r="1415" spans="1:27">
      <c r="A1415" s="83" t="str">
        <f t="shared" si="155"/>
        <v/>
      </c>
      <c r="B1415" s="83" t="str">
        <f t="shared" si="156"/>
        <v/>
      </c>
      <c r="S1415" s="83" t="str">
        <f t="shared" si="157"/>
        <v/>
      </c>
      <c r="T1415" s="83" t="str">
        <f t="shared" si="154"/>
        <v/>
      </c>
      <c r="Y1415" s="60">
        <f t="shared" si="158"/>
        <v>0</v>
      </c>
      <c r="Z1415" s="49">
        <f t="shared" si="159"/>
        <v>0</v>
      </c>
      <c r="AA1415" s="60">
        <f t="shared" si="160"/>
        <v>0</v>
      </c>
    </row>
    <row r="1416" spans="1:27">
      <c r="A1416" s="83" t="str">
        <f t="shared" si="155"/>
        <v/>
      </c>
      <c r="B1416" s="83" t="str">
        <f t="shared" si="156"/>
        <v/>
      </c>
      <c r="S1416" s="83" t="str">
        <f t="shared" si="157"/>
        <v/>
      </c>
      <c r="T1416" s="83" t="str">
        <f t="shared" si="154"/>
        <v/>
      </c>
      <c r="Y1416" s="60">
        <f t="shared" si="158"/>
        <v>0</v>
      </c>
      <c r="Z1416" s="49">
        <f t="shared" si="159"/>
        <v>0</v>
      </c>
      <c r="AA1416" s="60">
        <f t="shared" si="160"/>
        <v>0</v>
      </c>
    </row>
    <row r="1417" spans="1:27">
      <c r="A1417" s="83" t="str">
        <f t="shared" si="155"/>
        <v/>
      </c>
      <c r="B1417" s="83" t="str">
        <f t="shared" si="156"/>
        <v/>
      </c>
      <c r="S1417" s="83" t="str">
        <f t="shared" si="157"/>
        <v/>
      </c>
      <c r="T1417" s="83" t="str">
        <f t="shared" si="154"/>
        <v/>
      </c>
      <c r="Y1417" s="60">
        <f t="shared" si="158"/>
        <v>0</v>
      </c>
      <c r="Z1417" s="49">
        <f t="shared" si="159"/>
        <v>0</v>
      </c>
      <c r="AA1417" s="60">
        <f t="shared" si="160"/>
        <v>0</v>
      </c>
    </row>
    <row r="1418" spans="1:27">
      <c r="A1418" s="83" t="str">
        <f t="shared" si="155"/>
        <v/>
      </c>
      <c r="B1418" s="83" t="str">
        <f t="shared" si="156"/>
        <v/>
      </c>
      <c r="S1418" s="83" t="str">
        <f t="shared" si="157"/>
        <v/>
      </c>
      <c r="T1418" s="83" t="str">
        <f t="shared" si="154"/>
        <v/>
      </c>
      <c r="Y1418" s="60">
        <f t="shared" si="158"/>
        <v>0</v>
      </c>
      <c r="Z1418" s="49">
        <f t="shared" si="159"/>
        <v>0</v>
      </c>
      <c r="AA1418" s="60">
        <f t="shared" si="160"/>
        <v>0</v>
      </c>
    </row>
    <row r="1419" spans="1:27">
      <c r="A1419" s="83" t="str">
        <f t="shared" si="155"/>
        <v/>
      </c>
      <c r="B1419" s="83" t="str">
        <f t="shared" si="156"/>
        <v/>
      </c>
      <c r="S1419" s="83" t="str">
        <f t="shared" si="157"/>
        <v/>
      </c>
      <c r="T1419" s="83" t="str">
        <f t="shared" si="154"/>
        <v/>
      </c>
      <c r="Y1419" s="60">
        <f t="shared" si="158"/>
        <v>0</v>
      </c>
      <c r="Z1419" s="49">
        <f t="shared" si="159"/>
        <v>0</v>
      </c>
      <c r="AA1419" s="60">
        <f t="shared" si="160"/>
        <v>0</v>
      </c>
    </row>
    <row r="1420" spans="1:27">
      <c r="A1420" s="83" t="str">
        <f t="shared" si="155"/>
        <v/>
      </c>
      <c r="B1420" s="83" t="str">
        <f t="shared" si="156"/>
        <v/>
      </c>
      <c r="S1420" s="83" t="str">
        <f t="shared" si="157"/>
        <v/>
      </c>
      <c r="T1420" s="83" t="str">
        <f t="shared" si="154"/>
        <v/>
      </c>
      <c r="Y1420" s="60">
        <f t="shared" si="158"/>
        <v>0</v>
      </c>
      <c r="Z1420" s="49">
        <f t="shared" si="159"/>
        <v>0</v>
      </c>
      <c r="AA1420" s="60">
        <f t="shared" si="160"/>
        <v>0</v>
      </c>
    </row>
    <row r="1421" spans="1:27">
      <c r="A1421" s="83" t="str">
        <f t="shared" si="155"/>
        <v/>
      </c>
      <c r="B1421" s="83" t="str">
        <f t="shared" si="156"/>
        <v/>
      </c>
      <c r="S1421" s="83" t="str">
        <f t="shared" si="157"/>
        <v/>
      </c>
      <c r="T1421" s="83" t="str">
        <f t="shared" si="154"/>
        <v/>
      </c>
      <c r="Y1421" s="60">
        <f t="shared" si="158"/>
        <v>0</v>
      </c>
      <c r="Z1421" s="49">
        <f t="shared" si="159"/>
        <v>0</v>
      </c>
      <c r="AA1421" s="60">
        <f t="shared" si="160"/>
        <v>0</v>
      </c>
    </row>
    <row r="1422" spans="1:27">
      <c r="A1422" s="83" t="str">
        <f t="shared" si="155"/>
        <v/>
      </c>
      <c r="B1422" s="83" t="str">
        <f t="shared" si="156"/>
        <v/>
      </c>
      <c r="S1422" s="83" t="str">
        <f t="shared" si="157"/>
        <v/>
      </c>
      <c r="T1422" s="83" t="str">
        <f t="shared" si="154"/>
        <v/>
      </c>
      <c r="Y1422" s="60">
        <f t="shared" si="158"/>
        <v>0</v>
      </c>
      <c r="Z1422" s="49">
        <f t="shared" si="159"/>
        <v>0</v>
      </c>
      <c r="AA1422" s="60">
        <f t="shared" si="160"/>
        <v>0</v>
      </c>
    </row>
    <row r="1423" spans="1:27">
      <c r="A1423" s="83" t="str">
        <f t="shared" si="155"/>
        <v/>
      </c>
      <c r="B1423" s="83" t="str">
        <f t="shared" si="156"/>
        <v/>
      </c>
      <c r="S1423" s="83" t="str">
        <f t="shared" si="157"/>
        <v/>
      </c>
      <c r="T1423" s="83" t="str">
        <f t="shared" si="154"/>
        <v/>
      </c>
      <c r="Y1423" s="60">
        <f t="shared" si="158"/>
        <v>0</v>
      </c>
      <c r="Z1423" s="49">
        <f t="shared" si="159"/>
        <v>0</v>
      </c>
      <c r="AA1423" s="60">
        <f t="shared" si="160"/>
        <v>0</v>
      </c>
    </row>
    <row r="1424" spans="1:27">
      <c r="A1424" s="83" t="str">
        <f t="shared" si="155"/>
        <v/>
      </c>
      <c r="B1424" s="83" t="str">
        <f t="shared" si="156"/>
        <v/>
      </c>
      <c r="S1424" s="83" t="str">
        <f t="shared" si="157"/>
        <v/>
      </c>
      <c r="T1424" s="83" t="str">
        <f t="shared" si="154"/>
        <v/>
      </c>
      <c r="Y1424" s="60">
        <f t="shared" si="158"/>
        <v>0</v>
      </c>
      <c r="Z1424" s="49">
        <f t="shared" si="159"/>
        <v>0</v>
      </c>
      <c r="AA1424" s="60">
        <f t="shared" si="160"/>
        <v>0</v>
      </c>
    </row>
    <row r="1425" spans="1:27">
      <c r="A1425" s="83" t="str">
        <f t="shared" si="155"/>
        <v/>
      </c>
      <c r="B1425" s="83" t="str">
        <f t="shared" si="156"/>
        <v/>
      </c>
      <c r="S1425" s="83" t="str">
        <f t="shared" si="157"/>
        <v/>
      </c>
      <c r="T1425" s="83" t="str">
        <f t="shared" si="154"/>
        <v/>
      </c>
      <c r="Y1425" s="60">
        <f t="shared" si="158"/>
        <v>0</v>
      </c>
      <c r="Z1425" s="49">
        <f t="shared" si="159"/>
        <v>0</v>
      </c>
      <c r="AA1425" s="60">
        <f t="shared" si="160"/>
        <v>0</v>
      </c>
    </row>
    <row r="1426" spans="1:27">
      <c r="A1426" s="83" t="str">
        <f t="shared" si="155"/>
        <v/>
      </c>
      <c r="B1426" s="83" t="str">
        <f t="shared" si="156"/>
        <v/>
      </c>
      <c r="S1426" s="83" t="str">
        <f t="shared" si="157"/>
        <v/>
      </c>
      <c r="T1426" s="83" t="str">
        <f t="shared" si="154"/>
        <v/>
      </c>
      <c r="Y1426" s="60">
        <f t="shared" si="158"/>
        <v>0</v>
      </c>
      <c r="Z1426" s="49">
        <f t="shared" si="159"/>
        <v>0</v>
      </c>
      <c r="AA1426" s="60">
        <f t="shared" si="160"/>
        <v>0</v>
      </c>
    </row>
    <row r="1427" spans="1:27">
      <c r="A1427" s="83" t="str">
        <f t="shared" si="155"/>
        <v/>
      </c>
      <c r="B1427" s="83" t="str">
        <f t="shared" si="156"/>
        <v/>
      </c>
      <c r="S1427" s="83" t="str">
        <f t="shared" si="157"/>
        <v/>
      </c>
      <c r="T1427" s="83" t="str">
        <f t="shared" si="154"/>
        <v/>
      </c>
      <c r="Y1427" s="60">
        <f t="shared" si="158"/>
        <v>0</v>
      </c>
      <c r="Z1427" s="49">
        <f t="shared" si="159"/>
        <v>0</v>
      </c>
      <c r="AA1427" s="60">
        <f t="shared" si="160"/>
        <v>0</v>
      </c>
    </row>
    <row r="1428" spans="1:27">
      <c r="A1428" s="83" t="str">
        <f t="shared" si="155"/>
        <v/>
      </c>
      <c r="B1428" s="83" t="str">
        <f t="shared" si="156"/>
        <v/>
      </c>
      <c r="S1428" s="83" t="str">
        <f t="shared" si="157"/>
        <v/>
      </c>
      <c r="T1428" s="83" t="str">
        <f t="shared" si="154"/>
        <v/>
      </c>
      <c r="Y1428" s="60">
        <f t="shared" si="158"/>
        <v>0</v>
      </c>
      <c r="Z1428" s="49">
        <f t="shared" si="159"/>
        <v>0</v>
      </c>
      <c r="AA1428" s="60">
        <f t="shared" si="160"/>
        <v>0</v>
      </c>
    </row>
    <row r="1429" spans="1:27">
      <c r="A1429" s="83" t="str">
        <f t="shared" si="155"/>
        <v/>
      </c>
      <c r="B1429" s="83" t="str">
        <f t="shared" si="156"/>
        <v/>
      </c>
      <c r="S1429" s="83" t="str">
        <f t="shared" si="157"/>
        <v/>
      </c>
      <c r="T1429" s="83" t="str">
        <f t="shared" si="154"/>
        <v/>
      </c>
      <c r="Y1429" s="60">
        <f t="shared" si="158"/>
        <v>0</v>
      </c>
      <c r="Z1429" s="49">
        <f t="shared" si="159"/>
        <v>0</v>
      </c>
      <c r="AA1429" s="60">
        <f t="shared" si="160"/>
        <v>0</v>
      </c>
    </row>
    <row r="1430" spans="1:27">
      <c r="A1430" s="83" t="str">
        <f t="shared" si="155"/>
        <v/>
      </c>
      <c r="B1430" s="83" t="str">
        <f t="shared" si="156"/>
        <v/>
      </c>
      <c r="S1430" s="83" t="str">
        <f t="shared" si="157"/>
        <v/>
      </c>
      <c r="T1430" s="83" t="str">
        <f t="shared" si="154"/>
        <v/>
      </c>
      <c r="Y1430" s="60">
        <f t="shared" si="158"/>
        <v>0</v>
      </c>
      <c r="Z1430" s="49">
        <f t="shared" si="159"/>
        <v>0</v>
      </c>
      <c r="AA1430" s="60">
        <f t="shared" si="160"/>
        <v>0</v>
      </c>
    </row>
    <row r="1431" spans="1:27">
      <c r="A1431" s="83" t="str">
        <f t="shared" si="155"/>
        <v/>
      </c>
      <c r="B1431" s="83" t="str">
        <f t="shared" si="156"/>
        <v/>
      </c>
      <c r="S1431" s="83" t="str">
        <f t="shared" si="157"/>
        <v/>
      </c>
      <c r="T1431" s="83" t="str">
        <f t="shared" si="154"/>
        <v/>
      </c>
      <c r="Y1431" s="60">
        <f t="shared" si="158"/>
        <v>0</v>
      </c>
      <c r="Z1431" s="49">
        <f t="shared" si="159"/>
        <v>0</v>
      </c>
      <c r="AA1431" s="60">
        <f t="shared" si="160"/>
        <v>0</v>
      </c>
    </row>
    <row r="1432" spans="1:27">
      <c r="A1432" s="83" t="str">
        <f t="shared" si="155"/>
        <v/>
      </c>
      <c r="B1432" s="83" t="str">
        <f t="shared" si="156"/>
        <v/>
      </c>
      <c r="S1432" s="83" t="str">
        <f t="shared" si="157"/>
        <v/>
      </c>
      <c r="T1432" s="83" t="str">
        <f t="shared" si="154"/>
        <v/>
      </c>
      <c r="Y1432" s="60">
        <f t="shared" si="158"/>
        <v>0</v>
      </c>
      <c r="Z1432" s="49">
        <f t="shared" si="159"/>
        <v>0</v>
      </c>
      <c r="AA1432" s="60">
        <f t="shared" si="160"/>
        <v>0</v>
      </c>
    </row>
    <row r="1433" spans="1:27">
      <c r="A1433" s="83" t="str">
        <f t="shared" si="155"/>
        <v/>
      </c>
      <c r="B1433" s="83" t="str">
        <f t="shared" si="156"/>
        <v/>
      </c>
      <c r="S1433" s="83" t="str">
        <f t="shared" si="157"/>
        <v/>
      </c>
      <c r="T1433" s="83" t="str">
        <f t="shared" si="154"/>
        <v/>
      </c>
      <c r="Y1433" s="60">
        <f t="shared" si="158"/>
        <v>0</v>
      </c>
      <c r="Z1433" s="49">
        <f t="shared" si="159"/>
        <v>0</v>
      </c>
      <c r="AA1433" s="60">
        <f t="shared" si="160"/>
        <v>0</v>
      </c>
    </row>
    <row r="1434" spans="1:27">
      <c r="A1434" s="83" t="str">
        <f t="shared" si="155"/>
        <v/>
      </c>
      <c r="B1434" s="83" t="str">
        <f t="shared" si="156"/>
        <v/>
      </c>
      <c r="S1434" s="83" t="str">
        <f t="shared" si="157"/>
        <v/>
      </c>
      <c r="T1434" s="83" t="str">
        <f t="shared" si="154"/>
        <v/>
      </c>
      <c r="Y1434" s="60">
        <f t="shared" si="158"/>
        <v>0</v>
      </c>
      <c r="Z1434" s="49">
        <f t="shared" si="159"/>
        <v>0</v>
      </c>
      <c r="AA1434" s="60">
        <f t="shared" si="160"/>
        <v>0</v>
      </c>
    </row>
    <row r="1435" spans="1:27">
      <c r="A1435" s="83" t="str">
        <f t="shared" si="155"/>
        <v/>
      </c>
      <c r="B1435" s="83" t="str">
        <f t="shared" si="156"/>
        <v/>
      </c>
      <c r="S1435" s="83" t="str">
        <f t="shared" si="157"/>
        <v/>
      </c>
      <c r="T1435" s="83" t="str">
        <f t="shared" si="154"/>
        <v/>
      </c>
      <c r="Y1435" s="60">
        <f t="shared" si="158"/>
        <v>0</v>
      </c>
      <c r="Z1435" s="49">
        <f t="shared" si="159"/>
        <v>0</v>
      </c>
      <c r="AA1435" s="60">
        <f t="shared" si="160"/>
        <v>0</v>
      </c>
    </row>
    <row r="1436" spans="1:27">
      <c r="A1436" s="83" t="str">
        <f t="shared" si="155"/>
        <v/>
      </c>
      <c r="B1436" s="83" t="str">
        <f t="shared" si="156"/>
        <v/>
      </c>
      <c r="S1436" s="83" t="str">
        <f t="shared" si="157"/>
        <v/>
      </c>
      <c r="T1436" s="83" t="str">
        <f t="shared" si="154"/>
        <v/>
      </c>
      <c r="Y1436" s="60">
        <f t="shared" si="158"/>
        <v>0</v>
      </c>
      <c r="Z1436" s="49">
        <f t="shared" si="159"/>
        <v>0</v>
      </c>
      <c r="AA1436" s="60">
        <f t="shared" si="160"/>
        <v>0</v>
      </c>
    </row>
    <row r="1437" spans="1:27">
      <c r="A1437" s="83" t="str">
        <f t="shared" si="155"/>
        <v/>
      </c>
      <c r="B1437" s="83" t="str">
        <f t="shared" si="156"/>
        <v/>
      </c>
      <c r="S1437" s="83" t="str">
        <f t="shared" si="157"/>
        <v/>
      </c>
      <c r="T1437" s="83" t="str">
        <f t="shared" si="154"/>
        <v/>
      </c>
      <c r="Y1437" s="60">
        <f t="shared" si="158"/>
        <v>0</v>
      </c>
      <c r="Z1437" s="49">
        <f t="shared" si="159"/>
        <v>0</v>
      </c>
      <c r="AA1437" s="60">
        <f t="shared" si="160"/>
        <v>0</v>
      </c>
    </row>
    <row r="1438" spans="1:27">
      <c r="A1438" s="83" t="str">
        <f t="shared" si="155"/>
        <v/>
      </c>
      <c r="B1438" s="83" t="str">
        <f t="shared" si="156"/>
        <v/>
      </c>
      <c r="S1438" s="83" t="str">
        <f t="shared" si="157"/>
        <v/>
      </c>
      <c r="T1438" s="83" t="str">
        <f t="shared" si="154"/>
        <v/>
      </c>
      <c r="Y1438" s="60">
        <f t="shared" si="158"/>
        <v>0</v>
      </c>
      <c r="Z1438" s="49">
        <f t="shared" si="159"/>
        <v>0</v>
      </c>
      <c r="AA1438" s="60">
        <f t="shared" si="160"/>
        <v>0</v>
      </c>
    </row>
    <row r="1439" spans="1:27">
      <c r="A1439" s="83" t="str">
        <f t="shared" si="155"/>
        <v/>
      </c>
      <c r="B1439" s="83" t="str">
        <f t="shared" si="156"/>
        <v/>
      </c>
      <c r="S1439" s="83" t="str">
        <f t="shared" si="157"/>
        <v/>
      </c>
      <c r="T1439" s="83" t="str">
        <f t="shared" si="154"/>
        <v/>
      </c>
      <c r="Y1439" s="60">
        <f t="shared" si="158"/>
        <v>0</v>
      </c>
      <c r="Z1439" s="49">
        <f t="shared" si="159"/>
        <v>0</v>
      </c>
      <c r="AA1439" s="60">
        <f t="shared" si="160"/>
        <v>0</v>
      </c>
    </row>
    <row r="1440" spans="1:27">
      <c r="A1440" s="83" t="str">
        <f t="shared" si="155"/>
        <v/>
      </c>
      <c r="B1440" s="83" t="str">
        <f t="shared" si="156"/>
        <v/>
      </c>
      <c r="S1440" s="83" t="str">
        <f t="shared" si="157"/>
        <v/>
      </c>
      <c r="T1440" s="83" t="str">
        <f t="shared" si="154"/>
        <v/>
      </c>
      <c r="Y1440" s="60">
        <f t="shared" si="158"/>
        <v>0</v>
      </c>
      <c r="Z1440" s="49">
        <f t="shared" si="159"/>
        <v>0</v>
      </c>
      <c r="AA1440" s="60">
        <f t="shared" si="160"/>
        <v>0</v>
      </c>
    </row>
    <row r="1441" spans="1:27">
      <c r="A1441" s="83" t="str">
        <f t="shared" si="155"/>
        <v/>
      </c>
      <c r="B1441" s="83" t="str">
        <f t="shared" si="156"/>
        <v/>
      </c>
      <c r="S1441" s="83" t="str">
        <f t="shared" si="157"/>
        <v/>
      </c>
      <c r="T1441" s="83" t="str">
        <f t="shared" si="154"/>
        <v/>
      </c>
      <c r="Y1441" s="60">
        <f t="shared" si="158"/>
        <v>0</v>
      </c>
      <c r="Z1441" s="49">
        <f t="shared" si="159"/>
        <v>0</v>
      </c>
      <c r="AA1441" s="60">
        <f t="shared" si="160"/>
        <v>0</v>
      </c>
    </row>
    <row r="1442" spans="1:27">
      <c r="A1442" s="83" t="str">
        <f t="shared" si="155"/>
        <v/>
      </c>
      <c r="B1442" s="83" t="str">
        <f t="shared" si="156"/>
        <v/>
      </c>
      <c r="S1442" s="83" t="str">
        <f t="shared" si="157"/>
        <v/>
      </c>
      <c r="T1442" s="83" t="str">
        <f t="shared" si="154"/>
        <v/>
      </c>
      <c r="Y1442" s="60">
        <f t="shared" si="158"/>
        <v>0</v>
      </c>
      <c r="Z1442" s="49">
        <f t="shared" si="159"/>
        <v>0</v>
      </c>
      <c r="AA1442" s="60">
        <f t="shared" si="160"/>
        <v>0</v>
      </c>
    </row>
    <row r="1443" spans="1:27">
      <c r="A1443" s="83" t="str">
        <f t="shared" si="155"/>
        <v/>
      </c>
      <c r="B1443" s="83" t="str">
        <f t="shared" si="156"/>
        <v/>
      </c>
      <c r="S1443" s="83" t="str">
        <f t="shared" si="157"/>
        <v/>
      </c>
      <c r="T1443" s="83" t="str">
        <f t="shared" si="154"/>
        <v/>
      </c>
      <c r="Y1443" s="60">
        <f t="shared" si="158"/>
        <v>0</v>
      </c>
      <c r="Z1443" s="49">
        <f t="shared" si="159"/>
        <v>0</v>
      </c>
      <c r="AA1443" s="60">
        <f t="shared" si="160"/>
        <v>0</v>
      </c>
    </row>
    <row r="1444" spans="1:27">
      <c r="A1444" s="83" t="str">
        <f t="shared" si="155"/>
        <v/>
      </c>
      <c r="B1444" s="83" t="str">
        <f t="shared" si="156"/>
        <v/>
      </c>
      <c r="S1444" s="83" t="str">
        <f t="shared" si="157"/>
        <v/>
      </c>
      <c r="T1444" s="83" t="str">
        <f t="shared" si="154"/>
        <v/>
      </c>
      <c r="Y1444" s="60">
        <f t="shared" si="158"/>
        <v>0</v>
      </c>
      <c r="Z1444" s="49">
        <f t="shared" si="159"/>
        <v>0</v>
      </c>
      <c r="AA1444" s="60">
        <f t="shared" si="160"/>
        <v>0</v>
      </c>
    </row>
    <row r="1445" spans="1:27">
      <c r="A1445" s="83" t="str">
        <f t="shared" si="155"/>
        <v/>
      </c>
      <c r="B1445" s="83" t="str">
        <f t="shared" si="156"/>
        <v/>
      </c>
      <c r="S1445" s="83" t="str">
        <f t="shared" si="157"/>
        <v/>
      </c>
      <c r="T1445" s="83" t="str">
        <f t="shared" si="154"/>
        <v/>
      </c>
      <c r="Y1445" s="60">
        <f t="shared" si="158"/>
        <v>0</v>
      </c>
      <c r="Z1445" s="49">
        <f t="shared" si="159"/>
        <v>0</v>
      </c>
      <c r="AA1445" s="60">
        <f t="shared" si="160"/>
        <v>0</v>
      </c>
    </row>
    <row r="1446" spans="1:27">
      <c r="A1446" s="83" t="str">
        <f t="shared" si="155"/>
        <v/>
      </c>
      <c r="B1446" s="83" t="str">
        <f t="shared" si="156"/>
        <v/>
      </c>
      <c r="S1446" s="83" t="str">
        <f t="shared" si="157"/>
        <v/>
      </c>
      <c r="T1446" s="83" t="str">
        <f t="shared" si="154"/>
        <v/>
      </c>
      <c r="Y1446" s="60">
        <f t="shared" si="158"/>
        <v>0</v>
      </c>
      <c r="Z1446" s="49">
        <f t="shared" si="159"/>
        <v>0</v>
      </c>
      <c r="AA1446" s="60">
        <f t="shared" si="160"/>
        <v>0</v>
      </c>
    </row>
    <row r="1447" spans="1:27">
      <c r="A1447" s="83" t="str">
        <f t="shared" si="155"/>
        <v/>
      </c>
      <c r="B1447" s="83" t="str">
        <f t="shared" si="156"/>
        <v/>
      </c>
      <c r="S1447" s="83" t="str">
        <f t="shared" si="157"/>
        <v/>
      </c>
      <c r="T1447" s="83" t="str">
        <f t="shared" si="154"/>
        <v/>
      </c>
      <c r="Y1447" s="60">
        <f t="shared" si="158"/>
        <v>0</v>
      </c>
      <c r="Z1447" s="49">
        <f t="shared" si="159"/>
        <v>0</v>
      </c>
      <c r="AA1447" s="60">
        <f t="shared" si="160"/>
        <v>0</v>
      </c>
    </row>
    <row r="1448" spans="1:27">
      <c r="A1448" s="83" t="str">
        <f t="shared" si="155"/>
        <v/>
      </c>
      <c r="B1448" s="83" t="str">
        <f t="shared" si="156"/>
        <v/>
      </c>
      <c r="S1448" s="83" t="str">
        <f t="shared" si="157"/>
        <v/>
      </c>
      <c r="T1448" s="83" t="str">
        <f t="shared" si="154"/>
        <v/>
      </c>
      <c r="Y1448" s="60">
        <f t="shared" si="158"/>
        <v>0</v>
      </c>
      <c r="Z1448" s="49">
        <f t="shared" si="159"/>
        <v>0</v>
      </c>
      <c r="AA1448" s="60">
        <f t="shared" si="160"/>
        <v>0</v>
      </c>
    </row>
    <row r="1449" spans="1:27">
      <c r="A1449" s="83" t="str">
        <f t="shared" si="155"/>
        <v/>
      </c>
      <c r="B1449" s="83" t="str">
        <f t="shared" si="156"/>
        <v/>
      </c>
      <c r="S1449" s="83" t="str">
        <f t="shared" si="157"/>
        <v/>
      </c>
      <c r="T1449" s="83" t="str">
        <f t="shared" si="154"/>
        <v/>
      </c>
      <c r="Y1449" s="60">
        <f t="shared" si="158"/>
        <v>0</v>
      </c>
      <c r="Z1449" s="49">
        <f t="shared" si="159"/>
        <v>0</v>
      </c>
      <c r="AA1449" s="60">
        <f t="shared" si="160"/>
        <v>0</v>
      </c>
    </row>
    <row r="1450" spans="1:27">
      <c r="A1450" s="83" t="str">
        <f t="shared" si="155"/>
        <v/>
      </c>
      <c r="B1450" s="83" t="str">
        <f t="shared" si="156"/>
        <v/>
      </c>
      <c r="S1450" s="83" t="str">
        <f t="shared" si="157"/>
        <v/>
      </c>
      <c r="T1450" s="83" t="str">
        <f t="shared" si="154"/>
        <v/>
      </c>
      <c r="Y1450" s="60">
        <f t="shared" si="158"/>
        <v>0</v>
      </c>
      <c r="Z1450" s="49">
        <f t="shared" si="159"/>
        <v>0</v>
      </c>
      <c r="AA1450" s="60">
        <f t="shared" si="160"/>
        <v>0</v>
      </c>
    </row>
    <row r="1451" spans="1:27">
      <c r="A1451" s="83" t="str">
        <f t="shared" si="155"/>
        <v/>
      </c>
      <c r="B1451" s="83" t="str">
        <f t="shared" si="156"/>
        <v/>
      </c>
      <c r="S1451" s="83" t="str">
        <f t="shared" si="157"/>
        <v/>
      </c>
      <c r="T1451" s="83" t="str">
        <f t="shared" si="154"/>
        <v/>
      </c>
      <c r="Y1451" s="60">
        <f t="shared" si="158"/>
        <v>0</v>
      </c>
      <c r="Z1451" s="49">
        <f t="shared" si="159"/>
        <v>0</v>
      </c>
      <c r="AA1451" s="60">
        <f t="shared" si="160"/>
        <v>0</v>
      </c>
    </row>
    <row r="1452" spans="1:27">
      <c r="A1452" s="83" t="str">
        <f t="shared" si="155"/>
        <v/>
      </c>
      <c r="B1452" s="83" t="str">
        <f t="shared" si="156"/>
        <v/>
      </c>
      <c r="S1452" s="83" t="str">
        <f t="shared" si="157"/>
        <v/>
      </c>
      <c r="T1452" s="83" t="str">
        <f t="shared" si="154"/>
        <v/>
      </c>
      <c r="Y1452" s="60">
        <f t="shared" si="158"/>
        <v>0</v>
      </c>
      <c r="Z1452" s="49">
        <f t="shared" si="159"/>
        <v>0</v>
      </c>
      <c r="AA1452" s="60">
        <f t="shared" si="160"/>
        <v>0</v>
      </c>
    </row>
    <row r="1453" spans="1:27">
      <c r="A1453" s="83" t="str">
        <f t="shared" si="155"/>
        <v/>
      </c>
      <c r="B1453" s="83" t="str">
        <f t="shared" si="156"/>
        <v/>
      </c>
      <c r="S1453" s="83" t="str">
        <f t="shared" si="157"/>
        <v/>
      </c>
      <c r="T1453" s="83" t="str">
        <f t="shared" si="154"/>
        <v/>
      </c>
      <c r="Y1453" s="60">
        <f t="shared" si="158"/>
        <v>0</v>
      </c>
      <c r="Z1453" s="49">
        <f t="shared" si="159"/>
        <v>0</v>
      </c>
      <c r="AA1453" s="60">
        <f t="shared" si="160"/>
        <v>0</v>
      </c>
    </row>
    <row r="1454" spans="1:27">
      <c r="A1454" s="83" t="str">
        <f t="shared" si="155"/>
        <v/>
      </c>
      <c r="B1454" s="83" t="str">
        <f t="shared" si="156"/>
        <v/>
      </c>
      <c r="S1454" s="83" t="str">
        <f t="shared" si="157"/>
        <v/>
      </c>
      <c r="T1454" s="83" t="str">
        <f t="shared" si="154"/>
        <v/>
      </c>
      <c r="Y1454" s="60">
        <f t="shared" si="158"/>
        <v>0</v>
      </c>
      <c r="Z1454" s="49">
        <f t="shared" si="159"/>
        <v>0</v>
      </c>
      <c r="AA1454" s="60">
        <f t="shared" si="160"/>
        <v>0</v>
      </c>
    </row>
    <row r="1455" spans="1:27">
      <c r="A1455" s="83" t="str">
        <f t="shared" si="155"/>
        <v/>
      </c>
      <c r="B1455" s="83" t="str">
        <f t="shared" si="156"/>
        <v/>
      </c>
      <c r="S1455" s="83" t="str">
        <f t="shared" si="157"/>
        <v/>
      </c>
      <c r="T1455" s="83" t="str">
        <f t="shared" si="154"/>
        <v/>
      </c>
      <c r="Y1455" s="60">
        <f t="shared" si="158"/>
        <v>0</v>
      </c>
      <c r="Z1455" s="49">
        <f t="shared" si="159"/>
        <v>0</v>
      </c>
      <c r="AA1455" s="60">
        <f t="shared" si="160"/>
        <v>0</v>
      </c>
    </row>
    <row r="1456" spans="1:27">
      <c r="A1456" s="83" t="str">
        <f t="shared" si="155"/>
        <v/>
      </c>
      <c r="B1456" s="83" t="str">
        <f t="shared" si="156"/>
        <v/>
      </c>
      <c r="S1456" s="83" t="str">
        <f t="shared" si="157"/>
        <v/>
      </c>
      <c r="T1456" s="83" t="str">
        <f t="shared" si="154"/>
        <v/>
      </c>
      <c r="Y1456" s="60">
        <f t="shared" si="158"/>
        <v>0</v>
      </c>
      <c r="Z1456" s="49">
        <f t="shared" si="159"/>
        <v>0</v>
      </c>
      <c r="AA1456" s="60">
        <f t="shared" si="160"/>
        <v>0</v>
      </c>
    </row>
    <row r="1457" spans="1:27">
      <c r="A1457" s="83" t="str">
        <f t="shared" si="155"/>
        <v/>
      </c>
      <c r="B1457" s="83" t="str">
        <f t="shared" si="156"/>
        <v/>
      </c>
      <c r="S1457" s="83" t="str">
        <f t="shared" si="157"/>
        <v/>
      </c>
      <c r="T1457" s="83" t="str">
        <f t="shared" si="154"/>
        <v/>
      </c>
      <c r="Y1457" s="60">
        <f t="shared" si="158"/>
        <v>0</v>
      </c>
      <c r="Z1457" s="49">
        <f t="shared" si="159"/>
        <v>0</v>
      </c>
      <c r="AA1457" s="60">
        <f t="shared" si="160"/>
        <v>0</v>
      </c>
    </row>
    <row r="1458" spans="1:27">
      <c r="A1458" s="83" t="str">
        <f t="shared" si="155"/>
        <v/>
      </c>
      <c r="B1458" s="83" t="str">
        <f t="shared" si="156"/>
        <v/>
      </c>
      <c r="S1458" s="83" t="str">
        <f t="shared" si="157"/>
        <v/>
      </c>
      <c r="T1458" s="83" t="str">
        <f t="shared" si="154"/>
        <v/>
      </c>
      <c r="Y1458" s="60">
        <f t="shared" si="158"/>
        <v>0</v>
      </c>
      <c r="Z1458" s="49">
        <f t="shared" si="159"/>
        <v>0</v>
      </c>
      <c r="AA1458" s="60">
        <f t="shared" si="160"/>
        <v>0</v>
      </c>
    </row>
    <row r="1459" spans="1:27">
      <c r="A1459" s="83" t="str">
        <f t="shared" si="155"/>
        <v/>
      </c>
      <c r="B1459" s="83" t="str">
        <f t="shared" si="156"/>
        <v/>
      </c>
      <c r="S1459" s="83" t="str">
        <f t="shared" si="157"/>
        <v/>
      </c>
      <c r="T1459" s="83" t="str">
        <f t="shared" si="154"/>
        <v/>
      </c>
      <c r="Y1459" s="60">
        <f t="shared" si="158"/>
        <v>0</v>
      </c>
      <c r="Z1459" s="49">
        <f t="shared" si="159"/>
        <v>0</v>
      </c>
      <c r="AA1459" s="60">
        <f t="shared" si="160"/>
        <v>0</v>
      </c>
    </row>
    <row r="1460" spans="1:27">
      <c r="A1460" s="83" t="str">
        <f t="shared" si="155"/>
        <v/>
      </c>
      <c r="B1460" s="83" t="str">
        <f t="shared" si="156"/>
        <v/>
      </c>
      <c r="S1460" s="83" t="str">
        <f t="shared" si="157"/>
        <v/>
      </c>
      <c r="T1460" s="83" t="str">
        <f t="shared" si="154"/>
        <v/>
      </c>
      <c r="Y1460" s="60">
        <f t="shared" si="158"/>
        <v>0</v>
      </c>
      <c r="Z1460" s="49">
        <f t="shared" si="159"/>
        <v>0</v>
      </c>
      <c r="AA1460" s="60">
        <f t="shared" si="160"/>
        <v>0</v>
      </c>
    </row>
    <row r="1461" spans="1:27">
      <c r="A1461" s="83" t="str">
        <f t="shared" si="155"/>
        <v/>
      </c>
      <c r="B1461" s="83" t="str">
        <f t="shared" si="156"/>
        <v/>
      </c>
      <c r="S1461" s="83" t="str">
        <f t="shared" si="157"/>
        <v/>
      </c>
      <c r="T1461" s="83" t="str">
        <f t="shared" si="154"/>
        <v/>
      </c>
      <c r="Y1461" s="60">
        <f t="shared" si="158"/>
        <v>0</v>
      </c>
      <c r="Z1461" s="49">
        <f t="shared" si="159"/>
        <v>0</v>
      </c>
      <c r="AA1461" s="60">
        <f t="shared" si="160"/>
        <v>0</v>
      </c>
    </row>
    <row r="1462" spans="1:27">
      <c r="A1462" s="83" t="str">
        <f t="shared" si="155"/>
        <v/>
      </c>
      <c r="B1462" s="83" t="str">
        <f t="shared" si="156"/>
        <v/>
      </c>
      <c r="S1462" s="83" t="str">
        <f t="shared" si="157"/>
        <v/>
      </c>
      <c r="T1462" s="83" t="str">
        <f t="shared" si="154"/>
        <v/>
      </c>
      <c r="Y1462" s="60">
        <f t="shared" si="158"/>
        <v>0</v>
      </c>
      <c r="Z1462" s="49">
        <f t="shared" si="159"/>
        <v>0</v>
      </c>
      <c r="AA1462" s="60">
        <f t="shared" si="160"/>
        <v>0</v>
      </c>
    </row>
    <row r="1463" spans="1:27">
      <c r="A1463" s="83" t="str">
        <f t="shared" si="155"/>
        <v/>
      </c>
      <c r="B1463" s="83" t="str">
        <f t="shared" si="156"/>
        <v/>
      </c>
      <c r="S1463" s="83" t="str">
        <f t="shared" si="157"/>
        <v/>
      </c>
      <c r="T1463" s="83" t="str">
        <f t="shared" si="154"/>
        <v/>
      </c>
      <c r="Y1463" s="60">
        <f t="shared" si="158"/>
        <v>0</v>
      </c>
      <c r="Z1463" s="49">
        <f t="shared" si="159"/>
        <v>0</v>
      </c>
      <c r="AA1463" s="60">
        <f t="shared" si="160"/>
        <v>0</v>
      </c>
    </row>
    <row r="1464" spans="1:27">
      <c r="A1464" s="83" t="str">
        <f t="shared" si="155"/>
        <v/>
      </c>
      <c r="B1464" s="83" t="str">
        <f t="shared" si="156"/>
        <v/>
      </c>
      <c r="S1464" s="83" t="str">
        <f t="shared" si="157"/>
        <v/>
      </c>
      <c r="T1464" s="83" t="str">
        <f t="shared" si="154"/>
        <v/>
      </c>
      <c r="Y1464" s="60">
        <f t="shared" si="158"/>
        <v>0</v>
      </c>
      <c r="Z1464" s="49">
        <f t="shared" si="159"/>
        <v>0</v>
      </c>
      <c r="AA1464" s="60">
        <f t="shared" si="160"/>
        <v>0</v>
      </c>
    </row>
    <row r="1465" spans="1:27">
      <c r="A1465" s="83" t="str">
        <f t="shared" si="155"/>
        <v/>
      </c>
      <c r="B1465" s="83" t="str">
        <f t="shared" si="156"/>
        <v/>
      </c>
      <c r="S1465" s="83" t="str">
        <f t="shared" si="157"/>
        <v/>
      </c>
      <c r="T1465" s="83" t="str">
        <f t="shared" si="154"/>
        <v/>
      </c>
      <c r="Y1465" s="60">
        <f t="shared" si="158"/>
        <v>0</v>
      </c>
      <c r="Z1465" s="49">
        <f t="shared" si="159"/>
        <v>0</v>
      </c>
      <c r="AA1465" s="60">
        <f t="shared" si="160"/>
        <v>0</v>
      </c>
    </row>
    <row r="1466" spans="1:27">
      <c r="A1466" s="83" t="str">
        <f t="shared" si="155"/>
        <v/>
      </c>
      <c r="B1466" s="83" t="str">
        <f t="shared" si="156"/>
        <v/>
      </c>
      <c r="S1466" s="83" t="str">
        <f t="shared" si="157"/>
        <v/>
      </c>
      <c r="T1466" s="83" t="str">
        <f t="shared" si="154"/>
        <v/>
      </c>
      <c r="Y1466" s="60">
        <f t="shared" si="158"/>
        <v>0</v>
      </c>
      <c r="Z1466" s="49">
        <f t="shared" si="159"/>
        <v>0</v>
      </c>
      <c r="AA1466" s="60">
        <f t="shared" si="160"/>
        <v>0</v>
      </c>
    </row>
    <row r="1467" spans="1:27">
      <c r="A1467" s="83" t="str">
        <f t="shared" si="155"/>
        <v/>
      </c>
      <c r="B1467" s="83" t="str">
        <f t="shared" si="156"/>
        <v/>
      </c>
      <c r="S1467" s="83" t="str">
        <f t="shared" si="157"/>
        <v/>
      </c>
      <c r="T1467" s="83" t="str">
        <f t="shared" si="154"/>
        <v/>
      </c>
      <c r="Y1467" s="60">
        <f t="shared" si="158"/>
        <v>0</v>
      </c>
      <c r="Z1467" s="49">
        <f t="shared" si="159"/>
        <v>0</v>
      </c>
      <c r="AA1467" s="60">
        <f t="shared" si="160"/>
        <v>0</v>
      </c>
    </row>
    <row r="1468" spans="1:27">
      <c r="A1468" s="83" t="str">
        <f t="shared" si="155"/>
        <v/>
      </c>
      <c r="B1468" s="83" t="str">
        <f t="shared" si="156"/>
        <v/>
      </c>
      <c r="S1468" s="83" t="str">
        <f t="shared" si="157"/>
        <v/>
      </c>
      <c r="T1468" s="83" t="str">
        <f t="shared" si="154"/>
        <v/>
      </c>
      <c r="Y1468" s="60">
        <f t="shared" si="158"/>
        <v>0</v>
      </c>
      <c r="Z1468" s="49">
        <f t="shared" si="159"/>
        <v>0</v>
      </c>
      <c r="AA1468" s="60">
        <f t="shared" si="160"/>
        <v>0</v>
      </c>
    </row>
    <row r="1469" spans="1:27">
      <c r="A1469" s="83" t="str">
        <f t="shared" si="155"/>
        <v/>
      </c>
      <c r="B1469" s="83" t="str">
        <f t="shared" si="156"/>
        <v/>
      </c>
      <c r="S1469" s="83" t="str">
        <f t="shared" si="157"/>
        <v/>
      </c>
      <c r="T1469" s="83" t="str">
        <f t="shared" si="154"/>
        <v/>
      </c>
      <c r="Y1469" s="60">
        <f t="shared" si="158"/>
        <v>0</v>
      </c>
      <c r="Z1469" s="49">
        <f t="shared" si="159"/>
        <v>0</v>
      </c>
      <c r="AA1469" s="60">
        <f t="shared" si="160"/>
        <v>0</v>
      </c>
    </row>
    <row r="1470" spans="1:27">
      <c r="A1470" s="83" t="str">
        <f t="shared" si="155"/>
        <v/>
      </c>
      <c r="B1470" s="83" t="str">
        <f t="shared" si="156"/>
        <v/>
      </c>
      <c r="S1470" s="83" t="str">
        <f t="shared" si="157"/>
        <v/>
      </c>
      <c r="T1470" s="83" t="str">
        <f t="shared" si="154"/>
        <v/>
      </c>
      <c r="Y1470" s="60">
        <f t="shared" si="158"/>
        <v>0</v>
      </c>
      <c r="Z1470" s="49">
        <f t="shared" si="159"/>
        <v>0</v>
      </c>
      <c r="AA1470" s="60">
        <f t="shared" si="160"/>
        <v>0</v>
      </c>
    </row>
    <row r="1471" spans="1:27">
      <c r="A1471" s="83" t="str">
        <f t="shared" si="155"/>
        <v/>
      </c>
      <c r="B1471" s="83" t="str">
        <f t="shared" si="156"/>
        <v/>
      </c>
      <c r="S1471" s="83" t="str">
        <f t="shared" si="157"/>
        <v/>
      </c>
      <c r="T1471" s="83" t="str">
        <f t="shared" si="154"/>
        <v/>
      </c>
      <c r="Y1471" s="60">
        <f t="shared" si="158"/>
        <v>0</v>
      </c>
      <c r="Z1471" s="49">
        <f t="shared" si="159"/>
        <v>0</v>
      </c>
      <c r="AA1471" s="60">
        <f t="shared" si="160"/>
        <v>0</v>
      </c>
    </row>
    <row r="1472" spans="1:27">
      <c r="A1472" s="83" t="str">
        <f t="shared" si="155"/>
        <v/>
      </c>
      <c r="B1472" s="83" t="str">
        <f t="shared" si="156"/>
        <v/>
      </c>
      <c r="S1472" s="83" t="str">
        <f t="shared" si="157"/>
        <v/>
      </c>
      <c r="T1472" s="83" t="str">
        <f t="shared" si="154"/>
        <v/>
      </c>
      <c r="Y1472" s="60">
        <f t="shared" si="158"/>
        <v>0</v>
      </c>
      <c r="Z1472" s="49">
        <f t="shared" si="159"/>
        <v>0</v>
      </c>
      <c r="AA1472" s="60">
        <f t="shared" si="160"/>
        <v>0</v>
      </c>
    </row>
    <row r="1473" spans="1:27">
      <c r="A1473" s="83" t="str">
        <f t="shared" si="155"/>
        <v/>
      </c>
      <c r="B1473" s="83" t="str">
        <f t="shared" si="156"/>
        <v/>
      </c>
      <c r="S1473" s="83" t="str">
        <f t="shared" si="157"/>
        <v/>
      </c>
      <c r="T1473" s="83" t="str">
        <f t="shared" si="154"/>
        <v/>
      </c>
      <c r="Y1473" s="60">
        <f t="shared" si="158"/>
        <v>0</v>
      </c>
      <c r="Z1473" s="49">
        <f t="shared" si="159"/>
        <v>0</v>
      </c>
      <c r="AA1473" s="60">
        <f t="shared" si="160"/>
        <v>0</v>
      </c>
    </row>
    <row r="1474" spans="1:27">
      <c r="A1474" s="83" t="str">
        <f t="shared" si="155"/>
        <v/>
      </c>
      <c r="B1474" s="83" t="str">
        <f t="shared" si="156"/>
        <v/>
      </c>
      <c r="S1474" s="83" t="str">
        <f t="shared" si="157"/>
        <v/>
      </c>
      <c r="T1474" s="83" t="str">
        <f t="shared" ref="T1474:T1537" si="161">IF(A1474&lt;&gt;"",IF(FIND(" ",G1474)&gt;=1,MID(G1474,FIND(" ",G1474)+1,LEN(G1474)),""),"")</f>
        <v/>
      </c>
      <c r="Y1474" s="60">
        <f t="shared" si="158"/>
        <v>0</v>
      </c>
      <c r="Z1474" s="49">
        <f t="shared" si="159"/>
        <v>0</v>
      </c>
      <c r="AA1474" s="60">
        <f t="shared" si="160"/>
        <v>0</v>
      </c>
    </row>
    <row r="1475" spans="1:27">
      <c r="A1475" s="83" t="str">
        <f t="shared" ref="A1475:A1538" si="162">IF(G1475&amp;Q1475&lt;&gt;"",S1475&amp;Q1475,"")</f>
        <v/>
      </c>
      <c r="B1475" s="83" t="str">
        <f t="shared" ref="B1475:B1538" si="163">IF(C1475&lt;&gt;"",LEFT(C1475,9),"")</f>
        <v/>
      </c>
      <c r="S1475" s="83" t="str">
        <f t="shared" ref="S1475:S1538" si="164">IF(G1475&lt;&gt;"",IF(FIND(" ",G1475)&gt;=1,MID(G1475,1,FIND(" ",G1475)-1),G1475),"")</f>
        <v/>
      </c>
      <c r="T1475" s="83" t="str">
        <f t="shared" si="161"/>
        <v/>
      </c>
      <c r="Y1475" s="60">
        <f t="shared" ref="Y1475:Y1538" si="165">IFERROR(VALUE(MID($C1475,1,2)),0)</f>
        <v>0</v>
      </c>
      <c r="Z1475" s="49">
        <f t="shared" ref="Z1475:Z1538" si="166">IFERROR(VALUE(MID($C1475,4,3)),0)</f>
        <v>0</v>
      </c>
      <c r="AA1475" s="60">
        <f t="shared" ref="AA1475:AA1538" si="167">VALUE(RIGHT("00"&amp;Y1475,2)&amp;RIGHT("000"&amp;Z1475,3))</f>
        <v>0</v>
      </c>
    </row>
    <row r="1476" spans="1:27">
      <c r="A1476" s="83" t="str">
        <f t="shared" si="162"/>
        <v/>
      </c>
      <c r="B1476" s="83" t="str">
        <f t="shared" si="163"/>
        <v/>
      </c>
      <c r="S1476" s="83" t="str">
        <f t="shared" si="164"/>
        <v/>
      </c>
      <c r="T1476" s="83" t="str">
        <f t="shared" si="161"/>
        <v/>
      </c>
      <c r="Y1476" s="60">
        <f t="shared" si="165"/>
        <v>0</v>
      </c>
      <c r="Z1476" s="49">
        <f t="shared" si="166"/>
        <v>0</v>
      </c>
      <c r="AA1476" s="60">
        <f t="shared" si="167"/>
        <v>0</v>
      </c>
    </row>
    <row r="1477" spans="1:27">
      <c r="A1477" s="83" t="str">
        <f t="shared" si="162"/>
        <v/>
      </c>
      <c r="B1477" s="83" t="str">
        <f t="shared" si="163"/>
        <v/>
      </c>
      <c r="S1477" s="83" t="str">
        <f t="shared" si="164"/>
        <v/>
      </c>
      <c r="T1477" s="83" t="str">
        <f t="shared" si="161"/>
        <v/>
      </c>
      <c r="Y1477" s="60">
        <f t="shared" si="165"/>
        <v>0</v>
      </c>
      <c r="Z1477" s="49">
        <f t="shared" si="166"/>
        <v>0</v>
      </c>
      <c r="AA1477" s="60">
        <f t="shared" si="167"/>
        <v>0</v>
      </c>
    </row>
    <row r="1478" spans="1:27">
      <c r="A1478" s="83" t="str">
        <f t="shared" si="162"/>
        <v/>
      </c>
      <c r="B1478" s="83" t="str">
        <f t="shared" si="163"/>
        <v/>
      </c>
      <c r="S1478" s="83" t="str">
        <f t="shared" si="164"/>
        <v/>
      </c>
      <c r="T1478" s="83" t="str">
        <f t="shared" si="161"/>
        <v/>
      </c>
      <c r="Y1478" s="60">
        <f t="shared" si="165"/>
        <v>0</v>
      </c>
      <c r="Z1478" s="49">
        <f t="shared" si="166"/>
        <v>0</v>
      </c>
      <c r="AA1478" s="60">
        <f t="shared" si="167"/>
        <v>0</v>
      </c>
    </row>
    <row r="1479" spans="1:27">
      <c r="A1479" s="83" t="str">
        <f t="shared" si="162"/>
        <v/>
      </c>
      <c r="B1479" s="83" t="str">
        <f t="shared" si="163"/>
        <v/>
      </c>
      <c r="S1479" s="83" t="str">
        <f t="shared" si="164"/>
        <v/>
      </c>
      <c r="T1479" s="83" t="str">
        <f t="shared" si="161"/>
        <v/>
      </c>
      <c r="Y1479" s="60">
        <f t="shared" si="165"/>
        <v>0</v>
      </c>
      <c r="Z1479" s="49">
        <f t="shared" si="166"/>
        <v>0</v>
      </c>
      <c r="AA1479" s="60">
        <f t="shared" si="167"/>
        <v>0</v>
      </c>
    </row>
    <row r="1480" spans="1:27">
      <c r="A1480" s="83" t="str">
        <f t="shared" si="162"/>
        <v/>
      </c>
      <c r="B1480" s="83" t="str">
        <f t="shared" si="163"/>
        <v/>
      </c>
      <c r="S1480" s="83" t="str">
        <f t="shared" si="164"/>
        <v/>
      </c>
      <c r="T1480" s="83" t="str">
        <f t="shared" si="161"/>
        <v/>
      </c>
      <c r="Y1480" s="60">
        <f t="shared" si="165"/>
        <v>0</v>
      </c>
      <c r="Z1480" s="49">
        <f t="shared" si="166"/>
        <v>0</v>
      </c>
      <c r="AA1480" s="60">
        <f t="shared" si="167"/>
        <v>0</v>
      </c>
    </row>
    <row r="1481" spans="1:27">
      <c r="A1481" s="83" t="str">
        <f t="shared" si="162"/>
        <v/>
      </c>
      <c r="B1481" s="83" t="str">
        <f t="shared" si="163"/>
        <v/>
      </c>
      <c r="S1481" s="83" t="str">
        <f t="shared" si="164"/>
        <v/>
      </c>
      <c r="T1481" s="83" t="str">
        <f t="shared" si="161"/>
        <v/>
      </c>
      <c r="Y1481" s="60">
        <f t="shared" si="165"/>
        <v>0</v>
      </c>
      <c r="Z1481" s="49">
        <f t="shared" si="166"/>
        <v>0</v>
      </c>
      <c r="AA1481" s="60">
        <f t="shared" si="167"/>
        <v>0</v>
      </c>
    </row>
    <row r="1482" spans="1:27">
      <c r="A1482" s="83" t="str">
        <f t="shared" si="162"/>
        <v/>
      </c>
      <c r="B1482" s="83" t="str">
        <f t="shared" si="163"/>
        <v/>
      </c>
      <c r="S1482" s="83" t="str">
        <f t="shared" si="164"/>
        <v/>
      </c>
      <c r="T1482" s="83" t="str">
        <f t="shared" si="161"/>
        <v/>
      </c>
      <c r="Y1482" s="60">
        <f t="shared" si="165"/>
        <v>0</v>
      </c>
      <c r="Z1482" s="49">
        <f t="shared" si="166"/>
        <v>0</v>
      </c>
      <c r="AA1482" s="60">
        <f t="shared" si="167"/>
        <v>0</v>
      </c>
    </row>
    <row r="1483" spans="1:27">
      <c r="A1483" s="83" t="str">
        <f t="shared" si="162"/>
        <v/>
      </c>
      <c r="B1483" s="83" t="str">
        <f t="shared" si="163"/>
        <v/>
      </c>
      <c r="S1483" s="83" t="str">
        <f t="shared" si="164"/>
        <v/>
      </c>
      <c r="T1483" s="83" t="str">
        <f t="shared" si="161"/>
        <v/>
      </c>
      <c r="Y1483" s="60">
        <f t="shared" si="165"/>
        <v>0</v>
      </c>
      <c r="Z1483" s="49">
        <f t="shared" si="166"/>
        <v>0</v>
      </c>
      <c r="AA1483" s="60">
        <f t="shared" si="167"/>
        <v>0</v>
      </c>
    </row>
    <row r="1484" spans="1:27">
      <c r="A1484" s="83" t="str">
        <f t="shared" si="162"/>
        <v/>
      </c>
      <c r="B1484" s="83" t="str">
        <f t="shared" si="163"/>
        <v/>
      </c>
      <c r="S1484" s="83" t="str">
        <f t="shared" si="164"/>
        <v/>
      </c>
      <c r="T1484" s="83" t="str">
        <f t="shared" si="161"/>
        <v/>
      </c>
      <c r="Y1484" s="60">
        <f t="shared" si="165"/>
        <v>0</v>
      </c>
      <c r="Z1484" s="49">
        <f t="shared" si="166"/>
        <v>0</v>
      </c>
      <c r="AA1484" s="60">
        <f t="shared" si="167"/>
        <v>0</v>
      </c>
    </row>
    <row r="1485" spans="1:27">
      <c r="A1485" s="83" t="str">
        <f t="shared" si="162"/>
        <v/>
      </c>
      <c r="B1485" s="83" t="str">
        <f t="shared" si="163"/>
        <v/>
      </c>
      <c r="S1485" s="83" t="str">
        <f t="shared" si="164"/>
        <v/>
      </c>
      <c r="T1485" s="83" t="str">
        <f t="shared" si="161"/>
        <v/>
      </c>
      <c r="Y1485" s="60">
        <f t="shared" si="165"/>
        <v>0</v>
      </c>
      <c r="Z1485" s="49">
        <f t="shared" si="166"/>
        <v>0</v>
      </c>
      <c r="AA1485" s="60">
        <f t="shared" si="167"/>
        <v>0</v>
      </c>
    </row>
    <row r="1486" spans="1:27">
      <c r="A1486" s="83" t="str">
        <f t="shared" si="162"/>
        <v/>
      </c>
      <c r="B1486" s="83" t="str">
        <f t="shared" si="163"/>
        <v/>
      </c>
      <c r="S1486" s="83" t="str">
        <f t="shared" si="164"/>
        <v/>
      </c>
      <c r="T1486" s="83" t="str">
        <f t="shared" si="161"/>
        <v/>
      </c>
      <c r="Y1486" s="60">
        <f t="shared" si="165"/>
        <v>0</v>
      </c>
      <c r="Z1486" s="49">
        <f t="shared" si="166"/>
        <v>0</v>
      </c>
      <c r="AA1486" s="60">
        <f t="shared" si="167"/>
        <v>0</v>
      </c>
    </row>
    <row r="1487" spans="1:27">
      <c r="A1487" s="83" t="str">
        <f t="shared" si="162"/>
        <v/>
      </c>
      <c r="B1487" s="83" t="str">
        <f t="shared" si="163"/>
        <v/>
      </c>
      <c r="S1487" s="83" t="str">
        <f t="shared" si="164"/>
        <v/>
      </c>
      <c r="T1487" s="83" t="str">
        <f t="shared" si="161"/>
        <v/>
      </c>
      <c r="Y1487" s="60">
        <f t="shared" si="165"/>
        <v>0</v>
      </c>
      <c r="Z1487" s="49">
        <f t="shared" si="166"/>
        <v>0</v>
      </c>
      <c r="AA1487" s="60">
        <f t="shared" si="167"/>
        <v>0</v>
      </c>
    </row>
    <row r="1488" spans="1:27">
      <c r="A1488" s="83" t="str">
        <f t="shared" si="162"/>
        <v/>
      </c>
      <c r="B1488" s="83" t="str">
        <f t="shared" si="163"/>
        <v/>
      </c>
      <c r="S1488" s="83" t="str">
        <f t="shared" si="164"/>
        <v/>
      </c>
      <c r="T1488" s="83" t="str">
        <f t="shared" si="161"/>
        <v/>
      </c>
      <c r="Y1488" s="60">
        <f t="shared" si="165"/>
        <v>0</v>
      </c>
      <c r="Z1488" s="49">
        <f t="shared" si="166"/>
        <v>0</v>
      </c>
      <c r="AA1488" s="60">
        <f t="shared" si="167"/>
        <v>0</v>
      </c>
    </row>
    <row r="1489" spans="1:27">
      <c r="A1489" s="83" t="str">
        <f t="shared" si="162"/>
        <v/>
      </c>
      <c r="B1489" s="83" t="str">
        <f t="shared" si="163"/>
        <v/>
      </c>
      <c r="S1489" s="83" t="str">
        <f t="shared" si="164"/>
        <v/>
      </c>
      <c r="T1489" s="83" t="str">
        <f t="shared" si="161"/>
        <v/>
      </c>
      <c r="Y1489" s="60">
        <f t="shared" si="165"/>
        <v>0</v>
      </c>
      <c r="Z1489" s="49">
        <f t="shared" si="166"/>
        <v>0</v>
      </c>
      <c r="AA1489" s="60">
        <f t="shared" si="167"/>
        <v>0</v>
      </c>
    </row>
    <row r="1490" spans="1:27">
      <c r="A1490" s="83" t="str">
        <f t="shared" si="162"/>
        <v/>
      </c>
      <c r="B1490" s="83" t="str">
        <f t="shared" si="163"/>
        <v/>
      </c>
      <c r="S1490" s="83" t="str">
        <f t="shared" si="164"/>
        <v/>
      </c>
      <c r="T1490" s="83" t="str">
        <f t="shared" si="161"/>
        <v/>
      </c>
      <c r="Y1490" s="60">
        <f t="shared" si="165"/>
        <v>0</v>
      </c>
      <c r="Z1490" s="49">
        <f t="shared" si="166"/>
        <v>0</v>
      </c>
      <c r="AA1490" s="60">
        <f t="shared" si="167"/>
        <v>0</v>
      </c>
    </row>
    <row r="1491" spans="1:27">
      <c r="A1491" s="83" t="str">
        <f t="shared" si="162"/>
        <v/>
      </c>
      <c r="B1491" s="83" t="str">
        <f t="shared" si="163"/>
        <v/>
      </c>
      <c r="S1491" s="83" t="str">
        <f t="shared" si="164"/>
        <v/>
      </c>
      <c r="T1491" s="83" t="str">
        <f t="shared" si="161"/>
        <v/>
      </c>
      <c r="Y1491" s="60">
        <f t="shared" si="165"/>
        <v>0</v>
      </c>
      <c r="Z1491" s="49">
        <f t="shared" si="166"/>
        <v>0</v>
      </c>
      <c r="AA1491" s="60">
        <f t="shared" si="167"/>
        <v>0</v>
      </c>
    </row>
    <row r="1492" spans="1:27">
      <c r="A1492" s="83" t="str">
        <f t="shared" si="162"/>
        <v/>
      </c>
      <c r="B1492" s="83" t="str">
        <f t="shared" si="163"/>
        <v/>
      </c>
      <c r="S1492" s="83" t="str">
        <f t="shared" si="164"/>
        <v/>
      </c>
      <c r="T1492" s="83" t="str">
        <f t="shared" si="161"/>
        <v/>
      </c>
      <c r="Y1492" s="60">
        <f t="shared" si="165"/>
        <v>0</v>
      </c>
      <c r="Z1492" s="49">
        <f t="shared" si="166"/>
        <v>0</v>
      </c>
      <c r="AA1492" s="60">
        <f t="shared" si="167"/>
        <v>0</v>
      </c>
    </row>
    <row r="1493" spans="1:27">
      <c r="A1493" s="83" t="str">
        <f t="shared" si="162"/>
        <v/>
      </c>
      <c r="B1493" s="83" t="str">
        <f t="shared" si="163"/>
        <v/>
      </c>
      <c r="S1493" s="83" t="str">
        <f t="shared" si="164"/>
        <v/>
      </c>
      <c r="T1493" s="83" t="str">
        <f t="shared" si="161"/>
        <v/>
      </c>
      <c r="Y1493" s="60">
        <f t="shared" si="165"/>
        <v>0</v>
      </c>
      <c r="Z1493" s="49">
        <f t="shared" si="166"/>
        <v>0</v>
      </c>
      <c r="AA1493" s="60">
        <f t="shared" si="167"/>
        <v>0</v>
      </c>
    </row>
    <row r="1494" spans="1:27">
      <c r="A1494" s="83" t="str">
        <f t="shared" si="162"/>
        <v/>
      </c>
      <c r="B1494" s="83" t="str">
        <f t="shared" si="163"/>
        <v/>
      </c>
      <c r="S1494" s="83" t="str">
        <f t="shared" si="164"/>
        <v/>
      </c>
      <c r="T1494" s="83" t="str">
        <f t="shared" si="161"/>
        <v/>
      </c>
      <c r="Y1494" s="60">
        <f t="shared" si="165"/>
        <v>0</v>
      </c>
      <c r="Z1494" s="49">
        <f t="shared" si="166"/>
        <v>0</v>
      </c>
      <c r="AA1494" s="60">
        <f t="shared" si="167"/>
        <v>0</v>
      </c>
    </row>
    <row r="1495" spans="1:27">
      <c r="A1495" s="83" t="str">
        <f t="shared" si="162"/>
        <v/>
      </c>
      <c r="B1495" s="83" t="str">
        <f t="shared" si="163"/>
        <v/>
      </c>
      <c r="S1495" s="83" t="str">
        <f t="shared" si="164"/>
        <v/>
      </c>
      <c r="T1495" s="83" t="str">
        <f t="shared" si="161"/>
        <v/>
      </c>
      <c r="Y1495" s="60">
        <f t="shared" si="165"/>
        <v>0</v>
      </c>
      <c r="Z1495" s="49">
        <f t="shared" si="166"/>
        <v>0</v>
      </c>
      <c r="AA1495" s="60">
        <f t="shared" si="167"/>
        <v>0</v>
      </c>
    </row>
    <row r="1496" spans="1:27">
      <c r="A1496" s="83" t="str">
        <f t="shared" si="162"/>
        <v/>
      </c>
      <c r="B1496" s="83" t="str">
        <f t="shared" si="163"/>
        <v/>
      </c>
      <c r="S1496" s="83" t="str">
        <f t="shared" si="164"/>
        <v/>
      </c>
      <c r="T1496" s="83" t="str">
        <f t="shared" si="161"/>
        <v/>
      </c>
      <c r="Y1496" s="60">
        <f t="shared" si="165"/>
        <v>0</v>
      </c>
      <c r="Z1496" s="49">
        <f t="shared" si="166"/>
        <v>0</v>
      </c>
      <c r="AA1496" s="60">
        <f t="shared" si="167"/>
        <v>0</v>
      </c>
    </row>
    <row r="1497" spans="1:27">
      <c r="A1497" s="83" t="str">
        <f t="shared" si="162"/>
        <v/>
      </c>
      <c r="B1497" s="83" t="str">
        <f t="shared" si="163"/>
        <v/>
      </c>
      <c r="S1497" s="83" t="str">
        <f t="shared" si="164"/>
        <v/>
      </c>
      <c r="T1497" s="83" t="str">
        <f t="shared" si="161"/>
        <v/>
      </c>
      <c r="Y1497" s="60">
        <f t="shared" si="165"/>
        <v>0</v>
      </c>
      <c r="Z1497" s="49">
        <f t="shared" si="166"/>
        <v>0</v>
      </c>
      <c r="AA1497" s="60">
        <f t="shared" si="167"/>
        <v>0</v>
      </c>
    </row>
    <row r="1498" spans="1:27">
      <c r="A1498" s="83" t="str">
        <f t="shared" si="162"/>
        <v/>
      </c>
      <c r="B1498" s="83" t="str">
        <f t="shared" si="163"/>
        <v/>
      </c>
      <c r="S1498" s="83" t="str">
        <f t="shared" si="164"/>
        <v/>
      </c>
      <c r="T1498" s="83" t="str">
        <f t="shared" si="161"/>
        <v/>
      </c>
      <c r="Y1498" s="60">
        <f t="shared" si="165"/>
        <v>0</v>
      </c>
      <c r="Z1498" s="49">
        <f t="shared" si="166"/>
        <v>0</v>
      </c>
      <c r="AA1498" s="60">
        <f t="shared" si="167"/>
        <v>0</v>
      </c>
    </row>
    <row r="1499" spans="1:27">
      <c r="A1499" s="83" t="str">
        <f t="shared" si="162"/>
        <v/>
      </c>
      <c r="B1499" s="83" t="str">
        <f t="shared" si="163"/>
        <v/>
      </c>
      <c r="S1499" s="83" t="str">
        <f t="shared" si="164"/>
        <v/>
      </c>
      <c r="T1499" s="83" t="str">
        <f t="shared" si="161"/>
        <v/>
      </c>
      <c r="Y1499" s="60">
        <f t="shared" si="165"/>
        <v>0</v>
      </c>
      <c r="Z1499" s="49">
        <f t="shared" si="166"/>
        <v>0</v>
      </c>
      <c r="AA1499" s="60">
        <f t="shared" si="167"/>
        <v>0</v>
      </c>
    </row>
    <row r="1500" spans="1:27">
      <c r="A1500" s="83" t="str">
        <f t="shared" si="162"/>
        <v/>
      </c>
      <c r="B1500" s="83" t="str">
        <f t="shared" si="163"/>
        <v/>
      </c>
      <c r="S1500" s="83" t="str">
        <f t="shared" si="164"/>
        <v/>
      </c>
      <c r="T1500" s="83" t="str">
        <f t="shared" si="161"/>
        <v/>
      </c>
      <c r="Y1500" s="60">
        <f t="shared" si="165"/>
        <v>0</v>
      </c>
      <c r="Z1500" s="49">
        <f t="shared" si="166"/>
        <v>0</v>
      </c>
      <c r="AA1500" s="60">
        <f t="shared" si="167"/>
        <v>0</v>
      </c>
    </row>
    <row r="1501" spans="1:27">
      <c r="A1501" s="83" t="str">
        <f t="shared" si="162"/>
        <v/>
      </c>
      <c r="B1501" s="83" t="str">
        <f t="shared" si="163"/>
        <v/>
      </c>
      <c r="S1501" s="83" t="str">
        <f t="shared" si="164"/>
        <v/>
      </c>
      <c r="T1501" s="83" t="str">
        <f t="shared" si="161"/>
        <v/>
      </c>
      <c r="Y1501" s="60">
        <f t="shared" si="165"/>
        <v>0</v>
      </c>
      <c r="Z1501" s="49">
        <f t="shared" si="166"/>
        <v>0</v>
      </c>
      <c r="AA1501" s="60">
        <f t="shared" si="167"/>
        <v>0</v>
      </c>
    </row>
    <row r="1502" spans="1:27">
      <c r="A1502" s="83" t="str">
        <f t="shared" si="162"/>
        <v/>
      </c>
      <c r="B1502" s="83" t="str">
        <f t="shared" si="163"/>
        <v/>
      </c>
      <c r="S1502" s="83" t="str">
        <f t="shared" si="164"/>
        <v/>
      </c>
      <c r="T1502" s="83" t="str">
        <f t="shared" si="161"/>
        <v/>
      </c>
      <c r="Y1502" s="60">
        <f t="shared" si="165"/>
        <v>0</v>
      </c>
      <c r="Z1502" s="49">
        <f t="shared" si="166"/>
        <v>0</v>
      </c>
      <c r="AA1502" s="60">
        <f t="shared" si="167"/>
        <v>0</v>
      </c>
    </row>
    <row r="1503" spans="1:27">
      <c r="A1503" s="83" t="str">
        <f t="shared" si="162"/>
        <v/>
      </c>
      <c r="B1503" s="83" t="str">
        <f t="shared" si="163"/>
        <v/>
      </c>
      <c r="S1503" s="83" t="str">
        <f t="shared" si="164"/>
        <v/>
      </c>
      <c r="T1503" s="83" t="str">
        <f t="shared" si="161"/>
        <v/>
      </c>
      <c r="Y1503" s="60">
        <f t="shared" si="165"/>
        <v>0</v>
      </c>
      <c r="Z1503" s="49">
        <f t="shared" si="166"/>
        <v>0</v>
      </c>
      <c r="AA1503" s="60">
        <f t="shared" si="167"/>
        <v>0</v>
      </c>
    </row>
    <row r="1504" spans="1:27">
      <c r="A1504" s="83" t="str">
        <f t="shared" si="162"/>
        <v/>
      </c>
      <c r="B1504" s="83" t="str">
        <f t="shared" si="163"/>
        <v/>
      </c>
      <c r="S1504" s="83" t="str">
        <f t="shared" si="164"/>
        <v/>
      </c>
      <c r="T1504" s="83" t="str">
        <f t="shared" si="161"/>
        <v/>
      </c>
      <c r="Y1504" s="60">
        <f t="shared" si="165"/>
        <v>0</v>
      </c>
      <c r="Z1504" s="49">
        <f t="shared" si="166"/>
        <v>0</v>
      </c>
      <c r="AA1504" s="60">
        <f t="shared" si="167"/>
        <v>0</v>
      </c>
    </row>
    <row r="1505" spans="1:27">
      <c r="A1505" s="83" t="str">
        <f t="shared" si="162"/>
        <v/>
      </c>
      <c r="B1505" s="83" t="str">
        <f t="shared" si="163"/>
        <v/>
      </c>
      <c r="S1505" s="83" t="str">
        <f t="shared" si="164"/>
        <v/>
      </c>
      <c r="T1505" s="83" t="str">
        <f t="shared" si="161"/>
        <v/>
      </c>
      <c r="Y1505" s="60">
        <f t="shared" si="165"/>
        <v>0</v>
      </c>
      <c r="Z1505" s="49">
        <f t="shared" si="166"/>
        <v>0</v>
      </c>
      <c r="AA1505" s="60">
        <f t="shared" si="167"/>
        <v>0</v>
      </c>
    </row>
    <row r="1506" spans="1:27">
      <c r="A1506" s="83" t="str">
        <f t="shared" si="162"/>
        <v/>
      </c>
      <c r="B1506" s="83" t="str">
        <f t="shared" si="163"/>
        <v/>
      </c>
      <c r="S1506" s="83" t="str">
        <f t="shared" si="164"/>
        <v/>
      </c>
      <c r="T1506" s="83" t="str">
        <f t="shared" si="161"/>
        <v/>
      </c>
      <c r="Y1506" s="60">
        <f t="shared" si="165"/>
        <v>0</v>
      </c>
      <c r="Z1506" s="49">
        <f t="shared" si="166"/>
        <v>0</v>
      </c>
      <c r="AA1506" s="60">
        <f t="shared" si="167"/>
        <v>0</v>
      </c>
    </row>
    <row r="1507" spans="1:27">
      <c r="A1507" s="83" t="str">
        <f t="shared" si="162"/>
        <v/>
      </c>
      <c r="B1507" s="83" t="str">
        <f t="shared" si="163"/>
        <v/>
      </c>
      <c r="S1507" s="83" t="str">
        <f t="shared" si="164"/>
        <v/>
      </c>
      <c r="T1507" s="83" t="str">
        <f t="shared" si="161"/>
        <v/>
      </c>
      <c r="Y1507" s="60">
        <f t="shared" si="165"/>
        <v>0</v>
      </c>
      <c r="Z1507" s="49">
        <f t="shared" si="166"/>
        <v>0</v>
      </c>
      <c r="AA1507" s="60">
        <f t="shared" si="167"/>
        <v>0</v>
      </c>
    </row>
    <row r="1508" spans="1:27">
      <c r="A1508" s="83" t="str">
        <f t="shared" si="162"/>
        <v/>
      </c>
      <c r="B1508" s="83" t="str">
        <f t="shared" si="163"/>
        <v/>
      </c>
      <c r="S1508" s="83" t="str">
        <f t="shared" si="164"/>
        <v/>
      </c>
      <c r="T1508" s="83" t="str">
        <f t="shared" si="161"/>
        <v/>
      </c>
      <c r="Y1508" s="60">
        <f t="shared" si="165"/>
        <v>0</v>
      </c>
      <c r="Z1508" s="49">
        <f t="shared" si="166"/>
        <v>0</v>
      </c>
      <c r="AA1508" s="60">
        <f t="shared" si="167"/>
        <v>0</v>
      </c>
    </row>
    <row r="1509" spans="1:27">
      <c r="A1509" s="83" t="str">
        <f t="shared" si="162"/>
        <v/>
      </c>
      <c r="B1509" s="83" t="str">
        <f t="shared" si="163"/>
        <v/>
      </c>
      <c r="S1509" s="83" t="str">
        <f t="shared" si="164"/>
        <v/>
      </c>
      <c r="T1509" s="83" t="str">
        <f t="shared" si="161"/>
        <v/>
      </c>
      <c r="Y1509" s="60">
        <f t="shared" si="165"/>
        <v>0</v>
      </c>
      <c r="Z1509" s="49">
        <f t="shared" si="166"/>
        <v>0</v>
      </c>
      <c r="AA1509" s="60">
        <f t="shared" si="167"/>
        <v>0</v>
      </c>
    </row>
    <row r="1510" spans="1:27">
      <c r="A1510" s="83" t="str">
        <f t="shared" si="162"/>
        <v/>
      </c>
      <c r="B1510" s="83" t="str">
        <f t="shared" si="163"/>
        <v/>
      </c>
      <c r="S1510" s="83" t="str">
        <f t="shared" si="164"/>
        <v/>
      </c>
      <c r="T1510" s="83" t="str">
        <f t="shared" si="161"/>
        <v/>
      </c>
      <c r="Y1510" s="60">
        <f t="shared" si="165"/>
        <v>0</v>
      </c>
      <c r="Z1510" s="49">
        <f t="shared" si="166"/>
        <v>0</v>
      </c>
      <c r="AA1510" s="60">
        <f t="shared" si="167"/>
        <v>0</v>
      </c>
    </row>
    <row r="1511" spans="1:27">
      <c r="A1511" s="83" t="str">
        <f t="shared" si="162"/>
        <v/>
      </c>
      <c r="B1511" s="83" t="str">
        <f t="shared" si="163"/>
        <v/>
      </c>
      <c r="S1511" s="83" t="str">
        <f t="shared" si="164"/>
        <v/>
      </c>
      <c r="T1511" s="83" t="str">
        <f t="shared" si="161"/>
        <v/>
      </c>
      <c r="Y1511" s="60">
        <f t="shared" si="165"/>
        <v>0</v>
      </c>
      <c r="Z1511" s="49">
        <f t="shared" si="166"/>
        <v>0</v>
      </c>
      <c r="AA1511" s="60">
        <f t="shared" si="167"/>
        <v>0</v>
      </c>
    </row>
    <row r="1512" spans="1:27">
      <c r="A1512" s="83" t="str">
        <f t="shared" si="162"/>
        <v/>
      </c>
      <c r="B1512" s="83" t="str">
        <f t="shared" si="163"/>
        <v/>
      </c>
      <c r="S1512" s="83" t="str">
        <f t="shared" si="164"/>
        <v/>
      </c>
      <c r="T1512" s="83" t="str">
        <f t="shared" si="161"/>
        <v/>
      </c>
      <c r="Y1512" s="60">
        <f t="shared" si="165"/>
        <v>0</v>
      </c>
      <c r="Z1512" s="49">
        <f t="shared" si="166"/>
        <v>0</v>
      </c>
      <c r="AA1512" s="60">
        <f t="shared" si="167"/>
        <v>0</v>
      </c>
    </row>
    <row r="1513" spans="1:27">
      <c r="A1513" s="83" t="str">
        <f t="shared" si="162"/>
        <v/>
      </c>
      <c r="B1513" s="83" t="str">
        <f t="shared" si="163"/>
        <v/>
      </c>
      <c r="S1513" s="83" t="str">
        <f t="shared" si="164"/>
        <v/>
      </c>
      <c r="T1513" s="83" t="str">
        <f t="shared" si="161"/>
        <v/>
      </c>
      <c r="Y1513" s="60">
        <f t="shared" si="165"/>
        <v>0</v>
      </c>
      <c r="Z1513" s="49">
        <f t="shared" si="166"/>
        <v>0</v>
      </c>
      <c r="AA1513" s="60">
        <f t="shared" si="167"/>
        <v>0</v>
      </c>
    </row>
    <row r="1514" spans="1:27">
      <c r="A1514" s="83" t="str">
        <f t="shared" si="162"/>
        <v/>
      </c>
      <c r="B1514" s="83" t="str">
        <f t="shared" si="163"/>
        <v/>
      </c>
      <c r="S1514" s="83" t="str">
        <f t="shared" si="164"/>
        <v/>
      </c>
      <c r="T1514" s="83" t="str">
        <f t="shared" si="161"/>
        <v/>
      </c>
      <c r="Y1514" s="60">
        <f t="shared" si="165"/>
        <v>0</v>
      </c>
      <c r="Z1514" s="49">
        <f t="shared" si="166"/>
        <v>0</v>
      </c>
      <c r="AA1514" s="60">
        <f t="shared" si="167"/>
        <v>0</v>
      </c>
    </row>
    <row r="1515" spans="1:27">
      <c r="A1515" s="83" t="str">
        <f t="shared" si="162"/>
        <v/>
      </c>
      <c r="B1515" s="83" t="str">
        <f t="shared" si="163"/>
        <v/>
      </c>
      <c r="S1515" s="83" t="str">
        <f t="shared" si="164"/>
        <v/>
      </c>
      <c r="T1515" s="83" t="str">
        <f t="shared" si="161"/>
        <v/>
      </c>
      <c r="Y1515" s="60">
        <f t="shared" si="165"/>
        <v>0</v>
      </c>
      <c r="Z1515" s="49">
        <f t="shared" si="166"/>
        <v>0</v>
      </c>
      <c r="AA1515" s="60">
        <f t="shared" si="167"/>
        <v>0</v>
      </c>
    </row>
    <row r="1516" spans="1:27">
      <c r="A1516" s="83" t="str">
        <f t="shared" si="162"/>
        <v/>
      </c>
      <c r="B1516" s="83" t="str">
        <f t="shared" si="163"/>
        <v/>
      </c>
      <c r="S1516" s="83" t="str">
        <f t="shared" si="164"/>
        <v/>
      </c>
      <c r="T1516" s="83" t="str">
        <f t="shared" si="161"/>
        <v/>
      </c>
      <c r="Y1516" s="60">
        <f t="shared" si="165"/>
        <v>0</v>
      </c>
      <c r="Z1516" s="49">
        <f t="shared" si="166"/>
        <v>0</v>
      </c>
      <c r="AA1516" s="60">
        <f t="shared" si="167"/>
        <v>0</v>
      </c>
    </row>
    <row r="1517" spans="1:27">
      <c r="A1517" s="83" t="str">
        <f t="shared" si="162"/>
        <v/>
      </c>
      <c r="B1517" s="83" t="str">
        <f t="shared" si="163"/>
        <v/>
      </c>
      <c r="S1517" s="83" t="str">
        <f t="shared" si="164"/>
        <v/>
      </c>
      <c r="T1517" s="83" t="str">
        <f t="shared" si="161"/>
        <v/>
      </c>
      <c r="Y1517" s="60">
        <f t="shared" si="165"/>
        <v>0</v>
      </c>
      <c r="Z1517" s="49">
        <f t="shared" si="166"/>
        <v>0</v>
      </c>
      <c r="AA1517" s="60">
        <f t="shared" si="167"/>
        <v>0</v>
      </c>
    </row>
    <row r="1518" spans="1:27">
      <c r="A1518" s="83" t="str">
        <f t="shared" si="162"/>
        <v/>
      </c>
      <c r="B1518" s="83" t="str">
        <f t="shared" si="163"/>
        <v/>
      </c>
      <c r="S1518" s="83" t="str">
        <f t="shared" si="164"/>
        <v/>
      </c>
      <c r="T1518" s="83" t="str">
        <f t="shared" si="161"/>
        <v/>
      </c>
      <c r="Y1518" s="60">
        <f t="shared" si="165"/>
        <v>0</v>
      </c>
      <c r="Z1518" s="49">
        <f t="shared" si="166"/>
        <v>0</v>
      </c>
      <c r="AA1518" s="60">
        <f t="shared" si="167"/>
        <v>0</v>
      </c>
    </row>
    <row r="1519" spans="1:27">
      <c r="A1519" s="83" t="str">
        <f t="shared" si="162"/>
        <v/>
      </c>
      <c r="B1519" s="83" t="str">
        <f t="shared" si="163"/>
        <v/>
      </c>
      <c r="S1519" s="83" t="str">
        <f t="shared" si="164"/>
        <v/>
      </c>
      <c r="T1519" s="83" t="str">
        <f t="shared" si="161"/>
        <v/>
      </c>
      <c r="Y1519" s="60">
        <f t="shared" si="165"/>
        <v>0</v>
      </c>
      <c r="Z1519" s="49">
        <f t="shared" si="166"/>
        <v>0</v>
      </c>
      <c r="AA1519" s="60">
        <f t="shared" si="167"/>
        <v>0</v>
      </c>
    </row>
    <row r="1520" spans="1:27">
      <c r="A1520" s="83" t="str">
        <f t="shared" si="162"/>
        <v/>
      </c>
      <c r="B1520" s="83" t="str">
        <f t="shared" si="163"/>
        <v/>
      </c>
      <c r="S1520" s="83" t="str">
        <f t="shared" si="164"/>
        <v/>
      </c>
      <c r="T1520" s="83" t="str">
        <f t="shared" si="161"/>
        <v/>
      </c>
      <c r="Y1520" s="60">
        <f t="shared" si="165"/>
        <v>0</v>
      </c>
      <c r="Z1520" s="49">
        <f t="shared" si="166"/>
        <v>0</v>
      </c>
      <c r="AA1520" s="60">
        <f t="shared" si="167"/>
        <v>0</v>
      </c>
    </row>
    <row r="1521" spans="1:27">
      <c r="A1521" s="83" t="str">
        <f t="shared" si="162"/>
        <v/>
      </c>
      <c r="B1521" s="83" t="str">
        <f t="shared" si="163"/>
        <v/>
      </c>
      <c r="S1521" s="83" t="str">
        <f t="shared" si="164"/>
        <v/>
      </c>
      <c r="T1521" s="83" t="str">
        <f t="shared" si="161"/>
        <v/>
      </c>
      <c r="Y1521" s="60">
        <f t="shared" si="165"/>
        <v>0</v>
      </c>
      <c r="Z1521" s="49">
        <f t="shared" si="166"/>
        <v>0</v>
      </c>
      <c r="AA1521" s="60">
        <f t="shared" si="167"/>
        <v>0</v>
      </c>
    </row>
    <row r="1522" spans="1:27">
      <c r="A1522" s="83" t="str">
        <f t="shared" si="162"/>
        <v/>
      </c>
      <c r="B1522" s="83" t="str">
        <f t="shared" si="163"/>
        <v/>
      </c>
      <c r="S1522" s="83" t="str">
        <f t="shared" si="164"/>
        <v/>
      </c>
      <c r="T1522" s="83" t="str">
        <f t="shared" si="161"/>
        <v/>
      </c>
      <c r="Y1522" s="60">
        <f t="shared" si="165"/>
        <v>0</v>
      </c>
      <c r="Z1522" s="49">
        <f t="shared" si="166"/>
        <v>0</v>
      </c>
      <c r="AA1522" s="60">
        <f t="shared" si="167"/>
        <v>0</v>
      </c>
    </row>
    <row r="1523" spans="1:27">
      <c r="A1523" s="83" t="str">
        <f t="shared" si="162"/>
        <v/>
      </c>
      <c r="B1523" s="83" t="str">
        <f t="shared" si="163"/>
        <v/>
      </c>
      <c r="S1523" s="83" t="str">
        <f t="shared" si="164"/>
        <v/>
      </c>
      <c r="T1523" s="83" t="str">
        <f t="shared" si="161"/>
        <v/>
      </c>
      <c r="Y1523" s="60">
        <f t="shared" si="165"/>
        <v>0</v>
      </c>
      <c r="Z1523" s="49">
        <f t="shared" si="166"/>
        <v>0</v>
      </c>
      <c r="AA1523" s="60">
        <f t="shared" si="167"/>
        <v>0</v>
      </c>
    </row>
    <row r="1524" spans="1:27">
      <c r="A1524" s="83" t="str">
        <f t="shared" si="162"/>
        <v/>
      </c>
      <c r="B1524" s="83" t="str">
        <f t="shared" si="163"/>
        <v/>
      </c>
      <c r="S1524" s="83" t="str">
        <f t="shared" si="164"/>
        <v/>
      </c>
      <c r="T1524" s="83" t="str">
        <f t="shared" si="161"/>
        <v/>
      </c>
      <c r="Y1524" s="60">
        <f t="shared" si="165"/>
        <v>0</v>
      </c>
      <c r="Z1524" s="49">
        <f t="shared" si="166"/>
        <v>0</v>
      </c>
      <c r="AA1524" s="60">
        <f t="shared" si="167"/>
        <v>0</v>
      </c>
    </row>
    <row r="1525" spans="1:27">
      <c r="A1525" s="83" t="str">
        <f t="shared" si="162"/>
        <v/>
      </c>
      <c r="B1525" s="83" t="str">
        <f t="shared" si="163"/>
        <v/>
      </c>
      <c r="S1525" s="83" t="str">
        <f t="shared" si="164"/>
        <v/>
      </c>
      <c r="T1525" s="83" t="str">
        <f t="shared" si="161"/>
        <v/>
      </c>
      <c r="Y1525" s="60">
        <f t="shared" si="165"/>
        <v>0</v>
      </c>
      <c r="Z1525" s="49">
        <f t="shared" si="166"/>
        <v>0</v>
      </c>
      <c r="AA1525" s="60">
        <f t="shared" si="167"/>
        <v>0</v>
      </c>
    </row>
    <row r="1526" spans="1:27">
      <c r="A1526" s="83" t="str">
        <f t="shared" si="162"/>
        <v/>
      </c>
      <c r="B1526" s="83" t="str">
        <f t="shared" si="163"/>
        <v/>
      </c>
      <c r="S1526" s="83" t="str">
        <f t="shared" si="164"/>
        <v/>
      </c>
      <c r="T1526" s="83" t="str">
        <f t="shared" si="161"/>
        <v/>
      </c>
      <c r="Y1526" s="60">
        <f t="shared" si="165"/>
        <v>0</v>
      </c>
      <c r="Z1526" s="49">
        <f t="shared" si="166"/>
        <v>0</v>
      </c>
      <c r="AA1526" s="60">
        <f t="shared" si="167"/>
        <v>0</v>
      </c>
    </row>
    <row r="1527" spans="1:27">
      <c r="A1527" s="83" t="str">
        <f t="shared" si="162"/>
        <v/>
      </c>
      <c r="B1527" s="83" t="str">
        <f t="shared" si="163"/>
        <v/>
      </c>
      <c r="S1527" s="83" t="str">
        <f t="shared" si="164"/>
        <v/>
      </c>
      <c r="T1527" s="83" t="str">
        <f t="shared" si="161"/>
        <v/>
      </c>
      <c r="Y1527" s="60">
        <f t="shared" si="165"/>
        <v>0</v>
      </c>
      <c r="Z1527" s="49">
        <f t="shared" si="166"/>
        <v>0</v>
      </c>
      <c r="AA1527" s="60">
        <f t="shared" si="167"/>
        <v>0</v>
      </c>
    </row>
    <row r="1528" spans="1:27">
      <c r="A1528" s="83" t="str">
        <f t="shared" si="162"/>
        <v/>
      </c>
      <c r="B1528" s="83" t="str">
        <f t="shared" si="163"/>
        <v/>
      </c>
      <c r="S1528" s="83" t="str">
        <f t="shared" si="164"/>
        <v/>
      </c>
      <c r="T1528" s="83" t="str">
        <f t="shared" si="161"/>
        <v/>
      </c>
      <c r="Y1528" s="60">
        <f t="shared" si="165"/>
        <v>0</v>
      </c>
      <c r="Z1528" s="49">
        <f t="shared" si="166"/>
        <v>0</v>
      </c>
      <c r="AA1528" s="60">
        <f t="shared" si="167"/>
        <v>0</v>
      </c>
    </row>
    <row r="1529" spans="1:27">
      <c r="A1529" s="83" t="str">
        <f t="shared" si="162"/>
        <v/>
      </c>
      <c r="B1529" s="83" t="str">
        <f t="shared" si="163"/>
        <v/>
      </c>
      <c r="S1529" s="83" t="str">
        <f t="shared" si="164"/>
        <v/>
      </c>
      <c r="T1529" s="83" t="str">
        <f t="shared" si="161"/>
        <v/>
      </c>
      <c r="Y1529" s="60">
        <f t="shared" si="165"/>
        <v>0</v>
      </c>
      <c r="Z1529" s="49">
        <f t="shared" si="166"/>
        <v>0</v>
      </c>
      <c r="AA1529" s="60">
        <f t="shared" si="167"/>
        <v>0</v>
      </c>
    </row>
    <row r="1530" spans="1:27">
      <c r="A1530" s="83" t="str">
        <f t="shared" si="162"/>
        <v/>
      </c>
      <c r="B1530" s="83" t="str">
        <f t="shared" si="163"/>
        <v/>
      </c>
      <c r="S1530" s="83" t="str">
        <f t="shared" si="164"/>
        <v/>
      </c>
      <c r="T1530" s="83" t="str">
        <f t="shared" si="161"/>
        <v/>
      </c>
      <c r="Y1530" s="60">
        <f t="shared" si="165"/>
        <v>0</v>
      </c>
      <c r="Z1530" s="49">
        <f t="shared" si="166"/>
        <v>0</v>
      </c>
      <c r="AA1530" s="60">
        <f t="shared" si="167"/>
        <v>0</v>
      </c>
    </row>
    <row r="1531" spans="1:27">
      <c r="A1531" s="83" t="str">
        <f t="shared" si="162"/>
        <v/>
      </c>
      <c r="B1531" s="83" t="str">
        <f t="shared" si="163"/>
        <v/>
      </c>
      <c r="S1531" s="83" t="str">
        <f t="shared" si="164"/>
        <v/>
      </c>
      <c r="T1531" s="83" t="str">
        <f t="shared" si="161"/>
        <v/>
      </c>
      <c r="Y1531" s="60">
        <f t="shared" si="165"/>
        <v>0</v>
      </c>
      <c r="Z1531" s="49">
        <f t="shared" si="166"/>
        <v>0</v>
      </c>
      <c r="AA1531" s="60">
        <f t="shared" si="167"/>
        <v>0</v>
      </c>
    </row>
    <row r="1532" spans="1:27">
      <c r="A1532" s="83" t="str">
        <f t="shared" si="162"/>
        <v/>
      </c>
      <c r="B1532" s="83" t="str">
        <f t="shared" si="163"/>
        <v/>
      </c>
      <c r="S1532" s="83" t="str">
        <f t="shared" si="164"/>
        <v/>
      </c>
      <c r="T1532" s="83" t="str">
        <f t="shared" si="161"/>
        <v/>
      </c>
      <c r="Y1532" s="60">
        <f t="shared" si="165"/>
        <v>0</v>
      </c>
      <c r="Z1532" s="49">
        <f t="shared" si="166"/>
        <v>0</v>
      </c>
      <c r="AA1532" s="60">
        <f t="shared" si="167"/>
        <v>0</v>
      </c>
    </row>
    <row r="1533" spans="1:27">
      <c r="A1533" s="83" t="str">
        <f t="shared" si="162"/>
        <v/>
      </c>
      <c r="B1533" s="83" t="str">
        <f t="shared" si="163"/>
        <v/>
      </c>
      <c r="S1533" s="83" t="str">
        <f t="shared" si="164"/>
        <v/>
      </c>
      <c r="T1533" s="83" t="str">
        <f t="shared" si="161"/>
        <v/>
      </c>
      <c r="Y1533" s="60">
        <f t="shared" si="165"/>
        <v>0</v>
      </c>
      <c r="Z1533" s="49">
        <f t="shared" si="166"/>
        <v>0</v>
      </c>
      <c r="AA1533" s="60">
        <f t="shared" si="167"/>
        <v>0</v>
      </c>
    </row>
    <row r="1534" spans="1:27">
      <c r="A1534" s="83" t="str">
        <f t="shared" si="162"/>
        <v/>
      </c>
      <c r="B1534" s="83" t="str">
        <f t="shared" si="163"/>
        <v/>
      </c>
      <c r="S1534" s="83" t="str">
        <f t="shared" si="164"/>
        <v/>
      </c>
      <c r="T1534" s="83" t="str">
        <f t="shared" si="161"/>
        <v/>
      </c>
      <c r="Y1534" s="60">
        <f t="shared" si="165"/>
        <v>0</v>
      </c>
      <c r="Z1534" s="49">
        <f t="shared" si="166"/>
        <v>0</v>
      </c>
      <c r="AA1534" s="60">
        <f t="shared" si="167"/>
        <v>0</v>
      </c>
    </row>
    <row r="1535" spans="1:27">
      <c r="A1535" s="83" t="str">
        <f t="shared" si="162"/>
        <v/>
      </c>
      <c r="B1535" s="83" t="str">
        <f t="shared" si="163"/>
        <v/>
      </c>
      <c r="S1535" s="83" t="str">
        <f t="shared" si="164"/>
        <v/>
      </c>
      <c r="T1535" s="83" t="str">
        <f t="shared" si="161"/>
        <v/>
      </c>
      <c r="Y1535" s="60">
        <f t="shared" si="165"/>
        <v>0</v>
      </c>
      <c r="Z1535" s="49">
        <f t="shared" si="166"/>
        <v>0</v>
      </c>
      <c r="AA1535" s="60">
        <f t="shared" si="167"/>
        <v>0</v>
      </c>
    </row>
    <row r="1536" spans="1:27">
      <c r="A1536" s="83" t="str">
        <f t="shared" si="162"/>
        <v/>
      </c>
      <c r="B1536" s="83" t="str">
        <f t="shared" si="163"/>
        <v/>
      </c>
      <c r="S1536" s="83" t="str">
        <f t="shared" si="164"/>
        <v/>
      </c>
      <c r="T1536" s="83" t="str">
        <f t="shared" si="161"/>
        <v/>
      </c>
      <c r="Y1536" s="60">
        <f t="shared" si="165"/>
        <v>0</v>
      </c>
      <c r="Z1536" s="49">
        <f t="shared" si="166"/>
        <v>0</v>
      </c>
      <c r="AA1536" s="60">
        <f t="shared" si="167"/>
        <v>0</v>
      </c>
    </row>
    <row r="1537" spans="1:27">
      <c r="A1537" s="83" t="str">
        <f t="shared" si="162"/>
        <v/>
      </c>
      <c r="B1537" s="83" t="str">
        <f t="shared" si="163"/>
        <v/>
      </c>
      <c r="S1537" s="83" t="str">
        <f t="shared" si="164"/>
        <v/>
      </c>
      <c r="T1537" s="83" t="str">
        <f t="shared" si="161"/>
        <v/>
      </c>
      <c r="Y1537" s="60">
        <f t="shared" si="165"/>
        <v>0</v>
      </c>
      <c r="Z1537" s="49">
        <f t="shared" si="166"/>
        <v>0</v>
      </c>
      <c r="AA1537" s="60">
        <f t="shared" si="167"/>
        <v>0</v>
      </c>
    </row>
    <row r="1538" spans="1:27">
      <c r="A1538" s="83" t="str">
        <f t="shared" si="162"/>
        <v/>
      </c>
      <c r="B1538" s="83" t="str">
        <f t="shared" si="163"/>
        <v/>
      </c>
      <c r="S1538" s="83" t="str">
        <f t="shared" si="164"/>
        <v/>
      </c>
      <c r="T1538" s="83" t="str">
        <f t="shared" ref="T1538:T1601" si="168">IF(A1538&lt;&gt;"",IF(FIND(" ",G1538)&gt;=1,MID(G1538,FIND(" ",G1538)+1,LEN(G1538)),""),"")</f>
        <v/>
      </c>
      <c r="Y1538" s="60">
        <f t="shared" si="165"/>
        <v>0</v>
      </c>
      <c r="Z1538" s="49">
        <f t="shared" si="166"/>
        <v>0</v>
      </c>
      <c r="AA1538" s="60">
        <f t="shared" si="167"/>
        <v>0</v>
      </c>
    </row>
    <row r="1539" spans="1:27">
      <c r="A1539" s="83" t="str">
        <f t="shared" ref="A1539:A1602" si="169">IF(G1539&amp;Q1539&lt;&gt;"",S1539&amp;Q1539,"")</f>
        <v/>
      </c>
      <c r="B1539" s="83" t="str">
        <f t="shared" ref="B1539:B1602" si="170">IF(C1539&lt;&gt;"",LEFT(C1539,9),"")</f>
        <v/>
      </c>
      <c r="S1539" s="83" t="str">
        <f t="shared" ref="S1539:S1602" si="171">IF(G1539&lt;&gt;"",IF(FIND(" ",G1539)&gt;=1,MID(G1539,1,FIND(" ",G1539)-1),G1539),"")</f>
        <v/>
      </c>
      <c r="T1539" s="83" t="str">
        <f t="shared" si="168"/>
        <v/>
      </c>
      <c r="Y1539" s="60">
        <f t="shared" ref="Y1539:Y1602" si="172">IFERROR(VALUE(MID($C1539,1,2)),0)</f>
        <v>0</v>
      </c>
      <c r="Z1539" s="49">
        <f t="shared" ref="Z1539:Z1602" si="173">IFERROR(VALUE(MID($C1539,4,3)),0)</f>
        <v>0</v>
      </c>
      <c r="AA1539" s="60">
        <f t="shared" ref="AA1539:AA1602" si="174">VALUE(RIGHT("00"&amp;Y1539,2)&amp;RIGHT("000"&amp;Z1539,3))</f>
        <v>0</v>
      </c>
    </row>
    <row r="1540" spans="1:27">
      <c r="A1540" s="83" t="str">
        <f t="shared" si="169"/>
        <v/>
      </c>
      <c r="B1540" s="83" t="str">
        <f t="shared" si="170"/>
        <v/>
      </c>
      <c r="S1540" s="83" t="str">
        <f t="shared" si="171"/>
        <v/>
      </c>
      <c r="T1540" s="83" t="str">
        <f t="shared" si="168"/>
        <v/>
      </c>
      <c r="Y1540" s="60">
        <f t="shared" si="172"/>
        <v>0</v>
      </c>
      <c r="Z1540" s="49">
        <f t="shared" si="173"/>
        <v>0</v>
      </c>
      <c r="AA1540" s="60">
        <f t="shared" si="174"/>
        <v>0</v>
      </c>
    </row>
    <row r="1541" spans="1:27">
      <c r="A1541" s="83" t="str">
        <f t="shared" si="169"/>
        <v/>
      </c>
      <c r="B1541" s="83" t="str">
        <f t="shared" si="170"/>
        <v/>
      </c>
      <c r="S1541" s="83" t="str">
        <f t="shared" si="171"/>
        <v/>
      </c>
      <c r="T1541" s="83" t="str">
        <f t="shared" si="168"/>
        <v/>
      </c>
      <c r="Y1541" s="60">
        <f t="shared" si="172"/>
        <v>0</v>
      </c>
      <c r="Z1541" s="49">
        <f t="shared" si="173"/>
        <v>0</v>
      </c>
      <c r="AA1541" s="60">
        <f t="shared" si="174"/>
        <v>0</v>
      </c>
    </row>
    <row r="1542" spans="1:27">
      <c r="A1542" s="83" t="str">
        <f t="shared" si="169"/>
        <v/>
      </c>
      <c r="B1542" s="83" t="str">
        <f t="shared" si="170"/>
        <v/>
      </c>
      <c r="S1542" s="83" t="str">
        <f t="shared" si="171"/>
        <v/>
      </c>
      <c r="T1542" s="83" t="str">
        <f t="shared" si="168"/>
        <v/>
      </c>
      <c r="Y1542" s="60">
        <f t="shared" si="172"/>
        <v>0</v>
      </c>
      <c r="Z1542" s="49">
        <f t="shared" si="173"/>
        <v>0</v>
      </c>
      <c r="AA1542" s="60">
        <f t="shared" si="174"/>
        <v>0</v>
      </c>
    </row>
    <row r="1543" spans="1:27">
      <c r="A1543" s="83" t="str">
        <f t="shared" si="169"/>
        <v/>
      </c>
      <c r="B1543" s="83" t="str">
        <f t="shared" si="170"/>
        <v/>
      </c>
      <c r="S1543" s="83" t="str">
        <f t="shared" si="171"/>
        <v/>
      </c>
      <c r="T1543" s="83" t="str">
        <f t="shared" si="168"/>
        <v/>
      </c>
      <c r="Y1543" s="60">
        <f t="shared" si="172"/>
        <v>0</v>
      </c>
      <c r="Z1543" s="49">
        <f t="shared" si="173"/>
        <v>0</v>
      </c>
      <c r="AA1543" s="60">
        <f t="shared" si="174"/>
        <v>0</v>
      </c>
    </row>
    <row r="1544" spans="1:27">
      <c r="A1544" s="83" t="str">
        <f t="shared" si="169"/>
        <v/>
      </c>
      <c r="B1544" s="83" t="str">
        <f t="shared" si="170"/>
        <v/>
      </c>
      <c r="S1544" s="83" t="str">
        <f t="shared" si="171"/>
        <v/>
      </c>
      <c r="T1544" s="83" t="str">
        <f t="shared" si="168"/>
        <v/>
      </c>
      <c r="Y1544" s="60">
        <f t="shared" si="172"/>
        <v>0</v>
      </c>
      <c r="Z1544" s="49">
        <f t="shared" si="173"/>
        <v>0</v>
      </c>
      <c r="AA1544" s="60">
        <f t="shared" si="174"/>
        <v>0</v>
      </c>
    </row>
    <row r="1545" spans="1:27">
      <c r="A1545" s="83" t="str">
        <f t="shared" si="169"/>
        <v/>
      </c>
      <c r="B1545" s="83" t="str">
        <f t="shared" si="170"/>
        <v/>
      </c>
      <c r="S1545" s="83" t="str">
        <f t="shared" si="171"/>
        <v/>
      </c>
      <c r="T1545" s="83" t="str">
        <f t="shared" si="168"/>
        <v/>
      </c>
      <c r="Y1545" s="60">
        <f t="shared" si="172"/>
        <v>0</v>
      </c>
      <c r="Z1545" s="49">
        <f t="shared" si="173"/>
        <v>0</v>
      </c>
      <c r="AA1545" s="60">
        <f t="shared" si="174"/>
        <v>0</v>
      </c>
    </row>
    <row r="1546" spans="1:27">
      <c r="A1546" s="83" t="str">
        <f t="shared" si="169"/>
        <v/>
      </c>
      <c r="B1546" s="83" t="str">
        <f t="shared" si="170"/>
        <v/>
      </c>
      <c r="S1546" s="83" t="str">
        <f t="shared" si="171"/>
        <v/>
      </c>
      <c r="T1546" s="83" t="str">
        <f t="shared" si="168"/>
        <v/>
      </c>
      <c r="Y1546" s="60">
        <f t="shared" si="172"/>
        <v>0</v>
      </c>
      <c r="Z1546" s="49">
        <f t="shared" si="173"/>
        <v>0</v>
      </c>
      <c r="AA1546" s="60">
        <f t="shared" si="174"/>
        <v>0</v>
      </c>
    </row>
    <row r="1547" spans="1:27">
      <c r="A1547" s="83" t="str">
        <f t="shared" si="169"/>
        <v/>
      </c>
      <c r="B1547" s="83" t="str">
        <f t="shared" si="170"/>
        <v/>
      </c>
      <c r="S1547" s="83" t="str">
        <f t="shared" si="171"/>
        <v/>
      </c>
      <c r="T1547" s="83" t="str">
        <f t="shared" si="168"/>
        <v/>
      </c>
      <c r="Y1547" s="60">
        <f t="shared" si="172"/>
        <v>0</v>
      </c>
      <c r="Z1547" s="49">
        <f t="shared" si="173"/>
        <v>0</v>
      </c>
      <c r="AA1547" s="60">
        <f t="shared" si="174"/>
        <v>0</v>
      </c>
    </row>
    <row r="1548" spans="1:27">
      <c r="A1548" s="83" t="str">
        <f t="shared" si="169"/>
        <v/>
      </c>
      <c r="B1548" s="83" t="str">
        <f t="shared" si="170"/>
        <v/>
      </c>
      <c r="S1548" s="83" t="str">
        <f t="shared" si="171"/>
        <v/>
      </c>
      <c r="T1548" s="83" t="str">
        <f t="shared" si="168"/>
        <v/>
      </c>
      <c r="Y1548" s="60">
        <f t="shared" si="172"/>
        <v>0</v>
      </c>
      <c r="Z1548" s="49">
        <f t="shared" si="173"/>
        <v>0</v>
      </c>
      <c r="AA1548" s="60">
        <f t="shared" si="174"/>
        <v>0</v>
      </c>
    </row>
    <row r="1549" spans="1:27">
      <c r="A1549" s="83" t="str">
        <f t="shared" si="169"/>
        <v/>
      </c>
      <c r="B1549" s="83" t="str">
        <f t="shared" si="170"/>
        <v/>
      </c>
      <c r="S1549" s="83" t="str">
        <f t="shared" si="171"/>
        <v/>
      </c>
      <c r="T1549" s="83" t="str">
        <f t="shared" si="168"/>
        <v/>
      </c>
      <c r="Y1549" s="60">
        <f t="shared" si="172"/>
        <v>0</v>
      </c>
      <c r="Z1549" s="49">
        <f t="shared" si="173"/>
        <v>0</v>
      </c>
      <c r="AA1549" s="60">
        <f t="shared" si="174"/>
        <v>0</v>
      </c>
    </row>
    <row r="1550" spans="1:27">
      <c r="A1550" s="83" t="str">
        <f t="shared" si="169"/>
        <v/>
      </c>
      <c r="B1550" s="83" t="str">
        <f t="shared" si="170"/>
        <v/>
      </c>
      <c r="S1550" s="83" t="str">
        <f t="shared" si="171"/>
        <v/>
      </c>
      <c r="T1550" s="83" t="str">
        <f t="shared" si="168"/>
        <v/>
      </c>
      <c r="Y1550" s="60">
        <f t="shared" si="172"/>
        <v>0</v>
      </c>
      <c r="Z1550" s="49">
        <f t="shared" si="173"/>
        <v>0</v>
      </c>
      <c r="AA1550" s="60">
        <f t="shared" si="174"/>
        <v>0</v>
      </c>
    </row>
    <row r="1551" spans="1:27">
      <c r="A1551" s="83" t="str">
        <f t="shared" si="169"/>
        <v/>
      </c>
      <c r="B1551" s="83" t="str">
        <f t="shared" si="170"/>
        <v/>
      </c>
      <c r="S1551" s="83" t="str">
        <f t="shared" si="171"/>
        <v/>
      </c>
      <c r="T1551" s="83" t="str">
        <f t="shared" si="168"/>
        <v/>
      </c>
      <c r="Y1551" s="60">
        <f t="shared" si="172"/>
        <v>0</v>
      </c>
      <c r="Z1551" s="49">
        <f t="shared" si="173"/>
        <v>0</v>
      </c>
      <c r="AA1551" s="60">
        <f t="shared" si="174"/>
        <v>0</v>
      </c>
    </row>
    <row r="1552" spans="1:27">
      <c r="A1552" s="83" t="str">
        <f t="shared" si="169"/>
        <v/>
      </c>
      <c r="B1552" s="83" t="str">
        <f t="shared" si="170"/>
        <v/>
      </c>
      <c r="S1552" s="83" t="str">
        <f t="shared" si="171"/>
        <v/>
      </c>
      <c r="T1552" s="83" t="str">
        <f t="shared" si="168"/>
        <v/>
      </c>
      <c r="Y1552" s="60">
        <f t="shared" si="172"/>
        <v>0</v>
      </c>
      <c r="Z1552" s="49">
        <f t="shared" si="173"/>
        <v>0</v>
      </c>
      <c r="AA1552" s="60">
        <f t="shared" si="174"/>
        <v>0</v>
      </c>
    </row>
    <row r="1553" spans="1:27">
      <c r="A1553" s="83" t="str">
        <f t="shared" si="169"/>
        <v/>
      </c>
      <c r="B1553" s="83" t="str">
        <f t="shared" si="170"/>
        <v/>
      </c>
      <c r="S1553" s="83" t="str">
        <f t="shared" si="171"/>
        <v/>
      </c>
      <c r="T1553" s="83" t="str">
        <f t="shared" si="168"/>
        <v/>
      </c>
      <c r="Y1553" s="60">
        <f t="shared" si="172"/>
        <v>0</v>
      </c>
      <c r="Z1553" s="49">
        <f t="shared" si="173"/>
        <v>0</v>
      </c>
      <c r="AA1553" s="60">
        <f t="shared" si="174"/>
        <v>0</v>
      </c>
    </row>
    <row r="1554" spans="1:27">
      <c r="A1554" s="83" t="str">
        <f t="shared" si="169"/>
        <v/>
      </c>
      <c r="B1554" s="83" t="str">
        <f t="shared" si="170"/>
        <v/>
      </c>
      <c r="S1554" s="83" t="str">
        <f t="shared" si="171"/>
        <v/>
      </c>
      <c r="T1554" s="83" t="str">
        <f t="shared" si="168"/>
        <v/>
      </c>
      <c r="Y1554" s="60">
        <f t="shared" si="172"/>
        <v>0</v>
      </c>
      <c r="Z1554" s="49">
        <f t="shared" si="173"/>
        <v>0</v>
      </c>
      <c r="AA1554" s="60">
        <f t="shared" si="174"/>
        <v>0</v>
      </c>
    </row>
    <row r="1555" spans="1:27">
      <c r="A1555" s="83" t="str">
        <f t="shared" si="169"/>
        <v/>
      </c>
      <c r="B1555" s="83" t="str">
        <f t="shared" si="170"/>
        <v/>
      </c>
      <c r="S1555" s="83" t="str">
        <f t="shared" si="171"/>
        <v/>
      </c>
      <c r="T1555" s="83" t="str">
        <f t="shared" si="168"/>
        <v/>
      </c>
      <c r="Y1555" s="60">
        <f t="shared" si="172"/>
        <v>0</v>
      </c>
      <c r="Z1555" s="49">
        <f t="shared" si="173"/>
        <v>0</v>
      </c>
      <c r="AA1555" s="60">
        <f t="shared" si="174"/>
        <v>0</v>
      </c>
    </row>
    <row r="1556" spans="1:27">
      <c r="A1556" s="83" t="str">
        <f t="shared" si="169"/>
        <v/>
      </c>
      <c r="B1556" s="83" t="str">
        <f t="shared" si="170"/>
        <v/>
      </c>
      <c r="S1556" s="83" t="str">
        <f t="shared" si="171"/>
        <v/>
      </c>
      <c r="T1556" s="83" t="str">
        <f t="shared" si="168"/>
        <v/>
      </c>
      <c r="Y1556" s="60">
        <f t="shared" si="172"/>
        <v>0</v>
      </c>
      <c r="Z1556" s="49">
        <f t="shared" si="173"/>
        <v>0</v>
      </c>
      <c r="AA1556" s="60">
        <f t="shared" si="174"/>
        <v>0</v>
      </c>
    </row>
    <row r="1557" spans="1:27">
      <c r="A1557" s="83" t="str">
        <f t="shared" si="169"/>
        <v/>
      </c>
      <c r="B1557" s="83" t="str">
        <f t="shared" si="170"/>
        <v/>
      </c>
      <c r="S1557" s="83" t="str">
        <f t="shared" si="171"/>
        <v/>
      </c>
      <c r="T1557" s="83" t="str">
        <f t="shared" si="168"/>
        <v/>
      </c>
      <c r="Y1557" s="60">
        <f t="shared" si="172"/>
        <v>0</v>
      </c>
      <c r="Z1557" s="49">
        <f t="shared" si="173"/>
        <v>0</v>
      </c>
      <c r="AA1557" s="60">
        <f t="shared" si="174"/>
        <v>0</v>
      </c>
    </row>
    <row r="1558" spans="1:27">
      <c r="A1558" s="83" t="str">
        <f t="shared" si="169"/>
        <v/>
      </c>
      <c r="B1558" s="83" t="str">
        <f t="shared" si="170"/>
        <v/>
      </c>
      <c r="S1558" s="83" t="str">
        <f t="shared" si="171"/>
        <v/>
      </c>
      <c r="T1558" s="83" t="str">
        <f t="shared" si="168"/>
        <v/>
      </c>
      <c r="Y1558" s="60">
        <f t="shared" si="172"/>
        <v>0</v>
      </c>
      <c r="Z1558" s="49">
        <f t="shared" si="173"/>
        <v>0</v>
      </c>
      <c r="AA1558" s="60">
        <f t="shared" si="174"/>
        <v>0</v>
      </c>
    </row>
    <row r="1559" spans="1:27">
      <c r="A1559" s="83" t="str">
        <f t="shared" si="169"/>
        <v/>
      </c>
      <c r="B1559" s="83" t="str">
        <f t="shared" si="170"/>
        <v/>
      </c>
      <c r="S1559" s="83" t="str">
        <f t="shared" si="171"/>
        <v/>
      </c>
      <c r="T1559" s="83" t="str">
        <f t="shared" si="168"/>
        <v/>
      </c>
      <c r="Y1559" s="60">
        <f t="shared" si="172"/>
        <v>0</v>
      </c>
      <c r="Z1559" s="49">
        <f t="shared" si="173"/>
        <v>0</v>
      </c>
      <c r="AA1559" s="60">
        <f t="shared" si="174"/>
        <v>0</v>
      </c>
    </row>
    <row r="1560" spans="1:27">
      <c r="A1560" s="83" t="str">
        <f t="shared" si="169"/>
        <v/>
      </c>
      <c r="B1560" s="83" t="str">
        <f t="shared" si="170"/>
        <v/>
      </c>
      <c r="S1560" s="83" t="str">
        <f t="shared" si="171"/>
        <v/>
      </c>
      <c r="T1560" s="83" t="str">
        <f t="shared" si="168"/>
        <v/>
      </c>
      <c r="Y1560" s="60">
        <f t="shared" si="172"/>
        <v>0</v>
      </c>
      <c r="Z1560" s="49">
        <f t="shared" si="173"/>
        <v>0</v>
      </c>
      <c r="AA1560" s="60">
        <f t="shared" si="174"/>
        <v>0</v>
      </c>
    </row>
    <row r="1561" spans="1:27">
      <c r="A1561" s="83" t="str">
        <f t="shared" si="169"/>
        <v/>
      </c>
      <c r="B1561" s="83" t="str">
        <f t="shared" si="170"/>
        <v/>
      </c>
      <c r="S1561" s="83" t="str">
        <f t="shared" si="171"/>
        <v/>
      </c>
      <c r="T1561" s="83" t="str">
        <f t="shared" si="168"/>
        <v/>
      </c>
      <c r="Y1561" s="60">
        <f t="shared" si="172"/>
        <v>0</v>
      </c>
      <c r="Z1561" s="49">
        <f t="shared" si="173"/>
        <v>0</v>
      </c>
      <c r="AA1561" s="60">
        <f t="shared" si="174"/>
        <v>0</v>
      </c>
    </row>
    <row r="1562" spans="1:27">
      <c r="A1562" s="83" t="str">
        <f t="shared" si="169"/>
        <v/>
      </c>
      <c r="B1562" s="83" t="str">
        <f t="shared" si="170"/>
        <v/>
      </c>
      <c r="S1562" s="83" t="str">
        <f t="shared" si="171"/>
        <v/>
      </c>
      <c r="T1562" s="83" t="str">
        <f t="shared" si="168"/>
        <v/>
      </c>
      <c r="Y1562" s="60">
        <f t="shared" si="172"/>
        <v>0</v>
      </c>
      <c r="Z1562" s="49">
        <f t="shared" si="173"/>
        <v>0</v>
      </c>
      <c r="AA1562" s="60">
        <f t="shared" si="174"/>
        <v>0</v>
      </c>
    </row>
    <row r="1563" spans="1:27">
      <c r="A1563" s="83" t="str">
        <f t="shared" si="169"/>
        <v/>
      </c>
      <c r="B1563" s="83" t="str">
        <f t="shared" si="170"/>
        <v/>
      </c>
      <c r="S1563" s="83" t="str">
        <f t="shared" si="171"/>
        <v/>
      </c>
      <c r="T1563" s="83" t="str">
        <f t="shared" si="168"/>
        <v/>
      </c>
      <c r="Y1563" s="60">
        <f t="shared" si="172"/>
        <v>0</v>
      </c>
      <c r="Z1563" s="49">
        <f t="shared" si="173"/>
        <v>0</v>
      </c>
      <c r="AA1563" s="60">
        <f t="shared" si="174"/>
        <v>0</v>
      </c>
    </row>
    <row r="1564" spans="1:27">
      <c r="A1564" s="83" t="str">
        <f t="shared" si="169"/>
        <v/>
      </c>
      <c r="B1564" s="83" t="str">
        <f t="shared" si="170"/>
        <v/>
      </c>
      <c r="S1564" s="83" t="str">
        <f t="shared" si="171"/>
        <v/>
      </c>
      <c r="T1564" s="83" t="str">
        <f t="shared" si="168"/>
        <v/>
      </c>
      <c r="Y1564" s="60">
        <f t="shared" si="172"/>
        <v>0</v>
      </c>
      <c r="Z1564" s="49">
        <f t="shared" si="173"/>
        <v>0</v>
      </c>
      <c r="AA1564" s="60">
        <f t="shared" si="174"/>
        <v>0</v>
      </c>
    </row>
    <row r="1565" spans="1:27">
      <c r="A1565" s="83" t="str">
        <f t="shared" si="169"/>
        <v/>
      </c>
      <c r="B1565" s="83" t="str">
        <f t="shared" si="170"/>
        <v/>
      </c>
      <c r="S1565" s="83" t="str">
        <f t="shared" si="171"/>
        <v/>
      </c>
      <c r="T1565" s="83" t="str">
        <f t="shared" si="168"/>
        <v/>
      </c>
      <c r="Y1565" s="60">
        <f t="shared" si="172"/>
        <v>0</v>
      </c>
      <c r="Z1565" s="49">
        <f t="shared" si="173"/>
        <v>0</v>
      </c>
      <c r="AA1565" s="60">
        <f t="shared" si="174"/>
        <v>0</v>
      </c>
    </row>
    <row r="1566" spans="1:27">
      <c r="A1566" s="83" t="str">
        <f t="shared" si="169"/>
        <v/>
      </c>
      <c r="B1566" s="83" t="str">
        <f t="shared" si="170"/>
        <v/>
      </c>
      <c r="S1566" s="83" t="str">
        <f t="shared" si="171"/>
        <v/>
      </c>
      <c r="T1566" s="83" t="str">
        <f t="shared" si="168"/>
        <v/>
      </c>
      <c r="Y1566" s="60">
        <f t="shared" si="172"/>
        <v>0</v>
      </c>
      <c r="Z1566" s="49">
        <f t="shared" si="173"/>
        <v>0</v>
      </c>
      <c r="AA1566" s="60">
        <f t="shared" si="174"/>
        <v>0</v>
      </c>
    </row>
    <row r="1567" spans="1:27">
      <c r="A1567" s="83" t="str">
        <f t="shared" si="169"/>
        <v/>
      </c>
      <c r="B1567" s="83" t="str">
        <f t="shared" si="170"/>
        <v/>
      </c>
      <c r="S1567" s="83" t="str">
        <f t="shared" si="171"/>
        <v/>
      </c>
      <c r="T1567" s="83" t="str">
        <f t="shared" si="168"/>
        <v/>
      </c>
      <c r="Y1567" s="60">
        <f t="shared" si="172"/>
        <v>0</v>
      </c>
      <c r="Z1567" s="49">
        <f t="shared" si="173"/>
        <v>0</v>
      </c>
      <c r="AA1567" s="60">
        <f t="shared" si="174"/>
        <v>0</v>
      </c>
    </row>
    <row r="1568" spans="1:27">
      <c r="A1568" s="83" t="str">
        <f t="shared" si="169"/>
        <v/>
      </c>
      <c r="B1568" s="83" t="str">
        <f t="shared" si="170"/>
        <v/>
      </c>
      <c r="S1568" s="83" t="str">
        <f t="shared" si="171"/>
        <v/>
      </c>
      <c r="T1568" s="83" t="str">
        <f t="shared" si="168"/>
        <v/>
      </c>
      <c r="Y1568" s="60">
        <f t="shared" si="172"/>
        <v>0</v>
      </c>
      <c r="Z1568" s="49">
        <f t="shared" si="173"/>
        <v>0</v>
      </c>
      <c r="AA1568" s="60">
        <f t="shared" si="174"/>
        <v>0</v>
      </c>
    </row>
    <row r="1569" spans="1:27">
      <c r="A1569" s="83" t="str">
        <f t="shared" si="169"/>
        <v/>
      </c>
      <c r="B1569" s="83" t="str">
        <f t="shared" si="170"/>
        <v/>
      </c>
      <c r="S1569" s="83" t="str">
        <f t="shared" si="171"/>
        <v/>
      </c>
      <c r="T1569" s="83" t="str">
        <f t="shared" si="168"/>
        <v/>
      </c>
      <c r="Y1569" s="60">
        <f t="shared" si="172"/>
        <v>0</v>
      </c>
      <c r="Z1569" s="49">
        <f t="shared" si="173"/>
        <v>0</v>
      </c>
      <c r="AA1569" s="60">
        <f t="shared" si="174"/>
        <v>0</v>
      </c>
    </row>
    <row r="1570" spans="1:27">
      <c r="A1570" s="83" t="str">
        <f t="shared" si="169"/>
        <v/>
      </c>
      <c r="B1570" s="83" t="str">
        <f t="shared" si="170"/>
        <v/>
      </c>
      <c r="S1570" s="83" t="str">
        <f t="shared" si="171"/>
        <v/>
      </c>
      <c r="T1570" s="83" t="str">
        <f t="shared" si="168"/>
        <v/>
      </c>
      <c r="Y1570" s="60">
        <f t="shared" si="172"/>
        <v>0</v>
      </c>
      <c r="Z1570" s="49">
        <f t="shared" si="173"/>
        <v>0</v>
      </c>
      <c r="AA1570" s="60">
        <f t="shared" si="174"/>
        <v>0</v>
      </c>
    </row>
    <row r="1571" spans="1:27">
      <c r="A1571" s="83" t="str">
        <f t="shared" si="169"/>
        <v/>
      </c>
      <c r="B1571" s="83" t="str">
        <f t="shared" si="170"/>
        <v/>
      </c>
      <c r="S1571" s="83" t="str">
        <f t="shared" si="171"/>
        <v/>
      </c>
      <c r="T1571" s="83" t="str">
        <f t="shared" si="168"/>
        <v/>
      </c>
      <c r="Y1571" s="60">
        <f t="shared" si="172"/>
        <v>0</v>
      </c>
      <c r="Z1571" s="49">
        <f t="shared" si="173"/>
        <v>0</v>
      </c>
      <c r="AA1571" s="60">
        <f t="shared" si="174"/>
        <v>0</v>
      </c>
    </row>
    <row r="1572" spans="1:27">
      <c r="A1572" s="83" t="str">
        <f t="shared" si="169"/>
        <v/>
      </c>
      <c r="B1572" s="83" t="str">
        <f t="shared" si="170"/>
        <v/>
      </c>
      <c r="S1572" s="83" t="str">
        <f t="shared" si="171"/>
        <v/>
      </c>
      <c r="T1572" s="83" t="str">
        <f t="shared" si="168"/>
        <v/>
      </c>
      <c r="Y1572" s="60">
        <f t="shared" si="172"/>
        <v>0</v>
      </c>
      <c r="Z1572" s="49">
        <f t="shared" si="173"/>
        <v>0</v>
      </c>
      <c r="AA1572" s="60">
        <f t="shared" si="174"/>
        <v>0</v>
      </c>
    </row>
    <row r="1573" spans="1:27">
      <c r="A1573" s="83" t="str">
        <f t="shared" si="169"/>
        <v/>
      </c>
      <c r="B1573" s="83" t="str">
        <f t="shared" si="170"/>
        <v/>
      </c>
      <c r="S1573" s="83" t="str">
        <f t="shared" si="171"/>
        <v/>
      </c>
      <c r="T1573" s="83" t="str">
        <f t="shared" si="168"/>
        <v/>
      </c>
      <c r="Y1573" s="60">
        <f t="shared" si="172"/>
        <v>0</v>
      </c>
      <c r="Z1573" s="49">
        <f t="shared" si="173"/>
        <v>0</v>
      </c>
      <c r="AA1573" s="60">
        <f t="shared" si="174"/>
        <v>0</v>
      </c>
    </row>
    <row r="1574" spans="1:27">
      <c r="A1574" s="83" t="str">
        <f t="shared" si="169"/>
        <v/>
      </c>
      <c r="B1574" s="83" t="str">
        <f t="shared" si="170"/>
        <v/>
      </c>
      <c r="S1574" s="83" t="str">
        <f t="shared" si="171"/>
        <v/>
      </c>
      <c r="T1574" s="83" t="str">
        <f t="shared" si="168"/>
        <v/>
      </c>
      <c r="Y1574" s="60">
        <f t="shared" si="172"/>
        <v>0</v>
      </c>
      <c r="Z1574" s="49">
        <f t="shared" si="173"/>
        <v>0</v>
      </c>
      <c r="AA1574" s="60">
        <f t="shared" si="174"/>
        <v>0</v>
      </c>
    </row>
    <row r="1575" spans="1:27">
      <c r="A1575" s="83" t="str">
        <f t="shared" si="169"/>
        <v/>
      </c>
      <c r="B1575" s="83" t="str">
        <f t="shared" si="170"/>
        <v/>
      </c>
      <c r="S1575" s="83" t="str">
        <f t="shared" si="171"/>
        <v/>
      </c>
      <c r="T1575" s="83" t="str">
        <f t="shared" si="168"/>
        <v/>
      </c>
      <c r="Y1575" s="60">
        <f t="shared" si="172"/>
        <v>0</v>
      </c>
      <c r="Z1575" s="49">
        <f t="shared" si="173"/>
        <v>0</v>
      </c>
      <c r="AA1575" s="60">
        <f t="shared" si="174"/>
        <v>0</v>
      </c>
    </row>
    <row r="1576" spans="1:27">
      <c r="A1576" s="83" t="str">
        <f t="shared" si="169"/>
        <v/>
      </c>
      <c r="B1576" s="83" t="str">
        <f t="shared" si="170"/>
        <v/>
      </c>
      <c r="S1576" s="83" t="str">
        <f t="shared" si="171"/>
        <v/>
      </c>
      <c r="T1576" s="83" t="str">
        <f t="shared" si="168"/>
        <v/>
      </c>
      <c r="Y1576" s="60">
        <f t="shared" si="172"/>
        <v>0</v>
      </c>
      <c r="Z1576" s="49">
        <f t="shared" si="173"/>
        <v>0</v>
      </c>
      <c r="AA1576" s="60">
        <f t="shared" si="174"/>
        <v>0</v>
      </c>
    </row>
    <row r="1577" spans="1:27">
      <c r="A1577" s="83" t="str">
        <f t="shared" si="169"/>
        <v/>
      </c>
      <c r="B1577" s="83" t="str">
        <f t="shared" si="170"/>
        <v/>
      </c>
      <c r="S1577" s="83" t="str">
        <f t="shared" si="171"/>
        <v/>
      </c>
      <c r="T1577" s="83" t="str">
        <f t="shared" si="168"/>
        <v/>
      </c>
      <c r="Y1577" s="60">
        <f t="shared" si="172"/>
        <v>0</v>
      </c>
      <c r="Z1577" s="49">
        <f t="shared" si="173"/>
        <v>0</v>
      </c>
      <c r="AA1577" s="60">
        <f t="shared" si="174"/>
        <v>0</v>
      </c>
    </row>
    <row r="1578" spans="1:27">
      <c r="A1578" s="83" t="str">
        <f t="shared" si="169"/>
        <v/>
      </c>
      <c r="B1578" s="83" t="str">
        <f t="shared" si="170"/>
        <v/>
      </c>
      <c r="S1578" s="83" t="str">
        <f t="shared" si="171"/>
        <v/>
      </c>
      <c r="T1578" s="83" t="str">
        <f t="shared" si="168"/>
        <v/>
      </c>
      <c r="Y1578" s="60">
        <f t="shared" si="172"/>
        <v>0</v>
      </c>
      <c r="Z1578" s="49">
        <f t="shared" si="173"/>
        <v>0</v>
      </c>
      <c r="AA1578" s="60">
        <f t="shared" si="174"/>
        <v>0</v>
      </c>
    </row>
    <row r="1579" spans="1:27">
      <c r="A1579" s="83" t="str">
        <f t="shared" si="169"/>
        <v/>
      </c>
      <c r="B1579" s="83" t="str">
        <f t="shared" si="170"/>
        <v/>
      </c>
      <c r="S1579" s="83" t="str">
        <f t="shared" si="171"/>
        <v/>
      </c>
      <c r="T1579" s="83" t="str">
        <f t="shared" si="168"/>
        <v/>
      </c>
      <c r="Y1579" s="60">
        <f t="shared" si="172"/>
        <v>0</v>
      </c>
      <c r="Z1579" s="49">
        <f t="shared" si="173"/>
        <v>0</v>
      </c>
      <c r="AA1579" s="60">
        <f t="shared" si="174"/>
        <v>0</v>
      </c>
    </row>
    <row r="1580" spans="1:27">
      <c r="A1580" s="83" t="str">
        <f t="shared" si="169"/>
        <v/>
      </c>
      <c r="B1580" s="83" t="str">
        <f t="shared" si="170"/>
        <v/>
      </c>
      <c r="S1580" s="83" t="str">
        <f t="shared" si="171"/>
        <v/>
      </c>
      <c r="T1580" s="83" t="str">
        <f t="shared" si="168"/>
        <v/>
      </c>
      <c r="Y1580" s="60">
        <f t="shared" si="172"/>
        <v>0</v>
      </c>
      <c r="Z1580" s="49">
        <f t="shared" si="173"/>
        <v>0</v>
      </c>
      <c r="AA1580" s="60">
        <f t="shared" si="174"/>
        <v>0</v>
      </c>
    </row>
    <row r="1581" spans="1:27">
      <c r="A1581" s="83" t="str">
        <f t="shared" si="169"/>
        <v/>
      </c>
      <c r="B1581" s="83" t="str">
        <f t="shared" si="170"/>
        <v/>
      </c>
      <c r="S1581" s="83" t="str">
        <f t="shared" si="171"/>
        <v/>
      </c>
      <c r="T1581" s="83" t="str">
        <f t="shared" si="168"/>
        <v/>
      </c>
      <c r="Y1581" s="60">
        <f t="shared" si="172"/>
        <v>0</v>
      </c>
      <c r="Z1581" s="49">
        <f t="shared" si="173"/>
        <v>0</v>
      </c>
      <c r="AA1581" s="60">
        <f t="shared" si="174"/>
        <v>0</v>
      </c>
    </row>
    <row r="1582" spans="1:27">
      <c r="A1582" s="83" t="str">
        <f t="shared" si="169"/>
        <v/>
      </c>
      <c r="B1582" s="83" t="str">
        <f t="shared" si="170"/>
        <v/>
      </c>
      <c r="S1582" s="83" t="str">
        <f t="shared" si="171"/>
        <v/>
      </c>
      <c r="T1582" s="83" t="str">
        <f t="shared" si="168"/>
        <v/>
      </c>
      <c r="Y1582" s="60">
        <f t="shared" si="172"/>
        <v>0</v>
      </c>
      <c r="Z1582" s="49">
        <f t="shared" si="173"/>
        <v>0</v>
      </c>
      <c r="AA1582" s="60">
        <f t="shared" si="174"/>
        <v>0</v>
      </c>
    </row>
    <row r="1583" spans="1:27">
      <c r="A1583" s="83" t="str">
        <f t="shared" si="169"/>
        <v/>
      </c>
      <c r="B1583" s="83" t="str">
        <f t="shared" si="170"/>
        <v/>
      </c>
      <c r="S1583" s="83" t="str">
        <f t="shared" si="171"/>
        <v/>
      </c>
      <c r="T1583" s="83" t="str">
        <f t="shared" si="168"/>
        <v/>
      </c>
      <c r="Y1583" s="60">
        <f t="shared" si="172"/>
        <v>0</v>
      </c>
      <c r="Z1583" s="49">
        <f t="shared" si="173"/>
        <v>0</v>
      </c>
      <c r="AA1583" s="60">
        <f t="shared" si="174"/>
        <v>0</v>
      </c>
    </row>
    <row r="1584" spans="1:27">
      <c r="A1584" s="83" t="str">
        <f t="shared" si="169"/>
        <v/>
      </c>
      <c r="B1584" s="83" t="str">
        <f t="shared" si="170"/>
        <v/>
      </c>
      <c r="S1584" s="83" t="str">
        <f t="shared" si="171"/>
        <v/>
      </c>
      <c r="T1584" s="83" t="str">
        <f t="shared" si="168"/>
        <v/>
      </c>
      <c r="Y1584" s="60">
        <f t="shared" si="172"/>
        <v>0</v>
      </c>
      <c r="Z1584" s="49">
        <f t="shared" si="173"/>
        <v>0</v>
      </c>
      <c r="AA1584" s="60">
        <f t="shared" si="174"/>
        <v>0</v>
      </c>
    </row>
    <row r="1585" spans="1:27">
      <c r="A1585" s="83" t="str">
        <f t="shared" si="169"/>
        <v/>
      </c>
      <c r="B1585" s="83" t="str">
        <f t="shared" si="170"/>
        <v/>
      </c>
      <c r="S1585" s="83" t="str">
        <f t="shared" si="171"/>
        <v/>
      </c>
      <c r="T1585" s="83" t="str">
        <f t="shared" si="168"/>
        <v/>
      </c>
      <c r="Y1585" s="60">
        <f t="shared" si="172"/>
        <v>0</v>
      </c>
      <c r="Z1585" s="49">
        <f t="shared" si="173"/>
        <v>0</v>
      </c>
      <c r="AA1585" s="60">
        <f t="shared" si="174"/>
        <v>0</v>
      </c>
    </row>
    <row r="1586" spans="1:27">
      <c r="A1586" s="83" t="str">
        <f t="shared" si="169"/>
        <v/>
      </c>
      <c r="B1586" s="83" t="str">
        <f t="shared" si="170"/>
        <v/>
      </c>
      <c r="S1586" s="83" t="str">
        <f t="shared" si="171"/>
        <v/>
      </c>
      <c r="T1586" s="83" t="str">
        <f t="shared" si="168"/>
        <v/>
      </c>
      <c r="Y1586" s="60">
        <f t="shared" si="172"/>
        <v>0</v>
      </c>
      <c r="Z1586" s="49">
        <f t="shared" si="173"/>
        <v>0</v>
      </c>
      <c r="AA1586" s="60">
        <f t="shared" si="174"/>
        <v>0</v>
      </c>
    </row>
    <row r="1587" spans="1:27">
      <c r="A1587" s="83" t="str">
        <f t="shared" si="169"/>
        <v/>
      </c>
      <c r="B1587" s="83" t="str">
        <f t="shared" si="170"/>
        <v/>
      </c>
      <c r="S1587" s="83" t="str">
        <f t="shared" si="171"/>
        <v/>
      </c>
      <c r="T1587" s="83" t="str">
        <f t="shared" si="168"/>
        <v/>
      </c>
      <c r="Y1587" s="60">
        <f t="shared" si="172"/>
        <v>0</v>
      </c>
      <c r="Z1587" s="49">
        <f t="shared" si="173"/>
        <v>0</v>
      </c>
      <c r="AA1587" s="60">
        <f t="shared" si="174"/>
        <v>0</v>
      </c>
    </row>
    <row r="1588" spans="1:27">
      <c r="A1588" s="83" t="str">
        <f t="shared" si="169"/>
        <v/>
      </c>
      <c r="B1588" s="83" t="str">
        <f t="shared" si="170"/>
        <v/>
      </c>
      <c r="S1588" s="83" t="str">
        <f t="shared" si="171"/>
        <v/>
      </c>
      <c r="T1588" s="83" t="str">
        <f t="shared" si="168"/>
        <v/>
      </c>
      <c r="Y1588" s="60">
        <f t="shared" si="172"/>
        <v>0</v>
      </c>
      <c r="Z1588" s="49">
        <f t="shared" si="173"/>
        <v>0</v>
      </c>
      <c r="AA1588" s="60">
        <f t="shared" si="174"/>
        <v>0</v>
      </c>
    </row>
    <row r="1589" spans="1:27">
      <c r="A1589" s="83" t="str">
        <f t="shared" si="169"/>
        <v/>
      </c>
      <c r="B1589" s="83" t="str">
        <f t="shared" si="170"/>
        <v/>
      </c>
      <c r="S1589" s="83" t="str">
        <f t="shared" si="171"/>
        <v/>
      </c>
      <c r="T1589" s="83" t="str">
        <f t="shared" si="168"/>
        <v/>
      </c>
      <c r="Y1589" s="60">
        <f t="shared" si="172"/>
        <v>0</v>
      </c>
      <c r="Z1589" s="49">
        <f t="shared" si="173"/>
        <v>0</v>
      </c>
      <c r="AA1589" s="60">
        <f t="shared" si="174"/>
        <v>0</v>
      </c>
    </row>
    <row r="1590" spans="1:27">
      <c r="A1590" s="83" t="str">
        <f t="shared" si="169"/>
        <v/>
      </c>
      <c r="B1590" s="83" t="str">
        <f t="shared" si="170"/>
        <v/>
      </c>
      <c r="S1590" s="83" t="str">
        <f t="shared" si="171"/>
        <v/>
      </c>
      <c r="T1590" s="83" t="str">
        <f t="shared" si="168"/>
        <v/>
      </c>
      <c r="Y1590" s="60">
        <f t="shared" si="172"/>
        <v>0</v>
      </c>
      <c r="Z1590" s="49">
        <f t="shared" si="173"/>
        <v>0</v>
      </c>
      <c r="AA1590" s="60">
        <f t="shared" si="174"/>
        <v>0</v>
      </c>
    </row>
    <row r="1591" spans="1:27">
      <c r="A1591" s="83" t="str">
        <f t="shared" si="169"/>
        <v/>
      </c>
      <c r="B1591" s="83" t="str">
        <f t="shared" si="170"/>
        <v/>
      </c>
      <c r="S1591" s="83" t="str">
        <f t="shared" si="171"/>
        <v/>
      </c>
      <c r="T1591" s="83" t="str">
        <f t="shared" si="168"/>
        <v/>
      </c>
      <c r="Y1591" s="60">
        <f t="shared" si="172"/>
        <v>0</v>
      </c>
      <c r="Z1591" s="49">
        <f t="shared" si="173"/>
        <v>0</v>
      </c>
      <c r="AA1591" s="60">
        <f t="shared" si="174"/>
        <v>0</v>
      </c>
    </row>
    <row r="1592" spans="1:27">
      <c r="A1592" s="83" t="str">
        <f t="shared" si="169"/>
        <v/>
      </c>
      <c r="B1592" s="83" t="str">
        <f t="shared" si="170"/>
        <v/>
      </c>
      <c r="S1592" s="83" t="str">
        <f t="shared" si="171"/>
        <v/>
      </c>
      <c r="T1592" s="83" t="str">
        <f t="shared" si="168"/>
        <v/>
      </c>
      <c r="Y1592" s="60">
        <f t="shared" si="172"/>
        <v>0</v>
      </c>
      <c r="Z1592" s="49">
        <f t="shared" si="173"/>
        <v>0</v>
      </c>
      <c r="AA1592" s="60">
        <f t="shared" si="174"/>
        <v>0</v>
      </c>
    </row>
    <row r="1593" spans="1:27">
      <c r="A1593" s="83" t="str">
        <f t="shared" si="169"/>
        <v/>
      </c>
      <c r="B1593" s="83" t="str">
        <f t="shared" si="170"/>
        <v/>
      </c>
      <c r="S1593" s="83" t="str">
        <f t="shared" si="171"/>
        <v/>
      </c>
      <c r="T1593" s="83" t="str">
        <f t="shared" si="168"/>
        <v/>
      </c>
      <c r="Y1593" s="60">
        <f t="shared" si="172"/>
        <v>0</v>
      </c>
      <c r="Z1593" s="49">
        <f t="shared" si="173"/>
        <v>0</v>
      </c>
      <c r="AA1593" s="60">
        <f t="shared" si="174"/>
        <v>0</v>
      </c>
    </row>
    <row r="1594" spans="1:27">
      <c r="A1594" s="83" t="str">
        <f t="shared" si="169"/>
        <v/>
      </c>
      <c r="B1594" s="83" t="str">
        <f t="shared" si="170"/>
        <v/>
      </c>
      <c r="S1594" s="83" t="str">
        <f t="shared" si="171"/>
        <v/>
      </c>
      <c r="T1594" s="83" t="str">
        <f t="shared" si="168"/>
        <v/>
      </c>
      <c r="Y1594" s="60">
        <f t="shared" si="172"/>
        <v>0</v>
      </c>
      <c r="Z1594" s="49">
        <f t="shared" si="173"/>
        <v>0</v>
      </c>
      <c r="AA1594" s="60">
        <f t="shared" si="174"/>
        <v>0</v>
      </c>
    </row>
    <row r="1595" spans="1:27">
      <c r="A1595" s="83" t="str">
        <f t="shared" si="169"/>
        <v/>
      </c>
      <c r="B1595" s="83" t="str">
        <f t="shared" si="170"/>
        <v/>
      </c>
      <c r="S1595" s="83" t="str">
        <f t="shared" si="171"/>
        <v/>
      </c>
      <c r="T1595" s="83" t="str">
        <f t="shared" si="168"/>
        <v/>
      </c>
      <c r="Y1595" s="60">
        <f t="shared" si="172"/>
        <v>0</v>
      </c>
      <c r="Z1595" s="49">
        <f t="shared" si="173"/>
        <v>0</v>
      </c>
      <c r="AA1595" s="60">
        <f t="shared" si="174"/>
        <v>0</v>
      </c>
    </row>
    <row r="1596" spans="1:27">
      <c r="A1596" s="83" t="str">
        <f t="shared" si="169"/>
        <v/>
      </c>
      <c r="B1596" s="83" t="str">
        <f t="shared" si="170"/>
        <v/>
      </c>
      <c r="S1596" s="83" t="str">
        <f t="shared" si="171"/>
        <v/>
      </c>
      <c r="T1596" s="83" t="str">
        <f t="shared" si="168"/>
        <v/>
      </c>
      <c r="Y1596" s="60">
        <f t="shared" si="172"/>
        <v>0</v>
      </c>
      <c r="Z1596" s="49">
        <f t="shared" si="173"/>
        <v>0</v>
      </c>
      <c r="AA1596" s="60">
        <f t="shared" si="174"/>
        <v>0</v>
      </c>
    </row>
    <row r="1597" spans="1:27">
      <c r="A1597" s="83" t="str">
        <f t="shared" si="169"/>
        <v/>
      </c>
      <c r="B1597" s="83" t="str">
        <f t="shared" si="170"/>
        <v/>
      </c>
      <c r="S1597" s="83" t="str">
        <f t="shared" si="171"/>
        <v/>
      </c>
      <c r="T1597" s="83" t="str">
        <f t="shared" si="168"/>
        <v/>
      </c>
      <c r="Y1597" s="60">
        <f t="shared" si="172"/>
        <v>0</v>
      </c>
      <c r="Z1597" s="49">
        <f t="shared" si="173"/>
        <v>0</v>
      </c>
      <c r="AA1597" s="60">
        <f t="shared" si="174"/>
        <v>0</v>
      </c>
    </row>
    <row r="1598" spans="1:27">
      <c r="A1598" s="83" t="str">
        <f t="shared" si="169"/>
        <v/>
      </c>
      <c r="B1598" s="83" t="str">
        <f t="shared" si="170"/>
        <v/>
      </c>
      <c r="S1598" s="83" t="str">
        <f t="shared" si="171"/>
        <v/>
      </c>
      <c r="T1598" s="83" t="str">
        <f t="shared" si="168"/>
        <v/>
      </c>
      <c r="Y1598" s="60">
        <f t="shared" si="172"/>
        <v>0</v>
      </c>
      <c r="Z1598" s="49">
        <f t="shared" si="173"/>
        <v>0</v>
      </c>
      <c r="AA1598" s="60">
        <f t="shared" si="174"/>
        <v>0</v>
      </c>
    </row>
    <row r="1599" spans="1:27">
      <c r="A1599" s="83" t="str">
        <f t="shared" si="169"/>
        <v/>
      </c>
      <c r="B1599" s="83" t="str">
        <f t="shared" si="170"/>
        <v/>
      </c>
      <c r="S1599" s="83" t="str">
        <f t="shared" si="171"/>
        <v/>
      </c>
      <c r="T1599" s="83" t="str">
        <f t="shared" si="168"/>
        <v/>
      </c>
      <c r="Y1599" s="60">
        <f t="shared" si="172"/>
        <v>0</v>
      </c>
      <c r="Z1599" s="49">
        <f t="shared" si="173"/>
        <v>0</v>
      </c>
      <c r="AA1599" s="60">
        <f t="shared" si="174"/>
        <v>0</v>
      </c>
    </row>
    <row r="1600" spans="1:27">
      <c r="A1600" s="83" t="str">
        <f t="shared" si="169"/>
        <v/>
      </c>
      <c r="B1600" s="83" t="str">
        <f t="shared" si="170"/>
        <v/>
      </c>
      <c r="S1600" s="83" t="str">
        <f t="shared" si="171"/>
        <v/>
      </c>
      <c r="T1600" s="83" t="str">
        <f t="shared" si="168"/>
        <v/>
      </c>
      <c r="Y1600" s="60">
        <f t="shared" si="172"/>
        <v>0</v>
      </c>
      <c r="Z1600" s="49">
        <f t="shared" si="173"/>
        <v>0</v>
      </c>
      <c r="AA1600" s="60">
        <f t="shared" si="174"/>
        <v>0</v>
      </c>
    </row>
    <row r="1601" spans="1:27">
      <c r="A1601" s="83" t="str">
        <f t="shared" si="169"/>
        <v/>
      </c>
      <c r="B1601" s="83" t="str">
        <f t="shared" si="170"/>
        <v/>
      </c>
      <c r="S1601" s="83" t="str">
        <f t="shared" si="171"/>
        <v/>
      </c>
      <c r="T1601" s="83" t="str">
        <f t="shared" si="168"/>
        <v/>
      </c>
      <c r="Y1601" s="60">
        <f t="shared" si="172"/>
        <v>0</v>
      </c>
      <c r="Z1601" s="49">
        <f t="shared" si="173"/>
        <v>0</v>
      </c>
      <c r="AA1601" s="60">
        <f t="shared" si="174"/>
        <v>0</v>
      </c>
    </row>
    <row r="1602" spans="1:27">
      <c r="A1602" s="83" t="str">
        <f t="shared" si="169"/>
        <v/>
      </c>
      <c r="B1602" s="83" t="str">
        <f t="shared" si="170"/>
        <v/>
      </c>
      <c r="S1602" s="83" t="str">
        <f t="shared" si="171"/>
        <v/>
      </c>
      <c r="T1602" s="83" t="str">
        <f t="shared" ref="T1602:T1665" si="175">IF(A1602&lt;&gt;"",IF(FIND(" ",G1602)&gt;=1,MID(G1602,FIND(" ",G1602)+1,LEN(G1602)),""),"")</f>
        <v/>
      </c>
      <c r="Y1602" s="60">
        <f t="shared" si="172"/>
        <v>0</v>
      </c>
      <c r="Z1602" s="49">
        <f t="shared" si="173"/>
        <v>0</v>
      </c>
      <c r="AA1602" s="60">
        <f t="shared" si="174"/>
        <v>0</v>
      </c>
    </row>
    <row r="1603" spans="1:27">
      <c r="A1603" s="83" t="str">
        <f t="shared" ref="A1603:A1666" si="176">IF(G1603&amp;Q1603&lt;&gt;"",S1603&amp;Q1603,"")</f>
        <v/>
      </c>
      <c r="B1603" s="83" t="str">
        <f t="shared" ref="B1603:B1666" si="177">IF(C1603&lt;&gt;"",LEFT(C1603,9),"")</f>
        <v/>
      </c>
      <c r="S1603" s="83" t="str">
        <f t="shared" ref="S1603:S1666" si="178">IF(G1603&lt;&gt;"",IF(FIND(" ",G1603)&gt;=1,MID(G1603,1,FIND(" ",G1603)-1),G1603),"")</f>
        <v/>
      </c>
      <c r="T1603" s="83" t="str">
        <f t="shared" si="175"/>
        <v/>
      </c>
      <c r="Y1603" s="60">
        <f t="shared" ref="Y1603:Y1666" si="179">IFERROR(VALUE(MID($C1603,1,2)),0)</f>
        <v>0</v>
      </c>
      <c r="Z1603" s="49">
        <f t="shared" ref="Z1603:Z1666" si="180">IFERROR(VALUE(MID($C1603,4,3)),0)</f>
        <v>0</v>
      </c>
      <c r="AA1603" s="60">
        <f t="shared" ref="AA1603:AA1666" si="181">VALUE(RIGHT("00"&amp;Y1603,2)&amp;RIGHT("000"&amp;Z1603,3))</f>
        <v>0</v>
      </c>
    </row>
    <row r="1604" spans="1:27">
      <c r="A1604" s="83" t="str">
        <f t="shared" si="176"/>
        <v/>
      </c>
      <c r="B1604" s="83" t="str">
        <f t="shared" si="177"/>
        <v/>
      </c>
      <c r="S1604" s="83" t="str">
        <f t="shared" si="178"/>
        <v/>
      </c>
      <c r="T1604" s="83" t="str">
        <f t="shared" si="175"/>
        <v/>
      </c>
      <c r="Y1604" s="60">
        <f t="shared" si="179"/>
        <v>0</v>
      </c>
      <c r="Z1604" s="49">
        <f t="shared" si="180"/>
        <v>0</v>
      </c>
      <c r="AA1604" s="60">
        <f t="shared" si="181"/>
        <v>0</v>
      </c>
    </row>
    <row r="1605" spans="1:27">
      <c r="A1605" s="83" t="str">
        <f t="shared" si="176"/>
        <v/>
      </c>
      <c r="B1605" s="83" t="str">
        <f t="shared" si="177"/>
        <v/>
      </c>
      <c r="S1605" s="83" t="str">
        <f t="shared" si="178"/>
        <v/>
      </c>
      <c r="T1605" s="83" t="str">
        <f t="shared" si="175"/>
        <v/>
      </c>
      <c r="Y1605" s="60">
        <f t="shared" si="179"/>
        <v>0</v>
      </c>
      <c r="Z1605" s="49">
        <f t="shared" si="180"/>
        <v>0</v>
      </c>
      <c r="AA1605" s="60">
        <f t="shared" si="181"/>
        <v>0</v>
      </c>
    </row>
    <row r="1606" spans="1:27">
      <c r="A1606" s="83" t="str">
        <f t="shared" si="176"/>
        <v/>
      </c>
      <c r="B1606" s="83" t="str">
        <f t="shared" si="177"/>
        <v/>
      </c>
      <c r="S1606" s="83" t="str">
        <f t="shared" si="178"/>
        <v/>
      </c>
      <c r="T1606" s="83" t="str">
        <f t="shared" si="175"/>
        <v/>
      </c>
      <c r="Y1606" s="60">
        <f t="shared" si="179"/>
        <v>0</v>
      </c>
      <c r="Z1606" s="49">
        <f t="shared" si="180"/>
        <v>0</v>
      </c>
      <c r="AA1606" s="60">
        <f t="shared" si="181"/>
        <v>0</v>
      </c>
    </row>
    <row r="1607" spans="1:27">
      <c r="A1607" s="83" t="str">
        <f t="shared" si="176"/>
        <v/>
      </c>
      <c r="B1607" s="83" t="str">
        <f t="shared" si="177"/>
        <v/>
      </c>
      <c r="S1607" s="83" t="str">
        <f t="shared" si="178"/>
        <v/>
      </c>
      <c r="T1607" s="83" t="str">
        <f t="shared" si="175"/>
        <v/>
      </c>
      <c r="Y1607" s="60">
        <f t="shared" si="179"/>
        <v>0</v>
      </c>
      <c r="Z1607" s="49">
        <f t="shared" si="180"/>
        <v>0</v>
      </c>
      <c r="AA1607" s="60">
        <f t="shared" si="181"/>
        <v>0</v>
      </c>
    </row>
    <row r="1608" spans="1:27">
      <c r="A1608" s="83" t="str">
        <f t="shared" si="176"/>
        <v/>
      </c>
      <c r="B1608" s="83" t="str">
        <f t="shared" si="177"/>
        <v/>
      </c>
      <c r="S1608" s="83" t="str">
        <f t="shared" si="178"/>
        <v/>
      </c>
      <c r="T1608" s="83" t="str">
        <f t="shared" si="175"/>
        <v/>
      </c>
      <c r="Y1608" s="60">
        <f t="shared" si="179"/>
        <v>0</v>
      </c>
      <c r="Z1608" s="49">
        <f t="shared" si="180"/>
        <v>0</v>
      </c>
      <c r="AA1608" s="60">
        <f t="shared" si="181"/>
        <v>0</v>
      </c>
    </row>
    <row r="1609" spans="1:27">
      <c r="A1609" s="83" t="str">
        <f t="shared" si="176"/>
        <v/>
      </c>
      <c r="B1609" s="83" t="str">
        <f t="shared" si="177"/>
        <v/>
      </c>
      <c r="S1609" s="83" t="str">
        <f t="shared" si="178"/>
        <v/>
      </c>
      <c r="T1609" s="83" t="str">
        <f t="shared" si="175"/>
        <v/>
      </c>
      <c r="Y1609" s="60">
        <f t="shared" si="179"/>
        <v>0</v>
      </c>
      <c r="Z1609" s="49">
        <f t="shared" si="180"/>
        <v>0</v>
      </c>
      <c r="AA1609" s="60">
        <f t="shared" si="181"/>
        <v>0</v>
      </c>
    </row>
    <row r="1610" spans="1:27">
      <c r="A1610" s="83" t="str">
        <f t="shared" si="176"/>
        <v/>
      </c>
      <c r="B1610" s="83" t="str">
        <f t="shared" si="177"/>
        <v/>
      </c>
      <c r="S1610" s="83" t="str">
        <f t="shared" si="178"/>
        <v/>
      </c>
      <c r="T1610" s="83" t="str">
        <f t="shared" si="175"/>
        <v/>
      </c>
      <c r="Y1610" s="60">
        <f t="shared" si="179"/>
        <v>0</v>
      </c>
      <c r="Z1610" s="49">
        <f t="shared" si="180"/>
        <v>0</v>
      </c>
      <c r="AA1610" s="60">
        <f t="shared" si="181"/>
        <v>0</v>
      </c>
    </row>
    <row r="1611" spans="1:27">
      <c r="A1611" s="83" t="str">
        <f t="shared" si="176"/>
        <v/>
      </c>
      <c r="B1611" s="83" t="str">
        <f t="shared" si="177"/>
        <v/>
      </c>
      <c r="S1611" s="83" t="str">
        <f t="shared" si="178"/>
        <v/>
      </c>
      <c r="T1611" s="83" t="str">
        <f t="shared" si="175"/>
        <v/>
      </c>
      <c r="Y1611" s="60">
        <f t="shared" si="179"/>
        <v>0</v>
      </c>
      <c r="Z1611" s="49">
        <f t="shared" si="180"/>
        <v>0</v>
      </c>
      <c r="AA1611" s="60">
        <f t="shared" si="181"/>
        <v>0</v>
      </c>
    </row>
    <row r="1612" spans="1:27">
      <c r="A1612" s="83" t="str">
        <f t="shared" si="176"/>
        <v/>
      </c>
      <c r="B1612" s="83" t="str">
        <f t="shared" si="177"/>
        <v/>
      </c>
      <c r="S1612" s="83" t="str">
        <f t="shared" si="178"/>
        <v/>
      </c>
      <c r="T1612" s="83" t="str">
        <f t="shared" si="175"/>
        <v/>
      </c>
      <c r="Y1612" s="60">
        <f t="shared" si="179"/>
        <v>0</v>
      </c>
      <c r="Z1612" s="49">
        <f t="shared" si="180"/>
        <v>0</v>
      </c>
      <c r="AA1612" s="60">
        <f t="shared" si="181"/>
        <v>0</v>
      </c>
    </row>
    <row r="1613" spans="1:27">
      <c r="A1613" s="83" t="str">
        <f t="shared" si="176"/>
        <v/>
      </c>
      <c r="B1613" s="83" t="str">
        <f t="shared" si="177"/>
        <v/>
      </c>
      <c r="S1613" s="83" t="str">
        <f t="shared" si="178"/>
        <v/>
      </c>
      <c r="T1613" s="83" t="str">
        <f t="shared" si="175"/>
        <v/>
      </c>
      <c r="Y1613" s="60">
        <f t="shared" si="179"/>
        <v>0</v>
      </c>
      <c r="Z1613" s="49">
        <f t="shared" si="180"/>
        <v>0</v>
      </c>
      <c r="AA1613" s="60">
        <f t="shared" si="181"/>
        <v>0</v>
      </c>
    </row>
    <row r="1614" spans="1:27">
      <c r="A1614" s="83" t="str">
        <f t="shared" si="176"/>
        <v/>
      </c>
      <c r="B1614" s="83" t="str">
        <f t="shared" si="177"/>
        <v/>
      </c>
      <c r="S1614" s="83" t="str">
        <f t="shared" si="178"/>
        <v/>
      </c>
      <c r="T1614" s="83" t="str">
        <f t="shared" si="175"/>
        <v/>
      </c>
      <c r="Y1614" s="60">
        <f t="shared" si="179"/>
        <v>0</v>
      </c>
      <c r="Z1614" s="49">
        <f t="shared" si="180"/>
        <v>0</v>
      </c>
      <c r="AA1614" s="60">
        <f t="shared" si="181"/>
        <v>0</v>
      </c>
    </row>
    <row r="1615" spans="1:27">
      <c r="A1615" s="83" t="str">
        <f t="shared" si="176"/>
        <v/>
      </c>
      <c r="B1615" s="83" t="str">
        <f t="shared" si="177"/>
        <v/>
      </c>
      <c r="S1615" s="83" t="str">
        <f t="shared" si="178"/>
        <v/>
      </c>
      <c r="T1615" s="83" t="str">
        <f t="shared" si="175"/>
        <v/>
      </c>
      <c r="Y1615" s="60">
        <f t="shared" si="179"/>
        <v>0</v>
      </c>
      <c r="Z1615" s="49">
        <f t="shared" si="180"/>
        <v>0</v>
      </c>
      <c r="AA1615" s="60">
        <f t="shared" si="181"/>
        <v>0</v>
      </c>
    </row>
    <row r="1616" spans="1:27">
      <c r="A1616" s="83" t="str">
        <f t="shared" si="176"/>
        <v/>
      </c>
      <c r="B1616" s="83" t="str">
        <f t="shared" si="177"/>
        <v/>
      </c>
      <c r="S1616" s="83" t="str">
        <f t="shared" si="178"/>
        <v/>
      </c>
      <c r="T1616" s="83" t="str">
        <f t="shared" si="175"/>
        <v/>
      </c>
      <c r="Y1616" s="60">
        <f t="shared" si="179"/>
        <v>0</v>
      </c>
      <c r="Z1616" s="49">
        <f t="shared" si="180"/>
        <v>0</v>
      </c>
      <c r="AA1616" s="60">
        <f t="shared" si="181"/>
        <v>0</v>
      </c>
    </row>
    <row r="1617" spans="1:27">
      <c r="A1617" s="83" t="str">
        <f t="shared" si="176"/>
        <v/>
      </c>
      <c r="B1617" s="83" t="str">
        <f t="shared" si="177"/>
        <v/>
      </c>
      <c r="S1617" s="83" t="str">
        <f t="shared" si="178"/>
        <v/>
      </c>
      <c r="T1617" s="83" t="str">
        <f t="shared" si="175"/>
        <v/>
      </c>
      <c r="Y1617" s="60">
        <f t="shared" si="179"/>
        <v>0</v>
      </c>
      <c r="Z1617" s="49">
        <f t="shared" si="180"/>
        <v>0</v>
      </c>
      <c r="AA1617" s="60">
        <f t="shared" si="181"/>
        <v>0</v>
      </c>
    </row>
    <row r="1618" spans="1:27">
      <c r="A1618" s="83" t="str">
        <f t="shared" si="176"/>
        <v/>
      </c>
      <c r="B1618" s="83" t="str">
        <f t="shared" si="177"/>
        <v/>
      </c>
      <c r="S1618" s="83" t="str">
        <f t="shared" si="178"/>
        <v/>
      </c>
      <c r="T1618" s="83" t="str">
        <f t="shared" si="175"/>
        <v/>
      </c>
      <c r="Y1618" s="60">
        <f t="shared" si="179"/>
        <v>0</v>
      </c>
      <c r="Z1618" s="49">
        <f t="shared" si="180"/>
        <v>0</v>
      </c>
      <c r="AA1618" s="60">
        <f t="shared" si="181"/>
        <v>0</v>
      </c>
    </row>
    <row r="1619" spans="1:27">
      <c r="A1619" s="83" t="str">
        <f t="shared" si="176"/>
        <v/>
      </c>
      <c r="B1619" s="83" t="str">
        <f t="shared" si="177"/>
        <v/>
      </c>
      <c r="S1619" s="83" t="str">
        <f t="shared" si="178"/>
        <v/>
      </c>
      <c r="T1619" s="83" t="str">
        <f t="shared" si="175"/>
        <v/>
      </c>
      <c r="Y1619" s="60">
        <f t="shared" si="179"/>
        <v>0</v>
      </c>
      <c r="Z1619" s="49">
        <f t="shared" si="180"/>
        <v>0</v>
      </c>
      <c r="AA1619" s="60">
        <f t="shared" si="181"/>
        <v>0</v>
      </c>
    </row>
    <row r="1620" spans="1:27">
      <c r="A1620" s="83" t="str">
        <f t="shared" si="176"/>
        <v/>
      </c>
      <c r="B1620" s="83" t="str">
        <f t="shared" si="177"/>
        <v/>
      </c>
      <c r="S1620" s="83" t="str">
        <f t="shared" si="178"/>
        <v/>
      </c>
      <c r="T1620" s="83" t="str">
        <f t="shared" si="175"/>
        <v/>
      </c>
      <c r="Y1620" s="60">
        <f t="shared" si="179"/>
        <v>0</v>
      </c>
      <c r="Z1620" s="49">
        <f t="shared" si="180"/>
        <v>0</v>
      </c>
      <c r="AA1620" s="60">
        <f t="shared" si="181"/>
        <v>0</v>
      </c>
    </row>
    <row r="1621" spans="1:27">
      <c r="A1621" s="83" t="str">
        <f t="shared" si="176"/>
        <v/>
      </c>
      <c r="B1621" s="83" t="str">
        <f t="shared" si="177"/>
        <v/>
      </c>
      <c r="S1621" s="83" t="str">
        <f t="shared" si="178"/>
        <v/>
      </c>
      <c r="T1621" s="83" t="str">
        <f t="shared" si="175"/>
        <v/>
      </c>
      <c r="Y1621" s="60">
        <f t="shared" si="179"/>
        <v>0</v>
      </c>
      <c r="Z1621" s="49">
        <f t="shared" si="180"/>
        <v>0</v>
      </c>
      <c r="AA1621" s="60">
        <f t="shared" si="181"/>
        <v>0</v>
      </c>
    </row>
    <row r="1622" spans="1:27">
      <c r="A1622" s="83" t="str">
        <f t="shared" si="176"/>
        <v/>
      </c>
      <c r="B1622" s="83" t="str">
        <f t="shared" si="177"/>
        <v/>
      </c>
      <c r="S1622" s="83" t="str">
        <f t="shared" si="178"/>
        <v/>
      </c>
      <c r="T1622" s="83" t="str">
        <f t="shared" si="175"/>
        <v/>
      </c>
      <c r="Y1622" s="60">
        <f t="shared" si="179"/>
        <v>0</v>
      </c>
      <c r="Z1622" s="49">
        <f t="shared" si="180"/>
        <v>0</v>
      </c>
      <c r="AA1622" s="60">
        <f t="shared" si="181"/>
        <v>0</v>
      </c>
    </row>
    <row r="1623" spans="1:27">
      <c r="A1623" s="83" t="str">
        <f t="shared" si="176"/>
        <v/>
      </c>
      <c r="B1623" s="83" t="str">
        <f t="shared" si="177"/>
        <v/>
      </c>
      <c r="S1623" s="83" t="str">
        <f t="shared" si="178"/>
        <v/>
      </c>
      <c r="T1623" s="83" t="str">
        <f t="shared" si="175"/>
        <v/>
      </c>
      <c r="Y1623" s="60">
        <f t="shared" si="179"/>
        <v>0</v>
      </c>
      <c r="Z1623" s="49">
        <f t="shared" si="180"/>
        <v>0</v>
      </c>
      <c r="AA1623" s="60">
        <f t="shared" si="181"/>
        <v>0</v>
      </c>
    </row>
    <row r="1624" spans="1:27">
      <c r="A1624" s="83" t="str">
        <f t="shared" si="176"/>
        <v/>
      </c>
      <c r="B1624" s="83" t="str">
        <f t="shared" si="177"/>
        <v/>
      </c>
      <c r="S1624" s="83" t="str">
        <f t="shared" si="178"/>
        <v/>
      </c>
      <c r="T1624" s="83" t="str">
        <f t="shared" si="175"/>
        <v/>
      </c>
      <c r="Y1624" s="60">
        <f t="shared" si="179"/>
        <v>0</v>
      </c>
      <c r="Z1624" s="49">
        <f t="shared" si="180"/>
        <v>0</v>
      </c>
      <c r="AA1624" s="60">
        <f t="shared" si="181"/>
        <v>0</v>
      </c>
    </row>
    <row r="1625" spans="1:27">
      <c r="A1625" s="83" t="str">
        <f t="shared" si="176"/>
        <v/>
      </c>
      <c r="B1625" s="83" t="str">
        <f t="shared" si="177"/>
        <v/>
      </c>
      <c r="S1625" s="83" t="str">
        <f t="shared" si="178"/>
        <v/>
      </c>
      <c r="T1625" s="83" t="str">
        <f t="shared" si="175"/>
        <v/>
      </c>
      <c r="Y1625" s="60">
        <f t="shared" si="179"/>
        <v>0</v>
      </c>
      <c r="Z1625" s="49">
        <f t="shared" si="180"/>
        <v>0</v>
      </c>
      <c r="AA1625" s="60">
        <f t="shared" si="181"/>
        <v>0</v>
      </c>
    </row>
    <row r="1626" spans="1:27">
      <c r="A1626" s="83" t="str">
        <f t="shared" si="176"/>
        <v/>
      </c>
      <c r="B1626" s="83" t="str">
        <f t="shared" si="177"/>
        <v/>
      </c>
      <c r="S1626" s="83" t="str">
        <f t="shared" si="178"/>
        <v/>
      </c>
      <c r="T1626" s="83" t="str">
        <f t="shared" si="175"/>
        <v/>
      </c>
      <c r="Y1626" s="60">
        <f t="shared" si="179"/>
        <v>0</v>
      </c>
      <c r="Z1626" s="49">
        <f t="shared" si="180"/>
        <v>0</v>
      </c>
      <c r="AA1626" s="60">
        <f t="shared" si="181"/>
        <v>0</v>
      </c>
    </row>
    <row r="1627" spans="1:27">
      <c r="A1627" s="83" t="str">
        <f t="shared" si="176"/>
        <v/>
      </c>
      <c r="B1627" s="83" t="str">
        <f t="shared" si="177"/>
        <v/>
      </c>
      <c r="S1627" s="83" t="str">
        <f t="shared" si="178"/>
        <v/>
      </c>
      <c r="T1627" s="83" t="str">
        <f t="shared" si="175"/>
        <v/>
      </c>
      <c r="Y1627" s="60">
        <f t="shared" si="179"/>
        <v>0</v>
      </c>
      <c r="Z1627" s="49">
        <f t="shared" si="180"/>
        <v>0</v>
      </c>
      <c r="AA1627" s="60">
        <f t="shared" si="181"/>
        <v>0</v>
      </c>
    </row>
    <row r="1628" spans="1:27">
      <c r="A1628" s="83" t="str">
        <f t="shared" si="176"/>
        <v/>
      </c>
      <c r="B1628" s="83" t="str">
        <f t="shared" si="177"/>
        <v/>
      </c>
      <c r="S1628" s="83" t="str">
        <f t="shared" si="178"/>
        <v/>
      </c>
      <c r="T1628" s="83" t="str">
        <f t="shared" si="175"/>
        <v/>
      </c>
      <c r="Y1628" s="60">
        <f t="shared" si="179"/>
        <v>0</v>
      </c>
      <c r="Z1628" s="49">
        <f t="shared" si="180"/>
        <v>0</v>
      </c>
      <c r="AA1628" s="60">
        <f t="shared" si="181"/>
        <v>0</v>
      </c>
    </row>
    <row r="1629" spans="1:27">
      <c r="A1629" s="83" t="str">
        <f t="shared" si="176"/>
        <v/>
      </c>
      <c r="B1629" s="83" t="str">
        <f t="shared" si="177"/>
        <v/>
      </c>
      <c r="S1629" s="83" t="str">
        <f t="shared" si="178"/>
        <v/>
      </c>
      <c r="T1629" s="83" t="str">
        <f t="shared" si="175"/>
        <v/>
      </c>
      <c r="Y1629" s="60">
        <f t="shared" si="179"/>
        <v>0</v>
      </c>
      <c r="Z1629" s="49">
        <f t="shared" si="180"/>
        <v>0</v>
      </c>
      <c r="AA1629" s="60">
        <f t="shared" si="181"/>
        <v>0</v>
      </c>
    </row>
    <row r="1630" spans="1:27">
      <c r="A1630" s="83" t="str">
        <f t="shared" si="176"/>
        <v/>
      </c>
      <c r="B1630" s="83" t="str">
        <f t="shared" si="177"/>
        <v/>
      </c>
      <c r="S1630" s="83" t="str">
        <f t="shared" si="178"/>
        <v/>
      </c>
      <c r="T1630" s="83" t="str">
        <f t="shared" si="175"/>
        <v/>
      </c>
      <c r="Y1630" s="60">
        <f t="shared" si="179"/>
        <v>0</v>
      </c>
      <c r="Z1630" s="49">
        <f t="shared" si="180"/>
        <v>0</v>
      </c>
      <c r="AA1630" s="60">
        <f t="shared" si="181"/>
        <v>0</v>
      </c>
    </row>
    <row r="1631" spans="1:27">
      <c r="A1631" s="83" t="str">
        <f t="shared" si="176"/>
        <v/>
      </c>
      <c r="B1631" s="83" t="str">
        <f t="shared" si="177"/>
        <v/>
      </c>
      <c r="S1631" s="83" t="str">
        <f t="shared" si="178"/>
        <v/>
      </c>
      <c r="T1631" s="83" t="str">
        <f t="shared" si="175"/>
        <v/>
      </c>
      <c r="Y1631" s="60">
        <f t="shared" si="179"/>
        <v>0</v>
      </c>
      <c r="Z1631" s="49">
        <f t="shared" si="180"/>
        <v>0</v>
      </c>
      <c r="AA1631" s="60">
        <f t="shared" si="181"/>
        <v>0</v>
      </c>
    </row>
    <row r="1632" spans="1:27">
      <c r="A1632" s="83" t="str">
        <f t="shared" si="176"/>
        <v/>
      </c>
      <c r="B1632" s="83" t="str">
        <f t="shared" si="177"/>
        <v/>
      </c>
      <c r="S1632" s="83" t="str">
        <f t="shared" si="178"/>
        <v/>
      </c>
      <c r="T1632" s="83" t="str">
        <f t="shared" si="175"/>
        <v/>
      </c>
      <c r="Y1632" s="60">
        <f t="shared" si="179"/>
        <v>0</v>
      </c>
      <c r="Z1632" s="49">
        <f t="shared" si="180"/>
        <v>0</v>
      </c>
      <c r="AA1632" s="60">
        <f t="shared" si="181"/>
        <v>0</v>
      </c>
    </row>
    <row r="1633" spans="1:27">
      <c r="A1633" s="83" t="str">
        <f t="shared" si="176"/>
        <v/>
      </c>
      <c r="B1633" s="83" t="str">
        <f t="shared" si="177"/>
        <v/>
      </c>
      <c r="S1633" s="83" t="str">
        <f t="shared" si="178"/>
        <v/>
      </c>
      <c r="T1633" s="83" t="str">
        <f t="shared" si="175"/>
        <v/>
      </c>
      <c r="Y1633" s="60">
        <f t="shared" si="179"/>
        <v>0</v>
      </c>
      <c r="Z1633" s="49">
        <f t="shared" si="180"/>
        <v>0</v>
      </c>
      <c r="AA1633" s="60">
        <f t="shared" si="181"/>
        <v>0</v>
      </c>
    </row>
    <row r="1634" spans="1:27">
      <c r="A1634" s="83" t="str">
        <f t="shared" si="176"/>
        <v/>
      </c>
      <c r="B1634" s="83" t="str">
        <f t="shared" si="177"/>
        <v/>
      </c>
      <c r="S1634" s="83" t="str">
        <f t="shared" si="178"/>
        <v/>
      </c>
      <c r="T1634" s="83" t="str">
        <f t="shared" si="175"/>
        <v/>
      </c>
      <c r="Y1634" s="60">
        <f t="shared" si="179"/>
        <v>0</v>
      </c>
      <c r="Z1634" s="49">
        <f t="shared" si="180"/>
        <v>0</v>
      </c>
      <c r="AA1634" s="60">
        <f t="shared" si="181"/>
        <v>0</v>
      </c>
    </row>
    <row r="1635" spans="1:27">
      <c r="A1635" s="83" t="str">
        <f t="shared" si="176"/>
        <v/>
      </c>
      <c r="B1635" s="83" t="str">
        <f t="shared" si="177"/>
        <v/>
      </c>
      <c r="S1635" s="83" t="str">
        <f t="shared" si="178"/>
        <v/>
      </c>
      <c r="T1635" s="83" t="str">
        <f t="shared" si="175"/>
        <v/>
      </c>
      <c r="Y1635" s="60">
        <f t="shared" si="179"/>
        <v>0</v>
      </c>
      <c r="Z1635" s="49">
        <f t="shared" si="180"/>
        <v>0</v>
      </c>
      <c r="AA1635" s="60">
        <f t="shared" si="181"/>
        <v>0</v>
      </c>
    </row>
    <row r="1636" spans="1:27">
      <c r="A1636" s="83" t="str">
        <f t="shared" si="176"/>
        <v/>
      </c>
      <c r="B1636" s="83" t="str">
        <f t="shared" si="177"/>
        <v/>
      </c>
      <c r="S1636" s="83" t="str">
        <f t="shared" si="178"/>
        <v/>
      </c>
      <c r="T1636" s="83" t="str">
        <f t="shared" si="175"/>
        <v/>
      </c>
      <c r="Y1636" s="60">
        <f t="shared" si="179"/>
        <v>0</v>
      </c>
      <c r="Z1636" s="49">
        <f t="shared" si="180"/>
        <v>0</v>
      </c>
      <c r="AA1636" s="60">
        <f t="shared" si="181"/>
        <v>0</v>
      </c>
    </row>
    <row r="1637" spans="1:27">
      <c r="A1637" s="83" t="str">
        <f t="shared" si="176"/>
        <v/>
      </c>
      <c r="B1637" s="83" t="str">
        <f t="shared" si="177"/>
        <v/>
      </c>
      <c r="S1637" s="83" t="str">
        <f t="shared" si="178"/>
        <v/>
      </c>
      <c r="T1637" s="83" t="str">
        <f t="shared" si="175"/>
        <v/>
      </c>
      <c r="Y1637" s="60">
        <f t="shared" si="179"/>
        <v>0</v>
      </c>
      <c r="Z1637" s="49">
        <f t="shared" si="180"/>
        <v>0</v>
      </c>
      <c r="AA1637" s="60">
        <f t="shared" si="181"/>
        <v>0</v>
      </c>
    </row>
    <row r="1638" spans="1:27">
      <c r="A1638" s="83" t="str">
        <f t="shared" si="176"/>
        <v/>
      </c>
      <c r="B1638" s="83" t="str">
        <f t="shared" si="177"/>
        <v/>
      </c>
      <c r="S1638" s="83" t="str">
        <f t="shared" si="178"/>
        <v/>
      </c>
      <c r="T1638" s="83" t="str">
        <f t="shared" si="175"/>
        <v/>
      </c>
      <c r="Y1638" s="60">
        <f t="shared" si="179"/>
        <v>0</v>
      </c>
      <c r="Z1638" s="49">
        <f t="shared" si="180"/>
        <v>0</v>
      </c>
      <c r="AA1638" s="60">
        <f t="shared" si="181"/>
        <v>0</v>
      </c>
    </row>
    <row r="1639" spans="1:27">
      <c r="A1639" s="83" t="str">
        <f t="shared" si="176"/>
        <v/>
      </c>
      <c r="B1639" s="83" t="str">
        <f t="shared" si="177"/>
        <v/>
      </c>
      <c r="S1639" s="83" t="str">
        <f t="shared" si="178"/>
        <v/>
      </c>
      <c r="T1639" s="83" t="str">
        <f t="shared" si="175"/>
        <v/>
      </c>
      <c r="Y1639" s="60">
        <f t="shared" si="179"/>
        <v>0</v>
      </c>
      <c r="Z1639" s="49">
        <f t="shared" si="180"/>
        <v>0</v>
      </c>
      <c r="AA1639" s="60">
        <f t="shared" si="181"/>
        <v>0</v>
      </c>
    </row>
    <row r="1640" spans="1:27">
      <c r="A1640" s="83" t="str">
        <f t="shared" si="176"/>
        <v/>
      </c>
      <c r="B1640" s="83" t="str">
        <f t="shared" si="177"/>
        <v/>
      </c>
      <c r="S1640" s="83" t="str">
        <f t="shared" si="178"/>
        <v/>
      </c>
      <c r="T1640" s="83" t="str">
        <f t="shared" si="175"/>
        <v/>
      </c>
      <c r="Y1640" s="60">
        <f t="shared" si="179"/>
        <v>0</v>
      </c>
      <c r="Z1640" s="49">
        <f t="shared" si="180"/>
        <v>0</v>
      </c>
      <c r="AA1640" s="60">
        <f t="shared" si="181"/>
        <v>0</v>
      </c>
    </row>
    <row r="1641" spans="1:27">
      <c r="A1641" s="83" t="str">
        <f t="shared" si="176"/>
        <v/>
      </c>
      <c r="B1641" s="83" t="str">
        <f t="shared" si="177"/>
        <v/>
      </c>
      <c r="S1641" s="83" t="str">
        <f t="shared" si="178"/>
        <v/>
      </c>
      <c r="T1641" s="83" t="str">
        <f t="shared" si="175"/>
        <v/>
      </c>
      <c r="Y1641" s="60">
        <f t="shared" si="179"/>
        <v>0</v>
      </c>
      <c r="Z1641" s="49">
        <f t="shared" si="180"/>
        <v>0</v>
      </c>
      <c r="AA1641" s="60">
        <f t="shared" si="181"/>
        <v>0</v>
      </c>
    </row>
    <row r="1642" spans="1:27">
      <c r="A1642" s="83" t="str">
        <f t="shared" si="176"/>
        <v/>
      </c>
      <c r="B1642" s="83" t="str">
        <f t="shared" si="177"/>
        <v/>
      </c>
      <c r="S1642" s="83" t="str">
        <f t="shared" si="178"/>
        <v/>
      </c>
      <c r="T1642" s="83" t="str">
        <f t="shared" si="175"/>
        <v/>
      </c>
      <c r="Y1642" s="60">
        <f t="shared" si="179"/>
        <v>0</v>
      </c>
      <c r="Z1642" s="49">
        <f t="shared" si="180"/>
        <v>0</v>
      </c>
      <c r="AA1642" s="60">
        <f t="shared" si="181"/>
        <v>0</v>
      </c>
    </row>
    <row r="1643" spans="1:27">
      <c r="A1643" s="83" t="str">
        <f t="shared" si="176"/>
        <v/>
      </c>
      <c r="B1643" s="83" t="str">
        <f t="shared" si="177"/>
        <v/>
      </c>
      <c r="S1643" s="83" t="str">
        <f t="shared" si="178"/>
        <v/>
      </c>
      <c r="T1643" s="83" t="str">
        <f t="shared" si="175"/>
        <v/>
      </c>
      <c r="Y1643" s="60">
        <f t="shared" si="179"/>
        <v>0</v>
      </c>
      <c r="Z1643" s="49">
        <f t="shared" si="180"/>
        <v>0</v>
      </c>
      <c r="AA1643" s="60">
        <f t="shared" si="181"/>
        <v>0</v>
      </c>
    </row>
    <row r="1644" spans="1:27">
      <c r="A1644" s="83" t="str">
        <f t="shared" si="176"/>
        <v/>
      </c>
      <c r="B1644" s="83" t="str">
        <f t="shared" si="177"/>
        <v/>
      </c>
      <c r="S1644" s="83" t="str">
        <f t="shared" si="178"/>
        <v/>
      </c>
      <c r="T1644" s="83" t="str">
        <f t="shared" si="175"/>
        <v/>
      </c>
      <c r="Y1644" s="60">
        <f t="shared" si="179"/>
        <v>0</v>
      </c>
      <c r="Z1644" s="49">
        <f t="shared" si="180"/>
        <v>0</v>
      </c>
      <c r="AA1644" s="60">
        <f t="shared" si="181"/>
        <v>0</v>
      </c>
    </row>
    <row r="1645" spans="1:27">
      <c r="A1645" s="83" t="str">
        <f t="shared" si="176"/>
        <v/>
      </c>
      <c r="B1645" s="83" t="str">
        <f t="shared" si="177"/>
        <v/>
      </c>
      <c r="S1645" s="83" t="str">
        <f t="shared" si="178"/>
        <v/>
      </c>
      <c r="T1645" s="83" t="str">
        <f t="shared" si="175"/>
        <v/>
      </c>
      <c r="Y1645" s="60">
        <f t="shared" si="179"/>
        <v>0</v>
      </c>
      <c r="Z1645" s="49">
        <f t="shared" si="180"/>
        <v>0</v>
      </c>
      <c r="AA1645" s="60">
        <f t="shared" si="181"/>
        <v>0</v>
      </c>
    </row>
    <row r="1646" spans="1:27">
      <c r="A1646" s="83" t="str">
        <f t="shared" si="176"/>
        <v/>
      </c>
      <c r="B1646" s="83" t="str">
        <f t="shared" si="177"/>
        <v/>
      </c>
      <c r="S1646" s="83" t="str">
        <f t="shared" si="178"/>
        <v/>
      </c>
      <c r="T1646" s="83" t="str">
        <f t="shared" si="175"/>
        <v/>
      </c>
      <c r="Y1646" s="60">
        <f t="shared" si="179"/>
        <v>0</v>
      </c>
      <c r="Z1646" s="49">
        <f t="shared" si="180"/>
        <v>0</v>
      </c>
      <c r="AA1646" s="60">
        <f t="shared" si="181"/>
        <v>0</v>
      </c>
    </row>
    <row r="1647" spans="1:27">
      <c r="A1647" s="83" t="str">
        <f t="shared" si="176"/>
        <v/>
      </c>
      <c r="B1647" s="83" t="str">
        <f t="shared" si="177"/>
        <v/>
      </c>
      <c r="S1647" s="83" t="str">
        <f t="shared" si="178"/>
        <v/>
      </c>
      <c r="T1647" s="83" t="str">
        <f t="shared" si="175"/>
        <v/>
      </c>
      <c r="Y1647" s="60">
        <f t="shared" si="179"/>
        <v>0</v>
      </c>
      <c r="Z1647" s="49">
        <f t="shared" si="180"/>
        <v>0</v>
      </c>
      <c r="AA1647" s="60">
        <f t="shared" si="181"/>
        <v>0</v>
      </c>
    </row>
    <row r="1648" spans="1:27">
      <c r="A1648" s="83" t="str">
        <f t="shared" si="176"/>
        <v/>
      </c>
      <c r="B1648" s="83" t="str">
        <f t="shared" si="177"/>
        <v/>
      </c>
      <c r="S1648" s="83" t="str">
        <f t="shared" si="178"/>
        <v/>
      </c>
      <c r="T1648" s="83" t="str">
        <f t="shared" si="175"/>
        <v/>
      </c>
      <c r="Y1648" s="60">
        <f t="shared" si="179"/>
        <v>0</v>
      </c>
      <c r="Z1648" s="49">
        <f t="shared" si="180"/>
        <v>0</v>
      </c>
      <c r="AA1648" s="60">
        <f t="shared" si="181"/>
        <v>0</v>
      </c>
    </row>
    <row r="1649" spans="1:27">
      <c r="A1649" s="83" t="str">
        <f t="shared" si="176"/>
        <v/>
      </c>
      <c r="B1649" s="83" t="str">
        <f t="shared" si="177"/>
        <v/>
      </c>
      <c r="S1649" s="83" t="str">
        <f t="shared" si="178"/>
        <v/>
      </c>
      <c r="T1649" s="83" t="str">
        <f t="shared" si="175"/>
        <v/>
      </c>
      <c r="Y1649" s="60">
        <f t="shared" si="179"/>
        <v>0</v>
      </c>
      <c r="Z1649" s="49">
        <f t="shared" si="180"/>
        <v>0</v>
      </c>
      <c r="AA1649" s="60">
        <f t="shared" si="181"/>
        <v>0</v>
      </c>
    </row>
    <row r="1650" spans="1:27">
      <c r="A1650" s="83" t="str">
        <f t="shared" si="176"/>
        <v/>
      </c>
      <c r="B1650" s="83" t="str">
        <f t="shared" si="177"/>
        <v/>
      </c>
      <c r="S1650" s="83" t="str">
        <f t="shared" si="178"/>
        <v/>
      </c>
      <c r="T1650" s="83" t="str">
        <f t="shared" si="175"/>
        <v/>
      </c>
      <c r="Y1650" s="60">
        <f t="shared" si="179"/>
        <v>0</v>
      </c>
      <c r="Z1650" s="49">
        <f t="shared" si="180"/>
        <v>0</v>
      </c>
      <c r="AA1650" s="60">
        <f t="shared" si="181"/>
        <v>0</v>
      </c>
    </row>
    <row r="1651" spans="1:27">
      <c r="A1651" s="83" t="str">
        <f t="shared" si="176"/>
        <v/>
      </c>
      <c r="B1651" s="83" t="str">
        <f t="shared" si="177"/>
        <v/>
      </c>
      <c r="S1651" s="83" t="str">
        <f t="shared" si="178"/>
        <v/>
      </c>
      <c r="T1651" s="83" t="str">
        <f t="shared" si="175"/>
        <v/>
      </c>
      <c r="Y1651" s="60">
        <f t="shared" si="179"/>
        <v>0</v>
      </c>
      <c r="Z1651" s="49">
        <f t="shared" si="180"/>
        <v>0</v>
      </c>
      <c r="AA1651" s="60">
        <f t="shared" si="181"/>
        <v>0</v>
      </c>
    </row>
    <row r="1652" spans="1:27">
      <c r="A1652" s="83" t="str">
        <f t="shared" si="176"/>
        <v/>
      </c>
      <c r="B1652" s="83" t="str">
        <f t="shared" si="177"/>
        <v/>
      </c>
      <c r="S1652" s="83" t="str">
        <f t="shared" si="178"/>
        <v/>
      </c>
      <c r="T1652" s="83" t="str">
        <f t="shared" si="175"/>
        <v/>
      </c>
      <c r="Y1652" s="60">
        <f t="shared" si="179"/>
        <v>0</v>
      </c>
      <c r="Z1652" s="49">
        <f t="shared" si="180"/>
        <v>0</v>
      </c>
      <c r="AA1652" s="60">
        <f t="shared" si="181"/>
        <v>0</v>
      </c>
    </row>
    <row r="1653" spans="1:27">
      <c r="A1653" s="83" t="str">
        <f t="shared" si="176"/>
        <v/>
      </c>
      <c r="B1653" s="83" t="str">
        <f t="shared" si="177"/>
        <v/>
      </c>
      <c r="S1653" s="83" t="str">
        <f t="shared" si="178"/>
        <v/>
      </c>
      <c r="T1653" s="83" t="str">
        <f t="shared" si="175"/>
        <v/>
      </c>
      <c r="Y1653" s="60">
        <f t="shared" si="179"/>
        <v>0</v>
      </c>
      <c r="Z1653" s="49">
        <f t="shared" si="180"/>
        <v>0</v>
      </c>
      <c r="AA1653" s="60">
        <f t="shared" si="181"/>
        <v>0</v>
      </c>
    </row>
    <row r="1654" spans="1:27">
      <c r="A1654" s="83" t="str">
        <f t="shared" si="176"/>
        <v/>
      </c>
      <c r="B1654" s="83" t="str">
        <f t="shared" si="177"/>
        <v/>
      </c>
      <c r="S1654" s="83" t="str">
        <f t="shared" si="178"/>
        <v/>
      </c>
      <c r="T1654" s="83" t="str">
        <f t="shared" si="175"/>
        <v/>
      </c>
      <c r="Y1654" s="60">
        <f t="shared" si="179"/>
        <v>0</v>
      </c>
      <c r="Z1654" s="49">
        <f t="shared" si="180"/>
        <v>0</v>
      </c>
      <c r="AA1654" s="60">
        <f t="shared" si="181"/>
        <v>0</v>
      </c>
    </row>
    <row r="1655" spans="1:27">
      <c r="A1655" s="83" t="str">
        <f t="shared" si="176"/>
        <v/>
      </c>
      <c r="B1655" s="83" t="str">
        <f t="shared" si="177"/>
        <v/>
      </c>
      <c r="S1655" s="83" t="str">
        <f t="shared" si="178"/>
        <v/>
      </c>
      <c r="T1655" s="83" t="str">
        <f t="shared" si="175"/>
        <v/>
      </c>
      <c r="Y1655" s="60">
        <f t="shared" si="179"/>
        <v>0</v>
      </c>
      <c r="Z1655" s="49">
        <f t="shared" si="180"/>
        <v>0</v>
      </c>
      <c r="AA1655" s="60">
        <f t="shared" si="181"/>
        <v>0</v>
      </c>
    </row>
    <row r="1656" spans="1:27">
      <c r="A1656" s="83" t="str">
        <f t="shared" si="176"/>
        <v/>
      </c>
      <c r="B1656" s="83" t="str">
        <f t="shared" si="177"/>
        <v/>
      </c>
      <c r="S1656" s="83" t="str">
        <f t="shared" si="178"/>
        <v/>
      </c>
      <c r="T1656" s="83" t="str">
        <f t="shared" si="175"/>
        <v/>
      </c>
      <c r="Y1656" s="60">
        <f t="shared" si="179"/>
        <v>0</v>
      </c>
      <c r="Z1656" s="49">
        <f t="shared" si="180"/>
        <v>0</v>
      </c>
      <c r="AA1656" s="60">
        <f t="shared" si="181"/>
        <v>0</v>
      </c>
    </row>
    <row r="1657" spans="1:27">
      <c r="A1657" s="83" t="str">
        <f t="shared" si="176"/>
        <v/>
      </c>
      <c r="B1657" s="83" t="str">
        <f t="shared" si="177"/>
        <v/>
      </c>
      <c r="S1657" s="83" t="str">
        <f t="shared" si="178"/>
        <v/>
      </c>
      <c r="T1657" s="83" t="str">
        <f t="shared" si="175"/>
        <v/>
      </c>
      <c r="Y1657" s="60">
        <f t="shared" si="179"/>
        <v>0</v>
      </c>
      <c r="Z1657" s="49">
        <f t="shared" si="180"/>
        <v>0</v>
      </c>
      <c r="AA1657" s="60">
        <f t="shared" si="181"/>
        <v>0</v>
      </c>
    </row>
    <row r="1658" spans="1:27">
      <c r="A1658" s="83" t="str">
        <f t="shared" si="176"/>
        <v/>
      </c>
      <c r="B1658" s="83" t="str">
        <f t="shared" si="177"/>
        <v/>
      </c>
      <c r="S1658" s="83" t="str">
        <f t="shared" si="178"/>
        <v/>
      </c>
      <c r="T1658" s="83" t="str">
        <f t="shared" si="175"/>
        <v/>
      </c>
      <c r="Y1658" s="60">
        <f t="shared" si="179"/>
        <v>0</v>
      </c>
      <c r="Z1658" s="49">
        <f t="shared" si="180"/>
        <v>0</v>
      </c>
      <c r="AA1658" s="60">
        <f t="shared" si="181"/>
        <v>0</v>
      </c>
    </row>
    <row r="1659" spans="1:27">
      <c r="A1659" s="83" t="str">
        <f t="shared" si="176"/>
        <v/>
      </c>
      <c r="B1659" s="83" t="str">
        <f t="shared" si="177"/>
        <v/>
      </c>
      <c r="S1659" s="83" t="str">
        <f t="shared" si="178"/>
        <v/>
      </c>
      <c r="T1659" s="83" t="str">
        <f t="shared" si="175"/>
        <v/>
      </c>
      <c r="Y1659" s="60">
        <f t="shared" si="179"/>
        <v>0</v>
      </c>
      <c r="Z1659" s="49">
        <f t="shared" si="180"/>
        <v>0</v>
      </c>
      <c r="AA1659" s="60">
        <f t="shared" si="181"/>
        <v>0</v>
      </c>
    </row>
    <row r="1660" spans="1:27">
      <c r="A1660" s="83" t="str">
        <f t="shared" si="176"/>
        <v/>
      </c>
      <c r="B1660" s="83" t="str">
        <f t="shared" si="177"/>
        <v/>
      </c>
      <c r="S1660" s="83" t="str">
        <f t="shared" si="178"/>
        <v/>
      </c>
      <c r="T1660" s="83" t="str">
        <f t="shared" si="175"/>
        <v/>
      </c>
      <c r="Y1660" s="60">
        <f t="shared" si="179"/>
        <v>0</v>
      </c>
      <c r="Z1660" s="49">
        <f t="shared" si="180"/>
        <v>0</v>
      </c>
      <c r="AA1660" s="60">
        <f t="shared" si="181"/>
        <v>0</v>
      </c>
    </row>
    <row r="1661" spans="1:27">
      <c r="A1661" s="83" t="str">
        <f t="shared" si="176"/>
        <v/>
      </c>
      <c r="B1661" s="83" t="str">
        <f t="shared" si="177"/>
        <v/>
      </c>
      <c r="S1661" s="83" t="str">
        <f t="shared" si="178"/>
        <v/>
      </c>
      <c r="T1661" s="83" t="str">
        <f t="shared" si="175"/>
        <v/>
      </c>
      <c r="Y1661" s="60">
        <f t="shared" si="179"/>
        <v>0</v>
      </c>
      <c r="Z1661" s="49">
        <f t="shared" si="180"/>
        <v>0</v>
      </c>
      <c r="AA1661" s="60">
        <f t="shared" si="181"/>
        <v>0</v>
      </c>
    </row>
    <row r="1662" spans="1:27">
      <c r="A1662" s="83" t="str">
        <f t="shared" si="176"/>
        <v/>
      </c>
      <c r="B1662" s="83" t="str">
        <f t="shared" si="177"/>
        <v/>
      </c>
      <c r="S1662" s="83" t="str">
        <f t="shared" si="178"/>
        <v/>
      </c>
      <c r="T1662" s="83" t="str">
        <f t="shared" si="175"/>
        <v/>
      </c>
      <c r="Y1662" s="60">
        <f t="shared" si="179"/>
        <v>0</v>
      </c>
      <c r="Z1662" s="49">
        <f t="shared" si="180"/>
        <v>0</v>
      </c>
      <c r="AA1662" s="60">
        <f t="shared" si="181"/>
        <v>0</v>
      </c>
    </row>
    <row r="1663" spans="1:27">
      <c r="A1663" s="83" t="str">
        <f t="shared" si="176"/>
        <v/>
      </c>
      <c r="B1663" s="83" t="str">
        <f t="shared" si="177"/>
        <v/>
      </c>
      <c r="S1663" s="83" t="str">
        <f t="shared" si="178"/>
        <v/>
      </c>
      <c r="T1663" s="83" t="str">
        <f t="shared" si="175"/>
        <v/>
      </c>
      <c r="Y1663" s="60">
        <f t="shared" si="179"/>
        <v>0</v>
      </c>
      <c r="Z1663" s="49">
        <f t="shared" si="180"/>
        <v>0</v>
      </c>
      <c r="AA1663" s="60">
        <f t="shared" si="181"/>
        <v>0</v>
      </c>
    </row>
    <row r="1664" spans="1:27">
      <c r="A1664" s="83" t="str">
        <f t="shared" si="176"/>
        <v/>
      </c>
      <c r="B1664" s="83" t="str">
        <f t="shared" si="177"/>
        <v/>
      </c>
      <c r="S1664" s="83" t="str">
        <f t="shared" si="178"/>
        <v/>
      </c>
      <c r="T1664" s="83" t="str">
        <f t="shared" si="175"/>
        <v/>
      </c>
      <c r="Y1664" s="60">
        <f t="shared" si="179"/>
        <v>0</v>
      </c>
      <c r="Z1664" s="49">
        <f t="shared" si="180"/>
        <v>0</v>
      </c>
      <c r="AA1664" s="60">
        <f t="shared" si="181"/>
        <v>0</v>
      </c>
    </row>
    <row r="1665" spans="1:27">
      <c r="A1665" s="83" t="str">
        <f t="shared" si="176"/>
        <v/>
      </c>
      <c r="B1665" s="83" t="str">
        <f t="shared" si="177"/>
        <v/>
      </c>
      <c r="S1665" s="83" t="str">
        <f t="shared" si="178"/>
        <v/>
      </c>
      <c r="T1665" s="83" t="str">
        <f t="shared" si="175"/>
        <v/>
      </c>
      <c r="Y1665" s="60">
        <f t="shared" si="179"/>
        <v>0</v>
      </c>
      <c r="Z1665" s="49">
        <f t="shared" si="180"/>
        <v>0</v>
      </c>
      <c r="AA1665" s="60">
        <f t="shared" si="181"/>
        <v>0</v>
      </c>
    </row>
    <row r="1666" spans="1:27">
      <c r="A1666" s="83" t="str">
        <f t="shared" si="176"/>
        <v/>
      </c>
      <c r="B1666" s="83" t="str">
        <f t="shared" si="177"/>
        <v/>
      </c>
      <c r="S1666" s="83" t="str">
        <f t="shared" si="178"/>
        <v/>
      </c>
      <c r="T1666" s="83" t="str">
        <f t="shared" ref="T1666:T1729" si="182">IF(A1666&lt;&gt;"",IF(FIND(" ",G1666)&gt;=1,MID(G1666,FIND(" ",G1666)+1,LEN(G1666)),""),"")</f>
        <v/>
      </c>
      <c r="Y1666" s="60">
        <f t="shared" si="179"/>
        <v>0</v>
      </c>
      <c r="Z1666" s="49">
        <f t="shared" si="180"/>
        <v>0</v>
      </c>
      <c r="AA1666" s="60">
        <f t="shared" si="181"/>
        <v>0</v>
      </c>
    </row>
    <row r="1667" spans="1:27">
      <c r="A1667" s="83" t="str">
        <f t="shared" ref="A1667:A1730" si="183">IF(G1667&amp;Q1667&lt;&gt;"",S1667&amp;Q1667,"")</f>
        <v/>
      </c>
      <c r="B1667" s="83" t="str">
        <f t="shared" ref="B1667:B1730" si="184">IF(C1667&lt;&gt;"",LEFT(C1667,9),"")</f>
        <v/>
      </c>
      <c r="S1667" s="83" t="str">
        <f t="shared" ref="S1667:S1730" si="185">IF(G1667&lt;&gt;"",IF(FIND(" ",G1667)&gt;=1,MID(G1667,1,FIND(" ",G1667)-1),G1667),"")</f>
        <v/>
      </c>
      <c r="T1667" s="83" t="str">
        <f t="shared" si="182"/>
        <v/>
      </c>
      <c r="Y1667" s="60">
        <f t="shared" ref="Y1667:Y1730" si="186">IFERROR(VALUE(MID($C1667,1,2)),0)</f>
        <v>0</v>
      </c>
      <c r="Z1667" s="49">
        <f t="shared" ref="Z1667:Z1730" si="187">IFERROR(VALUE(MID($C1667,4,3)),0)</f>
        <v>0</v>
      </c>
      <c r="AA1667" s="60">
        <f t="shared" ref="AA1667:AA1730" si="188">VALUE(RIGHT("00"&amp;Y1667,2)&amp;RIGHT("000"&amp;Z1667,3))</f>
        <v>0</v>
      </c>
    </row>
    <row r="1668" spans="1:27">
      <c r="A1668" s="83" t="str">
        <f t="shared" si="183"/>
        <v/>
      </c>
      <c r="B1668" s="83" t="str">
        <f t="shared" si="184"/>
        <v/>
      </c>
      <c r="S1668" s="83" t="str">
        <f t="shared" si="185"/>
        <v/>
      </c>
      <c r="T1668" s="83" t="str">
        <f t="shared" si="182"/>
        <v/>
      </c>
      <c r="Y1668" s="60">
        <f t="shared" si="186"/>
        <v>0</v>
      </c>
      <c r="Z1668" s="49">
        <f t="shared" si="187"/>
        <v>0</v>
      </c>
      <c r="AA1668" s="60">
        <f t="shared" si="188"/>
        <v>0</v>
      </c>
    </row>
    <row r="1669" spans="1:27">
      <c r="A1669" s="83" t="str">
        <f t="shared" si="183"/>
        <v/>
      </c>
      <c r="B1669" s="83" t="str">
        <f t="shared" si="184"/>
        <v/>
      </c>
      <c r="S1669" s="83" t="str">
        <f t="shared" si="185"/>
        <v/>
      </c>
      <c r="T1669" s="83" t="str">
        <f t="shared" si="182"/>
        <v/>
      </c>
      <c r="Y1669" s="60">
        <f t="shared" si="186"/>
        <v>0</v>
      </c>
      <c r="Z1669" s="49">
        <f t="shared" si="187"/>
        <v>0</v>
      </c>
      <c r="AA1669" s="60">
        <f t="shared" si="188"/>
        <v>0</v>
      </c>
    </row>
    <row r="1670" spans="1:27">
      <c r="A1670" s="83" t="str">
        <f t="shared" si="183"/>
        <v/>
      </c>
      <c r="B1670" s="83" t="str">
        <f t="shared" si="184"/>
        <v/>
      </c>
      <c r="S1670" s="83" t="str">
        <f t="shared" si="185"/>
        <v/>
      </c>
      <c r="T1670" s="83" t="str">
        <f t="shared" si="182"/>
        <v/>
      </c>
      <c r="Y1670" s="60">
        <f t="shared" si="186"/>
        <v>0</v>
      </c>
      <c r="Z1670" s="49">
        <f t="shared" si="187"/>
        <v>0</v>
      </c>
      <c r="AA1670" s="60">
        <f t="shared" si="188"/>
        <v>0</v>
      </c>
    </row>
    <row r="1671" spans="1:27">
      <c r="A1671" s="83" t="str">
        <f t="shared" si="183"/>
        <v/>
      </c>
      <c r="B1671" s="83" t="str">
        <f t="shared" si="184"/>
        <v/>
      </c>
      <c r="S1671" s="83" t="str">
        <f t="shared" si="185"/>
        <v/>
      </c>
      <c r="T1671" s="83" t="str">
        <f t="shared" si="182"/>
        <v/>
      </c>
      <c r="Y1671" s="60">
        <f t="shared" si="186"/>
        <v>0</v>
      </c>
      <c r="Z1671" s="49">
        <f t="shared" si="187"/>
        <v>0</v>
      </c>
      <c r="AA1671" s="60">
        <f t="shared" si="188"/>
        <v>0</v>
      </c>
    </row>
    <row r="1672" spans="1:27">
      <c r="A1672" s="83" t="str">
        <f t="shared" si="183"/>
        <v/>
      </c>
      <c r="B1672" s="83" t="str">
        <f t="shared" si="184"/>
        <v/>
      </c>
      <c r="S1672" s="83" t="str">
        <f t="shared" si="185"/>
        <v/>
      </c>
      <c r="T1672" s="83" t="str">
        <f t="shared" si="182"/>
        <v/>
      </c>
      <c r="Y1672" s="60">
        <f t="shared" si="186"/>
        <v>0</v>
      </c>
      <c r="Z1672" s="49">
        <f t="shared" si="187"/>
        <v>0</v>
      </c>
      <c r="AA1672" s="60">
        <f t="shared" si="188"/>
        <v>0</v>
      </c>
    </row>
    <row r="1673" spans="1:27">
      <c r="A1673" s="83" t="str">
        <f t="shared" si="183"/>
        <v/>
      </c>
      <c r="B1673" s="83" t="str">
        <f t="shared" si="184"/>
        <v/>
      </c>
      <c r="S1673" s="83" t="str">
        <f t="shared" si="185"/>
        <v/>
      </c>
      <c r="T1673" s="83" t="str">
        <f t="shared" si="182"/>
        <v/>
      </c>
      <c r="Y1673" s="60">
        <f t="shared" si="186"/>
        <v>0</v>
      </c>
      <c r="Z1673" s="49">
        <f t="shared" si="187"/>
        <v>0</v>
      </c>
      <c r="AA1673" s="60">
        <f t="shared" si="188"/>
        <v>0</v>
      </c>
    </row>
    <row r="1674" spans="1:27">
      <c r="A1674" s="83" t="str">
        <f t="shared" si="183"/>
        <v/>
      </c>
      <c r="B1674" s="83" t="str">
        <f t="shared" si="184"/>
        <v/>
      </c>
      <c r="S1674" s="83" t="str">
        <f t="shared" si="185"/>
        <v/>
      </c>
      <c r="T1674" s="83" t="str">
        <f t="shared" si="182"/>
        <v/>
      </c>
      <c r="Y1674" s="60">
        <f t="shared" si="186"/>
        <v>0</v>
      </c>
      <c r="Z1674" s="49">
        <f t="shared" si="187"/>
        <v>0</v>
      </c>
      <c r="AA1674" s="60">
        <f t="shared" si="188"/>
        <v>0</v>
      </c>
    </row>
    <row r="1675" spans="1:27">
      <c r="A1675" s="83" t="str">
        <f t="shared" si="183"/>
        <v/>
      </c>
      <c r="B1675" s="83" t="str">
        <f t="shared" si="184"/>
        <v/>
      </c>
      <c r="S1675" s="83" t="str">
        <f t="shared" si="185"/>
        <v/>
      </c>
      <c r="T1675" s="83" t="str">
        <f t="shared" si="182"/>
        <v/>
      </c>
      <c r="Y1675" s="60">
        <f t="shared" si="186"/>
        <v>0</v>
      </c>
      <c r="Z1675" s="49">
        <f t="shared" si="187"/>
        <v>0</v>
      </c>
      <c r="AA1675" s="60">
        <f t="shared" si="188"/>
        <v>0</v>
      </c>
    </row>
    <row r="1676" spans="1:27">
      <c r="A1676" s="83" t="str">
        <f t="shared" si="183"/>
        <v/>
      </c>
      <c r="B1676" s="83" t="str">
        <f t="shared" si="184"/>
        <v/>
      </c>
      <c r="S1676" s="83" t="str">
        <f t="shared" si="185"/>
        <v/>
      </c>
      <c r="T1676" s="83" t="str">
        <f t="shared" si="182"/>
        <v/>
      </c>
      <c r="Y1676" s="60">
        <f t="shared" si="186"/>
        <v>0</v>
      </c>
      <c r="Z1676" s="49">
        <f t="shared" si="187"/>
        <v>0</v>
      </c>
      <c r="AA1676" s="60">
        <f t="shared" si="188"/>
        <v>0</v>
      </c>
    </row>
    <row r="1677" spans="1:27">
      <c r="A1677" s="83" t="str">
        <f t="shared" si="183"/>
        <v/>
      </c>
      <c r="B1677" s="83" t="str">
        <f t="shared" si="184"/>
        <v/>
      </c>
      <c r="S1677" s="83" t="str">
        <f t="shared" si="185"/>
        <v/>
      </c>
      <c r="T1677" s="83" t="str">
        <f t="shared" si="182"/>
        <v/>
      </c>
      <c r="Y1677" s="60">
        <f t="shared" si="186"/>
        <v>0</v>
      </c>
      <c r="Z1677" s="49">
        <f t="shared" si="187"/>
        <v>0</v>
      </c>
      <c r="AA1677" s="60">
        <f t="shared" si="188"/>
        <v>0</v>
      </c>
    </row>
    <row r="1678" spans="1:27">
      <c r="A1678" s="83" t="str">
        <f t="shared" si="183"/>
        <v/>
      </c>
      <c r="B1678" s="83" t="str">
        <f t="shared" si="184"/>
        <v/>
      </c>
      <c r="S1678" s="83" t="str">
        <f t="shared" si="185"/>
        <v/>
      </c>
      <c r="T1678" s="83" t="str">
        <f t="shared" si="182"/>
        <v/>
      </c>
      <c r="Y1678" s="60">
        <f t="shared" si="186"/>
        <v>0</v>
      </c>
      <c r="Z1678" s="49">
        <f t="shared" si="187"/>
        <v>0</v>
      </c>
      <c r="AA1678" s="60">
        <f t="shared" si="188"/>
        <v>0</v>
      </c>
    </row>
    <row r="1679" spans="1:27">
      <c r="A1679" s="83" t="str">
        <f t="shared" si="183"/>
        <v/>
      </c>
      <c r="B1679" s="83" t="str">
        <f t="shared" si="184"/>
        <v/>
      </c>
      <c r="S1679" s="83" t="str">
        <f t="shared" si="185"/>
        <v/>
      </c>
      <c r="T1679" s="83" t="str">
        <f t="shared" si="182"/>
        <v/>
      </c>
      <c r="Y1679" s="60">
        <f t="shared" si="186"/>
        <v>0</v>
      </c>
      <c r="Z1679" s="49">
        <f t="shared" si="187"/>
        <v>0</v>
      </c>
      <c r="AA1679" s="60">
        <f t="shared" si="188"/>
        <v>0</v>
      </c>
    </row>
    <row r="1680" spans="1:27">
      <c r="A1680" s="83" t="str">
        <f t="shared" si="183"/>
        <v/>
      </c>
      <c r="B1680" s="83" t="str">
        <f t="shared" si="184"/>
        <v/>
      </c>
      <c r="S1680" s="83" t="str">
        <f t="shared" si="185"/>
        <v/>
      </c>
      <c r="T1680" s="83" t="str">
        <f t="shared" si="182"/>
        <v/>
      </c>
      <c r="Y1680" s="60">
        <f t="shared" si="186"/>
        <v>0</v>
      </c>
      <c r="Z1680" s="49">
        <f t="shared" si="187"/>
        <v>0</v>
      </c>
      <c r="AA1680" s="60">
        <f t="shared" si="188"/>
        <v>0</v>
      </c>
    </row>
    <row r="1681" spans="1:27">
      <c r="A1681" s="83" t="str">
        <f t="shared" si="183"/>
        <v/>
      </c>
      <c r="B1681" s="83" t="str">
        <f t="shared" si="184"/>
        <v/>
      </c>
      <c r="S1681" s="83" t="str">
        <f t="shared" si="185"/>
        <v/>
      </c>
      <c r="T1681" s="83" t="str">
        <f t="shared" si="182"/>
        <v/>
      </c>
      <c r="Y1681" s="60">
        <f t="shared" si="186"/>
        <v>0</v>
      </c>
      <c r="Z1681" s="49">
        <f t="shared" si="187"/>
        <v>0</v>
      </c>
      <c r="AA1681" s="60">
        <f t="shared" si="188"/>
        <v>0</v>
      </c>
    </row>
    <row r="1682" spans="1:27">
      <c r="A1682" s="83" t="str">
        <f t="shared" si="183"/>
        <v/>
      </c>
      <c r="B1682" s="83" t="str">
        <f t="shared" si="184"/>
        <v/>
      </c>
      <c r="S1682" s="83" t="str">
        <f t="shared" si="185"/>
        <v/>
      </c>
      <c r="T1682" s="83" t="str">
        <f t="shared" si="182"/>
        <v/>
      </c>
      <c r="Y1682" s="60">
        <f t="shared" si="186"/>
        <v>0</v>
      </c>
      <c r="Z1682" s="49">
        <f t="shared" si="187"/>
        <v>0</v>
      </c>
      <c r="AA1682" s="60">
        <f t="shared" si="188"/>
        <v>0</v>
      </c>
    </row>
    <row r="1683" spans="1:27">
      <c r="A1683" s="83" t="str">
        <f t="shared" si="183"/>
        <v/>
      </c>
      <c r="B1683" s="83" t="str">
        <f t="shared" si="184"/>
        <v/>
      </c>
      <c r="S1683" s="83" t="str">
        <f t="shared" si="185"/>
        <v/>
      </c>
      <c r="T1683" s="83" t="str">
        <f t="shared" si="182"/>
        <v/>
      </c>
      <c r="Y1683" s="60">
        <f t="shared" si="186"/>
        <v>0</v>
      </c>
      <c r="Z1683" s="49">
        <f t="shared" si="187"/>
        <v>0</v>
      </c>
      <c r="AA1683" s="60">
        <f t="shared" si="188"/>
        <v>0</v>
      </c>
    </row>
    <row r="1684" spans="1:27">
      <c r="A1684" s="83" t="str">
        <f t="shared" si="183"/>
        <v/>
      </c>
      <c r="B1684" s="83" t="str">
        <f t="shared" si="184"/>
        <v/>
      </c>
      <c r="S1684" s="83" t="str">
        <f t="shared" si="185"/>
        <v/>
      </c>
      <c r="T1684" s="83" t="str">
        <f t="shared" si="182"/>
        <v/>
      </c>
      <c r="Y1684" s="60">
        <f t="shared" si="186"/>
        <v>0</v>
      </c>
      <c r="Z1684" s="49">
        <f t="shared" si="187"/>
        <v>0</v>
      </c>
      <c r="AA1684" s="60">
        <f t="shared" si="188"/>
        <v>0</v>
      </c>
    </row>
    <row r="1685" spans="1:27">
      <c r="A1685" s="83" t="str">
        <f t="shared" si="183"/>
        <v/>
      </c>
      <c r="B1685" s="83" t="str">
        <f t="shared" si="184"/>
        <v/>
      </c>
      <c r="S1685" s="83" t="str">
        <f t="shared" si="185"/>
        <v/>
      </c>
      <c r="T1685" s="83" t="str">
        <f t="shared" si="182"/>
        <v/>
      </c>
      <c r="Y1685" s="60">
        <f t="shared" si="186"/>
        <v>0</v>
      </c>
      <c r="Z1685" s="49">
        <f t="shared" si="187"/>
        <v>0</v>
      </c>
      <c r="AA1685" s="60">
        <f t="shared" si="188"/>
        <v>0</v>
      </c>
    </row>
    <row r="1686" spans="1:27">
      <c r="A1686" s="83" t="str">
        <f t="shared" si="183"/>
        <v/>
      </c>
      <c r="B1686" s="83" t="str">
        <f t="shared" si="184"/>
        <v/>
      </c>
      <c r="S1686" s="83" t="str">
        <f t="shared" si="185"/>
        <v/>
      </c>
      <c r="T1686" s="83" t="str">
        <f t="shared" si="182"/>
        <v/>
      </c>
      <c r="Y1686" s="60">
        <f t="shared" si="186"/>
        <v>0</v>
      </c>
      <c r="Z1686" s="49">
        <f t="shared" si="187"/>
        <v>0</v>
      </c>
      <c r="AA1686" s="60">
        <f t="shared" si="188"/>
        <v>0</v>
      </c>
    </row>
    <row r="1687" spans="1:27">
      <c r="A1687" s="83" t="str">
        <f t="shared" si="183"/>
        <v/>
      </c>
      <c r="B1687" s="83" t="str">
        <f t="shared" si="184"/>
        <v/>
      </c>
      <c r="S1687" s="83" t="str">
        <f t="shared" si="185"/>
        <v/>
      </c>
      <c r="T1687" s="83" t="str">
        <f t="shared" si="182"/>
        <v/>
      </c>
      <c r="Y1687" s="60">
        <f t="shared" si="186"/>
        <v>0</v>
      </c>
      <c r="Z1687" s="49">
        <f t="shared" si="187"/>
        <v>0</v>
      </c>
      <c r="AA1687" s="60">
        <f t="shared" si="188"/>
        <v>0</v>
      </c>
    </row>
    <row r="1688" spans="1:27">
      <c r="A1688" s="83" t="str">
        <f t="shared" si="183"/>
        <v/>
      </c>
      <c r="B1688" s="83" t="str">
        <f t="shared" si="184"/>
        <v/>
      </c>
      <c r="S1688" s="83" t="str">
        <f t="shared" si="185"/>
        <v/>
      </c>
      <c r="T1688" s="83" t="str">
        <f t="shared" si="182"/>
        <v/>
      </c>
      <c r="Y1688" s="60">
        <f t="shared" si="186"/>
        <v>0</v>
      </c>
      <c r="Z1688" s="49">
        <f t="shared" si="187"/>
        <v>0</v>
      </c>
      <c r="AA1688" s="60">
        <f t="shared" si="188"/>
        <v>0</v>
      </c>
    </row>
    <row r="1689" spans="1:27">
      <c r="A1689" s="83" t="str">
        <f t="shared" si="183"/>
        <v/>
      </c>
      <c r="B1689" s="83" t="str">
        <f t="shared" si="184"/>
        <v/>
      </c>
      <c r="S1689" s="83" t="str">
        <f t="shared" si="185"/>
        <v/>
      </c>
      <c r="T1689" s="83" t="str">
        <f t="shared" si="182"/>
        <v/>
      </c>
      <c r="Y1689" s="60">
        <f t="shared" si="186"/>
        <v>0</v>
      </c>
      <c r="Z1689" s="49">
        <f t="shared" si="187"/>
        <v>0</v>
      </c>
      <c r="AA1689" s="60">
        <f t="shared" si="188"/>
        <v>0</v>
      </c>
    </row>
    <row r="1690" spans="1:27">
      <c r="A1690" s="83" t="str">
        <f t="shared" si="183"/>
        <v/>
      </c>
      <c r="B1690" s="83" t="str">
        <f t="shared" si="184"/>
        <v/>
      </c>
      <c r="S1690" s="83" t="str">
        <f t="shared" si="185"/>
        <v/>
      </c>
      <c r="T1690" s="83" t="str">
        <f t="shared" si="182"/>
        <v/>
      </c>
      <c r="Y1690" s="60">
        <f t="shared" si="186"/>
        <v>0</v>
      </c>
      <c r="Z1690" s="49">
        <f t="shared" si="187"/>
        <v>0</v>
      </c>
      <c r="AA1690" s="60">
        <f t="shared" si="188"/>
        <v>0</v>
      </c>
    </row>
    <row r="1691" spans="1:27">
      <c r="A1691" s="83" t="str">
        <f t="shared" si="183"/>
        <v/>
      </c>
      <c r="B1691" s="83" t="str">
        <f t="shared" si="184"/>
        <v/>
      </c>
      <c r="S1691" s="83" t="str">
        <f t="shared" si="185"/>
        <v/>
      </c>
      <c r="T1691" s="83" t="str">
        <f t="shared" si="182"/>
        <v/>
      </c>
      <c r="Y1691" s="60">
        <f t="shared" si="186"/>
        <v>0</v>
      </c>
      <c r="Z1691" s="49">
        <f t="shared" si="187"/>
        <v>0</v>
      </c>
      <c r="AA1691" s="60">
        <f t="shared" si="188"/>
        <v>0</v>
      </c>
    </row>
    <row r="1692" spans="1:27">
      <c r="A1692" s="83" t="str">
        <f t="shared" si="183"/>
        <v/>
      </c>
      <c r="B1692" s="83" t="str">
        <f t="shared" si="184"/>
        <v/>
      </c>
      <c r="S1692" s="83" t="str">
        <f t="shared" si="185"/>
        <v/>
      </c>
      <c r="T1692" s="83" t="str">
        <f t="shared" si="182"/>
        <v/>
      </c>
      <c r="Y1692" s="60">
        <f t="shared" si="186"/>
        <v>0</v>
      </c>
      <c r="Z1692" s="49">
        <f t="shared" si="187"/>
        <v>0</v>
      </c>
      <c r="AA1692" s="60">
        <f t="shared" si="188"/>
        <v>0</v>
      </c>
    </row>
    <row r="1693" spans="1:27">
      <c r="A1693" s="83" t="str">
        <f t="shared" si="183"/>
        <v/>
      </c>
      <c r="B1693" s="83" t="str">
        <f t="shared" si="184"/>
        <v/>
      </c>
      <c r="S1693" s="83" t="str">
        <f t="shared" si="185"/>
        <v/>
      </c>
      <c r="T1693" s="83" t="str">
        <f t="shared" si="182"/>
        <v/>
      </c>
      <c r="Y1693" s="60">
        <f t="shared" si="186"/>
        <v>0</v>
      </c>
      <c r="Z1693" s="49">
        <f t="shared" si="187"/>
        <v>0</v>
      </c>
      <c r="AA1693" s="60">
        <f t="shared" si="188"/>
        <v>0</v>
      </c>
    </row>
    <row r="1694" spans="1:27">
      <c r="A1694" s="83" t="str">
        <f t="shared" si="183"/>
        <v/>
      </c>
      <c r="B1694" s="83" t="str">
        <f t="shared" si="184"/>
        <v/>
      </c>
      <c r="S1694" s="83" t="str">
        <f t="shared" si="185"/>
        <v/>
      </c>
      <c r="T1694" s="83" t="str">
        <f t="shared" si="182"/>
        <v/>
      </c>
      <c r="Y1694" s="60">
        <f t="shared" si="186"/>
        <v>0</v>
      </c>
      <c r="Z1694" s="49">
        <f t="shared" si="187"/>
        <v>0</v>
      </c>
      <c r="AA1694" s="60">
        <f t="shared" si="188"/>
        <v>0</v>
      </c>
    </row>
    <row r="1695" spans="1:27">
      <c r="A1695" s="83" t="str">
        <f t="shared" si="183"/>
        <v/>
      </c>
      <c r="B1695" s="83" t="str">
        <f t="shared" si="184"/>
        <v/>
      </c>
      <c r="S1695" s="83" t="str">
        <f t="shared" si="185"/>
        <v/>
      </c>
      <c r="T1695" s="83" t="str">
        <f t="shared" si="182"/>
        <v/>
      </c>
      <c r="Y1695" s="60">
        <f t="shared" si="186"/>
        <v>0</v>
      </c>
      <c r="Z1695" s="49">
        <f t="shared" si="187"/>
        <v>0</v>
      </c>
      <c r="AA1695" s="60">
        <f t="shared" si="188"/>
        <v>0</v>
      </c>
    </row>
    <row r="1696" spans="1:27">
      <c r="A1696" s="83" t="str">
        <f t="shared" si="183"/>
        <v/>
      </c>
      <c r="B1696" s="83" t="str">
        <f t="shared" si="184"/>
        <v/>
      </c>
      <c r="S1696" s="83" t="str">
        <f t="shared" si="185"/>
        <v/>
      </c>
      <c r="T1696" s="83" t="str">
        <f t="shared" si="182"/>
        <v/>
      </c>
      <c r="Y1696" s="60">
        <f t="shared" si="186"/>
        <v>0</v>
      </c>
      <c r="Z1696" s="49">
        <f t="shared" si="187"/>
        <v>0</v>
      </c>
      <c r="AA1696" s="60">
        <f t="shared" si="188"/>
        <v>0</v>
      </c>
    </row>
    <row r="1697" spans="1:27">
      <c r="A1697" s="83" t="str">
        <f t="shared" si="183"/>
        <v/>
      </c>
      <c r="B1697" s="83" t="str">
        <f t="shared" si="184"/>
        <v/>
      </c>
      <c r="S1697" s="83" t="str">
        <f t="shared" si="185"/>
        <v/>
      </c>
      <c r="T1697" s="83" t="str">
        <f t="shared" si="182"/>
        <v/>
      </c>
      <c r="Y1697" s="60">
        <f t="shared" si="186"/>
        <v>0</v>
      </c>
      <c r="Z1697" s="49">
        <f t="shared" si="187"/>
        <v>0</v>
      </c>
      <c r="AA1697" s="60">
        <f t="shared" si="188"/>
        <v>0</v>
      </c>
    </row>
    <row r="1698" spans="1:27">
      <c r="A1698" s="83" t="str">
        <f t="shared" si="183"/>
        <v/>
      </c>
      <c r="B1698" s="83" t="str">
        <f t="shared" si="184"/>
        <v/>
      </c>
      <c r="S1698" s="83" t="str">
        <f t="shared" si="185"/>
        <v/>
      </c>
      <c r="T1698" s="83" t="str">
        <f t="shared" si="182"/>
        <v/>
      </c>
      <c r="Y1698" s="60">
        <f t="shared" si="186"/>
        <v>0</v>
      </c>
      <c r="Z1698" s="49">
        <f t="shared" si="187"/>
        <v>0</v>
      </c>
      <c r="AA1698" s="60">
        <f t="shared" si="188"/>
        <v>0</v>
      </c>
    </row>
    <row r="1699" spans="1:27">
      <c r="A1699" s="83" t="str">
        <f t="shared" si="183"/>
        <v/>
      </c>
      <c r="B1699" s="83" t="str">
        <f t="shared" si="184"/>
        <v/>
      </c>
      <c r="S1699" s="83" t="str">
        <f t="shared" si="185"/>
        <v/>
      </c>
      <c r="T1699" s="83" t="str">
        <f t="shared" si="182"/>
        <v/>
      </c>
      <c r="Y1699" s="60">
        <f t="shared" si="186"/>
        <v>0</v>
      </c>
      <c r="Z1699" s="49">
        <f t="shared" si="187"/>
        <v>0</v>
      </c>
      <c r="AA1699" s="60">
        <f t="shared" si="188"/>
        <v>0</v>
      </c>
    </row>
    <row r="1700" spans="1:27">
      <c r="A1700" s="83" t="str">
        <f t="shared" si="183"/>
        <v/>
      </c>
      <c r="B1700" s="83" t="str">
        <f t="shared" si="184"/>
        <v/>
      </c>
      <c r="S1700" s="83" t="str">
        <f t="shared" si="185"/>
        <v/>
      </c>
      <c r="T1700" s="83" t="str">
        <f t="shared" si="182"/>
        <v/>
      </c>
      <c r="Y1700" s="60">
        <f t="shared" si="186"/>
        <v>0</v>
      </c>
      <c r="Z1700" s="49">
        <f t="shared" si="187"/>
        <v>0</v>
      </c>
      <c r="AA1700" s="60">
        <f t="shared" si="188"/>
        <v>0</v>
      </c>
    </row>
    <row r="1701" spans="1:27">
      <c r="A1701" s="83" t="str">
        <f t="shared" si="183"/>
        <v/>
      </c>
      <c r="B1701" s="83" t="str">
        <f t="shared" si="184"/>
        <v/>
      </c>
      <c r="S1701" s="83" t="str">
        <f t="shared" si="185"/>
        <v/>
      </c>
      <c r="T1701" s="83" t="str">
        <f t="shared" si="182"/>
        <v/>
      </c>
      <c r="Y1701" s="60">
        <f t="shared" si="186"/>
        <v>0</v>
      </c>
      <c r="Z1701" s="49">
        <f t="shared" si="187"/>
        <v>0</v>
      </c>
      <c r="AA1701" s="60">
        <f t="shared" si="188"/>
        <v>0</v>
      </c>
    </row>
    <row r="1702" spans="1:27">
      <c r="A1702" s="83" t="str">
        <f t="shared" si="183"/>
        <v/>
      </c>
      <c r="B1702" s="83" t="str">
        <f t="shared" si="184"/>
        <v/>
      </c>
      <c r="S1702" s="83" t="str">
        <f t="shared" si="185"/>
        <v/>
      </c>
      <c r="T1702" s="83" t="str">
        <f t="shared" si="182"/>
        <v/>
      </c>
      <c r="Y1702" s="60">
        <f t="shared" si="186"/>
        <v>0</v>
      </c>
      <c r="Z1702" s="49">
        <f t="shared" si="187"/>
        <v>0</v>
      </c>
      <c r="AA1702" s="60">
        <f t="shared" si="188"/>
        <v>0</v>
      </c>
    </row>
    <row r="1703" spans="1:27">
      <c r="A1703" s="83" t="str">
        <f t="shared" si="183"/>
        <v/>
      </c>
      <c r="B1703" s="83" t="str">
        <f t="shared" si="184"/>
        <v/>
      </c>
      <c r="S1703" s="83" t="str">
        <f t="shared" si="185"/>
        <v/>
      </c>
      <c r="T1703" s="83" t="str">
        <f t="shared" si="182"/>
        <v/>
      </c>
      <c r="Y1703" s="60">
        <f t="shared" si="186"/>
        <v>0</v>
      </c>
      <c r="Z1703" s="49">
        <f t="shared" si="187"/>
        <v>0</v>
      </c>
      <c r="AA1703" s="60">
        <f t="shared" si="188"/>
        <v>0</v>
      </c>
    </row>
    <row r="1704" spans="1:27">
      <c r="A1704" s="83" t="str">
        <f t="shared" si="183"/>
        <v/>
      </c>
      <c r="B1704" s="83" t="str">
        <f t="shared" si="184"/>
        <v/>
      </c>
      <c r="S1704" s="83" t="str">
        <f t="shared" si="185"/>
        <v/>
      </c>
      <c r="T1704" s="83" t="str">
        <f t="shared" si="182"/>
        <v/>
      </c>
      <c r="Y1704" s="60">
        <f t="shared" si="186"/>
        <v>0</v>
      </c>
      <c r="Z1704" s="49">
        <f t="shared" si="187"/>
        <v>0</v>
      </c>
      <c r="AA1704" s="60">
        <f t="shared" si="188"/>
        <v>0</v>
      </c>
    </row>
    <row r="1705" spans="1:27">
      <c r="A1705" s="83" t="str">
        <f t="shared" si="183"/>
        <v/>
      </c>
      <c r="B1705" s="83" t="str">
        <f t="shared" si="184"/>
        <v/>
      </c>
      <c r="S1705" s="83" t="str">
        <f t="shared" si="185"/>
        <v/>
      </c>
      <c r="T1705" s="83" t="str">
        <f t="shared" si="182"/>
        <v/>
      </c>
      <c r="Y1705" s="60">
        <f t="shared" si="186"/>
        <v>0</v>
      </c>
      <c r="Z1705" s="49">
        <f t="shared" si="187"/>
        <v>0</v>
      </c>
      <c r="AA1705" s="60">
        <f t="shared" si="188"/>
        <v>0</v>
      </c>
    </row>
    <row r="1706" spans="1:27">
      <c r="A1706" s="83" t="str">
        <f t="shared" si="183"/>
        <v/>
      </c>
      <c r="B1706" s="83" t="str">
        <f t="shared" si="184"/>
        <v/>
      </c>
      <c r="S1706" s="83" t="str">
        <f t="shared" si="185"/>
        <v/>
      </c>
      <c r="T1706" s="83" t="str">
        <f t="shared" si="182"/>
        <v/>
      </c>
      <c r="Y1706" s="60">
        <f t="shared" si="186"/>
        <v>0</v>
      </c>
      <c r="Z1706" s="49">
        <f t="shared" si="187"/>
        <v>0</v>
      </c>
      <c r="AA1706" s="60">
        <f t="shared" si="188"/>
        <v>0</v>
      </c>
    </row>
    <row r="1707" spans="1:27">
      <c r="A1707" s="83" t="str">
        <f t="shared" si="183"/>
        <v/>
      </c>
      <c r="B1707" s="83" t="str">
        <f t="shared" si="184"/>
        <v/>
      </c>
      <c r="S1707" s="83" t="str">
        <f t="shared" si="185"/>
        <v/>
      </c>
      <c r="T1707" s="83" t="str">
        <f t="shared" si="182"/>
        <v/>
      </c>
      <c r="Y1707" s="60">
        <f t="shared" si="186"/>
        <v>0</v>
      </c>
      <c r="Z1707" s="49">
        <f t="shared" si="187"/>
        <v>0</v>
      </c>
      <c r="AA1707" s="60">
        <f t="shared" si="188"/>
        <v>0</v>
      </c>
    </row>
    <row r="1708" spans="1:27">
      <c r="A1708" s="83" t="str">
        <f t="shared" si="183"/>
        <v/>
      </c>
      <c r="B1708" s="83" t="str">
        <f t="shared" si="184"/>
        <v/>
      </c>
      <c r="S1708" s="83" t="str">
        <f t="shared" si="185"/>
        <v/>
      </c>
      <c r="T1708" s="83" t="str">
        <f t="shared" si="182"/>
        <v/>
      </c>
      <c r="Y1708" s="60">
        <f t="shared" si="186"/>
        <v>0</v>
      </c>
      <c r="Z1708" s="49">
        <f t="shared" si="187"/>
        <v>0</v>
      </c>
      <c r="AA1708" s="60">
        <f t="shared" si="188"/>
        <v>0</v>
      </c>
    </row>
    <row r="1709" spans="1:27">
      <c r="A1709" s="83" t="str">
        <f t="shared" si="183"/>
        <v/>
      </c>
      <c r="B1709" s="83" t="str">
        <f t="shared" si="184"/>
        <v/>
      </c>
      <c r="S1709" s="83" t="str">
        <f t="shared" si="185"/>
        <v/>
      </c>
      <c r="T1709" s="83" t="str">
        <f t="shared" si="182"/>
        <v/>
      </c>
      <c r="Y1709" s="60">
        <f t="shared" si="186"/>
        <v>0</v>
      </c>
      <c r="Z1709" s="49">
        <f t="shared" si="187"/>
        <v>0</v>
      </c>
      <c r="AA1709" s="60">
        <f t="shared" si="188"/>
        <v>0</v>
      </c>
    </row>
    <row r="1710" spans="1:27">
      <c r="A1710" s="83" t="str">
        <f t="shared" si="183"/>
        <v/>
      </c>
      <c r="B1710" s="83" t="str">
        <f t="shared" si="184"/>
        <v/>
      </c>
      <c r="S1710" s="83" t="str">
        <f t="shared" si="185"/>
        <v/>
      </c>
      <c r="T1710" s="83" t="str">
        <f t="shared" si="182"/>
        <v/>
      </c>
      <c r="Y1710" s="60">
        <f t="shared" si="186"/>
        <v>0</v>
      </c>
      <c r="Z1710" s="49">
        <f t="shared" si="187"/>
        <v>0</v>
      </c>
      <c r="AA1710" s="60">
        <f t="shared" si="188"/>
        <v>0</v>
      </c>
    </row>
    <row r="1711" spans="1:27">
      <c r="A1711" s="83" t="str">
        <f t="shared" si="183"/>
        <v/>
      </c>
      <c r="B1711" s="83" t="str">
        <f t="shared" si="184"/>
        <v/>
      </c>
      <c r="S1711" s="83" t="str">
        <f t="shared" si="185"/>
        <v/>
      </c>
      <c r="T1711" s="83" t="str">
        <f t="shared" si="182"/>
        <v/>
      </c>
      <c r="Y1711" s="60">
        <f t="shared" si="186"/>
        <v>0</v>
      </c>
      <c r="Z1711" s="49">
        <f t="shared" si="187"/>
        <v>0</v>
      </c>
      <c r="AA1711" s="60">
        <f t="shared" si="188"/>
        <v>0</v>
      </c>
    </row>
    <row r="1712" spans="1:27">
      <c r="A1712" s="83" t="str">
        <f t="shared" si="183"/>
        <v/>
      </c>
      <c r="B1712" s="83" t="str">
        <f t="shared" si="184"/>
        <v/>
      </c>
      <c r="S1712" s="83" t="str">
        <f t="shared" si="185"/>
        <v/>
      </c>
      <c r="T1712" s="83" t="str">
        <f t="shared" si="182"/>
        <v/>
      </c>
      <c r="Y1712" s="60">
        <f t="shared" si="186"/>
        <v>0</v>
      </c>
      <c r="Z1712" s="49">
        <f t="shared" si="187"/>
        <v>0</v>
      </c>
      <c r="AA1712" s="60">
        <f t="shared" si="188"/>
        <v>0</v>
      </c>
    </row>
    <row r="1713" spans="1:27">
      <c r="A1713" s="83" t="str">
        <f t="shared" si="183"/>
        <v/>
      </c>
      <c r="B1713" s="83" t="str">
        <f t="shared" si="184"/>
        <v/>
      </c>
      <c r="S1713" s="83" t="str">
        <f t="shared" si="185"/>
        <v/>
      </c>
      <c r="T1713" s="83" t="str">
        <f t="shared" si="182"/>
        <v/>
      </c>
      <c r="Y1713" s="60">
        <f t="shared" si="186"/>
        <v>0</v>
      </c>
      <c r="Z1713" s="49">
        <f t="shared" si="187"/>
        <v>0</v>
      </c>
      <c r="AA1713" s="60">
        <f t="shared" si="188"/>
        <v>0</v>
      </c>
    </row>
    <row r="1714" spans="1:27">
      <c r="A1714" s="83" t="str">
        <f t="shared" si="183"/>
        <v/>
      </c>
      <c r="B1714" s="83" t="str">
        <f t="shared" si="184"/>
        <v/>
      </c>
      <c r="S1714" s="83" t="str">
        <f t="shared" si="185"/>
        <v/>
      </c>
      <c r="T1714" s="83" t="str">
        <f t="shared" si="182"/>
        <v/>
      </c>
      <c r="Y1714" s="60">
        <f t="shared" si="186"/>
        <v>0</v>
      </c>
      <c r="Z1714" s="49">
        <f t="shared" si="187"/>
        <v>0</v>
      </c>
      <c r="AA1714" s="60">
        <f t="shared" si="188"/>
        <v>0</v>
      </c>
    </row>
    <row r="1715" spans="1:27">
      <c r="A1715" s="83" t="str">
        <f t="shared" si="183"/>
        <v/>
      </c>
      <c r="B1715" s="83" t="str">
        <f t="shared" si="184"/>
        <v/>
      </c>
      <c r="S1715" s="83" t="str">
        <f t="shared" si="185"/>
        <v/>
      </c>
      <c r="T1715" s="83" t="str">
        <f t="shared" si="182"/>
        <v/>
      </c>
      <c r="Y1715" s="60">
        <f t="shared" si="186"/>
        <v>0</v>
      </c>
      <c r="Z1715" s="49">
        <f t="shared" si="187"/>
        <v>0</v>
      </c>
      <c r="AA1715" s="60">
        <f t="shared" si="188"/>
        <v>0</v>
      </c>
    </row>
    <row r="1716" spans="1:27">
      <c r="A1716" s="83" t="str">
        <f t="shared" si="183"/>
        <v/>
      </c>
      <c r="B1716" s="83" t="str">
        <f t="shared" si="184"/>
        <v/>
      </c>
      <c r="S1716" s="83" t="str">
        <f t="shared" si="185"/>
        <v/>
      </c>
      <c r="T1716" s="83" t="str">
        <f t="shared" si="182"/>
        <v/>
      </c>
      <c r="Y1716" s="60">
        <f t="shared" si="186"/>
        <v>0</v>
      </c>
      <c r="Z1716" s="49">
        <f t="shared" si="187"/>
        <v>0</v>
      </c>
      <c r="AA1716" s="60">
        <f t="shared" si="188"/>
        <v>0</v>
      </c>
    </row>
    <row r="1717" spans="1:27">
      <c r="A1717" s="83" t="str">
        <f t="shared" si="183"/>
        <v/>
      </c>
      <c r="B1717" s="83" t="str">
        <f t="shared" si="184"/>
        <v/>
      </c>
      <c r="S1717" s="83" t="str">
        <f t="shared" si="185"/>
        <v/>
      </c>
      <c r="T1717" s="83" t="str">
        <f t="shared" si="182"/>
        <v/>
      </c>
      <c r="Y1717" s="60">
        <f t="shared" si="186"/>
        <v>0</v>
      </c>
      <c r="Z1717" s="49">
        <f t="shared" si="187"/>
        <v>0</v>
      </c>
      <c r="AA1717" s="60">
        <f t="shared" si="188"/>
        <v>0</v>
      </c>
    </row>
    <row r="1718" spans="1:27">
      <c r="A1718" s="83" t="str">
        <f t="shared" si="183"/>
        <v/>
      </c>
      <c r="B1718" s="83" t="str">
        <f t="shared" si="184"/>
        <v/>
      </c>
      <c r="S1718" s="83" t="str">
        <f t="shared" si="185"/>
        <v/>
      </c>
      <c r="T1718" s="83" t="str">
        <f t="shared" si="182"/>
        <v/>
      </c>
      <c r="Y1718" s="60">
        <f t="shared" si="186"/>
        <v>0</v>
      </c>
      <c r="Z1718" s="49">
        <f t="shared" si="187"/>
        <v>0</v>
      </c>
      <c r="AA1718" s="60">
        <f t="shared" si="188"/>
        <v>0</v>
      </c>
    </row>
    <row r="1719" spans="1:27">
      <c r="A1719" s="83" t="str">
        <f t="shared" si="183"/>
        <v/>
      </c>
      <c r="B1719" s="83" t="str">
        <f t="shared" si="184"/>
        <v/>
      </c>
      <c r="S1719" s="83" t="str">
        <f t="shared" si="185"/>
        <v/>
      </c>
      <c r="T1719" s="83" t="str">
        <f t="shared" si="182"/>
        <v/>
      </c>
      <c r="Y1719" s="60">
        <f t="shared" si="186"/>
        <v>0</v>
      </c>
      <c r="Z1719" s="49">
        <f t="shared" si="187"/>
        <v>0</v>
      </c>
      <c r="AA1719" s="60">
        <f t="shared" si="188"/>
        <v>0</v>
      </c>
    </row>
    <row r="1720" spans="1:27">
      <c r="A1720" s="83" t="str">
        <f t="shared" si="183"/>
        <v/>
      </c>
      <c r="B1720" s="83" t="str">
        <f t="shared" si="184"/>
        <v/>
      </c>
      <c r="S1720" s="83" t="str">
        <f t="shared" si="185"/>
        <v/>
      </c>
      <c r="T1720" s="83" t="str">
        <f t="shared" si="182"/>
        <v/>
      </c>
      <c r="Y1720" s="60">
        <f t="shared" si="186"/>
        <v>0</v>
      </c>
      <c r="Z1720" s="49">
        <f t="shared" si="187"/>
        <v>0</v>
      </c>
      <c r="AA1720" s="60">
        <f t="shared" si="188"/>
        <v>0</v>
      </c>
    </row>
    <row r="1721" spans="1:27">
      <c r="A1721" s="83" t="str">
        <f t="shared" si="183"/>
        <v/>
      </c>
      <c r="B1721" s="83" t="str">
        <f t="shared" si="184"/>
        <v/>
      </c>
      <c r="S1721" s="83" t="str">
        <f t="shared" si="185"/>
        <v/>
      </c>
      <c r="T1721" s="83" t="str">
        <f t="shared" si="182"/>
        <v/>
      </c>
      <c r="Y1721" s="60">
        <f t="shared" si="186"/>
        <v>0</v>
      </c>
      <c r="Z1721" s="49">
        <f t="shared" si="187"/>
        <v>0</v>
      </c>
      <c r="AA1721" s="60">
        <f t="shared" si="188"/>
        <v>0</v>
      </c>
    </row>
    <row r="1722" spans="1:27">
      <c r="A1722" s="83" t="str">
        <f t="shared" si="183"/>
        <v/>
      </c>
      <c r="B1722" s="83" t="str">
        <f t="shared" si="184"/>
        <v/>
      </c>
      <c r="S1722" s="83" t="str">
        <f t="shared" si="185"/>
        <v/>
      </c>
      <c r="T1722" s="83" t="str">
        <f t="shared" si="182"/>
        <v/>
      </c>
      <c r="Y1722" s="60">
        <f t="shared" si="186"/>
        <v>0</v>
      </c>
      <c r="Z1722" s="49">
        <f t="shared" si="187"/>
        <v>0</v>
      </c>
      <c r="AA1722" s="60">
        <f t="shared" si="188"/>
        <v>0</v>
      </c>
    </row>
    <row r="1723" spans="1:27">
      <c r="A1723" s="83" t="str">
        <f t="shared" si="183"/>
        <v/>
      </c>
      <c r="B1723" s="83" t="str">
        <f t="shared" si="184"/>
        <v/>
      </c>
      <c r="S1723" s="83" t="str">
        <f t="shared" si="185"/>
        <v/>
      </c>
      <c r="T1723" s="83" t="str">
        <f t="shared" si="182"/>
        <v/>
      </c>
      <c r="Y1723" s="60">
        <f t="shared" si="186"/>
        <v>0</v>
      </c>
      <c r="Z1723" s="49">
        <f t="shared" si="187"/>
        <v>0</v>
      </c>
      <c r="AA1723" s="60">
        <f t="shared" si="188"/>
        <v>0</v>
      </c>
    </row>
    <row r="1724" spans="1:27">
      <c r="A1724" s="83" t="str">
        <f t="shared" si="183"/>
        <v/>
      </c>
      <c r="B1724" s="83" t="str">
        <f t="shared" si="184"/>
        <v/>
      </c>
      <c r="S1724" s="83" t="str">
        <f t="shared" si="185"/>
        <v/>
      </c>
      <c r="T1724" s="83" t="str">
        <f t="shared" si="182"/>
        <v/>
      </c>
      <c r="Y1724" s="60">
        <f t="shared" si="186"/>
        <v>0</v>
      </c>
      <c r="Z1724" s="49">
        <f t="shared" si="187"/>
        <v>0</v>
      </c>
      <c r="AA1724" s="60">
        <f t="shared" si="188"/>
        <v>0</v>
      </c>
    </row>
    <row r="1725" spans="1:27">
      <c r="A1725" s="83" t="str">
        <f t="shared" si="183"/>
        <v/>
      </c>
      <c r="B1725" s="83" t="str">
        <f t="shared" si="184"/>
        <v/>
      </c>
      <c r="S1725" s="83" t="str">
        <f t="shared" si="185"/>
        <v/>
      </c>
      <c r="T1725" s="83" t="str">
        <f t="shared" si="182"/>
        <v/>
      </c>
      <c r="Y1725" s="60">
        <f t="shared" si="186"/>
        <v>0</v>
      </c>
      <c r="Z1725" s="49">
        <f t="shared" si="187"/>
        <v>0</v>
      </c>
      <c r="AA1725" s="60">
        <f t="shared" si="188"/>
        <v>0</v>
      </c>
    </row>
    <row r="1726" spans="1:27">
      <c r="A1726" s="83" t="str">
        <f t="shared" si="183"/>
        <v/>
      </c>
      <c r="B1726" s="83" t="str">
        <f t="shared" si="184"/>
        <v/>
      </c>
      <c r="S1726" s="83" t="str">
        <f t="shared" si="185"/>
        <v/>
      </c>
      <c r="T1726" s="83" t="str">
        <f t="shared" si="182"/>
        <v/>
      </c>
      <c r="Y1726" s="60">
        <f t="shared" si="186"/>
        <v>0</v>
      </c>
      <c r="Z1726" s="49">
        <f t="shared" si="187"/>
        <v>0</v>
      </c>
      <c r="AA1726" s="60">
        <f t="shared" si="188"/>
        <v>0</v>
      </c>
    </row>
    <row r="1727" spans="1:27">
      <c r="A1727" s="83" t="str">
        <f t="shared" si="183"/>
        <v/>
      </c>
      <c r="B1727" s="83" t="str">
        <f t="shared" si="184"/>
        <v/>
      </c>
      <c r="S1727" s="83" t="str">
        <f t="shared" si="185"/>
        <v/>
      </c>
      <c r="T1727" s="83" t="str">
        <f t="shared" si="182"/>
        <v/>
      </c>
      <c r="Y1727" s="60">
        <f t="shared" si="186"/>
        <v>0</v>
      </c>
      <c r="Z1727" s="49">
        <f t="shared" si="187"/>
        <v>0</v>
      </c>
      <c r="AA1727" s="60">
        <f t="shared" si="188"/>
        <v>0</v>
      </c>
    </row>
    <row r="1728" spans="1:27">
      <c r="A1728" s="83" t="str">
        <f t="shared" si="183"/>
        <v/>
      </c>
      <c r="B1728" s="83" t="str">
        <f t="shared" si="184"/>
        <v/>
      </c>
      <c r="S1728" s="83" t="str">
        <f t="shared" si="185"/>
        <v/>
      </c>
      <c r="T1728" s="83" t="str">
        <f t="shared" si="182"/>
        <v/>
      </c>
      <c r="Y1728" s="60">
        <f t="shared" si="186"/>
        <v>0</v>
      </c>
      <c r="Z1728" s="49">
        <f t="shared" si="187"/>
        <v>0</v>
      </c>
      <c r="AA1728" s="60">
        <f t="shared" si="188"/>
        <v>0</v>
      </c>
    </row>
    <row r="1729" spans="1:27">
      <c r="A1729" s="83" t="str">
        <f t="shared" si="183"/>
        <v/>
      </c>
      <c r="B1729" s="83" t="str">
        <f t="shared" si="184"/>
        <v/>
      </c>
      <c r="S1729" s="83" t="str">
        <f t="shared" si="185"/>
        <v/>
      </c>
      <c r="T1729" s="83" t="str">
        <f t="shared" si="182"/>
        <v/>
      </c>
      <c r="Y1729" s="60">
        <f t="shared" si="186"/>
        <v>0</v>
      </c>
      <c r="Z1729" s="49">
        <f t="shared" si="187"/>
        <v>0</v>
      </c>
      <c r="AA1729" s="60">
        <f t="shared" si="188"/>
        <v>0</v>
      </c>
    </row>
    <row r="1730" spans="1:27">
      <c r="A1730" s="83" t="str">
        <f t="shared" si="183"/>
        <v/>
      </c>
      <c r="B1730" s="83" t="str">
        <f t="shared" si="184"/>
        <v/>
      </c>
      <c r="S1730" s="83" t="str">
        <f t="shared" si="185"/>
        <v/>
      </c>
      <c r="T1730" s="83" t="str">
        <f t="shared" ref="T1730:T1793" si="189">IF(A1730&lt;&gt;"",IF(FIND(" ",G1730)&gt;=1,MID(G1730,FIND(" ",G1730)+1,LEN(G1730)),""),"")</f>
        <v/>
      </c>
      <c r="Y1730" s="60">
        <f t="shared" si="186"/>
        <v>0</v>
      </c>
      <c r="Z1730" s="49">
        <f t="shared" si="187"/>
        <v>0</v>
      </c>
      <c r="AA1730" s="60">
        <f t="shared" si="188"/>
        <v>0</v>
      </c>
    </row>
    <row r="1731" spans="1:27">
      <c r="A1731" s="83" t="str">
        <f t="shared" ref="A1731:A1794" si="190">IF(G1731&amp;Q1731&lt;&gt;"",S1731&amp;Q1731,"")</f>
        <v/>
      </c>
      <c r="B1731" s="83" t="str">
        <f t="shared" ref="B1731:B1794" si="191">IF(C1731&lt;&gt;"",LEFT(C1731,9),"")</f>
        <v/>
      </c>
      <c r="S1731" s="83" t="str">
        <f t="shared" ref="S1731:S1794" si="192">IF(G1731&lt;&gt;"",IF(FIND(" ",G1731)&gt;=1,MID(G1731,1,FIND(" ",G1731)-1),G1731),"")</f>
        <v/>
      </c>
      <c r="T1731" s="83" t="str">
        <f t="shared" si="189"/>
        <v/>
      </c>
      <c r="Y1731" s="60">
        <f t="shared" ref="Y1731:Y1794" si="193">IFERROR(VALUE(MID($C1731,1,2)),0)</f>
        <v>0</v>
      </c>
      <c r="Z1731" s="49">
        <f t="shared" ref="Z1731:Z1794" si="194">IFERROR(VALUE(MID($C1731,4,3)),0)</f>
        <v>0</v>
      </c>
      <c r="AA1731" s="60">
        <f t="shared" ref="AA1731:AA1794" si="195">VALUE(RIGHT("00"&amp;Y1731,2)&amp;RIGHT("000"&amp;Z1731,3))</f>
        <v>0</v>
      </c>
    </row>
    <row r="1732" spans="1:27">
      <c r="A1732" s="83" t="str">
        <f t="shared" si="190"/>
        <v/>
      </c>
      <c r="B1732" s="83" t="str">
        <f t="shared" si="191"/>
        <v/>
      </c>
      <c r="S1732" s="83" t="str">
        <f t="shared" si="192"/>
        <v/>
      </c>
      <c r="T1732" s="83" t="str">
        <f t="shared" si="189"/>
        <v/>
      </c>
      <c r="Y1732" s="60">
        <f t="shared" si="193"/>
        <v>0</v>
      </c>
      <c r="Z1732" s="49">
        <f t="shared" si="194"/>
        <v>0</v>
      </c>
      <c r="AA1732" s="60">
        <f t="shared" si="195"/>
        <v>0</v>
      </c>
    </row>
    <row r="1733" spans="1:27">
      <c r="A1733" s="83" t="str">
        <f t="shared" si="190"/>
        <v/>
      </c>
      <c r="B1733" s="83" t="str">
        <f t="shared" si="191"/>
        <v/>
      </c>
      <c r="S1733" s="83" t="str">
        <f t="shared" si="192"/>
        <v/>
      </c>
      <c r="T1733" s="83" t="str">
        <f t="shared" si="189"/>
        <v/>
      </c>
      <c r="Y1733" s="60">
        <f t="shared" si="193"/>
        <v>0</v>
      </c>
      <c r="Z1733" s="49">
        <f t="shared" si="194"/>
        <v>0</v>
      </c>
      <c r="AA1733" s="60">
        <f t="shared" si="195"/>
        <v>0</v>
      </c>
    </row>
    <row r="1734" spans="1:27">
      <c r="A1734" s="83" t="str">
        <f t="shared" si="190"/>
        <v/>
      </c>
      <c r="B1734" s="83" t="str">
        <f t="shared" si="191"/>
        <v/>
      </c>
      <c r="S1734" s="83" t="str">
        <f t="shared" si="192"/>
        <v/>
      </c>
      <c r="T1734" s="83" t="str">
        <f t="shared" si="189"/>
        <v/>
      </c>
      <c r="Y1734" s="60">
        <f t="shared" si="193"/>
        <v>0</v>
      </c>
      <c r="Z1734" s="49">
        <f t="shared" si="194"/>
        <v>0</v>
      </c>
      <c r="AA1734" s="60">
        <f t="shared" si="195"/>
        <v>0</v>
      </c>
    </row>
    <row r="1735" spans="1:27">
      <c r="A1735" s="83" t="str">
        <f t="shared" si="190"/>
        <v/>
      </c>
      <c r="B1735" s="83" t="str">
        <f t="shared" si="191"/>
        <v/>
      </c>
      <c r="S1735" s="83" t="str">
        <f t="shared" si="192"/>
        <v/>
      </c>
      <c r="T1735" s="83" t="str">
        <f t="shared" si="189"/>
        <v/>
      </c>
      <c r="Y1735" s="60">
        <f t="shared" si="193"/>
        <v>0</v>
      </c>
      <c r="Z1735" s="49">
        <f t="shared" si="194"/>
        <v>0</v>
      </c>
      <c r="AA1735" s="60">
        <f t="shared" si="195"/>
        <v>0</v>
      </c>
    </row>
    <row r="1736" spans="1:27">
      <c r="A1736" s="83" t="str">
        <f t="shared" si="190"/>
        <v/>
      </c>
      <c r="B1736" s="83" t="str">
        <f t="shared" si="191"/>
        <v/>
      </c>
      <c r="S1736" s="83" t="str">
        <f t="shared" si="192"/>
        <v/>
      </c>
      <c r="T1736" s="83" t="str">
        <f t="shared" si="189"/>
        <v/>
      </c>
      <c r="Y1736" s="60">
        <f t="shared" si="193"/>
        <v>0</v>
      </c>
      <c r="Z1736" s="49">
        <f t="shared" si="194"/>
        <v>0</v>
      </c>
      <c r="AA1736" s="60">
        <f t="shared" si="195"/>
        <v>0</v>
      </c>
    </row>
    <row r="1737" spans="1:27">
      <c r="A1737" s="83" t="str">
        <f t="shared" si="190"/>
        <v/>
      </c>
      <c r="B1737" s="83" t="str">
        <f t="shared" si="191"/>
        <v/>
      </c>
      <c r="S1737" s="83" t="str">
        <f t="shared" si="192"/>
        <v/>
      </c>
      <c r="T1737" s="83" t="str">
        <f t="shared" si="189"/>
        <v/>
      </c>
      <c r="Y1737" s="60">
        <f t="shared" si="193"/>
        <v>0</v>
      </c>
      <c r="Z1737" s="49">
        <f t="shared" si="194"/>
        <v>0</v>
      </c>
      <c r="AA1737" s="60">
        <f t="shared" si="195"/>
        <v>0</v>
      </c>
    </row>
    <row r="1738" spans="1:27">
      <c r="A1738" s="83" t="str">
        <f t="shared" si="190"/>
        <v/>
      </c>
      <c r="B1738" s="83" t="str">
        <f t="shared" si="191"/>
        <v/>
      </c>
      <c r="S1738" s="83" t="str">
        <f t="shared" si="192"/>
        <v/>
      </c>
      <c r="T1738" s="83" t="str">
        <f t="shared" si="189"/>
        <v/>
      </c>
      <c r="Y1738" s="60">
        <f t="shared" si="193"/>
        <v>0</v>
      </c>
      <c r="Z1738" s="49">
        <f t="shared" si="194"/>
        <v>0</v>
      </c>
      <c r="AA1738" s="60">
        <f t="shared" si="195"/>
        <v>0</v>
      </c>
    </row>
    <row r="1739" spans="1:27">
      <c r="A1739" s="83" t="str">
        <f t="shared" si="190"/>
        <v/>
      </c>
      <c r="B1739" s="83" t="str">
        <f t="shared" si="191"/>
        <v/>
      </c>
      <c r="S1739" s="83" t="str">
        <f t="shared" si="192"/>
        <v/>
      </c>
      <c r="T1739" s="83" t="str">
        <f t="shared" si="189"/>
        <v/>
      </c>
      <c r="Y1739" s="60">
        <f t="shared" si="193"/>
        <v>0</v>
      </c>
      <c r="Z1739" s="49">
        <f t="shared" si="194"/>
        <v>0</v>
      </c>
      <c r="AA1739" s="60">
        <f t="shared" si="195"/>
        <v>0</v>
      </c>
    </row>
    <row r="1740" spans="1:27">
      <c r="A1740" s="83" t="str">
        <f t="shared" si="190"/>
        <v/>
      </c>
      <c r="B1740" s="83" t="str">
        <f t="shared" si="191"/>
        <v/>
      </c>
      <c r="S1740" s="83" t="str">
        <f t="shared" si="192"/>
        <v/>
      </c>
      <c r="T1740" s="83" t="str">
        <f t="shared" si="189"/>
        <v/>
      </c>
      <c r="Y1740" s="60">
        <f t="shared" si="193"/>
        <v>0</v>
      </c>
      <c r="Z1740" s="49">
        <f t="shared" si="194"/>
        <v>0</v>
      </c>
      <c r="AA1740" s="60">
        <f t="shared" si="195"/>
        <v>0</v>
      </c>
    </row>
    <row r="1741" spans="1:27">
      <c r="A1741" s="83" t="str">
        <f t="shared" si="190"/>
        <v/>
      </c>
      <c r="B1741" s="83" t="str">
        <f t="shared" si="191"/>
        <v/>
      </c>
      <c r="S1741" s="83" t="str">
        <f t="shared" si="192"/>
        <v/>
      </c>
      <c r="T1741" s="83" t="str">
        <f t="shared" si="189"/>
        <v/>
      </c>
      <c r="Y1741" s="60">
        <f t="shared" si="193"/>
        <v>0</v>
      </c>
      <c r="Z1741" s="49">
        <f t="shared" si="194"/>
        <v>0</v>
      </c>
      <c r="AA1741" s="60">
        <f t="shared" si="195"/>
        <v>0</v>
      </c>
    </row>
    <row r="1742" spans="1:27">
      <c r="A1742" s="83" t="str">
        <f t="shared" si="190"/>
        <v/>
      </c>
      <c r="B1742" s="83" t="str">
        <f t="shared" si="191"/>
        <v/>
      </c>
      <c r="S1742" s="83" t="str">
        <f t="shared" si="192"/>
        <v/>
      </c>
      <c r="T1742" s="83" t="str">
        <f t="shared" si="189"/>
        <v/>
      </c>
      <c r="Y1742" s="60">
        <f t="shared" si="193"/>
        <v>0</v>
      </c>
      <c r="Z1742" s="49">
        <f t="shared" si="194"/>
        <v>0</v>
      </c>
      <c r="AA1742" s="60">
        <f t="shared" si="195"/>
        <v>0</v>
      </c>
    </row>
    <row r="1743" spans="1:27">
      <c r="A1743" s="83" t="str">
        <f t="shared" si="190"/>
        <v/>
      </c>
      <c r="B1743" s="83" t="str">
        <f t="shared" si="191"/>
        <v/>
      </c>
      <c r="S1743" s="83" t="str">
        <f t="shared" si="192"/>
        <v/>
      </c>
      <c r="T1743" s="83" t="str">
        <f t="shared" si="189"/>
        <v/>
      </c>
      <c r="Y1743" s="60">
        <f t="shared" si="193"/>
        <v>0</v>
      </c>
      <c r="Z1743" s="49">
        <f t="shared" si="194"/>
        <v>0</v>
      </c>
      <c r="AA1743" s="60">
        <f t="shared" si="195"/>
        <v>0</v>
      </c>
    </row>
    <row r="1744" spans="1:27">
      <c r="A1744" s="83" t="str">
        <f t="shared" si="190"/>
        <v/>
      </c>
      <c r="B1744" s="83" t="str">
        <f t="shared" si="191"/>
        <v/>
      </c>
      <c r="S1744" s="83" t="str">
        <f t="shared" si="192"/>
        <v/>
      </c>
      <c r="T1744" s="83" t="str">
        <f t="shared" si="189"/>
        <v/>
      </c>
      <c r="Y1744" s="60">
        <f t="shared" si="193"/>
        <v>0</v>
      </c>
      <c r="Z1744" s="49">
        <f t="shared" si="194"/>
        <v>0</v>
      </c>
      <c r="AA1744" s="60">
        <f t="shared" si="195"/>
        <v>0</v>
      </c>
    </row>
    <row r="1745" spans="1:27">
      <c r="A1745" s="83" t="str">
        <f t="shared" si="190"/>
        <v/>
      </c>
      <c r="B1745" s="83" t="str">
        <f t="shared" si="191"/>
        <v/>
      </c>
      <c r="S1745" s="83" t="str">
        <f t="shared" si="192"/>
        <v/>
      </c>
      <c r="T1745" s="83" t="str">
        <f t="shared" si="189"/>
        <v/>
      </c>
      <c r="Y1745" s="60">
        <f t="shared" si="193"/>
        <v>0</v>
      </c>
      <c r="Z1745" s="49">
        <f t="shared" si="194"/>
        <v>0</v>
      </c>
      <c r="AA1745" s="60">
        <f t="shared" si="195"/>
        <v>0</v>
      </c>
    </row>
    <row r="1746" spans="1:27">
      <c r="A1746" s="83" t="str">
        <f t="shared" si="190"/>
        <v/>
      </c>
      <c r="B1746" s="83" t="str">
        <f t="shared" si="191"/>
        <v/>
      </c>
      <c r="S1746" s="83" t="str">
        <f t="shared" si="192"/>
        <v/>
      </c>
      <c r="T1746" s="83" t="str">
        <f t="shared" si="189"/>
        <v/>
      </c>
      <c r="Y1746" s="60">
        <f t="shared" si="193"/>
        <v>0</v>
      </c>
      <c r="Z1746" s="49">
        <f t="shared" si="194"/>
        <v>0</v>
      </c>
      <c r="AA1746" s="60">
        <f t="shared" si="195"/>
        <v>0</v>
      </c>
    </row>
    <row r="1747" spans="1:27">
      <c r="A1747" s="83" t="str">
        <f t="shared" si="190"/>
        <v/>
      </c>
      <c r="B1747" s="83" t="str">
        <f t="shared" si="191"/>
        <v/>
      </c>
      <c r="S1747" s="83" t="str">
        <f t="shared" si="192"/>
        <v/>
      </c>
      <c r="T1747" s="83" t="str">
        <f t="shared" si="189"/>
        <v/>
      </c>
      <c r="Y1747" s="60">
        <f t="shared" si="193"/>
        <v>0</v>
      </c>
      <c r="Z1747" s="49">
        <f t="shared" si="194"/>
        <v>0</v>
      </c>
      <c r="AA1747" s="60">
        <f t="shared" si="195"/>
        <v>0</v>
      </c>
    </row>
    <row r="1748" spans="1:27">
      <c r="A1748" s="83" t="str">
        <f t="shared" si="190"/>
        <v/>
      </c>
      <c r="B1748" s="83" t="str">
        <f t="shared" si="191"/>
        <v/>
      </c>
      <c r="S1748" s="83" t="str">
        <f t="shared" si="192"/>
        <v/>
      </c>
      <c r="T1748" s="83" t="str">
        <f t="shared" si="189"/>
        <v/>
      </c>
      <c r="Y1748" s="60">
        <f t="shared" si="193"/>
        <v>0</v>
      </c>
      <c r="Z1748" s="49">
        <f t="shared" si="194"/>
        <v>0</v>
      </c>
      <c r="AA1748" s="60">
        <f t="shared" si="195"/>
        <v>0</v>
      </c>
    </row>
    <row r="1749" spans="1:27">
      <c r="A1749" s="83" t="str">
        <f t="shared" si="190"/>
        <v/>
      </c>
      <c r="B1749" s="83" t="str">
        <f t="shared" si="191"/>
        <v/>
      </c>
      <c r="S1749" s="83" t="str">
        <f t="shared" si="192"/>
        <v/>
      </c>
      <c r="T1749" s="83" t="str">
        <f t="shared" si="189"/>
        <v/>
      </c>
      <c r="Y1749" s="60">
        <f t="shared" si="193"/>
        <v>0</v>
      </c>
      <c r="Z1749" s="49">
        <f t="shared" si="194"/>
        <v>0</v>
      </c>
      <c r="AA1749" s="60">
        <f t="shared" si="195"/>
        <v>0</v>
      </c>
    </row>
    <row r="1750" spans="1:27">
      <c r="A1750" s="83" t="str">
        <f t="shared" si="190"/>
        <v/>
      </c>
      <c r="B1750" s="83" t="str">
        <f t="shared" si="191"/>
        <v/>
      </c>
      <c r="S1750" s="83" t="str">
        <f t="shared" si="192"/>
        <v/>
      </c>
      <c r="T1750" s="83" t="str">
        <f t="shared" si="189"/>
        <v/>
      </c>
      <c r="Y1750" s="60">
        <f t="shared" si="193"/>
        <v>0</v>
      </c>
      <c r="Z1750" s="49">
        <f t="shared" si="194"/>
        <v>0</v>
      </c>
      <c r="AA1750" s="60">
        <f t="shared" si="195"/>
        <v>0</v>
      </c>
    </row>
    <row r="1751" spans="1:27">
      <c r="A1751" s="83" t="str">
        <f t="shared" si="190"/>
        <v/>
      </c>
      <c r="B1751" s="83" t="str">
        <f t="shared" si="191"/>
        <v/>
      </c>
      <c r="S1751" s="83" t="str">
        <f t="shared" si="192"/>
        <v/>
      </c>
      <c r="T1751" s="83" t="str">
        <f t="shared" si="189"/>
        <v/>
      </c>
      <c r="Y1751" s="60">
        <f t="shared" si="193"/>
        <v>0</v>
      </c>
      <c r="Z1751" s="49">
        <f t="shared" si="194"/>
        <v>0</v>
      </c>
      <c r="AA1751" s="60">
        <f t="shared" si="195"/>
        <v>0</v>
      </c>
    </row>
    <row r="1752" spans="1:27">
      <c r="A1752" s="83" t="str">
        <f t="shared" si="190"/>
        <v/>
      </c>
      <c r="B1752" s="83" t="str">
        <f t="shared" si="191"/>
        <v/>
      </c>
      <c r="S1752" s="83" t="str">
        <f t="shared" si="192"/>
        <v/>
      </c>
      <c r="T1752" s="83" t="str">
        <f t="shared" si="189"/>
        <v/>
      </c>
      <c r="Y1752" s="60">
        <f t="shared" si="193"/>
        <v>0</v>
      </c>
      <c r="Z1752" s="49">
        <f t="shared" si="194"/>
        <v>0</v>
      </c>
      <c r="AA1752" s="60">
        <f t="shared" si="195"/>
        <v>0</v>
      </c>
    </row>
    <row r="1753" spans="1:27">
      <c r="A1753" s="83" t="str">
        <f t="shared" si="190"/>
        <v/>
      </c>
      <c r="B1753" s="83" t="str">
        <f t="shared" si="191"/>
        <v/>
      </c>
      <c r="S1753" s="83" t="str">
        <f t="shared" si="192"/>
        <v/>
      </c>
      <c r="T1753" s="83" t="str">
        <f t="shared" si="189"/>
        <v/>
      </c>
      <c r="Y1753" s="60">
        <f t="shared" si="193"/>
        <v>0</v>
      </c>
      <c r="Z1753" s="49">
        <f t="shared" si="194"/>
        <v>0</v>
      </c>
      <c r="AA1753" s="60">
        <f t="shared" si="195"/>
        <v>0</v>
      </c>
    </row>
    <row r="1754" spans="1:27">
      <c r="A1754" s="83" t="str">
        <f t="shared" si="190"/>
        <v/>
      </c>
      <c r="B1754" s="83" t="str">
        <f t="shared" si="191"/>
        <v/>
      </c>
      <c r="S1754" s="83" t="str">
        <f t="shared" si="192"/>
        <v/>
      </c>
      <c r="T1754" s="83" t="str">
        <f t="shared" si="189"/>
        <v/>
      </c>
      <c r="Y1754" s="60">
        <f t="shared" si="193"/>
        <v>0</v>
      </c>
      <c r="Z1754" s="49">
        <f t="shared" si="194"/>
        <v>0</v>
      </c>
      <c r="AA1754" s="60">
        <f t="shared" si="195"/>
        <v>0</v>
      </c>
    </row>
    <row r="1755" spans="1:27">
      <c r="A1755" s="83" t="str">
        <f t="shared" si="190"/>
        <v/>
      </c>
      <c r="B1755" s="83" t="str">
        <f t="shared" si="191"/>
        <v/>
      </c>
      <c r="S1755" s="83" t="str">
        <f t="shared" si="192"/>
        <v/>
      </c>
      <c r="T1755" s="83" t="str">
        <f t="shared" si="189"/>
        <v/>
      </c>
      <c r="Y1755" s="60">
        <f t="shared" si="193"/>
        <v>0</v>
      </c>
      <c r="Z1755" s="49">
        <f t="shared" si="194"/>
        <v>0</v>
      </c>
      <c r="AA1755" s="60">
        <f t="shared" si="195"/>
        <v>0</v>
      </c>
    </row>
    <row r="1756" spans="1:27">
      <c r="A1756" s="83" t="str">
        <f t="shared" si="190"/>
        <v/>
      </c>
      <c r="B1756" s="83" t="str">
        <f t="shared" si="191"/>
        <v/>
      </c>
      <c r="S1756" s="83" t="str">
        <f t="shared" si="192"/>
        <v/>
      </c>
      <c r="T1756" s="83" t="str">
        <f t="shared" si="189"/>
        <v/>
      </c>
      <c r="Y1756" s="60">
        <f t="shared" si="193"/>
        <v>0</v>
      </c>
      <c r="Z1756" s="49">
        <f t="shared" si="194"/>
        <v>0</v>
      </c>
      <c r="AA1756" s="60">
        <f t="shared" si="195"/>
        <v>0</v>
      </c>
    </row>
    <row r="1757" spans="1:27">
      <c r="A1757" s="83" t="str">
        <f t="shared" si="190"/>
        <v/>
      </c>
      <c r="B1757" s="83" t="str">
        <f t="shared" si="191"/>
        <v/>
      </c>
      <c r="S1757" s="83" t="str">
        <f t="shared" si="192"/>
        <v/>
      </c>
      <c r="T1757" s="83" t="str">
        <f t="shared" si="189"/>
        <v/>
      </c>
      <c r="Y1757" s="60">
        <f t="shared" si="193"/>
        <v>0</v>
      </c>
      <c r="Z1757" s="49">
        <f t="shared" si="194"/>
        <v>0</v>
      </c>
      <c r="AA1757" s="60">
        <f t="shared" si="195"/>
        <v>0</v>
      </c>
    </row>
    <row r="1758" spans="1:27">
      <c r="A1758" s="83" t="str">
        <f t="shared" si="190"/>
        <v/>
      </c>
      <c r="B1758" s="83" t="str">
        <f t="shared" si="191"/>
        <v/>
      </c>
      <c r="S1758" s="83" t="str">
        <f t="shared" si="192"/>
        <v/>
      </c>
      <c r="T1758" s="83" t="str">
        <f t="shared" si="189"/>
        <v/>
      </c>
      <c r="Y1758" s="60">
        <f t="shared" si="193"/>
        <v>0</v>
      </c>
      <c r="Z1758" s="49">
        <f t="shared" si="194"/>
        <v>0</v>
      </c>
      <c r="AA1758" s="60">
        <f t="shared" si="195"/>
        <v>0</v>
      </c>
    </row>
    <row r="1759" spans="1:27">
      <c r="A1759" s="83" t="str">
        <f t="shared" si="190"/>
        <v/>
      </c>
      <c r="B1759" s="83" t="str">
        <f t="shared" si="191"/>
        <v/>
      </c>
      <c r="S1759" s="83" t="str">
        <f t="shared" si="192"/>
        <v/>
      </c>
      <c r="T1759" s="83" t="str">
        <f t="shared" si="189"/>
        <v/>
      </c>
      <c r="Y1759" s="60">
        <f t="shared" si="193"/>
        <v>0</v>
      </c>
      <c r="Z1759" s="49">
        <f t="shared" si="194"/>
        <v>0</v>
      </c>
      <c r="AA1759" s="60">
        <f t="shared" si="195"/>
        <v>0</v>
      </c>
    </row>
    <row r="1760" spans="1:27">
      <c r="A1760" s="83" t="str">
        <f t="shared" si="190"/>
        <v/>
      </c>
      <c r="B1760" s="83" t="str">
        <f t="shared" si="191"/>
        <v/>
      </c>
      <c r="S1760" s="83" t="str">
        <f t="shared" si="192"/>
        <v/>
      </c>
      <c r="T1760" s="83" t="str">
        <f t="shared" si="189"/>
        <v/>
      </c>
      <c r="Y1760" s="60">
        <f t="shared" si="193"/>
        <v>0</v>
      </c>
      <c r="Z1760" s="49">
        <f t="shared" si="194"/>
        <v>0</v>
      </c>
      <c r="AA1760" s="60">
        <f t="shared" si="195"/>
        <v>0</v>
      </c>
    </row>
    <row r="1761" spans="1:27">
      <c r="A1761" s="83" t="str">
        <f t="shared" si="190"/>
        <v/>
      </c>
      <c r="B1761" s="83" t="str">
        <f t="shared" si="191"/>
        <v/>
      </c>
      <c r="S1761" s="83" t="str">
        <f t="shared" si="192"/>
        <v/>
      </c>
      <c r="T1761" s="83" t="str">
        <f t="shared" si="189"/>
        <v/>
      </c>
      <c r="Y1761" s="60">
        <f t="shared" si="193"/>
        <v>0</v>
      </c>
      <c r="Z1761" s="49">
        <f t="shared" si="194"/>
        <v>0</v>
      </c>
      <c r="AA1761" s="60">
        <f t="shared" si="195"/>
        <v>0</v>
      </c>
    </row>
    <row r="1762" spans="1:27">
      <c r="A1762" s="83" t="str">
        <f t="shared" si="190"/>
        <v/>
      </c>
      <c r="B1762" s="83" t="str">
        <f t="shared" si="191"/>
        <v/>
      </c>
      <c r="S1762" s="83" t="str">
        <f t="shared" si="192"/>
        <v/>
      </c>
      <c r="T1762" s="83" t="str">
        <f t="shared" si="189"/>
        <v/>
      </c>
      <c r="Y1762" s="60">
        <f t="shared" si="193"/>
        <v>0</v>
      </c>
      <c r="Z1762" s="49">
        <f t="shared" si="194"/>
        <v>0</v>
      </c>
      <c r="AA1762" s="60">
        <f t="shared" si="195"/>
        <v>0</v>
      </c>
    </row>
    <row r="1763" spans="1:27">
      <c r="A1763" s="83" t="str">
        <f t="shared" si="190"/>
        <v/>
      </c>
      <c r="B1763" s="83" t="str">
        <f t="shared" si="191"/>
        <v/>
      </c>
      <c r="S1763" s="83" t="str">
        <f t="shared" si="192"/>
        <v/>
      </c>
      <c r="T1763" s="83" t="str">
        <f t="shared" si="189"/>
        <v/>
      </c>
      <c r="Y1763" s="60">
        <f t="shared" si="193"/>
        <v>0</v>
      </c>
      <c r="Z1763" s="49">
        <f t="shared" si="194"/>
        <v>0</v>
      </c>
      <c r="AA1763" s="60">
        <f t="shared" si="195"/>
        <v>0</v>
      </c>
    </row>
    <row r="1764" spans="1:27">
      <c r="A1764" s="83" t="str">
        <f t="shared" si="190"/>
        <v/>
      </c>
      <c r="B1764" s="83" t="str">
        <f t="shared" si="191"/>
        <v/>
      </c>
      <c r="S1764" s="83" t="str">
        <f t="shared" si="192"/>
        <v/>
      </c>
      <c r="T1764" s="83" t="str">
        <f t="shared" si="189"/>
        <v/>
      </c>
      <c r="Y1764" s="60">
        <f t="shared" si="193"/>
        <v>0</v>
      </c>
      <c r="Z1764" s="49">
        <f t="shared" si="194"/>
        <v>0</v>
      </c>
      <c r="AA1764" s="60">
        <f t="shared" si="195"/>
        <v>0</v>
      </c>
    </row>
    <row r="1765" spans="1:27">
      <c r="A1765" s="83" t="str">
        <f t="shared" si="190"/>
        <v/>
      </c>
      <c r="B1765" s="83" t="str">
        <f t="shared" si="191"/>
        <v/>
      </c>
      <c r="S1765" s="83" t="str">
        <f t="shared" si="192"/>
        <v/>
      </c>
      <c r="T1765" s="83" t="str">
        <f t="shared" si="189"/>
        <v/>
      </c>
      <c r="Y1765" s="60">
        <f t="shared" si="193"/>
        <v>0</v>
      </c>
      <c r="Z1765" s="49">
        <f t="shared" si="194"/>
        <v>0</v>
      </c>
      <c r="AA1765" s="60">
        <f t="shared" si="195"/>
        <v>0</v>
      </c>
    </row>
    <row r="1766" spans="1:27">
      <c r="A1766" s="83" t="str">
        <f t="shared" si="190"/>
        <v/>
      </c>
      <c r="B1766" s="83" t="str">
        <f t="shared" si="191"/>
        <v/>
      </c>
      <c r="S1766" s="83" t="str">
        <f t="shared" si="192"/>
        <v/>
      </c>
      <c r="T1766" s="83" t="str">
        <f t="shared" si="189"/>
        <v/>
      </c>
      <c r="Y1766" s="60">
        <f t="shared" si="193"/>
        <v>0</v>
      </c>
      <c r="Z1766" s="49">
        <f t="shared" si="194"/>
        <v>0</v>
      </c>
      <c r="AA1766" s="60">
        <f t="shared" si="195"/>
        <v>0</v>
      </c>
    </row>
    <row r="1767" spans="1:27">
      <c r="A1767" s="83" t="str">
        <f t="shared" si="190"/>
        <v/>
      </c>
      <c r="B1767" s="83" t="str">
        <f t="shared" si="191"/>
        <v/>
      </c>
      <c r="S1767" s="83" t="str">
        <f t="shared" si="192"/>
        <v/>
      </c>
      <c r="T1767" s="83" t="str">
        <f t="shared" si="189"/>
        <v/>
      </c>
      <c r="Y1767" s="60">
        <f t="shared" si="193"/>
        <v>0</v>
      </c>
      <c r="Z1767" s="49">
        <f t="shared" si="194"/>
        <v>0</v>
      </c>
      <c r="AA1767" s="60">
        <f t="shared" si="195"/>
        <v>0</v>
      </c>
    </row>
    <row r="1768" spans="1:27">
      <c r="A1768" s="83" t="str">
        <f t="shared" si="190"/>
        <v/>
      </c>
      <c r="B1768" s="83" t="str">
        <f t="shared" si="191"/>
        <v/>
      </c>
      <c r="S1768" s="83" t="str">
        <f t="shared" si="192"/>
        <v/>
      </c>
      <c r="T1768" s="83" t="str">
        <f t="shared" si="189"/>
        <v/>
      </c>
      <c r="Y1768" s="60">
        <f t="shared" si="193"/>
        <v>0</v>
      </c>
      <c r="Z1768" s="49">
        <f t="shared" si="194"/>
        <v>0</v>
      </c>
      <c r="AA1768" s="60">
        <f t="shared" si="195"/>
        <v>0</v>
      </c>
    </row>
    <row r="1769" spans="1:27">
      <c r="A1769" s="83" t="str">
        <f t="shared" si="190"/>
        <v/>
      </c>
      <c r="B1769" s="83" t="str">
        <f t="shared" si="191"/>
        <v/>
      </c>
      <c r="S1769" s="83" t="str">
        <f t="shared" si="192"/>
        <v/>
      </c>
      <c r="T1769" s="83" t="str">
        <f t="shared" si="189"/>
        <v/>
      </c>
      <c r="Y1769" s="60">
        <f t="shared" si="193"/>
        <v>0</v>
      </c>
      <c r="Z1769" s="49">
        <f t="shared" si="194"/>
        <v>0</v>
      </c>
      <c r="AA1769" s="60">
        <f t="shared" si="195"/>
        <v>0</v>
      </c>
    </row>
    <row r="1770" spans="1:27">
      <c r="A1770" s="83" t="str">
        <f t="shared" si="190"/>
        <v/>
      </c>
      <c r="B1770" s="83" t="str">
        <f t="shared" si="191"/>
        <v/>
      </c>
      <c r="S1770" s="83" t="str">
        <f t="shared" si="192"/>
        <v/>
      </c>
      <c r="T1770" s="83" t="str">
        <f t="shared" si="189"/>
        <v/>
      </c>
      <c r="Y1770" s="60">
        <f t="shared" si="193"/>
        <v>0</v>
      </c>
      <c r="Z1770" s="49">
        <f t="shared" si="194"/>
        <v>0</v>
      </c>
      <c r="AA1770" s="60">
        <f t="shared" si="195"/>
        <v>0</v>
      </c>
    </row>
    <row r="1771" spans="1:27">
      <c r="A1771" s="83" t="str">
        <f t="shared" si="190"/>
        <v/>
      </c>
      <c r="B1771" s="83" t="str">
        <f t="shared" si="191"/>
        <v/>
      </c>
      <c r="S1771" s="83" t="str">
        <f t="shared" si="192"/>
        <v/>
      </c>
      <c r="T1771" s="83" t="str">
        <f t="shared" si="189"/>
        <v/>
      </c>
      <c r="Y1771" s="60">
        <f t="shared" si="193"/>
        <v>0</v>
      </c>
      <c r="Z1771" s="49">
        <f t="shared" si="194"/>
        <v>0</v>
      </c>
      <c r="AA1771" s="60">
        <f t="shared" si="195"/>
        <v>0</v>
      </c>
    </row>
    <row r="1772" spans="1:27">
      <c r="A1772" s="83" t="str">
        <f t="shared" si="190"/>
        <v/>
      </c>
      <c r="B1772" s="83" t="str">
        <f t="shared" si="191"/>
        <v/>
      </c>
      <c r="S1772" s="83" t="str">
        <f t="shared" si="192"/>
        <v/>
      </c>
      <c r="T1772" s="83" t="str">
        <f t="shared" si="189"/>
        <v/>
      </c>
      <c r="Y1772" s="60">
        <f t="shared" si="193"/>
        <v>0</v>
      </c>
      <c r="Z1772" s="49">
        <f t="shared" si="194"/>
        <v>0</v>
      </c>
      <c r="AA1772" s="60">
        <f t="shared" si="195"/>
        <v>0</v>
      </c>
    </row>
    <row r="1773" spans="1:27">
      <c r="A1773" s="83" t="str">
        <f t="shared" si="190"/>
        <v/>
      </c>
      <c r="B1773" s="83" t="str">
        <f t="shared" si="191"/>
        <v/>
      </c>
      <c r="S1773" s="83" t="str">
        <f t="shared" si="192"/>
        <v/>
      </c>
      <c r="T1773" s="83" t="str">
        <f t="shared" si="189"/>
        <v/>
      </c>
      <c r="Y1773" s="60">
        <f t="shared" si="193"/>
        <v>0</v>
      </c>
      <c r="Z1773" s="49">
        <f t="shared" si="194"/>
        <v>0</v>
      </c>
      <c r="AA1773" s="60">
        <f t="shared" si="195"/>
        <v>0</v>
      </c>
    </row>
    <row r="1774" spans="1:27">
      <c r="A1774" s="83" t="str">
        <f t="shared" si="190"/>
        <v/>
      </c>
      <c r="B1774" s="83" t="str">
        <f t="shared" si="191"/>
        <v/>
      </c>
      <c r="S1774" s="83" t="str">
        <f t="shared" si="192"/>
        <v/>
      </c>
      <c r="T1774" s="83" t="str">
        <f t="shared" si="189"/>
        <v/>
      </c>
      <c r="Y1774" s="60">
        <f t="shared" si="193"/>
        <v>0</v>
      </c>
      <c r="Z1774" s="49">
        <f t="shared" si="194"/>
        <v>0</v>
      </c>
      <c r="AA1774" s="60">
        <f t="shared" si="195"/>
        <v>0</v>
      </c>
    </row>
    <row r="1775" spans="1:27">
      <c r="A1775" s="83" t="str">
        <f t="shared" si="190"/>
        <v/>
      </c>
      <c r="B1775" s="83" t="str">
        <f t="shared" si="191"/>
        <v/>
      </c>
      <c r="S1775" s="83" t="str">
        <f t="shared" si="192"/>
        <v/>
      </c>
      <c r="T1775" s="83" t="str">
        <f t="shared" si="189"/>
        <v/>
      </c>
      <c r="Y1775" s="60">
        <f t="shared" si="193"/>
        <v>0</v>
      </c>
      <c r="Z1775" s="49">
        <f t="shared" si="194"/>
        <v>0</v>
      </c>
      <c r="AA1775" s="60">
        <f t="shared" si="195"/>
        <v>0</v>
      </c>
    </row>
    <row r="1776" spans="1:27">
      <c r="A1776" s="83" t="str">
        <f t="shared" si="190"/>
        <v/>
      </c>
      <c r="B1776" s="83" t="str">
        <f t="shared" si="191"/>
        <v/>
      </c>
      <c r="S1776" s="83" t="str">
        <f t="shared" si="192"/>
        <v/>
      </c>
      <c r="T1776" s="83" t="str">
        <f t="shared" si="189"/>
        <v/>
      </c>
      <c r="Y1776" s="60">
        <f t="shared" si="193"/>
        <v>0</v>
      </c>
      <c r="Z1776" s="49">
        <f t="shared" si="194"/>
        <v>0</v>
      </c>
      <c r="AA1776" s="60">
        <f t="shared" si="195"/>
        <v>0</v>
      </c>
    </row>
    <row r="1777" spans="1:27">
      <c r="A1777" s="83" t="str">
        <f t="shared" si="190"/>
        <v/>
      </c>
      <c r="B1777" s="83" t="str">
        <f t="shared" si="191"/>
        <v/>
      </c>
      <c r="S1777" s="83" t="str">
        <f t="shared" si="192"/>
        <v/>
      </c>
      <c r="T1777" s="83" t="str">
        <f t="shared" si="189"/>
        <v/>
      </c>
      <c r="Y1777" s="60">
        <f t="shared" si="193"/>
        <v>0</v>
      </c>
      <c r="Z1777" s="49">
        <f t="shared" si="194"/>
        <v>0</v>
      </c>
      <c r="AA1777" s="60">
        <f t="shared" si="195"/>
        <v>0</v>
      </c>
    </row>
    <row r="1778" spans="1:27">
      <c r="A1778" s="83" t="str">
        <f t="shared" si="190"/>
        <v/>
      </c>
      <c r="B1778" s="83" t="str">
        <f t="shared" si="191"/>
        <v/>
      </c>
      <c r="S1778" s="83" t="str">
        <f t="shared" si="192"/>
        <v/>
      </c>
      <c r="T1778" s="83" t="str">
        <f t="shared" si="189"/>
        <v/>
      </c>
      <c r="Y1778" s="60">
        <f t="shared" si="193"/>
        <v>0</v>
      </c>
      <c r="Z1778" s="49">
        <f t="shared" si="194"/>
        <v>0</v>
      </c>
      <c r="AA1778" s="60">
        <f t="shared" si="195"/>
        <v>0</v>
      </c>
    </row>
    <row r="1779" spans="1:27">
      <c r="A1779" s="83" t="str">
        <f t="shared" si="190"/>
        <v/>
      </c>
      <c r="B1779" s="83" t="str">
        <f t="shared" si="191"/>
        <v/>
      </c>
      <c r="S1779" s="83" t="str">
        <f t="shared" si="192"/>
        <v/>
      </c>
      <c r="T1779" s="83" t="str">
        <f t="shared" si="189"/>
        <v/>
      </c>
      <c r="Y1779" s="60">
        <f t="shared" si="193"/>
        <v>0</v>
      </c>
      <c r="Z1779" s="49">
        <f t="shared" si="194"/>
        <v>0</v>
      </c>
      <c r="AA1779" s="60">
        <f t="shared" si="195"/>
        <v>0</v>
      </c>
    </row>
    <row r="1780" spans="1:27">
      <c r="A1780" s="83" t="str">
        <f t="shared" si="190"/>
        <v/>
      </c>
      <c r="B1780" s="83" t="str">
        <f t="shared" si="191"/>
        <v/>
      </c>
      <c r="S1780" s="83" t="str">
        <f t="shared" si="192"/>
        <v/>
      </c>
      <c r="T1780" s="83" t="str">
        <f t="shared" si="189"/>
        <v/>
      </c>
      <c r="Y1780" s="60">
        <f t="shared" si="193"/>
        <v>0</v>
      </c>
      <c r="Z1780" s="49">
        <f t="shared" si="194"/>
        <v>0</v>
      </c>
      <c r="AA1780" s="60">
        <f t="shared" si="195"/>
        <v>0</v>
      </c>
    </row>
    <row r="1781" spans="1:27">
      <c r="A1781" s="83" t="str">
        <f t="shared" si="190"/>
        <v/>
      </c>
      <c r="B1781" s="83" t="str">
        <f t="shared" si="191"/>
        <v/>
      </c>
      <c r="S1781" s="83" t="str">
        <f t="shared" si="192"/>
        <v/>
      </c>
      <c r="T1781" s="83" t="str">
        <f t="shared" si="189"/>
        <v/>
      </c>
      <c r="Y1781" s="60">
        <f t="shared" si="193"/>
        <v>0</v>
      </c>
      <c r="Z1781" s="49">
        <f t="shared" si="194"/>
        <v>0</v>
      </c>
      <c r="AA1781" s="60">
        <f t="shared" si="195"/>
        <v>0</v>
      </c>
    </row>
    <row r="1782" spans="1:27">
      <c r="A1782" s="83" t="str">
        <f t="shared" si="190"/>
        <v/>
      </c>
      <c r="B1782" s="83" t="str">
        <f t="shared" si="191"/>
        <v/>
      </c>
      <c r="S1782" s="83" t="str">
        <f t="shared" si="192"/>
        <v/>
      </c>
      <c r="T1782" s="83" t="str">
        <f t="shared" si="189"/>
        <v/>
      </c>
      <c r="Y1782" s="60">
        <f t="shared" si="193"/>
        <v>0</v>
      </c>
      <c r="Z1782" s="49">
        <f t="shared" si="194"/>
        <v>0</v>
      </c>
      <c r="AA1782" s="60">
        <f t="shared" si="195"/>
        <v>0</v>
      </c>
    </row>
    <row r="1783" spans="1:27">
      <c r="A1783" s="83" t="str">
        <f t="shared" si="190"/>
        <v/>
      </c>
      <c r="B1783" s="83" t="str">
        <f t="shared" si="191"/>
        <v/>
      </c>
      <c r="S1783" s="83" t="str">
        <f t="shared" si="192"/>
        <v/>
      </c>
      <c r="T1783" s="83" t="str">
        <f t="shared" si="189"/>
        <v/>
      </c>
      <c r="Y1783" s="60">
        <f t="shared" si="193"/>
        <v>0</v>
      </c>
      <c r="Z1783" s="49">
        <f t="shared" si="194"/>
        <v>0</v>
      </c>
      <c r="AA1783" s="60">
        <f t="shared" si="195"/>
        <v>0</v>
      </c>
    </row>
    <row r="1784" spans="1:27">
      <c r="A1784" s="83" t="str">
        <f t="shared" si="190"/>
        <v/>
      </c>
      <c r="B1784" s="83" t="str">
        <f t="shared" si="191"/>
        <v/>
      </c>
      <c r="S1784" s="83" t="str">
        <f t="shared" si="192"/>
        <v/>
      </c>
      <c r="T1784" s="83" t="str">
        <f t="shared" si="189"/>
        <v/>
      </c>
      <c r="Y1784" s="60">
        <f t="shared" si="193"/>
        <v>0</v>
      </c>
      <c r="Z1784" s="49">
        <f t="shared" si="194"/>
        <v>0</v>
      </c>
      <c r="AA1784" s="60">
        <f t="shared" si="195"/>
        <v>0</v>
      </c>
    </row>
    <row r="1785" spans="1:27">
      <c r="A1785" s="83" t="str">
        <f t="shared" si="190"/>
        <v/>
      </c>
      <c r="B1785" s="83" t="str">
        <f t="shared" si="191"/>
        <v/>
      </c>
      <c r="S1785" s="83" t="str">
        <f t="shared" si="192"/>
        <v/>
      </c>
      <c r="T1785" s="83" t="str">
        <f t="shared" si="189"/>
        <v/>
      </c>
      <c r="Y1785" s="60">
        <f t="shared" si="193"/>
        <v>0</v>
      </c>
      <c r="Z1785" s="49">
        <f t="shared" si="194"/>
        <v>0</v>
      </c>
      <c r="AA1785" s="60">
        <f t="shared" si="195"/>
        <v>0</v>
      </c>
    </row>
    <row r="1786" spans="1:27">
      <c r="A1786" s="83" t="str">
        <f t="shared" si="190"/>
        <v/>
      </c>
      <c r="B1786" s="83" t="str">
        <f t="shared" si="191"/>
        <v/>
      </c>
      <c r="S1786" s="83" t="str">
        <f t="shared" si="192"/>
        <v/>
      </c>
      <c r="T1786" s="83" t="str">
        <f t="shared" si="189"/>
        <v/>
      </c>
      <c r="Y1786" s="60">
        <f t="shared" si="193"/>
        <v>0</v>
      </c>
      <c r="Z1786" s="49">
        <f t="shared" si="194"/>
        <v>0</v>
      </c>
      <c r="AA1786" s="60">
        <f t="shared" si="195"/>
        <v>0</v>
      </c>
    </row>
    <row r="1787" spans="1:27">
      <c r="A1787" s="83" t="str">
        <f t="shared" si="190"/>
        <v/>
      </c>
      <c r="B1787" s="83" t="str">
        <f t="shared" si="191"/>
        <v/>
      </c>
      <c r="S1787" s="83" t="str">
        <f t="shared" si="192"/>
        <v/>
      </c>
      <c r="T1787" s="83" t="str">
        <f t="shared" si="189"/>
        <v/>
      </c>
      <c r="Y1787" s="60">
        <f t="shared" si="193"/>
        <v>0</v>
      </c>
      <c r="Z1787" s="49">
        <f t="shared" si="194"/>
        <v>0</v>
      </c>
      <c r="AA1787" s="60">
        <f t="shared" si="195"/>
        <v>0</v>
      </c>
    </row>
    <row r="1788" spans="1:27">
      <c r="A1788" s="83" t="str">
        <f t="shared" si="190"/>
        <v/>
      </c>
      <c r="B1788" s="83" t="str">
        <f t="shared" si="191"/>
        <v/>
      </c>
      <c r="S1788" s="83" t="str">
        <f t="shared" si="192"/>
        <v/>
      </c>
      <c r="T1788" s="83" t="str">
        <f t="shared" si="189"/>
        <v/>
      </c>
      <c r="Y1788" s="60">
        <f t="shared" si="193"/>
        <v>0</v>
      </c>
      <c r="Z1788" s="49">
        <f t="shared" si="194"/>
        <v>0</v>
      </c>
      <c r="AA1788" s="60">
        <f t="shared" si="195"/>
        <v>0</v>
      </c>
    </row>
    <row r="1789" spans="1:27">
      <c r="A1789" s="83" t="str">
        <f t="shared" si="190"/>
        <v/>
      </c>
      <c r="B1789" s="83" t="str">
        <f t="shared" si="191"/>
        <v/>
      </c>
      <c r="S1789" s="83" t="str">
        <f t="shared" si="192"/>
        <v/>
      </c>
      <c r="T1789" s="83" t="str">
        <f t="shared" si="189"/>
        <v/>
      </c>
      <c r="Y1789" s="60">
        <f t="shared" si="193"/>
        <v>0</v>
      </c>
      <c r="Z1789" s="49">
        <f t="shared" si="194"/>
        <v>0</v>
      </c>
      <c r="AA1789" s="60">
        <f t="shared" si="195"/>
        <v>0</v>
      </c>
    </row>
    <row r="1790" spans="1:27">
      <c r="A1790" s="83" t="str">
        <f t="shared" si="190"/>
        <v/>
      </c>
      <c r="B1790" s="83" t="str">
        <f t="shared" si="191"/>
        <v/>
      </c>
      <c r="S1790" s="83" t="str">
        <f t="shared" si="192"/>
        <v/>
      </c>
      <c r="T1790" s="83" t="str">
        <f t="shared" si="189"/>
        <v/>
      </c>
      <c r="Y1790" s="60">
        <f t="shared" si="193"/>
        <v>0</v>
      </c>
      <c r="Z1790" s="49">
        <f t="shared" si="194"/>
        <v>0</v>
      </c>
      <c r="AA1790" s="60">
        <f t="shared" si="195"/>
        <v>0</v>
      </c>
    </row>
    <row r="1791" spans="1:27">
      <c r="A1791" s="83" t="str">
        <f t="shared" si="190"/>
        <v/>
      </c>
      <c r="B1791" s="83" t="str">
        <f t="shared" si="191"/>
        <v/>
      </c>
      <c r="S1791" s="83" t="str">
        <f t="shared" si="192"/>
        <v/>
      </c>
      <c r="T1791" s="83" t="str">
        <f t="shared" si="189"/>
        <v/>
      </c>
      <c r="Y1791" s="60">
        <f t="shared" si="193"/>
        <v>0</v>
      </c>
      <c r="Z1791" s="49">
        <f t="shared" si="194"/>
        <v>0</v>
      </c>
      <c r="AA1791" s="60">
        <f t="shared" si="195"/>
        <v>0</v>
      </c>
    </row>
    <row r="1792" spans="1:27">
      <c r="A1792" s="83" t="str">
        <f t="shared" si="190"/>
        <v/>
      </c>
      <c r="B1792" s="83" t="str">
        <f t="shared" si="191"/>
        <v/>
      </c>
      <c r="S1792" s="83" t="str">
        <f t="shared" si="192"/>
        <v/>
      </c>
      <c r="T1792" s="83" t="str">
        <f t="shared" si="189"/>
        <v/>
      </c>
      <c r="Y1792" s="60">
        <f t="shared" si="193"/>
        <v>0</v>
      </c>
      <c r="Z1792" s="49">
        <f t="shared" si="194"/>
        <v>0</v>
      </c>
      <c r="AA1792" s="60">
        <f t="shared" si="195"/>
        <v>0</v>
      </c>
    </row>
    <row r="1793" spans="1:27">
      <c r="A1793" s="83" t="str">
        <f t="shared" si="190"/>
        <v/>
      </c>
      <c r="B1793" s="83" t="str">
        <f t="shared" si="191"/>
        <v/>
      </c>
      <c r="S1793" s="83" t="str">
        <f t="shared" si="192"/>
        <v/>
      </c>
      <c r="T1793" s="83" t="str">
        <f t="shared" si="189"/>
        <v/>
      </c>
      <c r="Y1793" s="60">
        <f t="shared" si="193"/>
        <v>0</v>
      </c>
      <c r="Z1793" s="49">
        <f t="shared" si="194"/>
        <v>0</v>
      </c>
      <c r="AA1793" s="60">
        <f t="shared" si="195"/>
        <v>0</v>
      </c>
    </row>
    <row r="1794" spans="1:27">
      <c r="A1794" s="83" t="str">
        <f t="shared" si="190"/>
        <v/>
      </c>
      <c r="B1794" s="83" t="str">
        <f t="shared" si="191"/>
        <v/>
      </c>
      <c r="S1794" s="83" t="str">
        <f t="shared" si="192"/>
        <v/>
      </c>
      <c r="T1794" s="83" t="str">
        <f t="shared" ref="T1794:T1857" si="196">IF(A1794&lt;&gt;"",IF(FIND(" ",G1794)&gt;=1,MID(G1794,FIND(" ",G1794)+1,LEN(G1794)),""),"")</f>
        <v/>
      </c>
      <c r="Y1794" s="60">
        <f t="shared" si="193"/>
        <v>0</v>
      </c>
      <c r="Z1794" s="49">
        <f t="shared" si="194"/>
        <v>0</v>
      </c>
      <c r="AA1794" s="60">
        <f t="shared" si="195"/>
        <v>0</v>
      </c>
    </row>
    <row r="1795" spans="1:27">
      <c r="A1795" s="83" t="str">
        <f t="shared" ref="A1795:A1858" si="197">IF(G1795&amp;Q1795&lt;&gt;"",S1795&amp;Q1795,"")</f>
        <v/>
      </c>
      <c r="B1795" s="83" t="str">
        <f t="shared" ref="B1795:B1858" si="198">IF(C1795&lt;&gt;"",LEFT(C1795,9),"")</f>
        <v/>
      </c>
      <c r="S1795" s="83" t="str">
        <f t="shared" ref="S1795:S1858" si="199">IF(G1795&lt;&gt;"",IF(FIND(" ",G1795)&gt;=1,MID(G1795,1,FIND(" ",G1795)-1),G1795),"")</f>
        <v/>
      </c>
      <c r="T1795" s="83" t="str">
        <f t="shared" si="196"/>
        <v/>
      </c>
      <c r="Y1795" s="60">
        <f t="shared" ref="Y1795:Y1858" si="200">IFERROR(VALUE(MID($C1795,1,2)),0)</f>
        <v>0</v>
      </c>
      <c r="Z1795" s="49">
        <f t="shared" ref="Z1795:Z1858" si="201">IFERROR(VALUE(MID($C1795,4,3)),0)</f>
        <v>0</v>
      </c>
      <c r="AA1795" s="60">
        <f t="shared" ref="AA1795:AA1858" si="202">VALUE(RIGHT("00"&amp;Y1795,2)&amp;RIGHT("000"&amp;Z1795,3))</f>
        <v>0</v>
      </c>
    </row>
    <row r="1796" spans="1:27">
      <c r="A1796" s="83" t="str">
        <f t="shared" si="197"/>
        <v/>
      </c>
      <c r="B1796" s="83" t="str">
        <f t="shared" si="198"/>
        <v/>
      </c>
      <c r="S1796" s="83" t="str">
        <f t="shared" si="199"/>
        <v/>
      </c>
      <c r="T1796" s="83" t="str">
        <f t="shared" si="196"/>
        <v/>
      </c>
      <c r="Y1796" s="60">
        <f t="shared" si="200"/>
        <v>0</v>
      </c>
      <c r="Z1796" s="49">
        <f t="shared" si="201"/>
        <v>0</v>
      </c>
      <c r="AA1796" s="60">
        <f t="shared" si="202"/>
        <v>0</v>
      </c>
    </row>
    <row r="1797" spans="1:27">
      <c r="A1797" s="83" t="str">
        <f t="shared" si="197"/>
        <v/>
      </c>
      <c r="B1797" s="83" t="str">
        <f t="shared" si="198"/>
        <v/>
      </c>
      <c r="S1797" s="83" t="str">
        <f t="shared" si="199"/>
        <v/>
      </c>
      <c r="T1797" s="83" t="str">
        <f t="shared" si="196"/>
        <v/>
      </c>
      <c r="Y1797" s="60">
        <f t="shared" si="200"/>
        <v>0</v>
      </c>
      <c r="Z1797" s="49">
        <f t="shared" si="201"/>
        <v>0</v>
      </c>
      <c r="AA1797" s="60">
        <f t="shared" si="202"/>
        <v>0</v>
      </c>
    </row>
    <row r="1798" spans="1:27">
      <c r="A1798" s="83" t="str">
        <f t="shared" si="197"/>
        <v/>
      </c>
      <c r="B1798" s="83" t="str">
        <f t="shared" si="198"/>
        <v/>
      </c>
      <c r="S1798" s="83" t="str">
        <f t="shared" si="199"/>
        <v/>
      </c>
      <c r="T1798" s="83" t="str">
        <f t="shared" si="196"/>
        <v/>
      </c>
      <c r="Y1798" s="60">
        <f t="shared" si="200"/>
        <v>0</v>
      </c>
      <c r="Z1798" s="49">
        <f t="shared" si="201"/>
        <v>0</v>
      </c>
      <c r="AA1798" s="60">
        <f t="shared" si="202"/>
        <v>0</v>
      </c>
    </row>
    <row r="1799" spans="1:27">
      <c r="A1799" s="83" t="str">
        <f t="shared" si="197"/>
        <v/>
      </c>
      <c r="B1799" s="83" t="str">
        <f t="shared" si="198"/>
        <v/>
      </c>
      <c r="S1799" s="83" t="str">
        <f t="shared" si="199"/>
        <v/>
      </c>
      <c r="T1799" s="83" t="str">
        <f t="shared" si="196"/>
        <v/>
      </c>
      <c r="Y1799" s="60">
        <f t="shared" si="200"/>
        <v>0</v>
      </c>
      <c r="Z1799" s="49">
        <f t="shared" si="201"/>
        <v>0</v>
      </c>
      <c r="AA1799" s="60">
        <f t="shared" si="202"/>
        <v>0</v>
      </c>
    </row>
    <row r="1800" spans="1:27">
      <c r="A1800" s="83" t="str">
        <f t="shared" si="197"/>
        <v/>
      </c>
      <c r="B1800" s="83" t="str">
        <f t="shared" si="198"/>
        <v/>
      </c>
      <c r="S1800" s="83" t="str">
        <f t="shared" si="199"/>
        <v/>
      </c>
      <c r="T1800" s="83" t="str">
        <f t="shared" si="196"/>
        <v/>
      </c>
      <c r="Y1800" s="60">
        <f t="shared" si="200"/>
        <v>0</v>
      </c>
      <c r="Z1800" s="49">
        <f t="shared" si="201"/>
        <v>0</v>
      </c>
      <c r="AA1800" s="60">
        <f t="shared" si="202"/>
        <v>0</v>
      </c>
    </row>
    <row r="1801" spans="1:27">
      <c r="A1801" s="83" t="str">
        <f t="shared" si="197"/>
        <v/>
      </c>
      <c r="B1801" s="83" t="str">
        <f t="shared" si="198"/>
        <v/>
      </c>
      <c r="S1801" s="83" t="str">
        <f t="shared" si="199"/>
        <v/>
      </c>
      <c r="T1801" s="83" t="str">
        <f t="shared" si="196"/>
        <v/>
      </c>
      <c r="Y1801" s="60">
        <f t="shared" si="200"/>
        <v>0</v>
      </c>
      <c r="Z1801" s="49">
        <f t="shared" si="201"/>
        <v>0</v>
      </c>
      <c r="AA1801" s="60">
        <f t="shared" si="202"/>
        <v>0</v>
      </c>
    </row>
    <row r="1802" spans="1:27">
      <c r="A1802" s="83" t="str">
        <f t="shared" si="197"/>
        <v/>
      </c>
      <c r="B1802" s="83" t="str">
        <f t="shared" si="198"/>
        <v/>
      </c>
      <c r="S1802" s="83" t="str">
        <f t="shared" si="199"/>
        <v/>
      </c>
      <c r="T1802" s="83" t="str">
        <f t="shared" si="196"/>
        <v/>
      </c>
      <c r="Y1802" s="60">
        <f t="shared" si="200"/>
        <v>0</v>
      </c>
      <c r="Z1802" s="49">
        <f t="shared" si="201"/>
        <v>0</v>
      </c>
      <c r="AA1802" s="60">
        <f t="shared" si="202"/>
        <v>0</v>
      </c>
    </row>
    <row r="1803" spans="1:27">
      <c r="A1803" s="83" t="str">
        <f t="shared" si="197"/>
        <v/>
      </c>
      <c r="B1803" s="83" t="str">
        <f t="shared" si="198"/>
        <v/>
      </c>
      <c r="S1803" s="83" t="str">
        <f t="shared" si="199"/>
        <v/>
      </c>
      <c r="T1803" s="83" t="str">
        <f t="shared" si="196"/>
        <v/>
      </c>
      <c r="Y1803" s="60">
        <f t="shared" si="200"/>
        <v>0</v>
      </c>
      <c r="Z1803" s="49">
        <f t="shared" si="201"/>
        <v>0</v>
      </c>
      <c r="AA1803" s="60">
        <f t="shared" si="202"/>
        <v>0</v>
      </c>
    </row>
    <row r="1804" spans="1:27">
      <c r="A1804" s="83" t="str">
        <f t="shared" si="197"/>
        <v/>
      </c>
      <c r="B1804" s="83" t="str">
        <f t="shared" si="198"/>
        <v/>
      </c>
      <c r="S1804" s="83" t="str">
        <f t="shared" si="199"/>
        <v/>
      </c>
      <c r="T1804" s="83" t="str">
        <f t="shared" si="196"/>
        <v/>
      </c>
      <c r="Y1804" s="60">
        <f t="shared" si="200"/>
        <v>0</v>
      </c>
      <c r="Z1804" s="49">
        <f t="shared" si="201"/>
        <v>0</v>
      </c>
      <c r="AA1804" s="60">
        <f t="shared" si="202"/>
        <v>0</v>
      </c>
    </row>
    <row r="1805" spans="1:27">
      <c r="A1805" s="83" t="str">
        <f t="shared" si="197"/>
        <v/>
      </c>
      <c r="B1805" s="83" t="str">
        <f t="shared" si="198"/>
        <v/>
      </c>
      <c r="S1805" s="83" t="str">
        <f t="shared" si="199"/>
        <v/>
      </c>
      <c r="T1805" s="83" t="str">
        <f t="shared" si="196"/>
        <v/>
      </c>
      <c r="Y1805" s="60">
        <f t="shared" si="200"/>
        <v>0</v>
      </c>
      <c r="Z1805" s="49">
        <f t="shared" si="201"/>
        <v>0</v>
      </c>
      <c r="AA1805" s="60">
        <f t="shared" si="202"/>
        <v>0</v>
      </c>
    </row>
    <row r="1806" spans="1:27">
      <c r="A1806" s="83" t="str">
        <f t="shared" si="197"/>
        <v/>
      </c>
      <c r="B1806" s="83" t="str">
        <f t="shared" si="198"/>
        <v/>
      </c>
      <c r="S1806" s="83" t="str">
        <f t="shared" si="199"/>
        <v/>
      </c>
      <c r="T1806" s="83" t="str">
        <f t="shared" si="196"/>
        <v/>
      </c>
      <c r="Y1806" s="60">
        <f t="shared" si="200"/>
        <v>0</v>
      </c>
      <c r="Z1806" s="49">
        <f t="shared" si="201"/>
        <v>0</v>
      </c>
      <c r="AA1806" s="60">
        <f t="shared" si="202"/>
        <v>0</v>
      </c>
    </row>
    <row r="1807" spans="1:27">
      <c r="A1807" s="83" t="str">
        <f t="shared" si="197"/>
        <v/>
      </c>
      <c r="B1807" s="83" t="str">
        <f t="shared" si="198"/>
        <v/>
      </c>
      <c r="S1807" s="83" t="str">
        <f t="shared" si="199"/>
        <v/>
      </c>
      <c r="T1807" s="83" t="str">
        <f t="shared" si="196"/>
        <v/>
      </c>
      <c r="Y1807" s="60">
        <f t="shared" si="200"/>
        <v>0</v>
      </c>
      <c r="Z1807" s="49">
        <f t="shared" si="201"/>
        <v>0</v>
      </c>
      <c r="AA1807" s="60">
        <f t="shared" si="202"/>
        <v>0</v>
      </c>
    </row>
    <row r="1808" spans="1:27">
      <c r="A1808" s="83" t="str">
        <f t="shared" si="197"/>
        <v/>
      </c>
      <c r="B1808" s="83" t="str">
        <f t="shared" si="198"/>
        <v/>
      </c>
      <c r="S1808" s="83" t="str">
        <f t="shared" si="199"/>
        <v/>
      </c>
      <c r="T1808" s="83" t="str">
        <f t="shared" si="196"/>
        <v/>
      </c>
      <c r="Y1808" s="60">
        <f t="shared" si="200"/>
        <v>0</v>
      </c>
      <c r="Z1808" s="49">
        <f t="shared" si="201"/>
        <v>0</v>
      </c>
      <c r="AA1808" s="60">
        <f t="shared" si="202"/>
        <v>0</v>
      </c>
    </row>
    <row r="1809" spans="1:27">
      <c r="A1809" s="83" t="str">
        <f t="shared" si="197"/>
        <v/>
      </c>
      <c r="B1809" s="83" t="str">
        <f t="shared" si="198"/>
        <v/>
      </c>
      <c r="S1809" s="83" t="str">
        <f t="shared" si="199"/>
        <v/>
      </c>
      <c r="T1809" s="83" t="str">
        <f t="shared" si="196"/>
        <v/>
      </c>
      <c r="Y1809" s="60">
        <f t="shared" si="200"/>
        <v>0</v>
      </c>
      <c r="Z1809" s="49">
        <f t="shared" si="201"/>
        <v>0</v>
      </c>
      <c r="AA1809" s="60">
        <f t="shared" si="202"/>
        <v>0</v>
      </c>
    </row>
    <row r="1810" spans="1:27">
      <c r="A1810" s="83" t="str">
        <f t="shared" si="197"/>
        <v/>
      </c>
      <c r="B1810" s="83" t="str">
        <f t="shared" si="198"/>
        <v/>
      </c>
      <c r="S1810" s="83" t="str">
        <f t="shared" si="199"/>
        <v/>
      </c>
      <c r="T1810" s="83" t="str">
        <f t="shared" si="196"/>
        <v/>
      </c>
      <c r="Y1810" s="60">
        <f t="shared" si="200"/>
        <v>0</v>
      </c>
      <c r="Z1810" s="49">
        <f t="shared" si="201"/>
        <v>0</v>
      </c>
      <c r="AA1810" s="60">
        <f t="shared" si="202"/>
        <v>0</v>
      </c>
    </row>
    <row r="1811" spans="1:27">
      <c r="A1811" s="83" t="str">
        <f t="shared" si="197"/>
        <v/>
      </c>
      <c r="B1811" s="83" t="str">
        <f t="shared" si="198"/>
        <v/>
      </c>
      <c r="S1811" s="83" t="str">
        <f t="shared" si="199"/>
        <v/>
      </c>
      <c r="T1811" s="83" t="str">
        <f t="shared" si="196"/>
        <v/>
      </c>
      <c r="Y1811" s="60">
        <f t="shared" si="200"/>
        <v>0</v>
      </c>
      <c r="Z1811" s="49">
        <f t="shared" si="201"/>
        <v>0</v>
      </c>
      <c r="AA1811" s="60">
        <f t="shared" si="202"/>
        <v>0</v>
      </c>
    </row>
    <row r="1812" spans="1:27">
      <c r="A1812" s="83" t="str">
        <f t="shared" si="197"/>
        <v/>
      </c>
      <c r="B1812" s="83" t="str">
        <f t="shared" si="198"/>
        <v/>
      </c>
      <c r="S1812" s="83" t="str">
        <f t="shared" si="199"/>
        <v/>
      </c>
      <c r="T1812" s="83" t="str">
        <f t="shared" si="196"/>
        <v/>
      </c>
      <c r="Y1812" s="60">
        <f t="shared" si="200"/>
        <v>0</v>
      </c>
      <c r="Z1812" s="49">
        <f t="shared" si="201"/>
        <v>0</v>
      </c>
      <c r="AA1812" s="60">
        <f t="shared" si="202"/>
        <v>0</v>
      </c>
    </row>
    <row r="1813" spans="1:27">
      <c r="A1813" s="83" t="str">
        <f t="shared" si="197"/>
        <v/>
      </c>
      <c r="B1813" s="83" t="str">
        <f t="shared" si="198"/>
        <v/>
      </c>
      <c r="S1813" s="83" t="str">
        <f t="shared" si="199"/>
        <v/>
      </c>
      <c r="T1813" s="83" t="str">
        <f t="shared" si="196"/>
        <v/>
      </c>
      <c r="Y1813" s="60">
        <f t="shared" si="200"/>
        <v>0</v>
      </c>
      <c r="Z1813" s="49">
        <f t="shared" si="201"/>
        <v>0</v>
      </c>
      <c r="AA1813" s="60">
        <f t="shared" si="202"/>
        <v>0</v>
      </c>
    </row>
    <row r="1814" spans="1:27">
      <c r="A1814" s="83" t="str">
        <f t="shared" si="197"/>
        <v/>
      </c>
      <c r="B1814" s="83" t="str">
        <f t="shared" si="198"/>
        <v/>
      </c>
      <c r="S1814" s="83" t="str">
        <f t="shared" si="199"/>
        <v/>
      </c>
      <c r="T1814" s="83" t="str">
        <f t="shared" si="196"/>
        <v/>
      </c>
      <c r="Y1814" s="60">
        <f t="shared" si="200"/>
        <v>0</v>
      </c>
      <c r="Z1814" s="49">
        <f t="shared" si="201"/>
        <v>0</v>
      </c>
      <c r="AA1814" s="60">
        <f t="shared" si="202"/>
        <v>0</v>
      </c>
    </row>
    <row r="1815" spans="1:27">
      <c r="A1815" s="83" t="str">
        <f t="shared" si="197"/>
        <v/>
      </c>
      <c r="B1815" s="83" t="str">
        <f t="shared" si="198"/>
        <v/>
      </c>
      <c r="S1815" s="83" t="str">
        <f t="shared" si="199"/>
        <v/>
      </c>
      <c r="T1815" s="83" t="str">
        <f t="shared" si="196"/>
        <v/>
      </c>
      <c r="Y1815" s="60">
        <f t="shared" si="200"/>
        <v>0</v>
      </c>
      <c r="Z1815" s="49">
        <f t="shared" si="201"/>
        <v>0</v>
      </c>
      <c r="AA1815" s="60">
        <f t="shared" si="202"/>
        <v>0</v>
      </c>
    </row>
    <row r="1816" spans="1:27">
      <c r="A1816" s="83" t="str">
        <f t="shared" si="197"/>
        <v/>
      </c>
      <c r="B1816" s="83" t="str">
        <f t="shared" si="198"/>
        <v/>
      </c>
      <c r="S1816" s="83" t="str">
        <f t="shared" si="199"/>
        <v/>
      </c>
      <c r="T1816" s="83" t="str">
        <f t="shared" si="196"/>
        <v/>
      </c>
      <c r="Y1816" s="60">
        <f t="shared" si="200"/>
        <v>0</v>
      </c>
      <c r="Z1816" s="49">
        <f t="shared" si="201"/>
        <v>0</v>
      </c>
      <c r="AA1816" s="60">
        <f t="shared" si="202"/>
        <v>0</v>
      </c>
    </row>
    <row r="1817" spans="1:27">
      <c r="A1817" s="83" t="str">
        <f t="shared" si="197"/>
        <v/>
      </c>
      <c r="B1817" s="83" t="str">
        <f t="shared" si="198"/>
        <v/>
      </c>
      <c r="S1817" s="83" t="str">
        <f t="shared" si="199"/>
        <v/>
      </c>
      <c r="T1817" s="83" t="str">
        <f t="shared" si="196"/>
        <v/>
      </c>
      <c r="Y1817" s="60">
        <f t="shared" si="200"/>
        <v>0</v>
      </c>
      <c r="Z1817" s="49">
        <f t="shared" si="201"/>
        <v>0</v>
      </c>
      <c r="AA1817" s="60">
        <f t="shared" si="202"/>
        <v>0</v>
      </c>
    </row>
    <row r="1818" spans="1:27">
      <c r="A1818" s="83" t="str">
        <f t="shared" si="197"/>
        <v/>
      </c>
      <c r="B1818" s="83" t="str">
        <f t="shared" si="198"/>
        <v/>
      </c>
      <c r="S1818" s="83" t="str">
        <f t="shared" si="199"/>
        <v/>
      </c>
      <c r="T1818" s="83" t="str">
        <f t="shared" si="196"/>
        <v/>
      </c>
      <c r="Y1818" s="60">
        <f t="shared" si="200"/>
        <v>0</v>
      </c>
      <c r="Z1818" s="49">
        <f t="shared" si="201"/>
        <v>0</v>
      </c>
      <c r="AA1818" s="60">
        <f t="shared" si="202"/>
        <v>0</v>
      </c>
    </row>
    <row r="1819" spans="1:27">
      <c r="A1819" s="83" t="str">
        <f t="shared" si="197"/>
        <v/>
      </c>
      <c r="B1819" s="83" t="str">
        <f t="shared" si="198"/>
        <v/>
      </c>
      <c r="S1819" s="83" t="str">
        <f t="shared" si="199"/>
        <v/>
      </c>
      <c r="T1819" s="83" t="str">
        <f t="shared" si="196"/>
        <v/>
      </c>
      <c r="Y1819" s="60">
        <f t="shared" si="200"/>
        <v>0</v>
      </c>
      <c r="Z1819" s="49">
        <f t="shared" si="201"/>
        <v>0</v>
      </c>
      <c r="AA1819" s="60">
        <f t="shared" si="202"/>
        <v>0</v>
      </c>
    </row>
    <row r="1820" spans="1:27">
      <c r="A1820" s="83" t="str">
        <f t="shared" si="197"/>
        <v/>
      </c>
      <c r="B1820" s="83" t="str">
        <f t="shared" si="198"/>
        <v/>
      </c>
      <c r="S1820" s="83" t="str">
        <f t="shared" si="199"/>
        <v/>
      </c>
      <c r="T1820" s="83" t="str">
        <f t="shared" si="196"/>
        <v/>
      </c>
      <c r="Y1820" s="60">
        <f t="shared" si="200"/>
        <v>0</v>
      </c>
      <c r="Z1820" s="49">
        <f t="shared" si="201"/>
        <v>0</v>
      </c>
      <c r="AA1820" s="60">
        <f t="shared" si="202"/>
        <v>0</v>
      </c>
    </row>
    <row r="1821" spans="1:27">
      <c r="A1821" s="83" t="str">
        <f t="shared" si="197"/>
        <v/>
      </c>
      <c r="B1821" s="83" t="str">
        <f t="shared" si="198"/>
        <v/>
      </c>
      <c r="S1821" s="83" t="str">
        <f t="shared" si="199"/>
        <v/>
      </c>
      <c r="T1821" s="83" t="str">
        <f t="shared" si="196"/>
        <v/>
      </c>
      <c r="Y1821" s="60">
        <f t="shared" si="200"/>
        <v>0</v>
      </c>
      <c r="Z1821" s="49">
        <f t="shared" si="201"/>
        <v>0</v>
      </c>
      <c r="AA1821" s="60">
        <f t="shared" si="202"/>
        <v>0</v>
      </c>
    </row>
    <row r="1822" spans="1:27">
      <c r="A1822" s="83" t="str">
        <f t="shared" si="197"/>
        <v/>
      </c>
      <c r="B1822" s="83" t="str">
        <f t="shared" si="198"/>
        <v/>
      </c>
      <c r="S1822" s="83" t="str">
        <f t="shared" si="199"/>
        <v/>
      </c>
      <c r="T1822" s="83" t="str">
        <f t="shared" si="196"/>
        <v/>
      </c>
      <c r="Y1822" s="60">
        <f t="shared" si="200"/>
        <v>0</v>
      </c>
      <c r="Z1822" s="49">
        <f t="shared" si="201"/>
        <v>0</v>
      </c>
      <c r="AA1822" s="60">
        <f t="shared" si="202"/>
        <v>0</v>
      </c>
    </row>
    <row r="1823" spans="1:27">
      <c r="A1823" s="83" t="str">
        <f t="shared" si="197"/>
        <v/>
      </c>
      <c r="B1823" s="83" t="str">
        <f t="shared" si="198"/>
        <v/>
      </c>
      <c r="S1823" s="83" t="str">
        <f t="shared" si="199"/>
        <v/>
      </c>
      <c r="T1823" s="83" t="str">
        <f t="shared" si="196"/>
        <v/>
      </c>
      <c r="Y1823" s="60">
        <f t="shared" si="200"/>
        <v>0</v>
      </c>
      <c r="Z1823" s="49">
        <f t="shared" si="201"/>
        <v>0</v>
      </c>
      <c r="AA1823" s="60">
        <f t="shared" si="202"/>
        <v>0</v>
      </c>
    </row>
    <row r="1824" spans="1:27">
      <c r="A1824" s="83" t="str">
        <f t="shared" si="197"/>
        <v/>
      </c>
      <c r="B1824" s="83" t="str">
        <f t="shared" si="198"/>
        <v/>
      </c>
      <c r="S1824" s="83" t="str">
        <f t="shared" si="199"/>
        <v/>
      </c>
      <c r="T1824" s="83" t="str">
        <f t="shared" si="196"/>
        <v/>
      </c>
      <c r="Y1824" s="60">
        <f t="shared" si="200"/>
        <v>0</v>
      </c>
      <c r="Z1824" s="49">
        <f t="shared" si="201"/>
        <v>0</v>
      </c>
      <c r="AA1824" s="60">
        <f t="shared" si="202"/>
        <v>0</v>
      </c>
    </row>
    <row r="1825" spans="1:27">
      <c r="A1825" s="83" t="str">
        <f t="shared" si="197"/>
        <v/>
      </c>
      <c r="B1825" s="83" t="str">
        <f t="shared" si="198"/>
        <v/>
      </c>
      <c r="S1825" s="83" t="str">
        <f t="shared" si="199"/>
        <v/>
      </c>
      <c r="T1825" s="83" t="str">
        <f t="shared" si="196"/>
        <v/>
      </c>
      <c r="Y1825" s="60">
        <f t="shared" si="200"/>
        <v>0</v>
      </c>
      <c r="Z1825" s="49">
        <f t="shared" si="201"/>
        <v>0</v>
      </c>
      <c r="AA1825" s="60">
        <f t="shared" si="202"/>
        <v>0</v>
      </c>
    </row>
    <row r="1826" spans="1:27">
      <c r="A1826" s="83" t="str">
        <f t="shared" si="197"/>
        <v/>
      </c>
      <c r="B1826" s="83" t="str">
        <f t="shared" si="198"/>
        <v/>
      </c>
      <c r="S1826" s="83" t="str">
        <f t="shared" si="199"/>
        <v/>
      </c>
      <c r="T1826" s="83" t="str">
        <f t="shared" si="196"/>
        <v/>
      </c>
      <c r="Y1826" s="60">
        <f t="shared" si="200"/>
        <v>0</v>
      </c>
      <c r="Z1826" s="49">
        <f t="shared" si="201"/>
        <v>0</v>
      </c>
      <c r="AA1826" s="60">
        <f t="shared" si="202"/>
        <v>0</v>
      </c>
    </row>
    <row r="1827" spans="1:27">
      <c r="A1827" s="83" t="str">
        <f t="shared" si="197"/>
        <v/>
      </c>
      <c r="B1827" s="83" t="str">
        <f t="shared" si="198"/>
        <v/>
      </c>
      <c r="S1827" s="83" t="str">
        <f t="shared" si="199"/>
        <v/>
      </c>
      <c r="T1827" s="83" t="str">
        <f t="shared" si="196"/>
        <v/>
      </c>
      <c r="Y1827" s="60">
        <f t="shared" si="200"/>
        <v>0</v>
      </c>
      <c r="Z1827" s="49">
        <f t="shared" si="201"/>
        <v>0</v>
      </c>
      <c r="AA1827" s="60">
        <f t="shared" si="202"/>
        <v>0</v>
      </c>
    </row>
    <row r="1828" spans="1:27">
      <c r="A1828" s="83" t="str">
        <f t="shared" si="197"/>
        <v/>
      </c>
      <c r="B1828" s="83" t="str">
        <f t="shared" si="198"/>
        <v/>
      </c>
      <c r="S1828" s="83" t="str">
        <f t="shared" si="199"/>
        <v/>
      </c>
      <c r="T1828" s="83" t="str">
        <f t="shared" si="196"/>
        <v/>
      </c>
      <c r="Y1828" s="60">
        <f t="shared" si="200"/>
        <v>0</v>
      </c>
      <c r="Z1828" s="49">
        <f t="shared" si="201"/>
        <v>0</v>
      </c>
      <c r="AA1828" s="60">
        <f t="shared" si="202"/>
        <v>0</v>
      </c>
    </row>
    <row r="1829" spans="1:27">
      <c r="A1829" s="83" t="str">
        <f t="shared" si="197"/>
        <v/>
      </c>
      <c r="B1829" s="83" t="str">
        <f t="shared" si="198"/>
        <v/>
      </c>
      <c r="S1829" s="83" t="str">
        <f t="shared" si="199"/>
        <v/>
      </c>
      <c r="T1829" s="83" t="str">
        <f t="shared" si="196"/>
        <v/>
      </c>
      <c r="Y1829" s="60">
        <f t="shared" si="200"/>
        <v>0</v>
      </c>
      <c r="Z1829" s="49">
        <f t="shared" si="201"/>
        <v>0</v>
      </c>
      <c r="AA1829" s="60">
        <f t="shared" si="202"/>
        <v>0</v>
      </c>
    </row>
    <row r="1830" spans="1:27">
      <c r="A1830" s="83" t="str">
        <f t="shared" si="197"/>
        <v/>
      </c>
      <c r="B1830" s="83" t="str">
        <f t="shared" si="198"/>
        <v/>
      </c>
      <c r="S1830" s="83" t="str">
        <f t="shared" si="199"/>
        <v/>
      </c>
      <c r="T1830" s="83" t="str">
        <f t="shared" si="196"/>
        <v/>
      </c>
      <c r="Y1830" s="60">
        <f t="shared" si="200"/>
        <v>0</v>
      </c>
      <c r="Z1830" s="49">
        <f t="shared" si="201"/>
        <v>0</v>
      </c>
      <c r="AA1830" s="60">
        <f t="shared" si="202"/>
        <v>0</v>
      </c>
    </row>
    <row r="1831" spans="1:27">
      <c r="A1831" s="83" t="str">
        <f t="shared" si="197"/>
        <v/>
      </c>
      <c r="B1831" s="83" t="str">
        <f t="shared" si="198"/>
        <v/>
      </c>
      <c r="S1831" s="83" t="str">
        <f t="shared" si="199"/>
        <v/>
      </c>
      <c r="T1831" s="83" t="str">
        <f t="shared" si="196"/>
        <v/>
      </c>
      <c r="Y1831" s="60">
        <f t="shared" si="200"/>
        <v>0</v>
      </c>
      <c r="Z1831" s="49">
        <f t="shared" si="201"/>
        <v>0</v>
      </c>
      <c r="AA1831" s="60">
        <f t="shared" si="202"/>
        <v>0</v>
      </c>
    </row>
    <row r="1832" spans="1:27">
      <c r="A1832" s="83" t="str">
        <f t="shared" si="197"/>
        <v/>
      </c>
      <c r="B1832" s="83" t="str">
        <f t="shared" si="198"/>
        <v/>
      </c>
      <c r="S1832" s="83" t="str">
        <f t="shared" si="199"/>
        <v/>
      </c>
      <c r="T1832" s="83" t="str">
        <f t="shared" si="196"/>
        <v/>
      </c>
      <c r="Y1832" s="60">
        <f t="shared" si="200"/>
        <v>0</v>
      </c>
      <c r="Z1832" s="49">
        <f t="shared" si="201"/>
        <v>0</v>
      </c>
      <c r="AA1832" s="60">
        <f t="shared" si="202"/>
        <v>0</v>
      </c>
    </row>
    <row r="1833" spans="1:27">
      <c r="A1833" s="83" t="str">
        <f t="shared" si="197"/>
        <v/>
      </c>
      <c r="B1833" s="83" t="str">
        <f t="shared" si="198"/>
        <v/>
      </c>
      <c r="S1833" s="83" t="str">
        <f t="shared" si="199"/>
        <v/>
      </c>
      <c r="T1833" s="83" t="str">
        <f t="shared" si="196"/>
        <v/>
      </c>
      <c r="Y1833" s="60">
        <f t="shared" si="200"/>
        <v>0</v>
      </c>
      <c r="Z1833" s="49">
        <f t="shared" si="201"/>
        <v>0</v>
      </c>
      <c r="AA1833" s="60">
        <f t="shared" si="202"/>
        <v>0</v>
      </c>
    </row>
    <row r="1834" spans="1:27">
      <c r="A1834" s="83" t="str">
        <f t="shared" si="197"/>
        <v/>
      </c>
      <c r="B1834" s="83" t="str">
        <f t="shared" si="198"/>
        <v/>
      </c>
      <c r="S1834" s="83" t="str">
        <f t="shared" si="199"/>
        <v/>
      </c>
      <c r="T1834" s="83" t="str">
        <f t="shared" si="196"/>
        <v/>
      </c>
      <c r="Y1834" s="60">
        <f t="shared" si="200"/>
        <v>0</v>
      </c>
      <c r="Z1834" s="49">
        <f t="shared" si="201"/>
        <v>0</v>
      </c>
      <c r="AA1834" s="60">
        <f t="shared" si="202"/>
        <v>0</v>
      </c>
    </row>
    <row r="1835" spans="1:27">
      <c r="A1835" s="83" t="str">
        <f t="shared" si="197"/>
        <v/>
      </c>
      <c r="B1835" s="83" t="str">
        <f t="shared" si="198"/>
        <v/>
      </c>
      <c r="S1835" s="83" t="str">
        <f t="shared" si="199"/>
        <v/>
      </c>
      <c r="T1835" s="83" t="str">
        <f t="shared" si="196"/>
        <v/>
      </c>
      <c r="Y1835" s="60">
        <f t="shared" si="200"/>
        <v>0</v>
      </c>
      <c r="Z1835" s="49">
        <f t="shared" si="201"/>
        <v>0</v>
      </c>
      <c r="AA1835" s="60">
        <f t="shared" si="202"/>
        <v>0</v>
      </c>
    </row>
    <row r="1836" spans="1:27">
      <c r="A1836" s="83" t="str">
        <f t="shared" si="197"/>
        <v/>
      </c>
      <c r="B1836" s="83" t="str">
        <f t="shared" si="198"/>
        <v/>
      </c>
      <c r="S1836" s="83" t="str">
        <f t="shared" si="199"/>
        <v/>
      </c>
      <c r="T1836" s="83" t="str">
        <f t="shared" si="196"/>
        <v/>
      </c>
      <c r="Y1836" s="60">
        <f t="shared" si="200"/>
        <v>0</v>
      </c>
      <c r="Z1836" s="49">
        <f t="shared" si="201"/>
        <v>0</v>
      </c>
      <c r="AA1836" s="60">
        <f t="shared" si="202"/>
        <v>0</v>
      </c>
    </row>
    <row r="1837" spans="1:27">
      <c r="A1837" s="83" t="str">
        <f t="shared" si="197"/>
        <v/>
      </c>
      <c r="B1837" s="83" t="str">
        <f t="shared" si="198"/>
        <v/>
      </c>
      <c r="S1837" s="83" t="str">
        <f t="shared" si="199"/>
        <v/>
      </c>
      <c r="T1837" s="83" t="str">
        <f t="shared" si="196"/>
        <v/>
      </c>
      <c r="Y1837" s="60">
        <f t="shared" si="200"/>
        <v>0</v>
      </c>
      <c r="Z1837" s="49">
        <f t="shared" si="201"/>
        <v>0</v>
      </c>
      <c r="AA1837" s="60">
        <f t="shared" si="202"/>
        <v>0</v>
      </c>
    </row>
    <row r="1838" spans="1:27">
      <c r="A1838" s="83" t="str">
        <f t="shared" si="197"/>
        <v/>
      </c>
      <c r="B1838" s="83" t="str">
        <f t="shared" si="198"/>
        <v/>
      </c>
      <c r="S1838" s="83" t="str">
        <f t="shared" si="199"/>
        <v/>
      </c>
      <c r="T1838" s="83" t="str">
        <f t="shared" si="196"/>
        <v/>
      </c>
      <c r="Y1838" s="60">
        <f t="shared" si="200"/>
        <v>0</v>
      </c>
      <c r="Z1838" s="49">
        <f t="shared" si="201"/>
        <v>0</v>
      </c>
      <c r="AA1838" s="60">
        <f t="shared" si="202"/>
        <v>0</v>
      </c>
    </row>
    <row r="1839" spans="1:27">
      <c r="A1839" s="83" t="str">
        <f t="shared" si="197"/>
        <v/>
      </c>
      <c r="B1839" s="83" t="str">
        <f t="shared" si="198"/>
        <v/>
      </c>
      <c r="S1839" s="83" t="str">
        <f t="shared" si="199"/>
        <v/>
      </c>
      <c r="T1839" s="83" t="str">
        <f t="shared" si="196"/>
        <v/>
      </c>
      <c r="Y1839" s="60">
        <f t="shared" si="200"/>
        <v>0</v>
      </c>
      <c r="Z1839" s="49">
        <f t="shared" si="201"/>
        <v>0</v>
      </c>
      <c r="AA1839" s="60">
        <f t="shared" si="202"/>
        <v>0</v>
      </c>
    </row>
    <row r="1840" spans="1:27">
      <c r="A1840" s="83" t="str">
        <f t="shared" si="197"/>
        <v/>
      </c>
      <c r="B1840" s="83" t="str">
        <f t="shared" si="198"/>
        <v/>
      </c>
      <c r="S1840" s="83" t="str">
        <f t="shared" si="199"/>
        <v/>
      </c>
      <c r="T1840" s="83" t="str">
        <f t="shared" si="196"/>
        <v/>
      </c>
      <c r="Y1840" s="60">
        <f t="shared" si="200"/>
        <v>0</v>
      </c>
      <c r="Z1840" s="49">
        <f t="shared" si="201"/>
        <v>0</v>
      </c>
      <c r="AA1840" s="60">
        <f t="shared" si="202"/>
        <v>0</v>
      </c>
    </row>
    <row r="1841" spans="1:27">
      <c r="A1841" s="83" t="str">
        <f t="shared" si="197"/>
        <v/>
      </c>
      <c r="B1841" s="83" t="str">
        <f t="shared" si="198"/>
        <v/>
      </c>
      <c r="S1841" s="83" t="str">
        <f t="shared" si="199"/>
        <v/>
      </c>
      <c r="T1841" s="83" t="str">
        <f t="shared" si="196"/>
        <v/>
      </c>
      <c r="Y1841" s="60">
        <f t="shared" si="200"/>
        <v>0</v>
      </c>
      <c r="Z1841" s="49">
        <f t="shared" si="201"/>
        <v>0</v>
      </c>
      <c r="AA1841" s="60">
        <f t="shared" si="202"/>
        <v>0</v>
      </c>
    </row>
    <row r="1842" spans="1:27">
      <c r="A1842" s="83" t="str">
        <f t="shared" si="197"/>
        <v/>
      </c>
      <c r="B1842" s="83" t="str">
        <f t="shared" si="198"/>
        <v/>
      </c>
      <c r="S1842" s="83" t="str">
        <f t="shared" si="199"/>
        <v/>
      </c>
      <c r="T1842" s="83" t="str">
        <f t="shared" si="196"/>
        <v/>
      </c>
      <c r="Y1842" s="60">
        <f t="shared" si="200"/>
        <v>0</v>
      </c>
      <c r="Z1842" s="49">
        <f t="shared" si="201"/>
        <v>0</v>
      </c>
      <c r="AA1842" s="60">
        <f t="shared" si="202"/>
        <v>0</v>
      </c>
    </row>
    <row r="1843" spans="1:27">
      <c r="A1843" s="83" t="str">
        <f t="shared" si="197"/>
        <v/>
      </c>
      <c r="B1843" s="83" t="str">
        <f t="shared" si="198"/>
        <v/>
      </c>
      <c r="S1843" s="83" t="str">
        <f t="shared" si="199"/>
        <v/>
      </c>
      <c r="T1843" s="83" t="str">
        <f t="shared" si="196"/>
        <v/>
      </c>
      <c r="Y1843" s="60">
        <f t="shared" si="200"/>
        <v>0</v>
      </c>
      <c r="Z1843" s="49">
        <f t="shared" si="201"/>
        <v>0</v>
      </c>
      <c r="AA1843" s="60">
        <f t="shared" si="202"/>
        <v>0</v>
      </c>
    </row>
    <row r="1844" spans="1:27">
      <c r="A1844" s="83" t="str">
        <f t="shared" si="197"/>
        <v/>
      </c>
      <c r="B1844" s="83" t="str">
        <f t="shared" si="198"/>
        <v/>
      </c>
      <c r="S1844" s="83" t="str">
        <f t="shared" si="199"/>
        <v/>
      </c>
      <c r="T1844" s="83" t="str">
        <f t="shared" si="196"/>
        <v/>
      </c>
      <c r="Y1844" s="60">
        <f t="shared" si="200"/>
        <v>0</v>
      </c>
      <c r="Z1844" s="49">
        <f t="shared" si="201"/>
        <v>0</v>
      </c>
      <c r="AA1844" s="60">
        <f t="shared" si="202"/>
        <v>0</v>
      </c>
    </row>
    <row r="1845" spans="1:27">
      <c r="A1845" s="83" t="str">
        <f t="shared" si="197"/>
        <v/>
      </c>
      <c r="B1845" s="83" t="str">
        <f t="shared" si="198"/>
        <v/>
      </c>
      <c r="S1845" s="83" t="str">
        <f t="shared" si="199"/>
        <v/>
      </c>
      <c r="T1845" s="83" t="str">
        <f t="shared" si="196"/>
        <v/>
      </c>
      <c r="Y1845" s="60">
        <f t="shared" si="200"/>
        <v>0</v>
      </c>
      <c r="Z1845" s="49">
        <f t="shared" si="201"/>
        <v>0</v>
      </c>
      <c r="AA1845" s="60">
        <f t="shared" si="202"/>
        <v>0</v>
      </c>
    </row>
    <row r="1846" spans="1:27">
      <c r="A1846" s="83" t="str">
        <f t="shared" si="197"/>
        <v/>
      </c>
      <c r="B1846" s="83" t="str">
        <f t="shared" si="198"/>
        <v/>
      </c>
      <c r="S1846" s="83" t="str">
        <f t="shared" si="199"/>
        <v/>
      </c>
      <c r="T1846" s="83" t="str">
        <f t="shared" si="196"/>
        <v/>
      </c>
      <c r="Y1846" s="60">
        <f t="shared" si="200"/>
        <v>0</v>
      </c>
      <c r="Z1846" s="49">
        <f t="shared" si="201"/>
        <v>0</v>
      </c>
      <c r="AA1846" s="60">
        <f t="shared" si="202"/>
        <v>0</v>
      </c>
    </row>
    <row r="1847" spans="1:27">
      <c r="A1847" s="83" t="str">
        <f t="shared" si="197"/>
        <v/>
      </c>
      <c r="B1847" s="83" t="str">
        <f t="shared" si="198"/>
        <v/>
      </c>
      <c r="S1847" s="83" t="str">
        <f t="shared" si="199"/>
        <v/>
      </c>
      <c r="T1847" s="83" t="str">
        <f t="shared" si="196"/>
        <v/>
      </c>
      <c r="Y1847" s="60">
        <f t="shared" si="200"/>
        <v>0</v>
      </c>
      <c r="Z1847" s="49">
        <f t="shared" si="201"/>
        <v>0</v>
      </c>
      <c r="AA1847" s="60">
        <f t="shared" si="202"/>
        <v>0</v>
      </c>
    </row>
    <row r="1848" spans="1:27">
      <c r="A1848" s="83" t="str">
        <f t="shared" si="197"/>
        <v/>
      </c>
      <c r="B1848" s="83" t="str">
        <f t="shared" si="198"/>
        <v/>
      </c>
      <c r="S1848" s="83" t="str">
        <f t="shared" si="199"/>
        <v/>
      </c>
      <c r="T1848" s="83" t="str">
        <f t="shared" si="196"/>
        <v/>
      </c>
      <c r="Y1848" s="60">
        <f t="shared" si="200"/>
        <v>0</v>
      </c>
      <c r="Z1848" s="49">
        <f t="shared" si="201"/>
        <v>0</v>
      </c>
      <c r="AA1848" s="60">
        <f t="shared" si="202"/>
        <v>0</v>
      </c>
    </row>
    <row r="1849" spans="1:27">
      <c r="A1849" s="83" t="str">
        <f t="shared" si="197"/>
        <v/>
      </c>
      <c r="B1849" s="83" t="str">
        <f t="shared" si="198"/>
        <v/>
      </c>
      <c r="S1849" s="83" t="str">
        <f t="shared" si="199"/>
        <v/>
      </c>
      <c r="T1849" s="83" t="str">
        <f t="shared" si="196"/>
        <v/>
      </c>
      <c r="Y1849" s="60">
        <f t="shared" si="200"/>
        <v>0</v>
      </c>
      <c r="Z1849" s="49">
        <f t="shared" si="201"/>
        <v>0</v>
      </c>
      <c r="AA1849" s="60">
        <f t="shared" si="202"/>
        <v>0</v>
      </c>
    </row>
    <row r="1850" spans="1:27">
      <c r="A1850" s="83" t="str">
        <f t="shared" si="197"/>
        <v/>
      </c>
      <c r="B1850" s="83" t="str">
        <f t="shared" si="198"/>
        <v/>
      </c>
      <c r="S1850" s="83" t="str">
        <f t="shared" si="199"/>
        <v/>
      </c>
      <c r="T1850" s="83" t="str">
        <f t="shared" si="196"/>
        <v/>
      </c>
      <c r="Y1850" s="60">
        <f t="shared" si="200"/>
        <v>0</v>
      </c>
      <c r="Z1850" s="49">
        <f t="shared" si="201"/>
        <v>0</v>
      </c>
      <c r="AA1850" s="60">
        <f t="shared" si="202"/>
        <v>0</v>
      </c>
    </row>
    <row r="1851" spans="1:27">
      <c r="A1851" s="83" t="str">
        <f t="shared" si="197"/>
        <v/>
      </c>
      <c r="B1851" s="83" t="str">
        <f t="shared" si="198"/>
        <v/>
      </c>
      <c r="S1851" s="83" t="str">
        <f t="shared" si="199"/>
        <v/>
      </c>
      <c r="T1851" s="83" t="str">
        <f t="shared" si="196"/>
        <v/>
      </c>
      <c r="Y1851" s="60">
        <f t="shared" si="200"/>
        <v>0</v>
      </c>
      <c r="Z1851" s="49">
        <f t="shared" si="201"/>
        <v>0</v>
      </c>
      <c r="AA1851" s="60">
        <f t="shared" si="202"/>
        <v>0</v>
      </c>
    </row>
    <row r="1852" spans="1:27">
      <c r="A1852" s="83" t="str">
        <f t="shared" si="197"/>
        <v/>
      </c>
      <c r="B1852" s="83" t="str">
        <f t="shared" si="198"/>
        <v/>
      </c>
      <c r="S1852" s="83" t="str">
        <f t="shared" si="199"/>
        <v/>
      </c>
      <c r="T1852" s="83" t="str">
        <f t="shared" si="196"/>
        <v/>
      </c>
      <c r="Y1852" s="60">
        <f t="shared" si="200"/>
        <v>0</v>
      </c>
      <c r="Z1852" s="49">
        <f t="shared" si="201"/>
        <v>0</v>
      </c>
      <c r="AA1852" s="60">
        <f t="shared" si="202"/>
        <v>0</v>
      </c>
    </row>
    <row r="1853" spans="1:27">
      <c r="A1853" s="83" t="str">
        <f t="shared" si="197"/>
        <v/>
      </c>
      <c r="B1853" s="83" t="str">
        <f t="shared" si="198"/>
        <v/>
      </c>
      <c r="S1853" s="83" t="str">
        <f t="shared" si="199"/>
        <v/>
      </c>
      <c r="T1853" s="83" t="str">
        <f t="shared" si="196"/>
        <v/>
      </c>
      <c r="Y1853" s="60">
        <f t="shared" si="200"/>
        <v>0</v>
      </c>
      <c r="Z1853" s="49">
        <f t="shared" si="201"/>
        <v>0</v>
      </c>
      <c r="AA1853" s="60">
        <f t="shared" si="202"/>
        <v>0</v>
      </c>
    </row>
    <row r="1854" spans="1:27">
      <c r="A1854" s="83" t="str">
        <f t="shared" si="197"/>
        <v/>
      </c>
      <c r="B1854" s="83" t="str">
        <f t="shared" si="198"/>
        <v/>
      </c>
      <c r="S1854" s="83" t="str">
        <f t="shared" si="199"/>
        <v/>
      </c>
      <c r="T1854" s="83" t="str">
        <f t="shared" si="196"/>
        <v/>
      </c>
      <c r="Y1854" s="60">
        <f t="shared" si="200"/>
        <v>0</v>
      </c>
      <c r="Z1854" s="49">
        <f t="shared" si="201"/>
        <v>0</v>
      </c>
      <c r="AA1854" s="60">
        <f t="shared" si="202"/>
        <v>0</v>
      </c>
    </row>
    <row r="1855" spans="1:27">
      <c r="A1855" s="83" t="str">
        <f t="shared" si="197"/>
        <v/>
      </c>
      <c r="B1855" s="83" t="str">
        <f t="shared" si="198"/>
        <v/>
      </c>
      <c r="S1855" s="83" t="str">
        <f t="shared" si="199"/>
        <v/>
      </c>
      <c r="T1855" s="83" t="str">
        <f t="shared" si="196"/>
        <v/>
      </c>
      <c r="Y1855" s="60">
        <f t="shared" si="200"/>
        <v>0</v>
      </c>
      <c r="Z1855" s="49">
        <f t="shared" si="201"/>
        <v>0</v>
      </c>
      <c r="AA1855" s="60">
        <f t="shared" si="202"/>
        <v>0</v>
      </c>
    </row>
    <row r="1856" spans="1:27">
      <c r="A1856" s="83" t="str">
        <f t="shared" si="197"/>
        <v/>
      </c>
      <c r="B1856" s="83" t="str">
        <f t="shared" si="198"/>
        <v/>
      </c>
      <c r="S1856" s="83" t="str">
        <f t="shared" si="199"/>
        <v/>
      </c>
      <c r="T1856" s="83" t="str">
        <f t="shared" si="196"/>
        <v/>
      </c>
      <c r="Y1856" s="60">
        <f t="shared" si="200"/>
        <v>0</v>
      </c>
      <c r="Z1856" s="49">
        <f t="shared" si="201"/>
        <v>0</v>
      </c>
      <c r="AA1856" s="60">
        <f t="shared" si="202"/>
        <v>0</v>
      </c>
    </row>
    <row r="1857" spans="1:27">
      <c r="A1857" s="83" t="str">
        <f t="shared" si="197"/>
        <v/>
      </c>
      <c r="B1857" s="83" t="str">
        <f t="shared" si="198"/>
        <v/>
      </c>
      <c r="S1857" s="83" t="str">
        <f t="shared" si="199"/>
        <v/>
      </c>
      <c r="T1857" s="83" t="str">
        <f t="shared" si="196"/>
        <v/>
      </c>
      <c r="Y1857" s="60">
        <f t="shared" si="200"/>
        <v>0</v>
      </c>
      <c r="Z1857" s="49">
        <f t="shared" si="201"/>
        <v>0</v>
      </c>
      <c r="AA1857" s="60">
        <f t="shared" si="202"/>
        <v>0</v>
      </c>
    </row>
    <row r="1858" spans="1:27">
      <c r="A1858" s="83" t="str">
        <f t="shared" si="197"/>
        <v/>
      </c>
      <c r="B1858" s="83" t="str">
        <f t="shared" si="198"/>
        <v/>
      </c>
      <c r="S1858" s="83" t="str">
        <f t="shared" si="199"/>
        <v/>
      </c>
      <c r="T1858" s="83" t="str">
        <f t="shared" ref="T1858:T1921" si="203">IF(A1858&lt;&gt;"",IF(FIND(" ",G1858)&gt;=1,MID(G1858,FIND(" ",G1858)+1,LEN(G1858)),""),"")</f>
        <v/>
      </c>
      <c r="Y1858" s="60">
        <f t="shared" si="200"/>
        <v>0</v>
      </c>
      <c r="Z1858" s="49">
        <f t="shared" si="201"/>
        <v>0</v>
      </c>
      <c r="AA1858" s="60">
        <f t="shared" si="202"/>
        <v>0</v>
      </c>
    </row>
    <row r="1859" spans="1:27">
      <c r="A1859" s="83" t="str">
        <f t="shared" ref="A1859:A1922" si="204">IF(G1859&amp;Q1859&lt;&gt;"",S1859&amp;Q1859,"")</f>
        <v/>
      </c>
      <c r="B1859" s="83" t="str">
        <f t="shared" ref="B1859:B1922" si="205">IF(C1859&lt;&gt;"",LEFT(C1859,9),"")</f>
        <v/>
      </c>
      <c r="S1859" s="83" t="str">
        <f t="shared" ref="S1859:S1922" si="206">IF(G1859&lt;&gt;"",IF(FIND(" ",G1859)&gt;=1,MID(G1859,1,FIND(" ",G1859)-1),G1859),"")</f>
        <v/>
      </c>
      <c r="T1859" s="83" t="str">
        <f t="shared" si="203"/>
        <v/>
      </c>
      <c r="Y1859" s="60">
        <f t="shared" ref="Y1859:Y1922" si="207">IFERROR(VALUE(MID($C1859,1,2)),0)</f>
        <v>0</v>
      </c>
      <c r="Z1859" s="49">
        <f t="shared" ref="Z1859:Z1922" si="208">IFERROR(VALUE(MID($C1859,4,3)),0)</f>
        <v>0</v>
      </c>
      <c r="AA1859" s="60">
        <f t="shared" ref="AA1859:AA1922" si="209">VALUE(RIGHT("00"&amp;Y1859,2)&amp;RIGHT("000"&amp;Z1859,3))</f>
        <v>0</v>
      </c>
    </row>
    <row r="1860" spans="1:27">
      <c r="A1860" s="83" t="str">
        <f t="shared" si="204"/>
        <v/>
      </c>
      <c r="B1860" s="83" t="str">
        <f t="shared" si="205"/>
        <v/>
      </c>
      <c r="S1860" s="83" t="str">
        <f t="shared" si="206"/>
        <v/>
      </c>
      <c r="T1860" s="83" t="str">
        <f t="shared" si="203"/>
        <v/>
      </c>
      <c r="Y1860" s="60">
        <f t="shared" si="207"/>
        <v>0</v>
      </c>
      <c r="Z1860" s="49">
        <f t="shared" si="208"/>
        <v>0</v>
      </c>
      <c r="AA1860" s="60">
        <f t="shared" si="209"/>
        <v>0</v>
      </c>
    </row>
    <row r="1861" spans="1:27">
      <c r="A1861" s="83" t="str">
        <f t="shared" si="204"/>
        <v/>
      </c>
      <c r="B1861" s="83" t="str">
        <f t="shared" si="205"/>
        <v/>
      </c>
      <c r="S1861" s="83" t="str">
        <f t="shared" si="206"/>
        <v/>
      </c>
      <c r="T1861" s="83" t="str">
        <f t="shared" si="203"/>
        <v/>
      </c>
      <c r="Y1861" s="60">
        <f t="shared" si="207"/>
        <v>0</v>
      </c>
      <c r="Z1861" s="49">
        <f t="shared" si="208"/>
        <v>0</v>
      </c>
      <c r="AA1861" s="60">
        <f t="shared" si="209"/>
        <v>0</v>
      </c>
    </row>
    <row r="1862" spans="1:27">
      <c r="A1862" s="83" t="str">
        <f t="shared" si="204"/>
        <v/>
      </c>
      <c r="B1862" s="83" t="str">
        <f t="shared" si="205"/>
        <v/>
      </c>
      <c r="S1862" s="83" t="str">
        <f t="shared" si="206"/>
        <v/>
      </c>
      <c r="T1862" s="83" t="str">
        <f t="shared" si="203"/>
        <v/>
      </c>
      <c r="Y1862" s="60">
        <f t="shared" si="207"/>
        <v>0</v>
      </c>
      <c r="Z1862" s="49">
        <f t="shared" si="208"/>
        <v>0</v>
      </c>
      <c r="AA1862" s="60">
        <f t="shared" si="209"/>
        <v>0</v>
      </c>
    </row>
    <row r="1863" spans="1:27">
      <c r="A1863" s="83" t="str">
        <f t="shared" si="204"/>
        <v/>
      </c>
      <c r="B1863" s="83" t="str">
        <f t="shared" si="205"/>
        <v/>
      </c>
      <c r="S1863" s="83" t="str">
        <f t="shared" si="206"/>
        <v/>
      </c>
      <c r="T1863" s="83" t="str">
        <f t="shared" si="203"/>
        <v/>
      </c>
      <c r="Y1863" s="60">
        <f t="shared" si="207"/>
        <v>0</v>
      </c>
      <c r="Z1863" s="49">
        <f t="shared" si="208"/>
        <v>0</v>
      </c>
      <c r="AA1863" s="60">
        <f t="shared" si="209"/>
        <v>0</v>
      </c>
    </row>
    <row r="1864" spans="1:27">
      <c r="A1864" s="83" t="str">
        <f t="shared" si="204"/>
        <v/>
      </c>
      <c r="B1864" s="83" t="str">
        <f t="shared" si="205"/>
        <v/>
      </c>
      <c r="S1864" s="83" t="str">
        <f t="shared" si="206"/>
        <v/>
      </c>
      <c r="T1864" s="83" t="str">
        <f t="shared" si="203"/>
        <v/>
      </c>
      <c r="Y1864" s="60">
        <f t="shared" si="207"/>
        <v>0</v>
      </c>
      <c r="Z1864" s="49">
        <f t="shared" si="208"/>
        <v>0</v>
      </c>
      <c r="AA1864" s="60">
        <f t="shared" si="209"/>
        <v>0</v>
      </c>
    </row>
    <row r="1865" spans="1:27">
      <c r="A1865" s="83" t="str">
        <f t="shared" si="204"/>
        <v/>
      </c>
      <c r="B1865" s="83" t="str">
        <f t="shared" si="205"/>
        <v/>
      </c>
      <c r="S1865" s="83" t="str">
        <f t="shared" si="206"/>
        <v/>
      </c>
      <c r="T1865" s="83" t="str">
        <f t="shared" si="203"/>
        <v/>
      </c>
      <c r="Y1865" s="60">
        <f t="shared" si="207"/>
        <v>0</v>
      </c>
      <c r="Z1865" s="49">
        <f t="shared" si="208"/>
        <v>0</v>
      </c>
      <c r="AA1865" s="60">
        <f t="shared" si="209"/>
        <v>0</v>
      </c>
    </row>
    <row r="1866" spans="1:27">
      <c r="A1866" s="83" t="str">
        <f t="shared" si="204"/>
        <v/>
      </c>
      <c r="B1866" s="83" t="str">
        <f t="shared" si="205"/>
        <v/>
      </c>
      <c r="S1866" s="83" t="str">
        <f t="shared" si="206"/>
        <v/>
      </c>
      <c r="T1866" s="83" t="str">
        <f t="shared" si="203"/>
        <v/>
      </c>
      <c r="Y1866" s="60">
        <f t="shared" si="207"/>
        <v>0</v>
      </c>
      <c r="Z1866" s="49">
        <f t="shared" si="208"/>
        <v>0</v>
      </c>
      <c r="AA1866" s="60">
        <f t="shared" si="209"/>
        <v>0</v>
      </c>
    </row>
    <row r="1867" spans="1:27">
      <c r="A1867" s="83" t="str">
        <f t="shared" si="204"/>
        <v/>
      </c>
      <c r="B1867" s="83" t="str">
        <f t="shared" si="205"/>
        <v/>
      </c>
      <c r="S1867" s="83" t="str">
        <f t="shared" si="206"/>
        <v/>
      </c>
      <c r="T1867" s="83" t="str">
        <f t="shared" si="203"/>
        <v/>
      </c>
      <c r="Y1867" s="60">
        <f t="shared" si="207"/>
        <v>0</v>
      </c>
      <c r="Z1867" s="49">
        <f t="shared" si="208"/>
        <v>0</v>
      </c>
      <c r="AA1867" s="60">
        <f t="shared" si="209"/>
        <v>0</v>
      </c>
    </row>
    <row r="1868" spans="1:27">
      <c r="A1868" s="83" t="str">
        <f t="shared" si="204"/>
        <v/>
      </c>
      <c r="B1868" s="83" t="str">
        <f t="shared" si="205"/>
        <v/>
      </c>
      <c r="S1868" s="83" t="str">
        <f t="shared" si="206"/>
        <v/>
      </c>
      <c r="T1868" s="83" t="str">
        <f t="shared" si="203"/>
        <v/>
      </c>
      <c r="Y1868" s="60">
        <f t="shared" si="207"/>
        <v>0</v>
      </c>
      <c r="Z1868" s="49">
        <f t="shared" si="208"/>
        <v>0</v>
      </c>
      <c r="AA1868" s="60">
        <f t="shared" si="209"/>
        <v>0</v>
      </c>
    </row>
    <row r="1869" spans="1:27">
      <c r="A1869" s="83" t="str">
        <f t="shared" si="204"/>
        <v/>
      </c>
      <c r="B1869" s="83" t="str">
        <f t="shared" si="205"/>
        <v/>
      </c>
      <c r="S1869" s="83" t="str">
        <f t="shared" si="206"/>
        <v/>
      </c>
      <c r="T1869" s="83" t="str">
        <f t="shared" si="203"/>
        <v/>
      </c>
      <c r="Y1869" s="60">
        <f t="shared" si="207"/>
        <v>0</v>
      </c>
      <c r="Z1869" s="49">
        <f t="shared" si="208"/>
        <v>0</v>
      </c>
      <c r="AA1869" s="60">
        <f t="shared" si="209"/>
        <v>0</v>
      </c>
    </row>
    <row r="1870" spans="1:27">
      <c r="A1870" s="83" t="str">
        <f t="shared" si="204"/>
        <v/>
      </c>
      <c r="B1870" s="83" t="str">
        <f t="shared" si="205"/>
        <v/>
      </c>
      <c r="S1870" s="83" t="str">
        <f t="shared" si="206"/>
        <v/>
      </c>
      <c r="T1870" s="83" t="str">
        <f t="shared" si="203"/>
        <v/>
      </c>
      <c r="Y1870" s="60">
        <f t="shared" si="207"/>
        <v>0</v>
      </c>
      <c r="Z1870" s="49">
        <f t="shared" si="208"/>
        <v>0</v>
      </c>
      <c r="AA1870" s="60">
        <f t="shared" si="209"/>
        <v>0</v>
      </c>
    </row>
    <row r="1871" spans="1:27">
      <c r="A1871" s="83" t="str">
        <f t="shared" si="204"/>
        <v/>
      </c>
      <c r="B1871" s="83" t="str">
        <f t="shared" si="205"/>
        <v/>
      </c>
      <c r="S1871" s="83" t="str">
        <f t="shared" si="206"/>
        <v/>
      </c>
      <c r="T1871" s="83" t="str">
        <f t="shared" si="203"/>
        <v/>
      </c>
      <c r="Y1871" s="60">
        <f t="shared" si="207"/>
        <v>0</v>
      </c>
      <c r="Z1871" s="49">
        <f t="shared" si="208"/>
        <v>0</v>
      </c>
      <c r="AA1871" s="60">
        <f t="shared" si="209"/>
        <v>0</v>
      </c>
    </row>
    <row r="1872" spans="1:27">
      <c r="A1872" s="83" t="str">
        <f t="shared" si="204"/>
        <v/>
      </c>
      <c r="B1872" s="83" t="str">
        <f t="shared" si="205"/>
        <v/>
      </c>
      <c r="S1872" s="83" t="str">
        <f t="shared" si="206"/>
        <v/>
      </c>
      <c r="T1872" s="83" t="str">
        <f t="shared" si="203"/>
        <v/>
      </c>
      <c r="Y1872" s="60">
        <f t="shared" si="207"/>
        <v>0</v>
      </c>
      <c r="Z1872" s="49">
        <f t="shared" si="208"/>
        <v>0</v>
      </c>
      <c r="AA1872" s="60">
        <f t="shared" si="209"/>
        <v>0</v>
      </c>
    </row>
    <row r="1873" spans="1:27">
      <c r="A1873" s="83" t="str">
        <f t="shared" si="204"/>
        <v/>
      </c>
      <c r="B1873" s="83" t="str">
        <f t="shared" si="205"/>
        <v/>
      </c>
      <c r="S1873" s="83" t="str">
        <f t="shared" si="206"/>
        <v/>
      </c>
      <c r="T1873" s="83" t="str">
        <f t="shared" si="203"/>
        <v/>
      </c>
      <c r="Y1873" s="60">
        <f t="shared" si="207"/>
        <v>0</v>
      </c>
      <c r="Z1873" s="49">
        <f t="shared" si="208"/>
        <v>0</v>
      </c>
      <c r="AA1873" s="60">
        <f t="shared" si="209"/>
        <v>0</v>
      </c>
    </row>
    <row r="1874" spans="1:27">
      <c r="A1874" s="83" t="str">
        <f t="shared" si="204"/>
        <v/>
      </c>
      <c r="B1874" s="83" t="str">
        <f t="shared" si="205"/>
        <v/>
      </c>
      <c r="S1874" s="83" t="str">
        <f t="shared" si="206"/>
        <v/>
      </c>
      <c r="T1874" s="83" t="str">
        <f t="shared" si="203"/>
        <v/>
      </c>
      <c r="Y1874" s="60">
        <f t="shared" si="207"/>
        <v>0</v>
      </c>
      <c r="Z1874" s="49">
        <f t="shared" si="208"/>
        <v>0</v>
      </c>
      <c r="AA1874" s="60">
        <f t="shared" si="209"/>
        <v>0</v>
      </c>
    </row>
    <row r="1875" spans="1:27">
      <c r="A1875" s="83" t="str">
        <f t="shared" si="204"/>
        <v/>
      </c>
      <c r="B1875" s="83" t="str">
        <f t="shared" si="205"/>
        <v/>
      </c>
      <c r="S1875" s="83" t="str">
        <f t="shared" si="206"/>
        <v/>
      </c>
      <c r="T1875" s="83" t="str">
        <f t="shared" si="203"/>
        <v/>
      </c>
      <c r="Y1875" s="60">
        <f t="shared" si="207"/>
        <v>0</v>
      </c>
      <c r="Z1875" s="49">
        <f t="shared" si="208"/>
        <v>0</v>
      </c>
      <c r="AA1875" s="60">
        <f t="shared" si="209"/>
        <v>0</v>
      </c>
    </row>
    <row r="1876" spans="1:27">
      <c r="A1876" s="83" t="str">
        <f t="shared" si="204"/>
        <v/>
      </c>
      <c r="B1876" s="83" t="str">
        <f t="shared" si="205"/>
        <v/>
      </c>
      <c r="S1876" s="83" t="str">
        <f t="shared" si="206"/>
        <v/>
      </c>
      <c r="T1876" s="83" t="str">
        <f t="shared" si="203"/>
        <v/>
      </c>
      <c r="Y1876" s="60">
        <f t="shared" si="207"/>
        <v>0</v>
      </c>
      <c r="Z1876" s="49">
        <f t="shared" si="208"/>
        <v>0</v>
      </c>
      <c r="AA1876" s="60">
        <f t="shared" si="209"/>
        <v>0</v>
      </c>
    </row>
    <row r="1877" spans="1:27">
      <c r="A1877" s="83" t="str">
        <f t="shared" si="204"/>
        <v/>
      </c>
      <c r="B1877" s="83" t="str">
        <f t="shared" si="205"/>
        <v/>
      </c>
      <c r="S1877" s="83" t="str">
        <f t="shared" si="206"/>
        <v/>
      </c>
      <c r="T1877" s="83" t="str">
        <f t="shared" si="203"/>
        <v/>
      </c>
      <c r="Y1877" s="60">
        <f t="shared" si="207"/>
        <v>0</v>
      </c>
      <c r="Z1877" s="49">
        <f t="shared" si="208"/>
        <v>0</v>
      </c>
      <c r="AA1877" s="60">
        <f t="shared" si="209"/>
        <v>0</v>
      </c>
    </row>
    <row r="1878" spans="1:27">
      <c r="A1878" s="83" t="str">
        <f t="shared" si="204"/>
        <v/>
      </c>
      <c r="B1878" s="83" t="str">
        <f t="shared" si="205"/>
        <v/>
      </c>
      <c r="S1878" s="83" t="str">
        <f t="shared" si="206"/>
        <v/>
      </c>
      <c r="T1878" s="83" t="str">
        <f t="shared" si="203"/>
        <v/>
      </c>
      <c r="Y1878" s="60">
        <f t="shared" si="207"/>
        <v>0</v>
      </c>
      <c r="Z1878" s="49">
        <f t="shared" si="208"/>
        <v>0</v>
      </c>
      <c r="AA1878" s="60">
        <f t="shared" si="209"/>
        <v>0</v>
      </c>
    </row>
    <row r="1879" spans="1:27">
      <c r="A1879" s="83" t="str">
        <f t="shared" si="204"/>
        <v/>
      </c>
      <c r="B1879" s="83" t="str">
        <f t="shared" si="205"/>
        <v/>
      </c>
      <c r="S1879" s="83" t="str">
        <f t="shared" si="206"/>
        <v/>
      </c>
      <c r="T1879" s="83" t="str">
        <f t="shared" si="203"/>
        <v/>
      </c>
      <c r="Y1879" s="60">
        <f t="shared" si="207"/>
        <v>0</v>
      </c>
      <c r="Z1879" s="49">
        <f t="shared" si="208"/>
        <v>0</v>
      </c>
      <c r="AA1879" s="60">
        <f t="shared" si="209"/>
        <v>0</v>
      </c>
    </row>
    <row r="1880" spans="1:27">
      <c r="A1880" s="83" t="str">
        <f t="shared" si="204"/>
        <v/>
      </c>
      <c r="B1880" s="83" t="str">
        <f t="shared" si="205"/>
        <v/>
      </c>
      <c r="S1880" s="83" t="str">
        <f t="shared" si="206"/>
        <v/>
      </c>
      <c r="T1880" s="83" t="str">
        <f t="shared" si="203"/>
        <v/>
      </c>
      <c r="Y1880" s="60">
        <f t="shared" si="207"/>
        <v>0</v>
      </c>
      <c r="Z1880" s="49">
        <f t="shared" si="208"/>
        <v>0</v>
      </c>
      <c r="AA1880" s="60">
        <f t="shared" si="209"/>
        <v>0</v>
      </c>
    </row>
    <row r="1881" spans="1:27">
      <c r="A1881" s="83" t="str">
        <f t="shared" si="204"/>
        <v/>
      </c>
      <c r="B1881" s="83" t="str">
        <f t="shared" si="205"/>
        <v/>
      </c>
      <c r="S1881" s="83" t="str">
        <f t="shared" si="206"/>
        <v/>
      </c>
      <c r="T1881" s="83" t="str">
        <f t="shared" si="203"/>
        <v/>
      </c>
      <c r="Y1881" s="60">
        <f t="shared" si="207"/>
        <v>0</v>
      </c>
      <c r="Z1881" s="49">
        <f t="shared" si="208"/>
        <v>0</v>
      </c>
      <c r="AA1881" s="60">
        <f t="shared" si="209"/>
        <v>0</v>
      </c>
    </row>
    <row r="1882" spans="1:27">
      <c r="A1882" s="83" t="str">
        <f t="shared" si="204"/>
        <v/>
      </c>
      <c r="B1882" s="83" t="str">
        <f t="shared" si="205"/>
        <v/>
      </c>
      <c r="S1882" s="83" t="str">
        <f t="shared" si="206"/>
        <v/>
      </c>
      <c r="T1882" s="83" t="str">
        <f t="shared" si="203"/>
        <v/>
      </c>
      <c r="Y1882" s="60">
        <f t="shared" si="207"/>
        <v>0</v>
      </c>
      <c r="Z1882" s="49">
        <f t="shared" si="208"/>
        <v>0</v>
      </c>
      <c r="AA1882" s="60">
        <f t="shared" si="209"/>
        <v>0</v>
      </c>
    </row>
    <row r="1883" spans="1:27">
      <c r="A1883" s="83" t="str">
        <f t="shared" si="204"/>
        <v/>
      </c>
      <c r="B1883" s="83" t="str">
        <f t="shared" si="205"/>
        <v/>
      </c>
      <c r="S1883" s="83" t="str">
        <f t="shared" si="206"/>
        <v/>
      </c>
      <c r="T1883" s="83" t="str">
        <f t="shared" si="203"/>
        <v/>
      </c>
      <c r="Y1883" s="60">
        <f t="shared" si="207"/>
        <v>0</v>
      </c>
      <c r="Z1883" s="49">
        <f t="shared" si="208"/>
        <v>0</v>
      </c>
      <c r="AA1883" s="60">
        <f t="shared" si="209"/>
        <v>0</v>
      </c>
    </row>
    <row r="1884" spans="1:27">
      <c r="A1884" s="83" t="str">
        <f t="shared" si="204"/>
        <v/>
      </c>
      <c r="B1884" s="83" t="str">
        <f t="shared" si="205"/>
        <v/>
      </c>
      <c r="S1884" s="83" t="str">
        <f t="shared" si="206"/>
        <v/>
      </c>
      <c r="T1884" s="83" t="str">
        <f t="shared" si="203"/>
        <v/>
      </c>
      <c r="Y1884" s="60">
        <f t="shared" si="207"/>
        <v>0</v>
      </c>
      <c r="Z1884" s="49">
        <f t="shared" si="208"/>
        <v>0</v>
      </c>
      <c r="AA1884" s="60">
        <f t="shared" si="209"/>
        <v>0</v>
      </c>
    </row>
    <row r="1885" spans="1:27">
      <c r="A1885" s="83" t="str">
        <f t="shared" si="204"/>
        <v/>
      </c>
      <c r="B1885" s="83" t="str">
        <f t="shared" si="205"/>
        <v/>
      </c>
      <c r="S1885" s="83" t="str">
        <f t="shared" si="206"/>
        <v/>
      </c>
      <c r="T1885" s="83" t="str">
        <f t="shared" si="203"/>
        <v/>
      </c>
      <c r="Y1885" s="60">
        <f t="shared" si="207"/>
        <v>0</v>
      </c>
      <c r="Z1885" s="49">
        <f t="shared" si="208"/>
        <v>0</v>
      </c>
      <c r="AA1885" s="60">
        <f t="shared" si="209"/>
        <v>0</v>
      </c>
    </row>
    <row r="1886" spans="1:27">
      <c r="A1886" s="83" t="str">
        <f t="shared" si="204"/>
        <v/>
      </c>
      <c r="B1886" s="83" t="str">
        <f t="shared" si="205"/>
        <v/>
      </c>
      <c r="S1886" s="83" t="str">
        <f t="shared" si="206"/>
        <v/>
      </c>
      <c r="T1886" s="83" t="str">
        <f t="shared" si="203"/>
        <v/>
      </c>
      <c r="Y1886" s="60">
        <f t="shared" si="207"/>
        <v>0</v>
      </c>
      <c r="Z1886" s="49">
        <f t="shared" si="208"/>
        <v>0</v>
      </c>
      <c r="AA1886" s="60">
        <f t="shared" si="209"/>
        <v>0</v>
      </c>
    </row>
    <row r="1887" spans="1:27">
      <c r="A1887" s="83" t="str">
        <f t="shared" si="204"/>
        <v/>
      </c>
      <c r="B1887" s="83" t="str">
        <f t="shared" si="205"/>
        <v/>
      </c>
      <c r="S1887" s="83" t="str">
        <f t="shared" si="206"/>
        <v/>
      </c>
      <c r="T1887" s="83" t="str">
        <f t="shared" si="203"/>
        <v/>
      </c>
      <c r="Y1887" s="60">
        <f t="shared" si="207"/>
        <v>0</v>
      </c>
      <c r="Z1887" s="49">
        <f t="shared" si="208"/>
        <v>0</v>
      </c>
      <c r="AA1887" s="60">
        <f t="shared" si="209"/>
        <v>0</v>
      </c>
    </row>
    <row r="1888" spans="1:27">
      <c r="A1888" s="83" t="str">
        <f t="shared" si="204"/>
        <v/>
      </c>
      <c r="B1888" s="83" t="str">
        <f t="shared" si="205"/>
        <v/>
      </c>
      <c r="S1888" s="83" t="str">
        <f t="shared" si="206"/>
        <v/>
      </c>
      <c r="T1888" s="83" t="str">
        <f t="shared" si="203"/>
        <v/>
      </c>
      <c r="Y1888" s="60">
        <f t="shared" si="207"/>
        <v>0</v>
      </c>
      <c r="Z1888" s="49">
        <f t="shared" si="208"/>
        <v>0</v>
      </c>
      <c r="AA1888" s="60">
        <f t="shared" si="209"/>
        <v>0</v>
      </c>
    </row>
    <row r="1889" spans="1:27">
      <c r="A1889" s="83" t="str">
        <f t="shared" si="204"/>
        <v/>
      </c>
      <c r="B1889" s="83" t="str">
        <f t="shared" si="205"/>
        <v/>
      </c>
      <c r="S1889" s="83" t="str">
        <f t="shared" si="206"/>
        <v/>
      </c>
      <c r="T1889" s="83" t="str">
        <f t="shared" si="203"/>
        <v/>
      </c>
      <c r="Y1889" s="60">
        <f t="shared" si="207"/>
        <v>0</v>
      </c>
      <c r="Z1889" s="49">
        <f t="shared" si="208"/>
        <v>0</v>
      </c>
      <c r="AA1889" s="60">
        <f t="shared" si="209"/>
        <v>0</v>
      </c>
    </row>
    <row r="1890" spans="1:27">
      <c r="A1890" s="83" t="str">
        <f t="shared" si="204"/>
        <v/>
      </c>
      <c r="B1890" s="83" t="str">
        <f t="shared" si="205"/>
        <v/>
      </c>
      <c r="S1890" s="83" t="str">
        <f t="shared" si="206"/>
        <v/>
      </c>
      <c r="T1890" s="83" t="str">
        <f t="shared" si="203"/>
        <v/>
      </c>
      <c r="Y1890" s="60">
        <f t="shared" si="207"/>
        <v>0</v>
      </c>
      <c r="Z1890" s="49">
        <f t="shared" si="208"/>
        <v>0</v>
      </c>
      <c r="AA1890" s="60">
        <f t="shared" si="209"/>
        <v>0</v>
      </c>
    </row>
    <row r="1891" spans="1:27">
      <c r="A1891" s="83" t="str">
        <f t="shared" si="204"/>
        <v/>
      </c>
      <c r="B1891" s="83" t="str">
        <f t="shared" si="205"/>
        <v/>
      </c>
      <c r="S1891" s="83" t="str">
        <f t="shared" si="206"/>
        <v/>
      </c>
      <c r="T1891" s="83" t="str">
        <f t="shared" si="203"/>
        <v/>
      </c>
      <c r="Y1891" s="60">
        <f t="shared" si="207"/>
        <v>0</v>
      </c>
      <c r="Z1891" s="49">
        <f t="shared" si="208"/>
        <v>0</v>
      </c>
      <c r="AA1891" s="60">
        <f t="shared" si="209"/>
        <v>0</v>
      </c>
    </row>
    <row r="1892" spans="1:27">
      <c r="A1892" s="83" t="str">
        <f t="shared" si="204"/>
        <v/>
      </c>
      <c r="B1892" s="83" t="str">
        <f t="shared" si="205"/>
        <v/>
      </c>
      <c r="S1892" s="83" t="str">
        <f t="shared" si="206"/>
        <v/>
      </c>
      <c r="T1892" s="83" t="str">
        <f t="shared" si="203"/>
        <v/>
      </c>
      <c r="Y1892" s="60">
        <f t="shared" si="207"/>
        <v>0</v>
      </c>
      <c r="Z1892" s="49">
        <f t="shared" si="208"/>
        <v>0</v>
      </c>
      <c r="AA1892" s="60">
        <f t="shared" si="209"/>
        <v>0</v>
      </c>
    </row>
    <row r="1893" spans="1:27">
      <c r="A1893" s="83" t="str">
        <f t="shared" si="204"/>
        <v/>
      </c>
      <c r="B1893" s="83" t="str">
        <f t="shared" si="205"/>
        <v/>
      </c>
      <c r="S1893" s="83" t="str">
        <f t="shared" si="206"/>
        <v/>
      </c>
      <c r="T1893" s="83" t="str">
        <f t="shared" si="203"/>
        <v/>
      </c>
      <c r="Y1893" s="60">
        <f t="shared" si="207"/>
        <v>0</v>
      </c>
      <c r="Z1893" s="49">
        <f t="shared" si="208"/>
        <v>0</v>
      </c>
      <c r="AA1893" s="60">
        <f t="shared" si="209"/>
        <v>0</v>
      </c>
    </row>
    <row r="1894" spans="1:27">
      <c r="A1894" s="83" t="str">
        <f t="shared" si="204"/>
        <v/>
      </c>
      <c r="B1894" s="83" t="str">
        <f t="shared" si="205"/>
        <v/>
      </c>
      <c r="S1894" s="83" t="str">
        <f t="shared" si="206"/>
        <v/>
      </c>
      <c r="T1894" s="83" t="str">
        <f t="shared" si="203"/>
        <v/>
      </c>
      <c r="Y1894" s="60">
        <f t="shared" si="207"/>
        <v>0</v>
      </c>
      <c r="Z1894" s="49">
        <f t="shared" si="208"/>
        <v>0</v>
      </c>
      <c r="AA1894" s="60">
        <f t="shared" si="209"/>
        <v>0</v>
      </c>
    </row>
    <row r="1895" spans="1:27">
      <c r="A1895" s="83" t="str">
        <f t="shared" si="204"/>
        <v/>
      </c>
      <c r="B1895" s="83" t="str">
        <f t="shared" si="205"/>
        <v/>
      </c>
      <c r="S1895" s="83" t="str">
        <f t="shared" si="206"/>
        <v/>
      </c>
      <c r="T1895" s="83" t="str">
        <f t="shared" si="203"/>
        <v/>
      </c>
      <c r="Y1895" s="60">
        <f t="shared" si="207"/>
        <v>0</v>
      </c>
      <c r="Z1895" s="49">
        <f t="shared" si="208"/>
        <v>0</v>
      </c>
      <c r="AA1895" s="60">
        <f t="shared" si="209"/>
        <v>0</v>
      </c>
    </row>
    <row r="1896" spans="1:27">
      <c r="A1896" s="83" t="str">
        <f t="shared" si="204"/>
        <v/>
      </c>
      <c r="B1896" s="83" t="str">
        <f t="shared" si="205"/>
        <v/>
      </c>
      <c r="S1896" s="83" t="str">
        <f t="shared" si="206"/>
        <v/>
      </c>
      <c r="T1896" s="83" t="str">
        <f t="shared" si="203"/>
        <v/>
      </c>
      <c r="Y1896" s="60">
        <f t="shared" si="207"/>
        <v>0</v>
      </c>
      <c r="Z1896" s="49">
        <f t="shared" si="208"/>
        <v>0</v>
      </c>
      <c r="AA1896" s="60">
        <f t="shared" si="209"/>
        <v>0</v>
      </c>
    </row>
    <row r="1897" spans="1:27">
      <c r="A1897" s="83" t="str">
        <f t="shared" si="204"/>
        <v/>
      </c>
      <c r="B1897" s="83" t="str">
        <f t="shared" si="205"/>
        <v/>
      </c>
      <c r="S1897" s="83" t="str">
        <f t="shared" si="206"/>
        <v/>
      </c>
      <c r="T1897" s="83" t="str">
        <f t="shared" si="203"/>
        <v/>
      </c>
      <c r="Y1897" s="60">
        <f t="shared" si="207"/>
        <v>0</v>
      </c>
      <c r="Z1897" s="49">
        <f t="shared" si="208"/>
        <v>0</v>
      </c>
      <c r="AA1897" s="60">
        <f t="shared" si="209"/>
        <v>0</v>
      </c>
    </row>
    <row r="1898" spans="1:27">
      <c r="A1898" s="83" t="str">
        <f t="shared" si="204"/>
        <v/>
      </c>
      <c r="B1898" s="83" t="str">
        <f t="shared" si="205"/>
        <v/>
      </c>
      <c r="S1898" s="83" t="str">
        <f t="shared" si="206"/>
        <v/>
      </c>
      <c r="T1898" s="83" t="str">
        <f t="shared" si="203"/>
        <v/>
      </c>
      <c r="Y1898" s="60">
        <f t="shared" si="207"/>
        <v>0</v>
      </c>
      <c r="Z1898" s="49">
        <f t="shared" si="208"/>
        <v>0</v>
      </c>
      <c r="AA1898" s="60">
        <f t="shared" si="209"/>
        <v>0</v>
      </c>
    </row>
    <row r="1899" spans="1:27">
      <c r="A1899" s="83" t="str">
        <f t="shared" si="204"/>
        <v/>
      </c>
      <c r="B1899" s="83" t="str">
        <f t="shared" si="205"/>
        <v/>
      </c>
      <c r="S1899" s="83" t="str">
        <f t="shared" si="206"/>
        <v/>
      </c>
      <c r="T1899" s="83" t="str">
        <f t="shared" si="203"/>
        <v/>
      </c>
      <c r="Y1899" s="60">
        <f t="shared" si="207"/>
        <v>0</v>
      </c>
      <c r="Z1899" s="49">
        <f t="shared" si="208"/>
        <v>0</v>
      </c>
      <c r="AA1899" s="60">
        <f t="shared" si="209"/>
        <v>0</v>
      </c>
    </row>
    <row r="1900" spans="1:27">
      <c r="A1900" s="83" t="str">
        <f t="shared" si="204"/>
        <v/>
      </c>
      <c r="B1900" s="83" t="str">
        <f t="shared" si="205"/>
        <v/>
      </c>
      <c r="S1900" s="83" t="str">
        <f t="shared" si="206"/>
        <v/>
      </c>
      <c r="T1900" s="83" t="str">
        <f t="shared" si="203"/>
        <v/>
      </c>
      <c r="Y1900" s="60">
        <f t="shared" si="207"/>
        <v>0</v>
      </c>
      <c r="Z1900" s="49">
        <f t="shared" si="208"/>
        <v>0</v>
      </c>
      <c r="AA1900" s="60">
        <f t="shared" si="209"/>
        <v>0</v>
      </c>
    </row>
    <row r="1901" spans="1:27">
      <c r="A1901" s="83" t="str">
        <f t="shared" si="204"/>
        <v/>
      </c>
      <c r="B1901" s="83" t="str">
        <f t="shared" si="205"/>
        <v/>
      </c>
      <c r="S1901" s="83" t="str">
        <f t="shared" si="206"/>
        <v/>
      </c>
      <c r="T1901" s="83" t="str">
        <f t="shared" si="203"/>
        <v/>
      </c>
      <c r="Y1901" s="60">
        <f t="shared" si="207"/>
        <v>0</v>
      </c>
      <c r="Z1901" s="49">
        <f t="shared" si="208"/>
        <v>0</v>
      </c>
      <c r="AA1901" s="60">
        <f t="shared" si="209"/>
        <v>0</v>
      </c>
    </row>
    <row r="1902" spans="1:27">
      <c r="A1902" s="83" t="str">
        <f t="shared" si="204"/>
        <v/>
      </c>
      <c r="B1902" s="83" t="str">
        <f t="shared" si="205"/>
        <v/>
      </c>
      <c r="S1902" s="83" t="str">
        <f t="shared" si="206"/>
        <v/>
      </c>
      <c r="T1902" s="83" t="str">
        <f t="shared" si="203"/>
        <v/>
      </c>
      <c r="Y1902" s="60">
        <f t="shared" si="207"/>
        <v>0</v>
      </c>
      <c r="Z1902" s="49">
        <f t="shared" si="208"/>
        <v>0</v>
      </c>
      <c r="AA1902" s="60">
        <f t="shared" si="209"/>
        <v>0</v>
      </c>
    </row>
    <row r="1903" spans="1:27">
      <c r="A1903" s="83" t="str">
        <f t="shared" si="204"/>
        <v/>
      </c>
      <c r="B1903" s="83" t="str">
        <f t="shared" si="205"/>
        <v/>
      </c>
      <c r="S1903" s="83" t="str">
        <f t="shared" si="206"/>
        <v/>
      </c>
      <c r="T1903" s="83" t="str">
        <f t="shared" si="203"/>
        <v/>
      </c>
      <c r="Y1903" s="60">
        <f t="shared" si="207"/>
        <v>0</v>
      </c>
      <c r="Z1903" s="49">
        <f t="shared" si="208"/>
        <v>0</v>
      </c>
      <c r="AA1903" s="60">
        <f t="shared" si="209"/>
        <v>0</v>
      </c>
    </row>
    <row r="1904" spans="1:27">
      <c r="A1904" s="83" t="str">
        <f t="shared" si="204"/>
        <v/>
      </c>
      <c r="B1904" s="83" t="str">
        <f t="shared" si="205"/>
        <v/>
      </c>
      <c r="S1904" s="83" t="str">
        <f t="shared" si="206"/>
        <v/>
      </c>
      <c r="T1904" s="83" t="str">
        <f t="shared" si="203"/>
        <v/>
      </c>
      <c r="Y1904" s="60">
        <f t="shared" si="207"/>
        <v>0</v>
      </c>
      <c r="Z1904" s="49">
        <f t="shared" si="208"/>
        <v>0</v>
      </c>
      <c r="AA1904" s="60">
        <f t="shared" si="209"/>
        <v>0</v>
      </c>
    </row>
    <row r="1905" spans="1:27">
      <c r="A1905" s="83" t="str">
        <f t="shared" si="204"/>
        <v/>
      </c>
      <c r="B1905" s="83" t="str">
        <f t="shared" si="205"/>
        <v/>
      </c>
      <c r="S1905" s="83" t="str">
        <f t="shared" si="206"/>
        <v/>
      </c>
      <c r="T1905" s="83" t="str">
        <f t="shared" si="203"/>
        <v/>
      </c>
      <c r="Y1905" s="60">
        <f t="shared" si="207"/>
        <v>0</v>
      </c>
      <c r="Z1905" s="49">
        <f t="shared" si="208"/>
        <v>0</v>
      </c>
      <c r="AA1905" s="60">
        <f t="shared" si="209"/>
        <v>0</v>
      </c>
    </row>
    <row r="1906" spans="1:27">
      <c r="A1906" s="83" t="str">
        <f t="shared" si="204"/>
        <v/>
      </c>
      <c r="B1906" s="83" t="str">
        <f t="shared" si="205"/>
        <v/>
      </c>
      <c r="S1906" s="83" t="str">
        <f t="shared" si="206"/>
        <v/>
      </c>
      <c r="T1906" s="83" t="str">
        <f t="shared" si="203"/>
        <v/>
      </c>
      <c r="Y1906" s="60">
        <f t="shared" si="207"/>
        <v>0</v>
      </c>
      <c r="Z1906" s="49">
        <f t="shared" si="208"/>
        <v>0</v>
      </c>
      <c r="AA1906" s="60">
        <f t="shared" si="209"/>
        <v>0</v>
      </c>
    </row>
    <row r="1907" spans="1:27">
      <c r="A1907" s="83" t="str">
        <f t="shared" si="204"/>
        <v/>
      </c>
      <c r="B1907" s="83" t="str">
        <f t="shared" si="205"/>
        <v/>
      </c>
      <c r="S1907" s="83" t="str">
        <f t="shared" si="206"/>
        <v/>
      </c>
      <c r="T1907" s="83" t="str">
        <f t="shared" si="203"/>
        <v/>
      </c>
      <c r="Y1907" s="60">
        <f t="shared" si="207"/>
        <v>0</v>
      </c>
      <c r="Z1907" s="49">
        <f t="shared" si="208"/>
        <v>0</v>
      </c>
      <c r="AA1907" s="60">
        <f t="shared" si="209"/>
        <v>0</v>
      </c>
    </row>
    <row r="1908" spans="1:27">
      <c r="A1908" s="83" t="str">
        <f t="shared" si="204"/>
        <v/>
      </c>
      <c r="B1908" s="83" t="str">
        <f t="shared" si="205"/>
        <v/>
      </c>
      <c r="S1908" s="83" t="str">
        <f t="shared" si="206"/>
        <v/>
      </c>
      <c r="T1908" s="83" t="str">
        <f t="shared" si="203"/>
        <v/>
      </c>
      <c r="Y1908" s="60">
        <f t="shared" si="207"/>
        <v>0</v>
      </c>
      <c r="Z1908" s="49">
        <f t="shared" si="208"/>
        <v>0</v>
      </c>
      <c r="AA1908" s="60">
        <f t="shared" si="209"/>
        <v>0</v>
      </c>
    </row>
    <row r="1909" spans="1:27">
      <c r="A1909" s="83" t="str">
        <f t="shared" si="204"/>
        <v/>
      </c>
      <c r="B1909" s="83" t="str">
        <f t="shared" si="205"/>
        <v/>
      </c>
      <c r="S1909" s="83" t="str">
        <f t="shared" si="206"/>
        <v/>
      </c>
      <c r="T1909" s="83" t="str">
        <f t="shared" si="203"/>
        <v/>
      </c>
      <c r="Y1909" s="60">
        <f t="shared" si="207"/>
        <v>0</v>
      </c>
      <c r="Z1909" s="49">
        <f t="shared" si="208"/>
        <v>0</v>
      </c>
      <c r="AA1909" s="60">
        <f t="shared" si="209"/>
        <v>0</v>
      </c>
    </row>
    <row r="1910" spans="1:27">
      <c r="A1910" s="83" t="str">
        <f t="shared" si="204"/>
        <v/>
      </c>
      <c r="B1910" s="83" t="str">
        <f t="shared" si="205"/>
        <v/>
      </c>
      <c r="S1910" s="83" t="str">
        <f t="shared" si="206"/>
        <v/>
      </c>
      <c r="T1910" s="83" t="str">
        <f t="shared" si="203"/>
        <v/>
      </c>
      <c r="Y1910" s="60">
        <f t="shared" si="207"/>
        <v>0</v>
      </c>
      <c r="Z1910" s="49">
        <f t="shared" si="208"/>
        <v>0</v>
      </c>
      <c r="AA1910" s="60">
        <f t="shared" si="209"/>
        <v>0</v>
      </c>
    </row>
    <row r="1911" spans="1:27">
      <c r="A1911" s="83" t="str">
        <f t="shared" si="204"/>
        <v/>
      </c>
      <c r="B1911" s="83" t="str">
        <f t="shared" si="205"/>
        <v/>
      </c>
      <c r="S1911" s="83" t="str">
        <f t="shared" si="206"/>
        <v/>
      </c>
      <c r="T1911" s="83" t="str">
        <f t="shared" si="203"/>
        <v/>
      </c>
      <c r="Y1911" s="60">
        <f t="shared" si="207"/>
        <v>0</v>
      </c>
      <c r="Z1911" s="49">
        <f t="shared" si="208"/>
        <v>0</v>
      </c>
      <c r="AA1911" s="60">
        <f t="shared" si="209"/>
        <v>0</v>
      </c>
    </row>
    <row r="1912" spans="1:27">
      <c r="A1912" s="83" t="str">
        <f t="shared" si="204"/>
        <v/>
      </c>
      <c r="B1912" s="83" t="str">
        <f t="shared" si="205"/>
        <v/>
      </c>
      <c r="S1912" s="83" t="str">
        <f t="shared" si="206"/>
        <v/>
      </c>
      <c r="T1912" s="83" t="str">
        <f t="shared" si="203"/>
        <v/>
      </c>
      <c r="Y1912" s="60">
        <f t="shared" si="207"/>
        <v>0</v>
      </c>
      <c r="Z1912" s="49">
        <f t="shared" si="208"/>
        <v>0</v>
      </c>
      <c r="AA1912" s="60">
        <f t="shared" si="209"/>
        <v>0</v>
      </c>
    </row>
    <row r="1913" spans="1:27">
      <c r="A1913" s="83" t="str">
        <f t="shared" si="204"/>
        <v/>
      </c>
      <c r="B1913" s="83" t="str">
        <f t="shared" si="205"/>
        <v/>
      </c>
      <c r="S1913" s="83" t="str">
        <f t="shared" si="206"/>
        <v/>
      </c>
      <c r="T1913" s="83" t="str">
        <f t="shared" si="203"/>
        <v/>
      </c>
      <c r="Y1913" s="60">
        <f t="shared" si="207"/>
        <v>0</v>
      </c>
      <c r="Z1913" s="49">
        <f t="shared" si="208"/>
        <v>0</v>
      </c>
      <c r="AA1913" s="60">
        <f t="shared" si="209"/>
        <v>0</v>
      </c>
    </row>
    <row r="1914" spans="1:27">
      <c r="A1914" s="83" t="str">
        <f t="shared" si="204"/>
        <v/>
      </c>
      <c r="B1914" s="83" t="str">
        <f t="shared" si="205"/>
        <v/>
      </c>
      <c r="S1914" s="83" t="str">
        <f t="shared" si="206"/>
        <v/>
      </c>
      <c r="T1914" s="83" t="str">
        <f t="shared" si="203"/>
        <v/>
      </c>
      <c r="Y1914" s="60">
        <f t="shared" si="207"/>
        <v>0</v>
      </c>
      <c r="Z1914" s="49">
        <f t="shared" si="208"/>
        <v>0</v>
      </c>
      <c r="AA1914" s="60">
        <f t="shared" si="209"/>
        <v>0</v>
      </c>
    </row>
    <row r="1915" spans="1:27">
      <c r="A1915" s="83" t="str">
        <f t="shared" si="204"/>
        <v/>
      </c>
      <c r="B1915" s="83" t="str">
        <f t="shared" si="205"/>
        <v/>
      </c>
      <c r="S1915" s="83" t="str">
        <f t="shared" si="206"/>
        <v/>
      </c>
      <c r="T1915" s="83" t="str">
        <f t="shared" si="203"/>
        <v/>
      </c>
      <c r="Y1915" s="60">
        <f t="shared" si="207"/>
        <v>0</v>
      </c>
      <c r="Z1915" s="49">
        <f t="shared" si="208"/>
        <v>0</v>
      </c>
      <c r="AA1915" s="60">
        <f t="shared" si="209"/>
        <v>0</v>
      </c>
    </row>
    <row r="1916" spans="1:27">
      <c r="A1916" s="83" t="str">
        <f t="shared" si="204"/>
        <v/>
      </c>
      <c r="B1916" s="83" t="str">
        <f t="shared" si="205"/>
        <v/>
      </c>
      <c r="S1916" s="83" t="str">
        <f t="shared" si="206"/>
        <v/>
      </c>
      <c r="T1916" s="83" t="str">
        <f t="shared" si="203"/>
        <v/>
      </c>
      <c r="Y1916" s="60">
        <f t="shared" si="207"/>
        <v>0</v>
      </c>
      <c r="Z1916" s="49">
        <f t="shared" si="208"/>
        <v>0</v>
      </c>
      <c r="AA1916" s="60">
        <f t="shared" si="209"/>
        <v>0</v>
      </c>
    </row>
    <row r="1917" spans="1:27">
      <c r="A1917" s="83" t="str">
        <f t="shared" si="204"/>
        <v/>
      </c>
      <c r="B1917" s="83" t="str">
        <f t="shared" si="205"/>
        <v/>
      </c>
      <c r="S1917" s="83" t="str">
        <f t="shared" si="206"/>
        <v/>
      </c>
      <c r="T1917" s="83" t="str">
        <f t="shared" si="203"/>
        <v/>
      </c>
      <c r="Y1917" s="60">
        <f t="shared" si="207"/>
        <v>0</v>
      </c>
      <c r="Z1917" s="49">
        <f t="shared" si="208"/>
        <v>0</v>
      </c>
      <c r="AA1917" s="60">
        <f t="shared" si="209"/>
        <v>0</v>
      </c>
    </row>
    <row r="1918" spans="1:27">
      <c r="A1918" s="83" t="str">
        <f t="shared" si="204"/>
        <v/>
      </c>
      <c r="B1918" s="83" t="str">
        <f t="shared" si="205"/>
        <v/>
      </c>
      <c r="S1918" s="83" t="str">
        <f t="shared" si="206"/>
        <v/>
      </c>
      <c r="T1918" s="83" t="str">
        <f t="shared" si="203"/>
        <v/>
      </c>
      <c r="Y1918" s="60">
        <f t="shared" si="207"/>
        <v>0</v>
      </c>
      <c r="Z1918" s="49">
        <f t="shared" si="208"/>
        <v>0</v>
      </c>
      <c r="AA1918" s="60">
        <f t="shared" si="209"/>
        <v>0</v>
      </c>
    </row>
    <row r="1919" spans="1:27">
      <c r="A1919" s="83" t="str">
        <f t="shared" si="204"/>
        <v/>
      </c>
      <c r="B1919" s="83" t="str">
        <f t="shared" si="205"/>
        <v/>
      </c>
      <c r="S1919" s="83" t="str">
        <f t="shared" si="206"/>
        <v/>
      </c>
      <c r="T1919" s="83" t="str">
        <f t="shared" si="203"/>
        <v/>
      </c>
      <c r="Y1919" s="60">
        <f t="shared" si="207"/>
        <v>0</v>
      </c>
      <c r="Z1919" s="49">
        <f t="shared" si="208"/>
        <v>0</v>
      </c>
      <c r="AA1919" s="60">
        <f t="shared" si="209"/>
        <v>0</v>
      </c>
    </row>
    <row r="1920" spans="1:27">
      <c r="A1920" s="83" t="str">
        <f t="shared" si="204"/>
        <v/>
      </c>
      <c r="B1920" s="83" t="str">
        <f t="shared" si="205"/>
        <v/>
      </c>
      <c r="S1920" s="83" t="str">
        <f t="shared" si="206"/>
        <v/>
      </c>
      <c r="T1920" s="83" t="str">
        <f t="shared" si="203"/>
        <v/>
      </c>
      <c r="Y1920" s="60">
        <f t="shared" si="207"/>
        <v>0</v>
      </c>
      <c r="Z1920" s="49">
        <f t="shared" si="208"/>
        <v>0</v>
      </c>
      <c r="AA1920" s="60">
        <f t="shared" si="209"/>
        <v>0</v>
      </c>
    </row>
    <row r="1921" spans="1:27">
      <c r="A1921" s="83" t="str">
        <f t="shared" si="204"/>
        <v/>
      </c>
      <c r="B1921" s="83" t="str">
        <f t="shared" si="205"/>
        <v/>
      </c>
      <c r="S1921" s="83" t="str">
        <f t="shared" si="206"/>
        <v/>
      </c>
      <c r="T1921" s="83" t="str">
        <f t="shared" si="203"/>
        <v/>
      </c>
      <c r="Y1921" s="60">
        <f t="shared" si="207"/>
        <v>0</v>
      </c>
      <c r="Z1921" s="49">
        <f t="shared" si="208"/>
        <v>0</v>
      </c>
      <c r="AA1921" s="60">
        <f t="shared" si="209"/>
        <v>0</v>
      </c>
    </row>
    <row r="1922" spans="1:27">
      <c r="A1922" s="83" t="str">
        <f t="shared" si="204"/>
        <v/>
      </c>
      <c r="B1922" s="83" t="str">
        <f t="shared" si="205"/>
        <v/>
      </c>
      <c r="S1922" s="83" t="str">
        <f t="shared" si="206"/>
        <v/>
      </c>
      <c r="T1922" s="83" t="str">
        <f t="shared" ref="T1922:T1985" si="210">IF(A1922&lt;&gt;"",IF(FIND(" ",G1922)&gt;=1,MID(G1922,FIND(" ",G1922)+1,LEN(G1922)),""),"")</f>
        <v/>
      </c>
      <c r="Y1922" s="60">
        <f t="shared" si="207"/>
        <v>0</v>
      </c>
      <c r="Z1922" s="49">
        <f t="shared" si="208"/>
        <v>0</v>
      </c>
      <c r="AA1922" s="60">
        <f t="shared" si="209"/>
        <v>0</v>
      </c>
    </row>
    <row r="1923" spans="1:27">
      <c r="A1923" s="83" t="str">
        <f t="shared" ref="A1923:A1986" si="211">IF(G1923&amp;Q1923&lt;&gt;"",S1923&amp;Q1923,"")</f>
        <v/>
      </c>
      <c r="B1923" s="83" t="str">
        <f t="shared" ref="B1923:B1986" si="212">IF(C1923&lt;&gt;"",LEFT(C1923,9),"")</f>
        <v/>
      </c>
      <c r="S1923" s="83" t="str">
        <f t="shared" ref="S1923:S1986" si="213">IF(G1923&lt;&gt;"",IF(FIND(" ",G1923)&gt;=1,MID(G1923,1,FIND(" ",G1923)-1),G1923),"")</f>
        <v/>
      </c>
      <c r="T1923" s="83" t="str">
        <f t="shared" si="210"/>
        <v/>
      </c>
      <c r="Y1923" s="60">
        <f t="shared" ref="Y1923:Y1986" si="214">IFERROR(VALUE(MID($C1923,1,2)),0)</f>
        <v>0</v>
      </c>
      <c r="Z1923" s="49">
        <f t="shared" ref="Z1923:Z1986" si="215">IFERROR(VALUE(MID($C1923,4,3)),0)</f>
        <v>0</v>
      </c>
      <c r="AA1923" s="60">
        <f t="shared" ref="AA1923:AA1986" si="216">VALUE(RIGHT("00"&amp;Y1923,2)&amp;RIGHT("000"&amp;Z1923,3))</f>
        <v>0</v>
      </c>
    </row>
    <row r="1924" spans="1:27">
      <c r="A1924" s="83" t="str">
        <f t="shared" si="211"/>
        <v/>
      </c>
      <c r="B1924" s="83" t="str">
        <f t="shared" si="212"/>
        <v/>
      </c>
      <c r="S1924" s="83" t="str">
        <f t="shared" si="213"/>
        <v/>
      </c>
      <c r="T1924" s="83" t="str">
        <f t="shared" si="210"/>
        <v/>
      </c>
      <c r="Y1924" s="60">
        <f t="shared" si="214"/>
        <v>0</v>
      </c>
      <c r="Z1924" s="49">
        <f t="shared" si="215"/>
        <v>0</v>
      </c>
      <c r="AA1924" s="60">
        <f t="shared" si="216"/>
        <v>0</v>
      </c>
    </row>
    <row r="1925" spans="1:27">
      <c r="A1925" s="83" t="str">
        <f t="shared" si="211"/>
        <v/>
      </c>
      <c r="B1925" s="83" t="str">
        <f t="shared" si="212"/>
        <v/>
      </c>
      <c r="S1925" s="83" t="str">
        <f t="shared" si="213"/>
        <v/>
      </c>
      <c r="T1925" s="83" t="str">
        <f t="shared" si="210"/>
        <v/>
      </c>
      <c r="Y1925" s="60">
        <f t="shared" si="214"/>
        <v>0</v>
      </c>
      <c r="Z1925" s="49">
        <f t="shared" si="215"/>
        <v>0</v>
      </c>
      <c r="AA1925" s="60">
        <f t="shared" si="216"/>
        <v>0</v>
      </c>
    </row>
    <row r="1926" spans="1:27">
      <c r="A1926" s="83" t="str">
        <f t="shared" si="211"/>
        <v/>
      </c>
      <c r="B1926" s="83" t="str">
        <f t="shared" si="212"/>
        <v/>
      </c>
      <c r="S1926" s="83" t="str">
        <f t="shared" si="213"/>
        <v/>
      </c>
      <c r="T1926" s="83" t="str">
        <f t="shared" si="210"/>
        <v/>
      </c>
      <c r="Y1926" s="60">
        <f t="shared" si="214"/>
        <v>0</v>
      </c>
      <c r="Z1926" s="49">
        <f t="shared" si="215"/>
        <v>0</v>
      </c>
      <c r="AA1926" s="60">
        <f t="shared" si="216"/>
        <v>0</v>
      </c>
    </row>
    <row r="1927" spans="1:27">
      <c r="A1927" s="83" t="str">
        <f t="shared" si="211"/>
        <v/>
      </c>
      <c r="B1927" s="83" t="str">
        <f t="shared" si="212"/>
        <v/>
      </c>
      <c r="S1927" s="83" t="str">
        <f t="shared" si="213"/>
        <v/>
      </c>
      <c r="T1927" s="83" t="str">
        <f t="shared" si="210"/>
        <v/>
      </c>
      <c r="Y1927" s="60">
        <f t="shared" si="214"/>
        <v>0</v>
      </c>
      <c r="Z1927" s="49">
        <f t="shared" si="215"/>
        <v>0</v>
      </c>
      <c r="AA1927" s="60">
        <f t="shared" si="216"/>
        <v>0</v>
      </c>
    </row>
    <row r="1928" spans="1:27">
      <c r="A1928" s="83" t="str">
        <f t="shared" si="211"/>
        <v/>
      </c>
      <c r="B1928" s="83" t="str">
        <f t="shared" si="212"/>
        <v/>
      </c>
      <c r="S1928" s="83" t="str">
        <f t="shared" si="213"/>
        <v/>
      </c>
      <c r="T1928" s="83" t="str">
        <f t="shared" si="210"/>
        <v/>
      </c>
      <c r="Y1928" s="60">
        <f t="shared" si="214"/>
        <v>0</v>
      </c>
      <c r="Z1928" s="49">
        <f t="shared" si="215"/>
        <v>0</v>
      </c>
      <c r="AA1928" s="60">
        <f t="shared" si="216"/>
        <v>0</v>
      </c>
    </row>
    <row r="1929" spans="1:27">
      <c r="A1929" s="83" t="str">
        <f t="shared" si="211"/>
        <v/>
      </c>
      <c r="B1929" s="83" t="str">
        <f t="shared" si="212"/>
        <v/>
      </c>
      <c r="S1929" s="83" t="str">
        <f t="shared" si="213"/>
        <v/>
      </c>
      <c r="T1929" s="83" t="str">
        <f t="shared" si="210"/>
        <v/>
      </c>
      <c r="Y1929" s="60">
        <f t="shared" si="214"/>
        <v>0</v>
      </c>
      <c r="Z1929" s="49">
        <f t="shared" si="215"/>
        <v>0</v>
      </c>
      <c r="AA1929" s="60">
        <f t="shared" si="216"/>
        <v>0</v>
      </c>
    </row>
    <row r="1930" spans="1:27">
      <c r="A1930" s="83" t="str">
        <f t="shared" si="211"/>
        <v/>
      </c>
      <c r="B1930" s="83" t="str">
        <f t="shared" si="212"/>
        <v/>
      </c>
      <c r="S1930" s="83" t="str">
        <f t="shared" si="213"/>
        <v/>
      </c>
      <c r="T1930" s="83" t="str">
        <f t="shared" si="210"/>
        <v/>
      </c>
      <c r="Y1930" s="60">
        <f t="shared" si="214"/>
        <v>0</v>
      </c>
      <c r="Z1930" s="49">
        <f t="shared" si="215"/>
        <v>0</v>
      </c>
      <c r="AA1930" s="60">
        <f t="shared" si="216"/>
        <v>0</v>
      </c>
    </row>
    <row r="1931" spans="1:27">
      <c r="A1931" s="83" t="str">
        <f t="shared" si="211"/>
        <v/>
      </c>
      <c r="B1931" s="83" t="str">
        <f t="shared" si="212"/>
        <v/>
      </c>
      <c r="S1931" s="83" t="str">
        <f t="shared" si="213"/>
        <v/>
      </c>
      <c r="T1931" s="83" t="str">
        <f t="shared" si="210"/>
        <v/>
      </c>
      <c r="Y1931" s="60">
        <f t="shared" si="214"/>
        <v>0</v>
      </c>
      <c r="Z1931" s="49">
        <f t="shared" si="215"/>
        <v>0</v>
      </c>
      <c r="AA1931" s="60">
        <f t="shared" si="216"/>
        <v>0</v>
      </c>
    </row>
    <row r="1932" spans="1:27">
      <c r="A1932" s="83" t="str">
        <f t="shared" si="211"/>
        <v/>
      </c>
      <c r="B1932" s="83" t="str">
        <f t="shared" si="212"/>
        <v/>
      </c>
      <c r="S1932" s="83" t="str">
        <f t="shared" si="213"/>
        <v/>
      </c>
      <c r="T1932" s="83" t="str">
        <f t="shared" si="210"/>
        <v/>
      </c>
      <c r="Y1932" s="60">
        <f t="shared" si="214"/>
        <v>0</v>
      </c>
      <c r="Z1932" s="49">
        <f t="shared" si="215"/>
        <v>0</v>
      </c>
      <c r="AA1932" s="60">
        <f t="shared" si="216"/>
        <v>0</v>
      </c>
    </row>
    <row r="1933" spans="1:27">
      <c r="A1933" s="83" t="str">
        <f t="shared" si="211"/>
        <v/>
      </c>
      <c r="B1933" s="83" t="str">
        <f t="shared" si="212"/>
        <v/>
      </c>
      <c r="S1933" s="83" t="str">
        <f t="shared" si="213"/>
        <v/>
      </c>
      <c r="T1933" s="83" t="str">
        <f t="shared" si="210"/>
        <v/>
      </c>
      <c r="Y1933" s="60">
        <f t="shared" si="214"/>
        <v>0</v>
      </c>
      <c r="Z1933" s="49">
        <f t="shared" si="215"/>
        <v>0</v>
      </c>
      <c r="AA1933" s="60">
        <f t="shared" si="216"/>
        <v>0</v>
      </c>
    </row>
    <row r="1934" spans="1:27">
      <c r="A1934" s="83" t="str">
        <f t="shared" si="211"/>
        <v/>
      </c>
      <c r="B1934" s="83" t="str">
        <f t="shared" si="212"/>
        <v/>
      </c>
      <c r="S1934" s="83" t="str">
        <f t="shared" si="213"/>
        <v/>
      </c>
      <c r="T1934" s="83" t="str">
        <f t="shared" si="210"/>
        <v/>
      </c>
      <c r="Y1934" s="60">
        <f t="shared" si="214"/>
        <v>0</v>
      </c>
      <c r="Z1934" s="49">
        <f t="shared" si="215"/>
        <v>0</v>
      </c>
      <c r="AA1934" s="60">
        <f t="shared" si="216"/>
        <v>0</v>
      </c>
    </row>
    <row r="1935" spans="1:27">
      <c r="A1935" s="83" t="str">
        <f t="shared" si="211"/>
        <v/>
      </c>
      <c r="B1935" s="83" t="str">
        <f t="shared" si="212"/>
        <v/>
      </c>
      <c r="S1935" s="83" t="str">
        <f t="shared" si="213"/>
        <v/>
      </c>
      <c r="T1935" s="83" t="str">
        <f t="shared" si="210"/>
        <v/>
      </c>
      <c r="Y1935" s="60">
        <f t="shared" si="214"/>
        <v>0</v>
      </c>
      <c r="Z1935" s="49">
        <f t="shared" si="215"/>
        <v>0</v>
      </c>
      <c r="AA1935" s="60">
        <f t="shared" si="216"/>
        <v>0</v>
      </c>
    </row>
    <row r="1936" spans="1:27">
      <c r="A1936" s="83" t="str">
        <f t="shared" si="211"/>
        <v/>
      </c>
      <c r="B1936" s="83" t="str">
        <f t="shared" si="212"/>
        <v/>
      </c>
      <c r="S1936" s="83" t="str">
        <f t="shared" si="213"/>
        <v/>
      </c>
      <c r="T1936" s="83" t="str">
        <f t="shared" si="210"/>
        <v/>
      </c>
      <c r="Y1936" s="60">
        <f t="shared" si="214"/>
        <v>0</v>
      </c>
      <c r="Z1936" s="49">
        <f t="shared" si="215"/>
        <v>0</v>
      </c>
      <c r="AA1936" s="60">
        <f t="shared" si="216"/>
        <v>0</v>
      </c>
    </row>
    <row r="1937" spans="1:27">
      <c r="A1937" s="83" t="str">
        <f t="shared" si="211"/>
        <v/>
      </c>
      <c r="B1937" s="83" t="str">
        <f t="shared" si="212"/>
        <v/>
      </c>
      <c r="S1937" s="83" t="str">
        <f t="shared" si="213"/>
        <v/>
      </c>
      <c r="T1937" s="83" t="str">
        <f t="shared" si="210"/>
        <v/>
      </c>
      <c r="Y1937" s="60">
        <f t="shared" si="214"/>
        <v>0</v>
      </c>
      <c r="Z1937" s="49">
        <f t="shared" si="215"/>
        <v>0</v>
      </c>
      <c r="AA1937" s="60">
        <f t="shared" si="216"/>
        <v>0</v>
      </c>
    </row>
    <row r="1938" spans="1:27">
      <c r="A1938" s="83" t="str">
        <f t="shared" si="211"/>
        <v/>
      </c>
      <c r="B1938" s="83" t="str">
        <f t="shared" si="212"/>
        <v/>
      </c>
      <c r="S1938" s="83" t="str">
        <f t="shared" si="213"/>
        <v/>
      </c>
      <c r="T1938" s="83" t="str">
        <f t="shared" si="210"/>
        <v/>
      </c>
      <c r="Y1938" s="60">
        <f t="shared" si="214"/>
        <v>0</v>
      </c>
      <c r="Z1938" s="49">
        <f t="shared" si="215"/>
        <v>0</v>
      </c>
      <c r="AA1938" s="60">
        <f t="shared" si="216"/>
        <v>0</v>
      </c>
    </row>
    <row r="1939" spans="1:27">
      <c r="A1939" s="83" t="str">
        <f t="shared" si="211"/>
        <v/>
      </c>
      <c r="B1939" s="83" t="str">
        <f t="shared" si="212"/>
        <v/>
      </c>
      <c r="S1939" s="83" t="str">
        <f t="shared" si="213"/>
        <v/>
      </c>
      <c r="T1939" s="83" t="str">
        <f t="shared" si="210"/>
        <v/>
      </c>
      <c r="Y1939" s="60">
        <f t="shared" si="214"/>
        <v>0</v>
      </c>
      <c r="Z1939" s="49">
        <f t="shared" si="215"/>
        <v>0</v>
      </c>
      <c r="AA1939" s="60">
        <f t="shared" si="216"/>
        <v>0</v>
      </c>
    </row>
    <row r="1940" spans="1:27">
      <c r="A1940" s="83" t="str">
        <f t="shared" si="211"/>
        <v/>
      </c>
      <c r="B1940" s="83" t="str">
        <f t="shared" si="212"/>
        <v/>
      </c>
      <c r="S1940" s="83" t="str">
        <f t="shared" si="213"/>
        <v/>
      </c>
      <c r="T1940" s="83" t="str">
        <f t="shared" si="210"/>
        <v/>
      </c>
      <c r="Y1940" s="60">
        <f t="shared" si="214"/>
        <v>0</v>
      </c>
      <c r="Z1940" s="49">
        <f t="shared" si="215"/>
        <v>0</v>
      </c>
      <c r="AA1940" s="60">
        <f t="shared" si="216"/>
        <v>0</v>
      </c>
    </row>
    <row r="1941" spans="1:27">
      <c r="A1941" s="83" t="str">
        <f t="shared" si="211"/>
        <v/>
      </c>
      <c r="B1941" s="83" t="str">
        <f t="shared" si="212"/>
        <v/>
      </c>
      <c r="S1941" s="83" t="str">
        <f t="shared" si="213"/>
        <v/>
      </c>
      <c r="T1941" s="83" t="str">
        <f t="shared" si="210"/>
        <v/>
      </c>
      <c r="Y1941" s="60">
        <f t="shared" si="214"/>
        <v>0</v>
      </c>
      <c r="Z1941" s="49">
        <f t="shared" si="215"/>
        <v>0</v>
      </c>
      <c r="AA1941" s="60">
        <f t="shared" si="216"/>
        <v>0</v>
      </c>
    </row>
    <row r="1942" spans="1:27">
      <c r="A1942" s="83" t="str">
        <f t="shared" si="211"/>
        <v/>
      </c>
      <c r="B1942" s="83" t="str">
        <f t="shared" si="212"/>
        <v/>
      </c>
      <c r="S1942" s="83" t="str">
        <f t="shared" si="213"/>
        <v/>
      </c>
      <c r="T1942" s="83" t="str">
        <f t="shared" si="210"/>
        <v/>
      </c>
      <c r="Y1942" s="60">
        <f t="shared" si="214"/>
        <v>0</v>
      </c>
      <c r="Z1942" s="49">
        <f t="shared" si="215"/>
        <v>0</v>
      </c>
      <c r="AA1942" s="60">
        <f t="shared" si="216"/>
        <v>0</v>
      </c>
    </row>
    <row r="1943" spans="1:27">
      <c r="A1943" s="83" t="str">
        <f t="shared" si="211"/>
        <v/>
      </c>
      <c r="B1943" s="83" t="str">
        <f t="shared" si="212"/>
        <v/>
      </c>
      <c r="S1943" s="83" t="str">
        <f t="shared" si="213"/>
        <v/>
      </c>
      <c r="T1943" s="83" t="str">
        <f t="shared" si="210"/>
        <v/>
      </c>
      <c r="Y1943" s="60">
        <f t="shared" si="214"/>
        <v>0</v>
      </c>
      <c r="Z1943" s="49">
        <f t="shared" si="215"/>
        <v>0</v>
      </c>
      <c r="AA1943" s="60">
        <f t="shared" si="216"/>
        <v>0</v>
      </c>
    </row>
    <row r="1944" spans="1:27">
      <c r="A1944" s="83" t="str">
        <f t="shared" si="211"/>
        <v/>
      </c>
      <c r="B1944" s="83" t="str">
        <f t="shared" si="212"/>
        <v/>
      </c>
      <c r="S1944" s="83" t="str">
        <f t="shared" si="213"/>
        <v/>
      </c>
      <c r="T1944" s="83" t="str">
        <f t="shared" si="210"/>
        <v/>
      </c>
      <c r="Y1944" s="60">
        <f t="shared" si="214"/>
        <v>0</v>
      </c>
      <c r="Z1944" s="49">
        <f t="shared" si="215"/>
        <v>0</v>
      </c>
      <c r="AA1944" s="60">
        <f t="shared" si="216"/>
        <v>0</v>
      </c>
    </row>
    <row r="1945" spans="1:27">
      <c r="A1945" s="83" t="str">
        <f t="shared" si="211"/>
        <v/>
      </c>
      <c r="B1945" s="83" t="str">
        <f t="shared" si="212"/>
        <v/>
      </c>
      <c r="S1945" s="83" t="str">
        <f t="shared" si="213"/>
        <v/>
      </c>
      <c r="T1945" s="83" t="str">
        <f t="shared" si="210"/>
        <v/>
      </c>
      <c r="Y1945" s="60">
        <f t="shared" si="214"/>
        <v>0</v>
      </c>
      <c r="Z1945" s="49">
        <f t="shared" si="215"/>
        <v>0</v>
      </c>
      <c r="AA1945" s="60">
        <f t="shared" si="216"/>
        <v>0</v>
      </c>
    </row>
    <row r="1946" spans="1:27">
      <c r="A1946" s="83" t="str">
        <f t="shared" si="211"/>
        <v/>
      </c>
      <c r="B1946" s="83" t="str">
        <f t="shared" si="212"/>
        <v/>
      </c>
      <c r="S1946" s="83" t="str">
        <f t="shared" si="213"/>
        <v/>
      </c>
      <c r="T1946" s="83" t="str">
        <f t="shared" si="210"/>
        <v/>
      </c>
      <c r="Y1946" s="60">
        <f t="shared" si="214"/>
        <v>0</v>
      </c>
      <c r="Z1946" s="49">
        <f t="shared" si="215"/>
        <v>0</v>
      </c>
      <c r="AA1946" s="60">
        <f t="shared" si="216"/>
        <v>0</v>
      </c>
    </row>
    <row r="1947" spans="1:27">
      <c r="A1947" s="83" t="str">
        <f t="shared" si="211"/>
        <v/>
      </c>
      <c r="B1947" s="83" t="str">
        <f t="shared" si="212"/>
        <v/>
      </c>
      <c r="S1947" s="83" t="str">
        <f t="shared" si="213"/>
        <v/>
      </c>
      <c r="T1947" s="83" t="str">
        <f t="shared" si="210"/>
        <v/>
      </c>
      <c r="Y1947" s="60">
        <f t="shared" si="214"/>
        <v>0</v>
      </c>
      <c r="Z1947" s="49">
        <f t="shared" si="215"/>
        <v>0</v>
      </c>
      <c r="AA1947" s="60">
        <f t="shared" si="216"/>
        <v>0</v>
      </c>
    </row>
    <row r="1948" spans="1:27">
      <c r="A1948" s="83" t="str">
        <f t="shared" si="211"/>
        <v/>
      </c>
      <c r="B1948" s="83" t="str">
        <f t="shared" si="212"/>
        <v/>
      </c>
      <c r="S1948" s="83" t="str">
        <f t="shared" si="213"/>
        <v/>
      </c>
      <c r="T1948" s="83" t="str">
        <f t="shared" si="210"/>
        <v/>
      </c>
      <c r="Y1948" s="60">
        <f t="shared" si="214"/>
        <v>0</v>
      </c>
      <c r="Z1948" s="49">
        <f t="shared" si="215"/>
        <v>0</v>
      </c>
      <c r="AA1948" s="60">
        <f t="shared" si="216"/>
        <v>0</v>
      </c>
    </row>
    <row r="1949" spans="1:27">
      <c r="A1949" s="83" t="str">
        <f t="shared" si="211"/>
        <v/>
      </c>
      <c r="B1949" s="83" t="str">
        <f t="shared" si="212"/>
        <v/>
      </c>
      <c r="S1949" s="83" t="str">
        <f t="shared" si="213"/>
        <v/>
      </c>
      <c r="T1949" s="83" t="str">
        <f t="shared" si="210"/>
        <v/>
      </c>
      <c r="Y1949" s="60">
        <f t="shared" si="214"/>
        <v>0</v>
      </c>
      <c r="Z1949" s="49">
        <f t="shared" si="215"/>
        <v>0</v>
      </c>
      <c r="AA1949" s="60">
        <f t="shared" si="216"/>
        <v>0</v>
      </c>
    </row>
    <row r="1950" spans="1:27">
      <c r="A1950" s="83" t="str">
        <f t="shared" si="211"/>
        <v/>
      </c>
      <c r="B1950" s="83" t="str">
        <f t="shared" si="212"/>
        <v/>
      </c>
      <c r="S1950" s="83" t="str">
        <f t="shared" si="213"/>
        <v/>
      </c>
      <c r="T1950" s="83" t="str">
        <f t="shared" si="210"/>
        <v/>
      </c>
      <c r="Y1950" s="60">
        <f t="shared" si="214"/>
        <v>0</v>
      </c>
      <c r="Z1950" s="49">
        <f t="shared" si="215"/>
        <v>0</v>
      </c>
      <c r="AA1950" s="60">
        <f t="shared" si="216"/>
        <v>0</v>
      </c>
    </row>
    <row r="1951" spans="1:27">
      <c r="A1951" s="83" t="str">
        <f t="shared" si="211"/>
        <v/>
      </c>
      <c r="B1951" s="83" t="str">
        <f t="shared" si="212"/>
        <v/>
      </c>
      <c r="S1951" s="83" t="str">
        <f t="shared" si="213"/>
        <v/>
      </c>
      <c r="T1951" s="83" t="str">
        <f t="shared" si="210"/>
        <v/>
      </c>
      <c r="Y1951" s="60">
        <f t="shared" si="214"/>
        <v>0</v>
      </c>
      <c r="Z1951" s="49">
        <f t="shared" si="215"/>
        <v>0</v>
      </c>
      <c r="AA1951" s="60">
        <f t="shared" si="216"/>
        <v>0</v>
      </c>
    </row>
    <row r="1952" spans="1:27">
      <c r="A1952" s="83" t="str">
        <f t="shared" si="211"/>
        <v/>
      </c>
      <c r="B1952" s="83" t="str">
        <f t="shared" si="212"/>
        <v/>
      </c>
      <c r="S1952" s="83" t="str">
        <f t="shared" si="213"/>
        <v/>
      </c>
      <c r="T1952" s="83" t="str">
        <f t="shared" si="210"/>
        <v/>
      </c>
      <c r="Y1952" s="60">
        <f t="shared" si="214"/>
        <v>0</v>
      </c>
      <c r="Z1952" s="49">
        <f t="shared" si="215"/>
        <v>0</v>
      </c>
      <c r="AA1952" s="60">
        <f t="shared" si="216"/>
        <v>0</v>
      </c>
    </row>
    <row r="1953" spans="1:27">
      <c r="A1953" s="83" t="str">
        <f t="shared" si="211"/>
        <v/>
      </c>
      <c r="B1953" s="83" t="str">
        <f t="shared" si="212"/>
        <v/>
      </c>
      <c r="S1953" s="83" t="str">
        <f t="shared" si="213"/>
        <v/>
      </c>
      <c r="T1953" s="83" t="str">
        <f t="shared" si="210"/>
        <v/>
      </c>
      <c r="Y1953" s="60">
        <f t="shared" si="214"/>
        <v>0</v>
      </c>
      <c r="Z1953" s="49">
        <f t="shared" si="215"/>
        <v>0</v>
      </c>
      <c r="AA1953" s="60">
        <f t="shared" si="216"/>
        <v>0</v>
      </c>
    </row>
    <row r="1954" spans="1:27">
      <c r="A1954" s="83" t="str">
        <f t="shared" si="211"/>
        <v/>
      </c>
      <c r="B1954" s="83" t="str">
        <f t="shared" si="212"/>
        <v/>
      </c>
      <c r="S1954" s="83" t="str">
        <f t="shared" si="213"/>
        <v/>
      </c>
      <c r="T1954" s="83" t="str">
        <f t="shared" si="210"/>
        <v/>
      </c>
      <c r="Y1954" s="60">
        <f t="shared" si="214"/>
        <v>0</v>
      </c>
      <c r="Z1954" s="49">
        <f t="shared" si="215"/>
        <v>0</v>
      </c>
      <c r="AA1954" s="60">
        <f t="shared" si="216"/>
        <v>0</v>
      </c>
    </row>
    <row r="1955" spans="1:27">
      <c r="A1955" s="83" t="str">
        <f t="shared" si="211"/>
        <v/>
      </c>
      <c r="B1955" s="83" t="str">
        <f t="shared" si="212"/>
        <v/>
      </c>
      <c r="S1955" s="83" t="str">
        <f t="shared" si="213"/>
        <v/>
      </c>
      <c r="T1955" s="83" t="str">
        <f t="shared" si="210"/>
        <v/>
      </c>
      <c r="Y1955" s="60">
        <f t="shared" si="214"/>
        <v>0</v>
      </c>
      <c r="Z1955" s="49">
        <f t="shared" si="215"/>
        <v>0</v>
      </c>
      <c r="AA1955" s="60">
        <f t="shared" si="216"/>
        <v>0</v>
      </c>
    </row>
    <row r="1956" spans="1:27">
      <c r="A1956" s="83" t="str">
        <f t="shared" si="211"/>
        <v/>
      </c>
      <c r="B1956" s="83" t="str">
        <f t="shared" si="212"/>
        <v/>
      </c>
      <c r="S1956" s="83" t="str">
        <f t="shared" si="213"/>
        <v/>
      </c>
      <c r="T1956" s="83" t="str">
        <f t="shared" si="210"/>
        <v/>
      </c>
      <c r="Y1956" s="60">
        <f t="shared" si="214"/>
        <v>0</v>
      </c>
      <c r="Z1956" s="49">
        <f t="shared" si="215"/>
        <v>0</v>
      </c>
      <c r="AA1956" s="60">
        <f t="shared" si="216"/>
        <v>0</v>
      </c>
    </row>
    <row r="1957" spans="1:27">
      <c r="A1957" s="83" t="str">
        <f t="shared" si="211"/>
        <v/>
      </c>
      <c r="B1957" s="83" t="str">
        <f t="shared" si="212"/>
        <v/>
      </c>
      <c r="S1957" s="83" t="str">
        <f t="shared" si="213"/>
        <v/>
      </c>
      <c r="T1957" s="83" t="str">
        <f t="shared" si="210"/>
        <v/>
      </c>
      <c r="Y1957" s="60">
        <f t="shared" si="214"/>
        <v>0</v>
      </c>
      <c r="Z1957" s="49">
        <f t="shared" si="215"/>
        <v>0</v>
      </c>
      <c r="AA1957" s="60">
        <f t="shared" si="216"/>
        <v>0</v>
      </c>
    </row>
    <row r="1958" spans="1:27">
      <c r="A1958" s="83" t="str">
        <f t="shared" si="211"/>
        <v/>
      </c>
      <c r="B1958" s="83" t="str">
        <f t="shared" si="212"/>
        <v/>
      </c>
      <c r="S1958" s="83" t="str">
        <f t="shared" si="213"/>
        <v/>
      </c>
      <c r="T1958" s="83" t="str">
        <f t="shared" si="210"/>
        <v/>
      </c>
      <c r="Y1958" s="60">
        <f t="shared" si="214"/>
        <v>0</v>
      </c>
      <c r="Z1958" s="49">
        <f t="shared" si="215"/>
        <v>0</v>
      </c>
      <c r="AA1958" s="60">
        <f t="shared" si="216"/>
        <v>0</v>
      </c>
    </row>
    <row r="1959" spans="1:27">
      <c r="A1959" s="83" t="str">
        <f t="shared" si="211"/>
        <v/>
      </c>
      <c r="B1959" s="83" t="str">
        <f t="shared" si="212"/>
        <v/>
      </c>
      <c r="S1959" s="83" t="str">
        <f t="shared" si="213"/>
        <v/>
      </c>
      <c r="T1959" s="83" t="str">
        <f t="shared" si="210"/>
        <v/>
      </c>
      <c r="Y1959" s="60">
        <f t="shared" si="214"/>
        <v>0</v>
      </c>
      <c r="Z1959" s="49">
        <f t="shared" si="215"/>
        <v>0</v>
      </c>
      <c r="AA1959" s="60">
        <f t="shared" si="216"/>
        <v>0</v>
      </c>
    </row>
    <row r="1960" spans="1:27">
      <c r="A1960" s="83" t="str">
        <f t="shared" si="211"/>
        <v/>
      </c>
      <c r="B1960" s="83" t="str">
        <f t="shared" si="212"/>
        <v/>
      </c>
      <c r="S1960" s="83" t="str">
        <f t="shared" si="213"/>
        <v/>
      </c>
      <c r="T1960" s="83" t="str">
        <f t="shared" si="210"/>
        <v/>
      </c>
      <c r="Y1960" s="60">
        <f t="shared" si="214"/>
        <v>0</v>
      </c>
      <c r="Z1960" s="49">
        <f t="shared" si="215"/>
        <v>0</v>
      </c>
      <c r="AA1960" s="60">
        <f t="shared" si="216"/>
        <v>0</v>
      </c>
    </row>
    <row r="1961" spans="1:27">
      <c r="A1961" s="83" t="str">
        <f t="shared" si="211"/>
        <v/>
      </c>
      <c r="B1961" s="83" t="str">
        <f t="shared" si="212"/>
        <v/>
      </c>
      <c r="S1961" s="83" t="str">
        <f t="shared" si="213"/>
        <v/>
      </c>
      <c r="T1961" s="83" t="str">
        <f t="shared" si="210"/>
        <v/>
      </c>
      <c r="Y1961" s="60">
        <f t="shared" si="214"/>
        <v>0</v>
      </c>
      <c r="Z1961" s="49">
        <f t="shared" si="215"/>
        <v>0</v>
      </c>
      <c r="AA1961" s="60">
        <f t="shared" si="216"/>
        <v>0</v>
      </c>
    </row>
    <row r="1962" spans="1:27">
      <c r="A1962" s="83" t="str">
        <f t="shared" si="211"/>
        <v/>
      </c>
      <c r="B1962" s="83" t="str">
        <f t="shared" si="212"/>
        <v/>
      </c>
      <c r="S1962" s="83" t="str">
        <f t="shared" si="213"/>
        <v/>
      </c>
      <c r="T1962" s="83" t="str">
        <f t="shared" si="210"/>
        <v/>
      </c>
      <c r="Y1962" s="60">
        <f t="shared" si="214"/>
        <v>0</v>
      </c>
      <c r="Z1962" s="49">
        <f t="shared" si="215"/>
        <v>0</v>
      </c>
      <c r="AA1962" s="60">
        <f t="shared" si="216"/>
        <v>0</v>
      </c>
    </row>
    <row r="1963" spans="1:27">
      <c r="A1963" s="83" t="str">
        <f t="shared" si="211"/>
        <v/>
      </c>
      <c r="B1963" s="83" t="str">
        <f t="shared" si="212"/>
        <v/>
      </c>
      <c r="S1963" s="83" t="str">
        <f t="shared" si="213"/>
        <v/>
      </c>
      <c r="T1963" s="83" t="str">
        <f t="shared" si="210"/>
        <v/>
      </c>
      <c r="Y1963" s="60">
        <f t="shared" si="214"/>
        <v>0</v>
      </c>
      <c r="Z1963" s="49">
        <f t="shared" si="215"/>
        <v>0</v>
      </c>
      <c r="AA1963" s="60">
        <f t="shared" si="216"/>
        <v>0</v>
      </c>
    </row>
    <row r="1964" spans="1:27">
      <c r="A1964" s="83" t="str">
        <f t="shared" si="211"/>
        <v/>
      </c>
      <c r="B1964" s="83" t="str">
        <f t="shared" si="212"/>
        <v/>
      </c>
      <c r="S1964" s="83" t="str">
        <f t="shared" si="213"/>
        <v/>
      </c>
      <c r="T1964" s="83" t="str">
        <f t="shared" si="210"/>
        <v/>
      </c>
      <c r="Y1964" s="60">
        <f t="shared" si="214"/>
        <v>0</v>
      </c>
      <c r="Z1964" s="49">
        <f t="shared" si="215"/>
        <v>0</v>
      </c>
      <c r="AA1964" s="60">
        <f t="shared" si="216"/>
        <v>0</v>
      </c>
    </row>
    <row r="1965" spans="1:27">
      <c r="A1965" s="83" t="str">
        <f t="shared" si="211"/>
        <v/>
      </c>
      <c r="B1965" s="83" t="str">
        <f t="shared" si="212"/>
        <v/>
      </c>
      <c r="S1965" s="83" t="str">
        <f t="shared" si="213"/>
        <v/>
      </c>
      <c r="T1965" s="83" t="str">
        <f t="shared" si="210"/>
        <v/>
      </c>
      <c r="Y1965" s="60">
        <f t="shared" si="214"/>
        <v>0</v>
      </c>
      <c r="Z1965" s="49">
        <f t="shared" si="215"/>
        <v>0</v>
      </c>
      <c r="AA1965" s="60">
        <f t="shared" si="216"/>
        <v>0</v>
      </c>
    </row>
    <row r="1966" spans="1:27">
      <c r="A1966" s="83" t="str">
        <f t="shared" si="211"/>
        <v/>
      </c>
      <c r="B1966" s="83" t="str">
        <f t="shared" si="212"/>
        <v/>
      </c>
      <c r="S1966" s="83" t="str">
        <f t="shared" si="213"/>
        <v/>
      </c>
      <c r="T1966" s="83" t="str">
        <f t="shared" si="210"/>
        <v/>
      </c>
      <c r="Y1966" s="60">
        <f t="shared" si="214"/>
        <v>0</v>
      </c>
      <c r="Z1966" s="49">
        <f t="shared" si="215"/>
        <v>0</v>
      </c>
      <c r="AA1966" s="60">
        <f t="shared" si="216"/>
        <v>0</v>
      </c>
    </row>
    <row r="1967" spans="1:27">
      <c r="A1967" s="83" t="str">
        <f t="shared" si="211"/>
        <v/>
      </c>
      <c r="B1967" s="83" t="str">
        <f t="shared" si="212"/>
        <v/>
      </c>
      <c r="S1967" s="83" t="str">
        <f t="shared" si="213"/>
        <v/>
      </c>
      <c r="T1967" s="83" t="str">
        <f t="shared" si="210"/>
        <v/>
      </c>
      <c r="Y1967" s="60">
        <f t="shared" si="214"/>
        <v>0</v>
      </c>
      <c r="Z1967" s="49">
        <f t="shared" si="215"/>
        <v>0</v>
      </c>
      <c r="AA1967" s="60">
        <f t="shared" si="216"/>
        <v>0</v>
      </c>
    </row>
    <row r="1968" spans="1:27">
      <c r="A1968" s="83" t="str">
        <f t="shared" si="211"/>
        <v/>
      </c>
      <c r="B1968" s="83" t="str">
        <f t="shared" si="212"/>
        <v/>
      </c>
      <c r="S1968" s="83" t="str">
        <f t="shared" si="213"/>
        <v/>
      </c>
      <c r="T1968" s="83" t="str">
        <f t="shared" si="210"/>
        <v/>
      </c>
      <c r="Y1968" s="60">
        <f t="shared" si="214"/>
        <v>0</v>
      </c>
      <c r="Z1968" s="49">
        <f t="shared" si="215"/>
        <v>0</v>
      </c>
      <c r="AA1968" s="60">
        <f t="shared" si="216"/>
        <v>0</v>
      </c>
    </row>
    <row r="1969" spans="1:27">
      <c r="A1969" s="83" t="str">
        <f t="shared" si="211"/>
        <v/>
      </c>
      <c r="B1969" s="83" t="str">
        <f t="shared" si="212"/>
        <v/>
      </c>
      <c r="S1969" s="83" t="str">
        <f t="shared" si="213"/>
        <v/>
      </c>
      <c r="T1969" s="83" t="str">
        <f t="shared" si="210"/>
        <v/>
      </c>
      <c r="Y1969" s="60">
        <f t="shared" si="214"/>
        <v>0</v>
      </c>
      <c r="Z1969" s="49">
        <f t="shared" si="215"/>
        <v>0</v>
      </c>
      <c r="AA1969" s="60">
        <f t="shared" si="216"/>
        <v>0</v>
      </c>
    </row>
    <row r="1970" spans="1:27">
      <c r="A1970" s="83" t="str">
        <f t="shared" si="211"/>
        <v/>
      </c>
      <c r="B1970" s="83" t="str">
        <f t="shared" si="212"/>
        <v/>
      </c>
      <c r="S1970" s="83" t="str">
        <f t="shared" si="213"/>
        <v/>
      </c>
      <c r="T1970" s="83" t="str">
        <f t="shared" si="210"/>
        <v/>
      </c>
      <c r="Y1970" s="60">
        <f t="shared" si="214"/>
        <v>0</v>
      </c>
      <c r="Z1970" s="49">
        <f t="shared" si="215"/>
        <v>0</v>
      </c>
      <c r="AA1970" s="60">
        <f t="shared" si="216"/>
        <v>0</v>
      </c>
    </row>
    <row r="1971" spans="1:27">
      <c r="A1971" s="83" t="str">
        <f t="shared" si="211"/>
        <v/>
      </c>
      <c r="B1971" s="83" t="str">
        <f t="shared" si="212"/>
        <v/>
      </c>
      <c r="S1971" s="83" t="str">
        <f t="shared" si="213"/>
        <v/>
      </c>
      <c r="T1971" s="83" t="str">
        <f t="shared" si="210"/>
        <v/>
      </c>
      <c r="Y1971" s="60">
        <f t="shared" si="214"/>
        <v>0</v>
      </c>
      <c r="Z1971" s="49">
        <f t="shared" si="215"/>
        <v>0</v>
      </c>
      <c r="AA1971" s="60">
        <f t="shared" si="216"/>
        <v>0</v>
      </c>
    </row>
    <row r="1972" spans="1:27">
      <c r="A1972" s="83" t="str">
        <f t="shared" si="211"/>
        <v/>
      </c>
      <c r="B1972" s="83" t="str">
        <f t="shared" si="212"/>
        <v/>
      </c>
      <c r="S1972" s="83" t="str">
        <f t="shared" si="213"/>
        <v/>
      </c>
      <c r="T1972" s="83" t="str">
        <f t="shared" si="210"/>
        <v/>
      </c>
      <c r="Y1972" s="60">
        <f t="shared" si="214"/>
        <v>0</v>
      </c>
      <c r="Z1972" s="49">
        <f t="shared" si="215"/>
        <v>0</v>
      </c>
      <c r="AA1972" s="60">
        <f t="shared" si="216"/>
        <v>0</v>
      </c>
    </row>
    <row r="1973" spans="1:27">
      <c r="A1973" s="83" t="str">
        <f t="shared" si="211"/>
        <v/>
      </c>
      <c r="B1973" s="83" t="str">
        <f t="shared" si="212"/>
        <v/>
      </c>
      <c r="S1973" s="83" t="str">
        <f t="shared" si="213"/>
        <v/>
      </c>
      <c r="T1973" s="83" t="str">
        <f t="shared" si="210"/>
        <v/>
      </c>
      <c r="Y1973" s="60">
        <f t="shared" si="214"/>
        <v>0</v>
      </c>
      <c r="Z1973" s="49">
        <f t="shared" si="215"/>
        <v>0</v>
      </c>
      <c r="AA1973" s="60">
        <f t="shared" si="216"/>
        <v>0</v>
      </c>
    </row>
    <row r="1974" spans="1:27">
      <c r="A1974" s="83" t="str">
        <f t="shared" si="211"/>
        <v/>
      </c>
      <c r="B1974" s="83" t="str">
        <f t="shared" si="212"/>
        <v/>
      </c>
      <c r="S1974" s="83" t="str">
        <f t="shared" si="213"/>
        <v/>
      </c>
      <c r="T1974" s="83" t="str">
        <f t="shared" si="210"/>
        <v/>
      </c>
      <c r="Y1974" s="60">
        <f t="shared" si="214"/>
        <v>0</v>
      </c>
      <c r="Z1974" s="49">
        <f t="shared" si="215"/>
        <v>0</v>
      </c>
      <c r="AA1974" s="60">
        <f t="shared" si="216"/>
        <v>0</v>
      </c>
    </row>
    <row r="1975" spans="1:27">
      <c r="A1975" s="83" t="str">
        <f t="shared" si="211"/>
        <v/>
      </c>
      <c r="B1975" s="83" t="str">
        <f t="shared" si="212"/>
        <v/>
      </c>
      <c r="S1975" s="83" t="str">
        <f t="shared" si="213"/>
        <v/>
      </c>
      <c r="T1975" s="83" t="str">
        <f t="shared" si="210"/>
        <v/>
      </c>
      <c r="Y1975" s="60">
        <f t="shared" si="214"/>
        <v>0</v>
      </c>
      <c r="Z1975" s="49">
        <f t="shared" si="215"/>
        <v>0</v>
      </c>
      <c r="AA1975" s="60">
        <f t="shared" si="216"/>
        <v>0</v>
      </c>
    </row>
    <row r="1976" spans="1:27">
      <c r="A1976" s="83" t="str">
        <f t="shared" si="211"/>
        <v/>
      </c>
      <c r="B1976" s="83" t="str">
        <f t="shared" si="212"/>
        <v/>
      </c>
      <c r="S1976" s="83" t="str">
        <f t="shared" si="213"/>
        <v/>
      </c>
      <c r="T1976" s="83" t="str">
        <f t="shared" si="210"/>
        <v/>
      </c>
      <c r="Y1976" s="60">
        <f t="shared" si="214"/>
        <v>0</v>
      </c>
      <c r="Z1976" s="49">
        <f t="shared" si="215"/>
        <v>0</v>
      </c>
      <c r="AA1976" s="60">
        <f t="shared" si="216"/>
        <v>0</v>
      </c>
    </row>
    <row r="1977" spans="1:27">
      <c r="A1977" s="83" t="str">
        <f t="shared" si="211"/>
        <v/>
      </c>
      <c r="B1977" s="83" t="str">
        <f t="shared" si="212"/>
        <v/>
      </c>
      <c r="S1977" s="83" t="str">
        <f t="shared" si="213"/>
        <v/>
      </c>
      <c r="T1977" s="83" t="str">
        <f t="shared" si="210"/>
        <v/>
      </c>
      <c r="Y1977" s="60">
        <f t="shared" si="214"/>
        <v>0</v>
      </c>
      <c r="Z1977" s="49">
        <f t="shared" si="215"/>
        <v>0</v>
      </c>
      <c r="AA1977" s="60">
        <f t="shared" si="216"/>
        <v>0</v>
      </c>
    </row>
    <row r="1978" spans="1:27">
      <c r="A1978" s="83" t="str">
        <f t="shared" si="211"/>
        <v/>
      </c>
      <c r="B1978" s="83" t="str">
        <f t="shared" si="212"/>
        <v/>
      </c>
      <c r="S1978" s="83" t="str">
        <f t="shared" si="213"/>
        <v/>
      </c>
      <c r="T1978" s="83" t="str">
        <f t="shared" si="210"/>
        <v/>
      </c>
      <c r="Y1978" s="60">
        <f t="shared" si="214"/>
        <v>0</v>
      </c>
      <c r="Z1978" s="49">
        <f t="shared" si="215"/>
        <v>0</v>
      </c>
      <c r="AA1978" s="60">
        <f t="shared" si="216"/>
        <v>0</v>
      </c>
    </row>
    <row r="1979" spans="1:27">
      <c r="A1979" s="83" t="str">
        <f t="shared" si="211"/>
        <v/>
      </c>
      <c r="B1979" s="83" t="str">
        <f t="shared" si="212"/>
        <v/>
      </c>
      <c r="S1979" s="83" t="str">
        <f t="shared" si="213"/>
        <v/>
      </c>
      <c r="T1979" s="83" t="str">
        <f t="shared" si="210"/>
        <v/>
      </c>
      <c r="Y1979" s="60">
        <f t="shared" si="214"/>
        <v>0</v>
      </c>
      <c r="Z1979" s="49">
        <f t="shared" si="215"/>
        <v>0</v>
      </c>
      <c r="AA1979" s="60">
        <f t="shared" si="216"/>
        <v>0</v>
      </c>
    </row>
    <row r="1980" spans="1:27">
      <c r="A1980" s="83" t="str">
        <f t="shared" si="211"/>
        <v/>
      </c>
      <c r="B1980" s="83" t="str">
        <f t="shared" si="212"/>
        <v/>
      </c>
      <c r="S1980" s="83" t="str">
        <f t="shared" si="213"/>
        <v/>
      </c>
      <c r="T1980" s="83" t="str">
        <f t="shared" si="210"/>
        <v/>
      </c>
      <c r="Y1980" s="60">
        <f t="shared" si="214"/>
        <v>0</v>
      </c>
      <c r="Z1980" s="49">
        <f t="shared" si="215"/>
        <v>0</v>
      </c>
      <c r="AA1980" s="60">
        <f t="shared" si="216"/>
        <v>0</v>
      </c>
    </row>
    <row r="1981" spans="1:27">
      <c r="A1981" s="83" t="str">
        <f t="shared" si="211"/>
        <v/>
      </c>
      <c r="B1981" s="83" t="str">
        <f t="shared" si="212"/>
        <v/>
      </c>
      <c r="S1981" s="83" t="str">
        <f t="shared" si="213"/>
        <v/>
      </c>
      <c r="T1981" s="83" t="str">
        <f t="shared" si="210"/>
        <v/>
      </c>
      <c r="Y1981" s="60">
        <f t="shared" si="214"/>
        <v>0</v>
      </c>
      <c r="Z1981" s="49">
        <f t="shared" si="215"/>
        <v>0</v>
      </c>
      <c r="AA1981" s="60">
        <f t="shared" si="216"/>
        <v>0</v>
      </c>
    </row>
    <row r="1982" spans="1:27">
      <c r="A1982" s="83" t="str">
        <f t="shared" si="211"/>
        <v/>
      </c>
      <c r="B1982" s="83" t="str">
        <f t="shared" si="212"/>
        <v/>
      </c>
      <c r="S1982" s="83" t="str">
        <f t="shared" si="213"/>
        <v/>
      </c>
      <c r="T1982" s="83" t="str">
        <f t="shared" si="210"/>
        <v/>
      </c>
      <c r="Y1982" s="60">
        <f t="shared" si="214"/>
        <v>0</v>
      </c>
      <c r="Z1982" s="49">
        <f t="shared" si="215"/>
        <v>0</v>
      </c>
      <c r="AA1982" s="60">
        <f t="shared" si="216"/>
        <v>0</v>
      </c>
    </row>
    <row r="1983" spans="1:27">
      <c r="A1983" s="83" t="str">
        <f t="shared" si="211"/>
        <v/>
      </c>
      <c r="B1983" s="83" t="str">
        <f t="shared" si="212"/>
        <v/>
      </c>
      <c r="S1983" s="83" t="str">
        <f t="shared" si="213"/>
        <v/>
      </c>
      <c r="T1983" s="83" t="str">
        <f t="shared" si="210"/>
        <v/>
      </c>
      <c r="Y1983" s="60">
        <f t="shared" si="214"/>
        <v>0</v>
      </c>
      <c r="Z1983" s="49">
        <f t="shared" si="215"/>
        <v>0</v>
      </c>
      <c r="AA1983" s="60">
        <f t="shared" si="216"/>
        <v>0</v>
      </c>
    </row>
    <row r="1984" spans="1:27">
      <c r="A1984" s="83" t="str">
        <f t="shared" si="211"/>
        <v/>
      </c>
      <c r="B1984" s="83" t="str">
        <f t="shared" si="212"/>
        <v/>
      </c>
      <c r="S1984" s="83" t="str">
        <f t="shared" si="213"/>
        <v/>
      </c>
      <c r="T1984" s="83" t="str">
        <f t="shared" si="210"/>
        <v/>
      </c>
      <c r="Y1984" s="60">
        <f t="shared" si="214"/>
        <v>0</v>
      </c>
      <c r="Z1984" s="49">
        <f t="shared" si="215"/>
        <v>0</v>
      </c>
      <c r="AA1984" s="60">
        <f t="shared" si="216"/>
        <v>0</v>
      </c>
    </row>
    <row r="1985" spans="1:27">
      <c r="A1985" s="83" t="str">
        <f t="shared" si="211"/>
        <v/>
      </c>
      <c r="B1985" s="83" t="str">
        <f t="shared" si="212"/>
        <v/>
      </c>
      <c r="S1985" s="83" t="str">
        <f t="shared" si="213"/>
        <v/>
      </c>
      <c r="T1985" s="83" t="str">
        <f t="shared" si="210"/>
        <v/>
      </c>
      <c r="Y1985" s="60">
        <f t="shared" si="214"/>
        <v>0</v>
      </c>
      <c r="Z1985" s="49">
        <f t="shared" si="215"/>
        <v>0</v>
      </c>
      <c r="AA1985" s="60">
        <f t="shared" si="216"/>
        <v>0</v>
      </c>
    </row>
    <row r="1986" spans="1:27">
      <c r="A1986" s="83" t="str">
        <f t="shared" si="211"/>
        <v/>
      </c>
      <c r="B1986" s="83" t="str">
        <f t="shared" si="212"/>
        <v/>
      </c>
      <c r="S1986" s="83" t="str">
        <f t="shared" si="213"/>
        <v/>
      </c>
      <c r="T1986" s="83" t="str">
        <f t="shared" ref="T1986:T2049" si="217">IF(A1986&lt;&gt;"",IF(FIND(" ",G1986)&gt;=1,MID(G1986,FIND(" ",G1986)+1,LEN(G1986)),""),"")</f>
        <v/>
      </c>
      <c r="Y1986" s="60">
        <f t="shared" si="214"/>
        <v>0</v>
      </c>
      <c r="Z1986" s="49">
        <f t="shared" si="215"/>
        <v>0</v>
      </c>
      <c r="AA1986" s="60">
        <f t="shared" si="216"/>
        <v>0</v>
      </c>
    </row>
    <row r="1987" spans="1:27">
      <c r="A1987" s="83" t="str">
        <f t="shared" ref="A1987:A2050" si="218">IF(G1987&amp;Q1987&lt;&gt;"",S1987&amp;Q1987,"")</f>
        <v/>
      </c>
      <c r="B1987" s="83" t="str">
        <f t="shared" ref="B1987:B2050" si="219">IF(C1987&lt;&gt;"",LEFT(C1987,9),"")</f>
        <v/>
      </c>
      <c r="S1987" s="83" t="str">
        <f t="shared" ref="S1987:S2050" si="220">IF(G1987&lt;&gt;"",IF(FIND(" ",G1987)&gt;=1,MID(G1987,1,FIND(" ",G1987)-1),G1987),"")</f>
        <v/>
      </c>
      <c r="T1987" s="83" t="str">
        <f t="shared" si="217"/>
        <v/>
      </c>
      <c r="Y1987" s="60">
        <f t="shared" ref="Y1987:Y2050" si="221">IFERROR(VALUE(MID($C1987,1,2)),0)</f>
        <v>0</v>
      </c>
      <c r="Z1987" s="49">
        <f t="shared" ref="Z1987:Z2050" si="222">IFERROR(VALUE(MID($C1987,4,3)),0)</f>
        <v>0</v>
      </c>
      <c r="AA1987" s="60">
        <f t="shared" ref="AA1987:AA2050" si="223">VALUE(RIGHT("00"&amp;Y1987,2)&amp;RIGHT("000"&amp;Z1987,3))</f>
        <v>0</v>
      </c>
    </row>
    <row r="1988" spans="1:27">
      <c r="A1988" s="83" t="str">
        <f t="shared" si="218"/>
        <v/>
      </c>
      <c r="B1988" s="83" t="str">
        <f t="shared" si="219"/>
        <v/>
      </c>
      <c r="S1988" s="83" t="str">
        <f t="shared" si="220"/>
        <v/>
      </c>
      <c r="T1988" s="83" t="str">
        <f t="shared" si="217"/>
        <v/>
      </c>
      <c r="Y1988" s="60">
        <f t="shared" si="221"/>
        <v>0</v>
      </c>
      <c r="Z1988" s="49">
        <f t="shared" si="222"/>
        <v>0</v>
      </c>
      <c r="AA1988" s="60">
        <f t="shared" si="223"/>
        <v>0</v>
      </c>
    </row>
    <row r="1989" spans="1:27">
      <c r="A1989" s="83" t="str">
        <f t="shared" si="218"/>
        <v/>
      </c>
      <c r="B1989" s="83" t="str">
        <f t="shared" si="219"/>
        <v/>
      </c>
      <c r="S1989" s="83" t="str">
        <f t="shared" si="220"/>
        <v/>
      </c>
      <c r="T1989" s="83" t="str">
        <f t="shared" si="217"/>
        <v/>
      </c>
      <c r="Y1989" s="60">
        <f t="shared" si="221"/>
        <v>0</v>
      </c>
      <c r="Z1989" s="49">
        <f t="shared" si="222"/>
        <v>0</v>
      </c>
      <c r="AA1989" s="60">
        <f t="shared" si="223"/>
        <v>0</v>
      </c>
    </row>
    <row r="1990" spans="1:27">
      <c r="A1990" s="83" t="str">
        <f t="shared" si="218"/>
        <v/>
      </c>
      <c r="B1990" s="83" t="str">
        <f t="shared" si="219"/>
        <v/>
      </c>
      <c r="S1990" s="83" t="str">
        <f t="shared" si="220"/>
        <v/>
      </c>
      <c r="T1990" s="83" t="str">
        <f t="shared" si="217"/>
        <v/>
      </c>
      <c r="Y1990" s="60">
        <f t="shared" si="221"/>
        <v>0</v>
      </c>
      <c r="Z1990" s="49">
        <f t="shared" si="222"/>
        <v>0</v>
      </c>
      <c r="AA1990" s="60">
        <f t="shared" si="223"/>
        <v>0</v>
      </c>
    </row>
    <row r="1991" spans="1:27">
      <c r="A1991" s="83" t="str">
        <f t="shared" si="218"/>
        <v/>
      </c>
      <c r="B1991" s="83" t="str">
        <f t="shared" si="219"/>
        <v/>
      </c>
      <c r="S1991" s="83" t="str">
        <f t="shared" si="220"/>
        <v/>
      </c>
      <c r="T1991" s="83" t="str">
        <f t="shared" si="217"/>
        <v/>
      </c>
      <c r="Y1991" s="60">
        <f t="shared" si="221"/>
        <v>0</v>
      </c>
      <c r="Z1991" s="49">
        <f t="shared" si="222"/>
        <v>0</v>
      </c>
      <c r="AA1991" s="60">
        <f t="shared" si="223"/>
        <v>0</v>
      </c>
    </row>
    <row r="1992" spans="1:27">
      <c r="A1992" s="83" t="str">
        <f t="shared" si="218"/>
        <v/>
      </c>
      <c r="B1992" s="83" t="str">
        <f t="shared" si="219"/>
        <v/>
      </c>
      <c r="S1992" s="83" t="str">
        <f t="shared" si="220"/>
        <v/>
      </c>
      <c r="T1992" s="83" t="str">
        <f t="shared" si="217"/>
        <v/>
      </c>
      <c r="Y1992" s="60">
        <f t="shared" si="221"/>
        <v>0</v>
      </c>
      <c r="Z1992" s="49">
        <f t="shared" si="222"/>
        <v>0</v>
      </c>
      <c r="AA1992" s="60">
        <f t="shared" si="223"/>
        <v>0</v>
      </c>
    </row>
    <row r="1993" spans="1:27">
      <c r="A1993" s="83" t="str">
        <f t="shared" si="218"/>
        <v/>
      </c>
      <c r="B1993" s="83" t="str">
        <f t="shared" si="219"/>
        <v/>
      </c>
      <c r="S1993" s="83" t="str">
        <f t="shared" si="220"/>
        <v/>
      </c>
      <c r="T1993" s="83" t="str">
        <f t="shared" si="217"/>
        <v/>
      </c>
      <c r="Y1993" s="60">
        <f t="shared" si="221"/>
        <v>0</v>
      </c>
      <c r="Z1993" s="49">
        <f t="shared" si="222"/>
        <v>0</v>
      </c>
      <c r="AA1993" s="60">
        <f t="shared" si="223"/>
        <v>0</v>
      </c>
    </row>
    <row r="1994" spans="1:27">
      <c r="A1994" s="83" t="str">
        <f t="shared" si="218"/>
        <v/>
      </c>
      <c r="B1994" s="83" t="str">
        <f t="shared" si="219"/>
        <v/>
      </c>
      <c r="S1994" s="83" t="str">
        <f t="shared" si="220"/>
        <v/>
      </c>
      <c r="T1994" s="83" t="str">
        <f t="shared" si="217"/>
        <v/>
      </c>
      <c r="Y1994" s="60">
        <f t="shared" si="221"/>
        <v>0</v>
      </c>
      <c r="Z1994" s="49">
        <f t="shared" si="222"/>
        <v>0</v>
      </c>
      <c r="AA1994" s="60">
        <f t="shared" si="223"/>
        <v>0</v>
      </c>
    </row>
    <row r="1995" spans="1:27">
      <c r="A1995" s="83" t="str">
        <f t="shared" si="218"/>
        <v/>
      </c>
      <c r="B1995" s="83" t="str">
        <f t="shared" si="219"/>
        <v/>
      </c>
      <c r="S1995" s="83" t="str">
        <f t="shared" si="220"/>
        <v/>
      </c>
      <c r="T1995" s="83" t="str">
        <f t="shared" si="217"/>
        <v/>
      </c>
      <c r="Y1995" s="60">
        <f t="shared" si="221"/>
        <v>0</v>
      </c>
      <c r="Z1995" s="49">
        <f t="shared" si="222"/>
        <v>0</v>
      </c>
      <c r="AA1995" s="60">
        <f t="shared" si="223"/>
        <v>0</v>
      </c>
    </row>
    <row r="1996" spans="1:27">
      <c r="A1996" s="83" t="str">
        <f t="shared" si="218"/>
        <v/>
      </c>
      <c r="B1996" s="83" t="str">
        <f t="shared" si="219"/>
        <v/>
      </c>
      <c r="S1996" s="83" t="str">
        <f t="shared" si="220"/>
        <v/>
      </c>
      <c r="T1996" s="83" t="str">
        <f t="shared" si="217"/>
        <v/>
      </c>
      <c r="Y1996" s="60">
        <f t="shared" si="221"/>
        <v>0</v>
      </c>
      <c r="Z1996" s="49">
        <f t="shared" si="222"/>
        <v>0</v>
      </c>
      <c r="AA1996" s="60">
        <f t="shared" si="223"/>
        <v>0</v>
      </c>
    </row>
    <row r="1997" spans="1:27">
      <c r="A1997" s="83" t="str">
        <f t="shared" si="218"/>
        <v/>
      </c>
      <c r="B1997" s="83" t="str">
        <f t="shared" si="219"/>
        <v/>
      </c>
      <c r="S1997" s="83" t="str">
        <f t="shared" si="220"/>
        <v/>
      </c>
      <c r="T1997" s="83" t="str">
        <f t="shared" si="217"/>
        <v/>
      </c>
      <c r="Y1997" s="60">
        <f t="shared" si="221"/>
        <v>0</v>
      </c>
      <c r="Z1997" s="49">
        <f t="shared" si="222"/>
        <v>0</v>
      </c>
      <c r="AA1997" s="60">
        <f t="shared" si="223"/>
        <v>0</v>
      </c>
    </row>
    <row r="1998" spans="1:27">
      <c r="A1998" s="83" t="str">
        <f t="shared" si="218"/>
        <v/>
      </c>
      <c r="B1998" s="83" t="str">
        <f t="shared" si="219"/>
        <v/>
      </c>
      <c r="S1998" s="83" t="str">
        <f t="shared" si="220"/>
        <v/>
      </c>
      <c r="T1998" s="83" t="str">
        <f t="shared" si="217"/>
        <v/>
      </c>
      <c r="Y1998" s="60">
        <f t="shared" si="221"/>
        <v>0</v>
      </c>
      <c r="Z1998" s="49">
        <f t="shared" si="222"/>
        <v>0</v>
      </c>
      <c r="AA1998" s="60">
        <f t="shared" si="223"/>
        <v>0</v>
      </c>
    </row>
    <row r="1999" spans="1:27">
      <c r="A1999" s="83" t="str">
        <f t="shared" si="218"/>
        <v/>
      </c>
      <c r="B1999" s="83" t="str">
        <f t="shared" si="219"/>
        <v/>
      </c>
      <c r="S1999" s="83" t="str">
        <f t="shared" si="220"/>
        <v/>
      </c>
      <c r="T1999" s="83" t="str">
        <f t="shared" si="217"/>
        <v/>
      </c>
      <c r="Y1999" s="60">
        <f t="shared" si="221"/>
        <v>0</v>
      </c>
      <c r="Z1999" s="49">
        <f t="shared" si="222"/>
        <v>0</v>
      </c>
      <c r="AA1999" s="60">
        <f t="shared" si="223"/>
        <v>0</v>
      </c>
    </row>
    <row r="2000" spans="1:27">
      <c r="A2000" s="83" t="str">
        <f t="shared" si="218"/>
        <v/>
      </c>
      <c r="B2000" s="83" t="str">
        <f t="shared" si="219"/>
        <v/>
      </c>
      <c r="S2000" s="83" t="str">
        <f t="shared" si="220"/>
        <v/>
      </c>
      <c r="T2000" s="83" t="str">
        <f t="shared" si="217"/>
        <v/>
      </c>
      <c r="Y2000" s="60">
        <f t="shared" si="221"/>
        <v>0</v>
      </c>
      <c r="Z2000" s="49">
        <f t="shared" si="222"/>
        <v>0</v>
      </c>
      <c r="AA2000" s="60">
        <f t="shared" si="223"/>
        <v>0</v>
      </c>
    </row>
    <row r="2001" spans="1:27">
      <c r="A2001" s="83" t="str">
        <f t="shared" si="218"/>
        <v/>
      </c>
      <c r="B2001" s="83" t="str">
        <f t="shared" si="219"/>
        <v/>
      </c>
      <c r="S2001" s="83" t="str">
        <f t="shared" si="220"/>
        <v/>
      </c>
      <c r="T2001" s="83" t="str">
        <f t="shared" si="217"/>
        <v/>
      </c>
      <c r="Y2001" s="60">
        <f t="shared" si="221"/>
        <v>0</v>
      </c>
      <c r="Z2001" s="49">
        <f t="shared" si="222"/>
        <v>0</v>
      </c>
      <c r="AA2001" s="60">
        <f t="shared" si="223"/>
        <v>0</v>
      </c>
    </row>
    <row r="2002" spans="1:27">
      <c r="A2002" s="83" t="str">
        <f t="shared" si="218"/>
        <v/>
      </c>
      <c r="B2002" s="83" t="str">
        <f t="shared" si="219"/>
        <v/>
      </c>
      <c r="S2002" s="83" t="str">
        <f t="shared" si="220"/>
        <v/>
      </c>
      <c r="T2002" s="83" t="str">
        <f t="shared" si="217"/>
        <v/>
      </c>
      <c r="Y2002" s="60">
        <f t="shared" si="221"/>
        <v>0</v>
      </c>
      <c r="Z2002" s="49">
        <f t="shared" si="222"/>
        <v>0</v>
      </c>
      <c r="AA2002" s="60">
        <f t="shared" si="223"/>
        <v>0</v>
      </c>
    </row>
    <row r="2003" spans="1:27">
      <c r="A2003" s="83" t="str">
        <f t="shared" si="218"/>
        <v/>
      </c>
      <c r="B2003" s="83" t="str">
        <f t="shared" si="219"/>
        <v/>
      </c>
      <c r="S2003" s="83" t="str">
        <f t="shared" si="220"/>
        <v/>
      </c>
      <c r="T2003" s="83" t="str">
        <f t="shared" si="217"/>
        <v/>
      </c>
      <c r="Y2003" s="60">
        <f t="shared" si="221"/>
        <v>0</v>
      </c>
      <c r="Z2003" s="49">
        <f t="shared" si="222"/>
        <v>0</v>
      </c>
      <c r="AA2003" s="60">
        <f t="shared" si="223"/>
        <v>0</v>
      </c>
    </row>
    <row r="2004" spans="1:27">
      <c r="A2004" s="83" t="str">
        <f t="shared" si="218"/>
        <v/>
      </c>
      <c r="B2004" s="83" t="str">
        <f t="shared" si="219"/>
        <v/>
      </c>
      <c r="S2004" s="83" t="str">
        <f t="shared" si="220"/>
        <v/>
      </c>
      <c r="T2004" s="83" t="str">
        <f t="shared" si="217"/>
        <v/>
      </c>
      <c r="Y2004" s="60">
        <f t="shared" si="221"/>
        <v>0</v>
      </c>
      <c r="Z2004" s="49">
        <f t="shared" si="222"/>
        <v>0</v>
      </c>
      <c r="AA2004" s="60">
        <f t="shared" si="223"/>
        <v>0</v>
      </c>
    </row>
    <row r="2005" spans="1:27">
      <c r="A2005" s="83" t="str">
        <f t="shared" si="218"/>
        <v/>
      </c>
      <c r="B2005" s="83" t="str">
        <f t="shared" si="219"/>
        <v/>
      </c>
      <c r="S2005" s="83" t="str">
        <f t="shared" si="220"/>
        <v/>
      </c>
      <c r="T2005" s="83" t="str">
        <f t="shared" si="217"/>
        <v/>
      </c>
      <c r="Y2005" s="60">
        <f t="shared" si="221"/>
        <v>0</v>
      </c>
      <c r="Z2005" s="49">
        <f t="shared" si="222"/>
        <v>0</v>
      </c>
      <c r="AA2005" s="60">
        <f t="shared" si="223"/>
        <v>0</v>
      </c>
    </row>
    <row r="2006" spans="1:27">
      <c r="A2006" s="83" t="str">
        <f t="shared" si="218"/>
        <v/>
      </c>
      <c r="B2006" s="83" t="str">
        <f t="shared" si="219"/>
        <v/>
      </c>
      <c r="S2006" s="83" t="str">
        <f t="shared" si="220"/>
        <v/>
      </c>
      <c r="T2006" s="83" t="str">
        <f t="shared" si="217"/>
        <v/>
      </c>
      <c r="Y2006" s="60">
        <f t="shared" si="221"/>
        <v>0</v>
      </c>
      <c r="Z2006" s="49">
        <f t="shared" si="222"/>
        <v>0</v>
      </c>
      <c r="AA2006" s="60">
        <f t="shared" si="223"/>
        <v>0</v>
      </c>
    </row>
    <row r="2007" spans="1:27">
      <c r="A2007" s="83" t="str">
        <f t="shared" si="218"/>
        <v/>
      </c>
      <c r="B2007" s="83" t="str">
        <f t="shared" si="219"/>
        <v/>
      </c>
      <c r="S2007" s="83" t="str">
        <f t="shared" si="220"/>
        <v/>
      </c>
      <c r="T2007" s="83" t="str">
        <f t="shared" si="217"/>
        <v/>
      </c>
      <c r="Y2007" s="60">
        <f t="shared" si="221"/>
        <v>0</v>
      </c>
      <c r="Z2007" s="49">
        <f t="shared" si="222"/>
        <v>0</v>
      </c>
      <c r="AA2007" s="60">
        <f t="shared" si="223"/>
        <v>0</v>
      </c>
    </row>
    <row r="2008" spans="1:27">
      <c r="A2008" s="83" t="str">
        <f t="shared" si="218"/>
        <v/>
      </c>
      <c r="B2008" s="83" t="str">
        <f t="shared" si="219"/>
        <v/>
      </c>
      <c r="S2008" s="83" t="str">
        <f t="shared" si="220"/>
        <v/>
      </c>
      <c r="T2008" s="83" t="str">
        <f t="shared" si="217"/>
        <v/>
      </c>
      <c r="Y2008" s="60">
        <f t="shared" si="221"/>
        <v>0</v>
      </c>
      <c r="Z2008" s="49">
        <f t="shared" si="222"/>
        <v>0</v>
      </c>
      <c r="AA2008" s="60">
        <f t="shared" si="223"/>
        <v>0</v>
      </c>
    </row>
    <row r="2009" spans="1:27">
      <c r="A2009" s="83" t="str">
        <f t="shared" si="218"/>
        <v/>
      </c>
      <c r="B2009" s="83" t="str">
        <f t="shared" si="219"/>
        <v/>
      </c>
      <c r="S2009" s="83" t="str">
        <f t="shared" si="220"/>
        <v/>
      </c>
      <c r="T2009" s="83" t="str">
        <f t="shared" si="217"/>
        <v/>
      </c>
      <c r="Y2009" s="60">
        <f t="shared" si="221"/>
        <v>0</v>
      </c>
      <c r="Z2009" s="49">
        <f t="shared" si="222"/>
        <v>0</v>
      </c>
      <c r="AA2009" s="60">
        <f t="shared" si="223"/>
        <v>0</v>
      </c>
    </row>
    <row r="2010" spans="1:27">
      <c r="A2010" s="83" t="str">
        <f t="shared" si="218"/>
        <v/>
      </c>
      <c r="B2010" s="83" t="str">
        <f t="shared" si="219"/>
        <v/>
      </c>
      <c r="S2010" s="83" t="str">
        <f t="shared" si="220"/>
        <v/>
      </c>
      <c r="T2010" s="83" t="str">
        <f t="shared" si="217"/>
        <v/>
      </c>
      <c r="Y2010" s="60">
        <f t="shared" si="221"/>
        <v>0</v>
      </c>
      <c r="Z2010" s="49">
        <f t="shared" si="222"/>
        <v>0</v>
      </c>
      <c r="AA2010" s="60">
        <f t="shared" si="223"/>
        <v>0</v>
      </c>
    </row>
    <row r="2011" spans="1:27">
      <c r="A2011" s="83" t="str">
        <f t="shared" si="218"/>
        <v/>
      </c>
      <c r="B2011" s="83" t="str">
        <f t="shared" si="219"/>
        <v/>
      </c>
      <c r="S2011" s="83" t="str">
        <f t="shared" si="220"/>
        <v/>
      </c>
      <c r="T2011" s="83" t="str">
        <f t="shared" si="217"/>
        <v/>
      </c>
      <c r="Y2011" s="60">
        <f t="shared" si="221"/>
        <v>0</v>
      </c>
      <c r="Z2011" s="49">
        <f t="shared" si="222"/>
        <v>0</v>
      </c>
      <c r="AA2011" s="60">
        <f t="shared" si="223"/>
        <v>0</v>
      </c>
    </row>
    <row r="2012" spans="1:27">
      <c r="A2012" s="83" t="str">
        <f t="shared" si="218"/>
        <v/>
      </c>
      <c r="B2012" s="83" t="str">
        <f t="shared" si="219"/>
        <v/>
      </c>
      <c r="S2012" s="83" t="str">
        <f t="shared" si="220"/>
        <v/>
      </c>
      <c r="T2012" s="83" t="str">
        <f t="shared" si="217"/>
        <v/>
      </c>
      <c r="Y2012" s="60">
        <f t="shared" si="221"/>
        <v>0</v>
      </c>
      <c r="Z2012" s="49">
        <f t="shared" si="222"/>
        <v>0</v>
      </c>
      <c r="AA2012" s="60">
        <f t="shared" si="223"/>
        <v>0</v>
      </c>
    </row>
    <row r="2013" spans="1:27">
      <c r="A2013" s="83" t="str">
        <f t="shared" si="218"/>
        <v/>
      </c>
      <c r="B2013" s="83" t="str">
        <f t="shared" si="219"/>
        <v/>
      </c>
      <c r="S2013" s="83" t="str">
        <f t="shared" si="220"/>
        <v/>
      </c>
      <c r="T2013" s="83" t="str">
        <f t="shared" si="217"/>
        <v/>
      </c>
      <c r="Y2013" s="60">
        <f t="shared" si="221"/>
        <v>0</v>
      </c>
      <c r="Z2013" s="49">
        <f t="shared" si="222"/>
        <v>0</v>
      </c>
      <c r="AA2013" s="60">
        <f t="shared" si="223"/>
        <v>0</v>
      </c>
    </row>
    <row r="2014" spans="1:27">
      <c r="A2014" s="83" t="str">
        <f t="shared" si="218"/>
        <v/>
      </c>
      <c r="B2014" s="83" t="str">
        <f t="shared" si="219"/>
        <v/>
      </c>
      <c r="S2014" s="83" t="str">
        <f t="shared" si="220"/>
        <v/>
      </c>
      <c r="T2014" s="83" t="str">
        <f t="shared" si="217"/>
        <v/>
      </c>
      <c r="Y2014" s="60">
        <f t="shared" si="221"/>
        <v>0</v>
      </c>
      <c r="Z2014" s="49">
        <f t="shared" si="222"/>
        <v>0</v>
      </c>
      <c r="AA2014" s="60">
        <f t="shared" si="223"/>
        <v>0</v>
      </c>
    </row>
    <row r="2015" spans="1:27">
      <c r="A2015" s="83" t="str">
        <f t="shared" si="218"/>
        <v/>
      </c>
      <c r="B2015" s="83" t="str">
        <f t="shared" si="219"/>
        <v/>
      </c>
      <c r="S2015" s="83" t="str">
        <f t="shared" si="220"/>
        <v/>
      </c>
      <c r="T2015" s="83" t="str">
        <f t="shared" si="217"/>
        <v/>
      </c>
      <c r="Y2015" s="60">
        <f t="shared" si="221"/>
        <v>0</v>
      </c>
      <c r="Z2015" s="49">
        <f t="shared" si="222"/>
        <v>0</v>
      </c>
      <c r="AA2015" s="60">
        <f t="shared" si="223"/>
        <v>0</v>
      </c>
    </row>
    <row r="2016" spans="1:27">
      <c r="A2016" s="83" t="str">
        <f t="shared" si="218"/>
        <v/>
      </c>
      <c r="B2016" s="83" t="str">
        <f t="shared" si="219"/>
        <v/>
      </c>
      <c r="S2016" s="83" t="str">
        <f t="shared" si="220"/>
        <v/>
      </c>
      <c r="T2016" s="83" t="str">
        <f t="shared" si="217"/>
        <v/>
      </c>
      <c r="Y2016" s="60">
        <f t="shared" si="221"/>
        <v>0</v>
      </c>
      <c r="Z2016" s="49">
        <f t="shared" si="222"/>
        <v>0</v>
      </c>
      <c r="AA2016" s="60">
        <f t="shared" si="223"/>
        <v>0</v>
      </c>
    </row>
    <row r="2017" spans="1:27">
      <c r="A2017" s="83" t="str">
        <f t="shared" si="218"/>
        <v/>
      </c>
      <c r="B2017" s="83" t="str">
        <f t="shared" si="219"/>
        <v/>
      </c>
      <c r="S2017" s="83" t="str">
        <f t="shared" si="220"/>
        <v/>
      </c>
      <c r="T2017" s="83" t="str">
        <f t="shared" si="217"/>
        <v/>
      </c>
      <c r="Y2017" s="60">
        <f t="shared" si="221"/>
        <v>0</v>
      </c>
      <c r="Z2017" s="49">
        <f t="shared" si="222"/>
        <v>0</v>
      </c>
      <c r="AA2017" s="60">
        <f t="shared" si="223"/>
        <v>0</v>
      </c>
    </row>
    <row r="2018" spans="1:27">
      <c r="A2018" s="83" t="str">
        <f t="shared" si="218"/>
        <v/>
      </c>
      <c r="B2018" s="83" t="str">
        <f t="shared" si="219"/>
        <v/>
      </c>
      <c r="S2018" s="83" t="str">
        <f t="shared" si="220"/>
        <v/>
      </c>
      <c r="T2018" s="83" t="str">
        <f t="shared" si="217"/>
        <v/>
      </c>
      <c r="Y2018" s="60">
        <f t="shared" si="221"/>
        <v>0</v>
      </c>
      <c r="Z2018" s="49">
        <f t="shared" si="222"/>
        <v>0</v>
      </c>
      <c r="AA2018" s="60">
        <f t="shared" si="223"/>
        <v>0</v>
      </c>
    </row>
    <row r="2019" spans="1:27">
      <c r="A2019" s="83" t="str">
        <f t="shared" si="218"/>
        <v/>
      </c>
      <c r="B2019" s="83" t="str">
        <f t="shared" si="219"/>
        <v/>
      </c>
      <c r="S2019" s="83" t="str">
        <f t="shared" si="220"/>
        <v/>
      </c>
      <c r="T2019" s="83" t="str">
        <f t="shared" si="217"/>
        <v/>
      </c>
      <c r="Y2019" s="60">
        <f t="shared" si="221"/>
        <v>0</v>
      </c>
      <c r="Z2019" s="49">
        <f t="shared" si="222"/>
        <v>0</v>
      </c>
      <c r="AA2019" s="60">
        <f t="shared" si="223"/>
        <v>0</v>
      </c>
    </row>
    <row r="2020" spans="1:27">
      <c r="A2020" s="83" t="str">
        <f t="shared" si="218"/>
        <v/>
      </c>
      <c r="B2020" s="83" t="str">
        <f t="shared" si="219"/>
        <v/>
      </c>
      <c r="S2020" s="83" t="str">
        <f t="shared" si="220"/>
        <v/>
      </c>
      <c r="T2020" s="83" t="str">
        <f t="shared" si="217"/>
        <v/>
      </c>
      <c r="Y2020" s="60">
        <f t="shared" si="221"/>
        <v>0</v>
      </c>
      <c r="Z2020" s="49">
        <f t="shared" si="222"/>
        <v>0</v>
      </c>
      <c r="AA2020" s="60">
        <f t="shared" si="223"/>
        <v>0</v>
      </c>
    </row>
    <row r="2021" spans="1:27">
      <c r="A2021" s="83" t="str">
        <f t="shared" si="218"/>
        <v/>
      </c>
      <c r="B2021" s="83" t="str">
        <f t="shared" si="219"/>
        <v/>
      </c>
      <c r="S2021" s="83" t="str">
        <f t="shared" si="220"/>
        <v/>
      </c>
      <c r="T2021" s="83" t="str">
        <f t="shared" si="217"/>
        <v/>
      </c>
      <c r="Y2021" s="60">
        <f t="shared" si="221"/>
        <v>0</v>
      </c>
      <c r="Z2021" s="49">
        <f t="shared" si="222"/>
        <v>0</v>
      </c>
      <c r="AA2021" s="60">
        <f t="shared" si="223"/>
        <v>0</v>
      </c>
    </row>
    <row r="2022" spans="1:27">
      <c r="A2022" s="83" t="str">
        <f t="shared" si="218"/>
        <v/>
      </c>
      <c r="B2022" s="83" t="str">
        <f t="shared" si="219"/>
        <v/>
      </c>
      <c r="S2022" s="83" t="str">
        <f t="shared" si="220"/>
        <v/>
      </c>
      <c r="T2022" s="83" t="str">
        <f t="shared" si="217"/>
        <v/>
      </c>
      <c r="Y2022" s="60">
        <f t="shared" si="221"/>
        <v>0</v>
      </c>
      <c r="Z2022" s="49">
        <f t="shared" si="222"/>
        <v>0</v>
      </c>
      <c r="AA2022" s="60">
        <f t="shared" si="223"/>
        <v>0</v>
      </c>
    </row>
    <row r="2023" spans="1:27">
      <c r="A2023" s="83" t="str">
        <f t="shared" si="218"/>
        <v/>
      </c>
      <c r="B2023" s="83" t="str">
        <f t="shared" si="219"/>
        <v/>
      </c>
      <c r="S2023" s="83" t="str">
        <f t="shared" si="220"/>
        <v/>
      </c>
      <c r="T2023" s="83" t="str">
        <f t="shared" si="217"/>
        <v/>
      </c>
      <c r="Y2023" s="60">
        <f t="shared" si="221"/>
        <v>0</v>
      </c>
      <c r="Z2023" s="49">
        <f t="shared" si="222"/>
        <v>0</v>
      </c>
      <c r="AA2023" s="60">
        <f t="shared" si="223"/>
        <v>0</v>
      </c>
    </row>
    <row r="2024" spans="1:27">
      <c r="A2024" s="83" t="str">
        <f t="shared" si="218"/>
        <v/>
      </c>
      <c r="B2024" s="83" t="str">
        <f t="shared" si="219"/>
        <v/>
      </c>
      <c r="S2024" s="83" t="str">
        <f t="shared" si="220"/>
        <v/>
      </c>
      <c r="T2024" s="83" t="str">
        <f t="shared" si="217"/>
        <v/>
      </c>
      <c r="Y2024" s="60">
        <f t="shared" si="221"/>
        <v>0</v>
      </c>
      <c r="Z2024" s="49">
        <f t="shared" si="222"/>
        <v>0</v>
      </c>
      <c r="AA2024" s="60">
        <f t="shared" si="223"/>
        <v>0</v>
      </c>
    </row>
    <row r="2025" spans="1:27">
      <c r="A2025" s="83" t="str">
        <f t="shared" si="218"/>
        <v/>
      </c>
      <c r="B2025" s="83" t="str">
        <f t="shared" si="219"/>
        <v/>
      </c>
      <c r="S2025" s="83" t="str">
        <f t="shared" si="220"/>
        <v/>
      </c>
      <c r="T2025" s="83" t="str">
        <f t="shared" si="217"/>
        <v/>
      </c>
      <c r="Y2025" s="60">
        <f t="shared" si="221"/>
        <v>0</v>
      </c>
      <c r="Z2025" s="49">
        <f t="shared" si="222"/>
        <v>0</v>
      </c>
      <c r="AA2025" s="60">
        <f t="shared" si="223"/>
        <v>0</v>
      </c>
    </row>
    <row r="2026" spans="1:27">
      <c r="A2026" s="83" t="str">
        <f t="shared" si="218"/>
        <v/>
      </c>
      <c r="B2026" s="83" t="str">
        <f t="shared" si="219"/>
        <v/>
      </c>
      <c r="S2026" s="83" t="str">
        <f t="shared" si="220"/>
        <v/>
      </c>
      <c r="T2026" s="83" t="str">
        <f t="shared" si="217"/>
        <v/>
      </c>
      <c r="Y2026" s="60">
        <f t="shared" si="221"/>
        <v>0</v>
      </c>
      <c r="Z2026" s="49">
        <f t="shared" si="222"/>
        <v>0</v>
      </c>
      <c r="AA2026" s="60">
        <f t="shared" si="223"/>
        <v>0</v>
      </c>
    </row>
    <row r="2027" spans="1:27">
      <c r="A2027" s="83" t="str">
        <f t="shared" si="218"/>
        <v/>
      </c>
      <c r="B2027" s="83" t="str">
        <f t="shared" si="219"/>
        <v/>
      </c>
      <c r="S2027" s="83" t="str">
        <f t="shared" si="220"/>
        <v/>
      </c>
      <c r="T2027" s="83" t="str">
        <f t="shared" si="217"/>
        <v/>
      </c>
      <c r="Y2027" s="60">
        <f t="shared" si="221"/>
        <v>0</v>
      </c>
      <c r="Z2027" s="49">
        <f t="shared" si="222"/>
        <v>0</v>
      </c>
      <c r="AA2027" s="60">
        <f t="shared" si="223"/>
        <v>0</v>
      </c>
    </row>
    <row r="2028" spans="1:27">
      <c r="A2028" s="83" t="str">
        <f t="shared" si="218"/>
        <v/>
      </c>
      <c r="B2028" s="83" t="str">
        <f t="shared" si="219"/>
        <v/>
      </c>
      <c r="S2028" s="83" t="str">
        <f t="shared" si="220"/>
        <v/>
      </c>
      <c r="T2028" s="83" t="str">
        <f t="shared" si="217"/>
        <v/>
      </c>
      <c r="Y2028" s="60">
        <f t="shared" si="221"/>
        <v>0</v>
      </c>
      <c r="Z2028" s="49">
        <f t="shared" si="222"/>
        <v>0</v>
      </c>
      <c r="AA2028" s="60">
        <f t="shared" si="223"/>
        <v>0</v>
      </c>
    </row>
    <row r="2029" spans="1:27">
      <c r="A2029" s="83" t="str">
        <f t="shared" si="218"/>
        <v/>
      </c>
      <c r="B2029" s="83" t="str">
        <f t="shared" si="219"/>
        <v/>
      </c>
      <c r="S2029" s="83" t="str">
        <f t="shared" si="220"/>
        <v/>
      </c>
      <c r="T2029" s="83" t="str">
        <f t="shared" si="217"/>
        <v/>
      </c>
      <c r="Y2029" s="60">
        <f t="shared" si="221"/>
        <v>0</v>
      </c>
      <c r="Z2029" s="49">
        <f t="shared" si="222"/>
        <v>0</v>
      </c>
      <c r="AA2029" s="60">
        <f t="shared" si="223"/>
        <v>0</v>
      </c>
    </row>
    <row r="2030" spans="1:27">
      <c r="A2030" s="83" t="str">
        <f t="shared" si="218"/>
        <v/>
      </c>
      <c r="B2030" s="83" t="str">
        <f t="shared" si="219"/>
        <v/>
      </c>
      <c r="S2030" s="83" t="str">
        <f t="shared" si="220"/>
        <v/>
      </c>
      <c r="T2030" s="83" t="str">
        <f t="shared" si="217"/>
        <v/>
      </c>
      <c r="Y2030" s="60">
        <f t="shared" si="221"/>
        <v>0</v>
      </c>
      <c r="Z2030" s="49">
        <f t="shared" si="222"/>
        <v>0</v>
      </c>
      <c r="AA2030" s="60">
        <f t="shared" si="223"/>
        <v>0</v>
      </c>
    </row>
    <row r="2031" spans="1:27">
      <c r="A2031" s="83" t="str">
        <f t="shared" si="218"/>
        <v/>
      </c>
      <c r="B2031" s="83" t="str">
        <f t="shared" si="219"/>
        <v/>
      </c>
      <c r="S2031" s="83" t="str">
        <f t="shared" si="220"/>
        <v/>
      </c>
      <c r="T2031" s="83" t="str">
        <f t="shared" si="217"/>
        <v/>
      </c>
      <c r="Y2031" s="60">
        <f t="shared" si="221"/>
        <v>0</v>
      </c>
      <c r="Z2031" s="49">
        <f t="shared" si="222"/>
        <v>0</v>
      </c>
      <c r="AA2031" s="60">
        <f t="shared" si="223"/>
        <v>0</v>
      </c>
    </row>
    <row r="2032" spans="1:27">
      <c r="A2032" s="83" t="str">
        <f t="shared" si="218"/>
        <v/>
      </c>
      <c r="B2032" s="83" t="str">
        <f t="shared" si="219"/>
        <v/>
      </c>
      <c r="S2032" s="83" t="str">
        <f t="shared" si="220"/>
        <v/>
      </c>
      <c r="T2032" s="83" t="str">
        <f t="shared" si="217"/>
        <v/>
      </c>
      <c r="Y2032" s="60">
        <f t="shared" si="221"/>
        <v>0</v>
      </c>
      <c r="Z2032" s="49">
        <f t="shared" si="222"/>
        <v>0</v>
      </c>
      <c r="AA2032" s="60">
        <f t="shared" si="223"/>
        <v>0</v>
      </c>
    </row>
    <row r="2033" spans="1:27">
      <c r="A2033" s="83" t="str">
        <f t="shared" si="218"/>
        <v/>
      </c>
      <c r="B2033" s="83" t="str">
        <f t="shared" si="219"/>
        <v/>
      </c>
      <c r="S2033" s="83" t="str">
        <f t="shared" si="220"/>
        <v/>
      </c>
      <c r="T2033" s="83" t="str">
        <f t="shared" si="217"/>
        <v/>
      </c>
      <c r="Y2033" s="60">
        <f t="shared" si="221"/>
        <v>0</v>
      </c>
      <c r="Z2033" s="49">
        <f t="shared" si="222"/>
        <v>0</v>
      </c>
      <c r="AA2033" s="60">
        <f t="shared" si="223"/>
        <v>0</v>
      </c>
    </row>
    <row r="2034" spans="1:27">
      <c r="A2034" s="83" t="str">
        <f t="shared" si="218"/>
        <v/>
      </c>
      <c r="B2034" s="83" t="str">
        <f t="shared" si="219"/>
        <v/>
      </c>
      <c r="S2034" s="83" t="str">
        <f t="shared" si="220"/>
        <v/>
      </c>
      <c r="T2034" s="83" t="str">
        <f t="shared" si="217"/>
        <v/>
      </c>
      <c r="Y2034" s="60">
        <f t="shared" si="221"/>
        <v>0</v>
      </c>
      <c r="Z2034" s="49">
        <f t="shared" si="222"/>
        <v>0</v>
      </c>
      <c r="AA2034" s="60">
        <f t="shared" si="223"/>
        <v>0</v>
      </c>
    </row>
    <row r="2035" spans="1:27">
      <c r="A2035" s="83" t="str">
        <f t="shared" si="218"/>
        <v/>
      </c>
      <c r="B2035" s="83" t="str">
        <f t="shared" si="219"/>
        <v/>
      </c>
      <c r="S2035" s="83" t="str">
        <f t="shared" si="220"/>
        <v/>
      </c>
      <c r="T2035" s="83" t="str">
        <f t="shared" si="217"/>
        <v/>
      </c>
      <c r="Y2035" s="60">
        <f t="shared" si="221"/>
        <v>0</v>
      </c>
      <c r="Z2035" s="49">
        <f t="shared" si="222"/>
        <v>0</v>
      </c>
      <c r="AA2035" s="60">
        <f t="shared" si="223"/>
        <v>0</v>
      </c>
    </row>
    <row r="2036" spans="1:27">
      <c r="A2036" s="83" t="str">
        <f t="shared" si="218"/>
        <v/>
      </c>
      <c r="B2036" s="83" t="str">
        <f t="shared" si="219"/>
        <v/>
      </c>
      <c r="S2036" s="83" t="str">
        <f t="shared" si="220"/>
        <v/>
      </c>
      <c r="T2036" s="83" t="str">
        <f t="shared" si="217"/>
        <v/>
      </c>
      <c r="Y2036" s="60">
        <f t="shared" si="221"/>
        <v>0</v>
      </c>
      <c r="Z2036" s="49">
        <f t="shared" si="222"/>
        <v>0</v>
      </c>
      <c r="AA2036" s="60">
        <f t="shared" si="223"/>
        <v>0</v>
      </c>
    </row>
    <row r="2037" spans="1:27">
      <c r="A2037" s="83" t="str">
        <f t="shared" si="218"/>
        <v/>
      </c>
      <c r="B2037" s="83" t="str">
        <f t="shared" si="219"/>
        <v/>
      </c>
      <c r="S2037" s="83" t="str">
        <f t="shared" si="220"/>
        <v/>
      </c>
      <c r="T2037" s="83" t="str">
        <f t="shared" si="217"/>
        <v/>
      </c>
      <c r="Y2037" s="60">
        <f t="shared" si="221"/>
        <v>0</v>
      </c>
      <c r="Z2037" s="49">
        <f t="shared" si="222"/>
        <v>0</v>
      </c>
      <c r="AA2037" s="60">
        <f t="shared" si="223"/>
        <v>0</v>
      </c>
    </row>
    <row r="2038" spans="1:27">
      <c r="A2038" s="83" t="str">
        <f t="shared" si="218"/>
        <v/>
      </c>
      <c r="B2038" s="83" t="str">
        <f t="shared" si="219"/>
        <v/>
      </c>
      <c r="S2038" s="83" t="str">
        <f t="shared" si="220"/>
        <v/>
      </c>
      <c r="T2038" s="83" t="str">
        <f t="shared" si="217"/>
        <v/>
      </c>
      <c r="Y2038" s="60">
        <f t="shared" si="221"/>
        <v>0</v>
      </c>
      <c r="Z2038" s="49">
        <f t="shared" si="222"/>
        <v>0</v>
      </c>
      <c r="AA2038" s="60">
        <f t="shared" si="223"/>
        <v>0</v>
      </c>
    </row>
    <row r="2039" spans="1:27">
      <c r="A2039" s="83" t="str">
        <f t="shared" si="218"/>
        <v/>
      </c>
      <c r="B2039" s="83" t="str">
        <f t="shared" si="219"/>
        <v/>
      </c>
      <c r="S2039" s="83" t="str">
        <f t="shared" si="220"/>
        <v/>
      </c>
      <c r="T2039" s="83" t="str">
        <f t="shared" si="217"/>
        <v/>
      </c>
      <c r="Y2039" s="60">
        <f t="shared" si="221"/>
        <v>0</v>
      </c>
      <c r="Z2039" s="49">
        <f t="shared" si="222"/>
        <v>0</v>
      </c>
      <c r="AA2039" s="60">
        <f t="shared" si="223"/>
        <v>0</v>
      </c>
    </row>
    <row r="2040" spans="1:27">
      <c r="A2040" s="83" t="str">
        <f t="shared" si="218"/>
        <v/>
      </c>
      <c r="B2040" s="83" t="str">
        <f t="shared" si="219"/>
        <v/>
      </c>
      <c r="S2040" s="83" t="str">
        <f t="shared" si="220"/>
        <v/>
      </c>
      <c r="T2040" s="83" t="str">
        <f t="shared" si="217"/>
        <v/>
      </c>
      <c r="Y2040" s="60">
        <f t="shared" si="221"/>
        <v>0</v>
      </c>
      <c r="Z2040" s="49">
        <f t="shared" si="222"/>
        <v>0</v>
      </c>
      <c r="AA2040" s="60">
        <f t="shared" si="223"/>
        <v>0</v>
      </c>
    </row>
    <row r="2041" spans="1:27">
      <c r="A2041" s="83" t="str">
        <f t="shared" si="218"/>
        <v/>
      </c>
      <c r="B2041" s="83" t="str">
        <f t="shared" si="219"/>
        <v/>
      </c>
      <c r="S2041" s="83" t="str">
        <f t="shared" si="220"/>
        <v/>
      </c>
      <c r="T2041" s="83" t="str">
        <f t="shared" si="217"/>
        <v/>
      </c>
      <c r="Y2041" s="60">
        <f t="shared" si="221"/>
        <v>0</v>
      </c>
      <c r="Z2041" s="49">
        <f t="shared" si="222"/>
        <v>0</v>
      </c>
      <c r="AA2041" s="60">
        <f t="shared" si="223"/>
        <v>0</v>
      </c>
    </row>
    <row r="2042" spans="1:27">
      <c r="A2042" s="83" t="str">
        <f t="shared" si="218"/>
        <v/>
      </c>
      <c r="B2042" s="83" t="str">
        <f t="shared" si="219"/>
        <v/>
      </c>
      <c r="S2042" s="83" t="str">
        <f t="shared" si="220"/>
        <v/>
      </c>
      <c r="T2042" s="83" t="str">
        <f t="shared" si="217"/>
        <v/>
      </c>
      <c r="Y2042" s="60">
        <f t="shared" si="221"/>
        <v>0</v>
      </c>
      <c r="Z2042" s="49">
        <f t="shared" si="222"/>
        <v>0</v>
      </c>
      <c r="AA2042" s="60">
        <f t="shared" si="223"/>
        <v>0</v>
      </c>
    </row>
    <row r="2043" spans="1:27">
      <c r="A2043" s="83" t="str">
        <f t="shared" si="218"/>
        <v/>
      </c>
      <c r="B2043" s="83" t="str">
        <f t="shared" si="219"/>
        <v/>
      </c>
      <c r="S2043" s="83" t="str">
        <f t="shared" si="220"/>
        <v/>
      </c>
      <c r="T2043" s="83" t="str">
        <f t="shared" si="217"/>
        <v/>
      </c>
      <c r="Y2043" s="60">
        <f t="shared" si="221"/>
        <v>0</v>
      </c>
      <c r="Z2043" s="49">
        <f t="shared" si="222"/>
        <v>0</v>
      </c>
      <c r="AA2043" s="60">
        <f t="shared" si="223"/>
        <v>0</v>
      </c>
    </row>
    <row r="2044" spans="1:27">
      <c r="A2044" s="83" t="str">
        <f t="shared" si="218"/>
        <v/>
      </c>
      <c r="B2044" s="83" t="str">
        <f t="shared" si="219"/>
        <v/>
      </c>
      <c r="S2044" s="83" t="str">
        <f t="shared" si="220"/>
        <v/>
      </c>
      <c r="T2044" s="83" t="str">
        <f t="shared" si="217"/>
        <v/>
      </c>
      <c r="Y2044" s="60">
        <f t="shared" si="221"/>
        <v>0</v>
      </c>
      <c r="Z2044" s="49">
        <f t="shared" si="222"/>
        <v>0</v>
      </c>
      <c r="AA2044" s="60">
        <f t="shared" si="223"/>
        <v>0</v>
      </c>
    </row>
    <row r="2045" spans="1:27">
      <c r="A2045" s="83" t="str">
        <f t="shared" si="218"/>
        <v/>
      </c>
      <c r="B2045" s="83" t="str">
        <f t="shared" si="219"/>
        <v/>
      </c>
      <c r="S2045" s="83" t="str">
        <f t="shared" si="220"/>
        <v/>
      </c>
      <c r="T2045" s="83" t="str">
        <f t="shared" si="217"/>
        <v/>
      </c>
      <c r="Y2045" s="60">
        <f t="shared" si="221"/>
        <v>0</v>
      </c>
      <c r="Z2045" s="49">
        <f t="shared" si="222"/>
        <v>0</v>
      </c>
      <c r="AA2045" s="60">
        <f t="shared" si="223"/>
        <v>0</v>
      </c>
    </row>
    <row r="2046" spans="1:27">
      <c r="A2046" s="83" t="str">
        <f t="shared" si="218"/>
        <v/>
      </c>
      <c r="B2046" s="83" t="str">
        <f t="shared" si="219"/>
        <v/>
      </c>
      <c r="S2046" s="83" t="str">
        <f t="shared" si="220"/>
        <v/>
      </c>
      <c r="T2046" s="83" t="str">
        <f t="shared" si="217"/>
        <v/>
      </c>
      <c r="Y2046" s="60">
        <f t="shared" si="221"/>
        <v>0</v>
      </c>
      <c r="Z2046" s="49">
        <f t="shared" si="222"/>
        <v>0</v>
      </c>
      <c r="AA2046" s="60">
        <f t="shared" si="223"/>
        <v>0</v>
      </c>
    </row>
    <row r="2047" spans="1:27">
      <c r="A2047" s="83" t="str">
        <f t="shared" si="218"/>
        <v/>
      </c>
      <c r="B2047" s="83" t="str">
        <f t="shared" si="219"/>
        <v/>
      </c>
      <c r="S2047" s="83" t="str">
        <f t="shared" si="220"/>
        <v/>
      </c>
      <c r="T2047" s="83" t="str">
        <f t="shared" si="217"/>
        <v/>
      </c>
      <c r="Y2047" s="60">
        <f t="shared" si="221"/>
        <v>0</v>
      </c>
      <c r="Z2047" s="49">
        <f t="shared" si="222"/>
        <v>0</v>
      </c>
      <c r="AA2047" s="60">
        <f t="shared" si="223"/>
        <v>0</v>
      </c>
    </row>
    <row r="2048" spans="1:27">
      <c r="A2048" s="83" t="str">
        <f t="shared" si="218"/>
        <v/>
      </c>
      <c r="B2048" s="83" t="str">
        <f t="shared" si="219"/>
        <v/>
      </c>
      <c r="S2048" s="83" t="str">
        <f t="shared" si="220"/>
        <v/>
      </c>
      <c r="T2048" s="83" t="str">
        <f t="shared" si="217"/>
        <v/>
      </c>
      <c r="Y2048" s="60">
        <f t="shared" si="221"/>
        <v>0</v>
      </c>
      <c r="Z2048" s="49">
        <f t="shared" si="222"/>
        <v>0</v>
      </c>
      <c r="AA2048" s="60">
        <f t="shared" si="223"/>
        <v>0</v>
      </c>
    </row>
    <row r="2049" spans="1:27">
      <c r="A2049" s="83" t="str">
        <f t="shared" si="218"/>
        <v/>
      </c>
      <c r="B2049" s="83" t="str">
        <f t="shared" si="219"/>
        <v/>
      </c>
      <c r="S2049" s="83" t="str">
        <f t="shared" si="220"/>
        <v/>
      </c>
      <c r="T2049" s="83" t="str">
        <f t="shared" si="217"/>
        <v/>
      </c>
      <c r="Y2049" s="60">
        <f t="shared" si="221"/>
        <v>0</v>
      </c>
      <c r="Z2049" s="49">
        <f t="shared" si="222"/>
        <v>0</v>
      </c>
      <c r="AA2049" s="60">
        <f t="shared" si="223"/>
        <v>0</v>
      </c>
    </row>
    <row r="2050" spans="1:27">
      <c r="A2050" s="83" t="str">
        <f t="shared" si="218"/>
        <v/>
      </c>
      <c r="B2050" s="83" t="str">
        <f t="shared" si="219"/>
        <v/>
      </c>
      <c r="S2050" s="83" t="str">
        <f t="shared" si="220"/>
        <v/>
      </c>
      <c r="T2050" s="83" t="str">
        <f t="shared" ref="T2050:T2113" si="224">IF(A2050&lt;&gt;"",IF(FIND(" ",G2050)&gt;=1,MID(G2050,FIND(" ",G2050)+1,LEN(G2050)),""),"")</f>
        <v/>
      </c>
      <c r="Y2050" s="60">
        <f t="shared" si="221"/>
        <v>0</v>
      </c>
      <c r="Z2050" s="49">
        <f t="shared" si="222"/>
        <v>0</v>
      </c>
      <c r="AA2050" s="60">
        <f t="shared" si="223"/>
        <v>0</v>
      </c>
    </row>
    <row r="2051" spans="1:27">
      <c r="A2051" s="83" t="str">
        <f t="shared" ref="A2051:A2114" si="225">IF(G2051&amp;Q2051&lt;&gt;"",S2051&amp;Q2051,"")</f>
        <v/>
      </c>
      <c r="B2051" s="83" t="str">
        <f t="shared" ref="B2051:B2114" si="226">IF(C2051&lt;&gt;"",LEFT(C2051,9),"")</f>
        <v/>
      </c>
      <c r="S2051" s="83" t="str">
        <f t="shared" ref="S2051:S2114" si="227">IF(G2051&lt;&gt;"",IF(FIND(" ",G2051)&gt;=1,MID(G2051,1,FIND(" ",G2051)-1),G2051),"")</f>
        <v/>
      </c>
      <c r="T2051" s="83" t="str">
        <f t="shared" si="224"/>
        <v/>
      </c>
      <c r="Y2051" s="60">
        <f t="shared" ref="Y2051:Y2114" si="228">IFERROR(VALUE(MID($C2051,1,2)),0)</f>
        <v>0</v>
      </c>
      <c r="Z2051" s="49">
        <f t="shared" ref="Z2051:Z2114" si="229">IFERROR(VALUE(MID($C2051,4,3)),0)</f>
        <v>0</v>
      </c>
      <c r="AA2051" s="60">
        <f t="shared" ref="AA2051:AA2114" si="230">VALUE(RIGHT("00"&amp;Y2051,2)&amp;RIGHT("000"&amp;Z2051,3))</f>
        <v>0</v>
      </c>
    </row>
    <row r="2052" spans="1:27">
      <c r="A2052" s="83" t="str">
        <f t="shared" si="225"/>
        <v/>
      </c>
      <c r="B2052" s="83" t="str">
        <f t="shared" si="226"/>
        <v/>
      </c>
      <c r="S2052" s="83" t="str">
        <f t="shared" si="227"/>
        <v/>
      </c>
      <c r="T2052" s="83" t="str">
        <f t="shared" si="224"/>
        <v/>
      </c>
      <c r="Y2052" s="60">
        <f t="shared" si="228"/>
        <v>0</v>
      </c>
      <c r="Z2052" s="49">
        <f t="shared" si="229"/>
        <v>0</v>
      </c>
      <c r="AA2052" s="60">
        <f t="shared" si="230"/>
        <v>0</v>
      </c>
    </row>
    <row r="2053" spans="1:27">
      <c r="A2053" s="83" t="str">
        <f t="shared" si="225"/>
        <v/>
      </c>
      <c r="B2053" s="83" t="str">
        <f t="shared" si="226"/>
        <v/>
      </c>
      <c r="S2053" s="83" t="str">
        <f t="shared" si="227"/>
        <v/>
      </c>
      <c r="T2053" s="83" t="str">
        <f t="shared" si="224"/>
        <v/>
      </c>
      <c r="Y2053" s="60">
        <f t="shared" si="228"/>
        <v>0</v>
      </c>
      <c r="Z2053" s="49">
        <f t="shared" si="229"/>
        <v>0</v>
      </c>
      <c r="AA2053" s="60">
        <f t="shared" si="230"/>
        <v>0</v>
      </c>
    </row>
    <row r="2054" spans="1:27">
      <c r="A2054" s="83" t="str">
        <f t="shared" si="225"/>
        <v/>
      </c>
      <c r="B2054" s="83" t="str">
        <f t="shared" si="226"/>
        <v/>
      </c>
      <c r="S2054" s="83" t="str">
        <f t="shared" si="227"/>
        <v/>
      </c>
      <c r="T2054" s="83" t="str">
        <f t="shared" si="224"/>
        <v/>
      </c>
      <c r="Y2054" s="60">
        <f t="shared" si="228"/>
        <v>0</v>
      </c>
      <c r="Z2054" s="49">
        <f t="shared" si="229"/>
        <v>0</v>
      </c>
      <c r="AA2054" s="60">
        <f t="shared" si="230"/>
        <v>0</v>
      </c>
    </row>
    <row r="2055" spans="1:27">
      <c r="A2055" s="83" t="str">
        <f t="shared" si="225"/>
        <v/>
      </c>
      <c r="B2055" s="83" t="str">
        <f t="shared" si="226"/>
        <v/>
      </c>
      <c r="S2055" s="83" t="str">
        <f t="shared" si="227"/>
        <v/>
      </c>
      <c r="T2055" s="83" t="str">
        <f t="shared" si="224"/>
        <v/>
      </c>
      <c r="Y2055" s="60">
        <f t="shared" si="228"/>
        <v>0</v>
      </c>
      <c r="Z2055" s="49">
        <f t="shared" si="229"/>
        <v>0</v>
      </c>
      <c r="AA2055" s="60">
        <f t="shared" si="230"/>
        <v>0</v>
      </c>
    </row>
    <row r="2056" spans="1:27">
      <c r="A2056" s="83" t="str">
        <f t="shared" si="225"/>
        <v/>
      </c>
      <c r="B2056" s="83" t="str">
        <f t="shared" si="226"/>
        <v/>
      </c>
      <c r="S2056" s="83" t="str">
        <f t="shared" si="227"/>
        <v/>
      </c>
      <c r="T2056" s="83" t="str">
        <f t="shared" si="224"/>
        <v/>
      </c>
      <c r="Y2056" s="60">
        <f t="shared" si="228"/>
        <v>0</v>
      </c>
      <c r="Z2056" s="49">
        <f t="shared" si="229"/>
        <v>0</v>
      </c>
      <c r="AA2056" s="60">
        <f t="shared" si="230"/>
        <v>0</v>
      </c>
    </row>
    <row r="2057" spans="1:27">
      <c r="A2057" s="83" t="str">
        <f t="shared" si="225"/>
        <v/>
      </c>
      <c r="B2057" s="83" t="str">
        <f t="shared" si="226"/>
        <v/>
      </c>
      <c r="S2057" s="83" t="str">
        <f t="shared" si="227"/>
        <v/>
      </c>
      <c r="T2057" s="83" t="str">
        <f t="shared" si="224"/>
        <v/>
      </c>
      <c r="Y2057" s="60">
        <f t="shared" si="228"/>
        <v>0</v>
      </c>
      <c r="Z2057" s="49">
        <f t="shared" si="229"/>
        <v>0</v>
      </c>
      <c r="AA2057" s="60">
        <f t="shared" si="230"/>
        <v>0</v>
      </c>
    </row>
    <row r="2058" spans="1:27">
      <c r="A2058" s="83" t="str">
        <f t="shared" si="225"/>
        <v/>
      </c>
      <c r="B2058" s="83" t="str">
        <f t="shared" si="226"/>
        <v/>
      </c>
      <c r="S2058" s="83" t="str">
        <f t="shared" si="227"/>
        <v/>
      </c>
      <c r="T2058" s="83" t="str">
        <f t="shared" si="224"/>
        <v/>
      </c>
      <c r="Y2058" s="60">
        <f t="shared" si="228"/>
        <v>0</v>
      </c>
      <c r="Z2058" s="49">
        <f t="shared" si="229"/>
        <v>0</v>
      </c>
      <c r="AA2058" s="60">
        <f t="shared" si="230"/>
        <v>0</v>
      </c>
    </row>
    <row r="2059" spans="1:27">
      <c r="A2059" s="83" t="str">
        <f t="shared" si="225"/>
        <v/>
      </c>
      <c r="B2059" s="83" t="str">
        <f t="shared" si="226"/>
        <v/>
      </c>
      <c r="S2059" s="83" t="str">
        <f t="shared" si="227"/>
        <v/>
      </c>
      <c r="T2059" s="83" t="str">
        <f t="shared" si="224"/>
        <v/>
      </c>
      <c r="Y2059" s="60">
        <f t="shared" si="228"/>
        <v>0</v>
      </c>
      <c r="Z2059" s="49">
        <f t="shared" si="229"/>
        <v>0</v>
      </c>
      <c r="AA2059" s="60">
        <f t="shared" si="230"/>
        <v>0</v>
      </c>
    </row>
    <row r="2060" spans="1:27">
      <c r="A2060" s="83" t="str">
        <f t="shared" si="225"/>
        <v/>
      </c>
      <c r="B2060" s="83" t="str">
        <f t="shared" si="226"/>
        <v/>
      </c>
      <c r="S2060" s="83" t="str">
        <f t="shared" si="227"/>
        <v/>
      </c>
      <c r="T2060" s="83" t="str">
        <f t="shared" si="224"/>
        <v/>
      </c>
      <c r="Y2060" s="60">
        <f t="shared" si="228"/>
        <v>0</v>
      </c>
      <c r="Z2060" s="49">
        <f t="shared" si="229"/>
        <v>0</v>
      </c>
      <c r="AA2060" s="60">
        <f t="shared" si="230"/>
        <v>0</v>
      </c>
    </row>
    <row r="2061" spans="1:27">
      <c r="A2061" s="83" t="str">
        <f t="shared" si="225"/>
        <v/>
      </c>
      <c r="B2061" s="83" t="str">
        <f t="shared" si="226"/>
        <v/>
      </c>
      <c r="S2061" s="83" t="str">
        <f t="shared" si="227"/>
        <v/>
      </c>
      <c r="T2061" s="83" t="str">
        <f t="shared" si="224"/>
        <v/>
      </c>
      <c r="Y2061" s="60">
        <f t="shared" si="228"/>
        <v>0</v>
      </c>
      <c r="Z2061" s="49">
        <f t="shared" si="229"/>
        <v>0</v>
      </c>
      <c r="AA2061" s="60">
        <f t="shared" si="230"/>
        <v>0</v>
      </c>
    </row>
    <row r="2062" spans="1:27">
      <c r="A2062" s="83" t="str">
        <f t="shared" si="225"/>
        <v/>
      </c>
      <c r="B2062" s="83" t="str">
        <f t="shared" si="226"/>
        <v/>
      </c>
      <c r="S2062" s="83" t="str">
        <f t="shared" si="227"/>
        <v/>
      </c>
      <c r="T2062" s="83" t="str">
        <f t="shared" si="224"/>
        <v/>
      </c>
      <c r="Y2062" s="60">
        <f t="shared" si="228"/>
        <v>0</v>
      </c>
      <c r="Z2062" s="49">
        <f t="shared" si="229"/>
        <v>0</v>
      </c>
      <c r="AA2062" s="60">
        <f t="shared" si="230"/>
        <v>0</v>
      </c>
    </row>
    <row r="2063" spans="1:27">
      <c r="A2063" s="83" t="str">
        <f t="shared" si="225"/>
        <v/>
      </c>
      <c r="B2063" s="83" t="str">
        <f t="shared" si="226"/>
        <v/>
      </c>
      <c r="S2063" s="83" t="str">
        <f t="shared" si="227"/>
        <v/>
      </c>
      <c r="T2063" s="83" t="str">
        <f t="shared" si="224"/>
        <v/>
      </c>
      <c r="Y2063" s="60">
        <f t="shared" si="228"/>
        <v>0</v>
      </c>
      <c r="Z2063" s="49">
        <f t="shared" si="229"/>
        <v>0</v>
      </c>
      <c r="AA2063" s="60">
        <f t="shared" si="230"/>
        <v>0</v>
      </c>
    </row>
    <row r="2064" spans="1:27">
      <c r="A2064" s="83" t="str">
        <f t="shared" si="225"/>
        <v/>
      </c>
      <c r="B2064" s="83" t="str">
        <f t="shared" si="226"/>
        <v/>
      </c>
      <c r="S2064" s="83" t="str">
        <f t="shared" si="227"/>
        <v/>
      </c>
      <c r="T2064" s="83" t="str">
        <f t="shared" si="224"/>
        <v/>
      </c>
      <c r="Y2064" s="60">
        <f t="shared" si="228"/>
        <v>0</v>
      </c>
      <c r="Z2064" s="49">
        <f t="shared" si="229"/>
        <v>0</v>
      </c>
      <c r="AA2064" s="60">
        <f t="shared" si="230"/>
        <v>0</v>
      </c>
    </row>
    <row r="2065" spans="1:27">
      <c r="A2065" s="83" t="str">
        <f t="shared" si="225"/>
        <v/>
      </c>
      <c r="B2065" s="83" t="str">
        <f t="shared" si="226"/>
        <v/>
      </c>
      <c r="S2065" s="83" t="str">
        <f t="shared" si="227"/>
        <v/>
      </c>
      <c r="T2065" s="83" t="str">
        <f t="shared" si="224"/>
        <v/>
      </c>
      <c r="Y2065" s="60">
        <f t="shared" si="228"/>
        <v>0</v>
      </c>
      <c r="Z2065" s="49">
        <f t="shared" si="229"/>
        <v>0</v>
      </c>
      <c r="AA2065" s="60">
        <f t="shared" si="230"/>
        <v>0</v>
      </c>
    </row>
    <row r="2066" spans="1:27">
      <c r="A2066" s="83" t="str">
        <f t="shared" si="225"/>
        <v/>
      </c>
      <c r="B2066" s="83" t="str">
        <f t="shared" si="226"/>
        <v/>
      </c>
      <c r="S2066" s="83" t="str">
        <f t="shared" si="227"/>
        <v/>
      </c>
      <c r="T2066" s="83" t="str">
        <f t="shared" si="224"/>
        <v/>
      </c>
      <c r="Y2066" s="60">
        <f t="shared" si="228"/>
        <v>0</v>
      </c>
      <c r="Z2066" s="49">
        <f t="shared" si="229"/>
        <v>0</v>
      </c>
      <c r="AA2066" s="60">
        <f t="shared" si="230"/>
        <v>0</v>
      </c>
    </row>
    <row r="2067" spans="1:27">
      <c r="A2067" s="83" t="str">
        <f t="shared" si="225"/>
        <v/>
      </c>
      <c r="B2067" s="83" t="str">
        <f t="shared" si="226"/>
        <v/>
      </c>
      <c r="S2067" s="83" t="str">
        <f t="shared" si="227"/>
        <v/>
      </c>
      <c r="T2067" s="83" t="str">
        <f t="shared" si="224"/>
        <v/>
      </c>
      <c r="Y2067" s="60">
        <f t="shared" si="228"/>
        <v>0</v>
      </c>
      <c r="Z2067" s="49">
        <f t="shared" si="229"/>
        <v>0</v>
      </c>
      <c r="AA2067" s="60">
        <f t="shared" si="230"/>
        <v>0</v>
      </c>
    </row>
    <row r="2068" spans="1:27">
      <c r="A2068" s="83" t="str">
        <f t="shared" si="225"/>
        <v/>
      </c>
      <c r="B2068" s="83" t="str">
        <f t="shared" si="226"/>
        <v/>
      </c>
      <c r="S2068" s="83" t="str">
        <f t="shared" si="227"/>
        <v/>
      </c>
      <c r="T2068" s="83" t="str">
        <f t="shared" si="224"/>
        <v/>
      </c>
      <c r="Y2068" s="60">
        <f t="shared" si="228"/>
        <v>0</v>
      </c>
      <c r="Z2068" s="49">
        <f t="shared" si="229"/>
        <v>0</v>
      </c>
      <c r="AA2068" s="60">
        <f t="shared" si="230"/>
        <v>0</v>
      </c>
    </row>
    <row r="2069" spans="1:27">
      <c r="A2069" s="83" t="str">
        <f t="shared" si="225"/>
        <v/>
      </c>
      <c r="B2069" s="83" t="str">
        <f t="shared" si="226"/>
        <v/>
      </c>
      <c r="S2069" s="83" t="str">
        <f t="shared" si="227"/>
        <v/>
      </c>
      <c r="T2069" s="83" t="str">
        <f t="shared" si="224"/>
        <v/>
      </c>
      <c r="Y2069" s="60">
        <f t="shared" si="228"/>
        <v>0</v>
      </c>
      <c r="Z2069" s="49">
        <f t="shared" si="229"/>
        <v>0</v>
      </c>
      <c r="AA2069" s="60">
        <f t="shared" si="230"/>
        <v>0</v>
      </c>
    </row>
    <row r="2070" spans="1:27">
      <c r="A2070" s="83" t="str">
        <f t="shared" si="225"/>
        <v/>
      </c>
      <c r="B2070" s="83" t="str">
        <f t="shared" si="226"/>
        <v/>
      </c>
      <c r="S2070" s="83" t="str">
        <f t="shared" si="227"/>
        <v/>
      </c>
      <c r="T2070" s="83" t="str">
        <f t="shared" si="224"/>
        <v/>
      </c>
      <c r="Y2070" s="60">
        <f t="shared" si="228"/>
        <v>0</v>
      </c>
      <c r="Z2070" s="49">
        <f t="shared" si="229"/>
        <v>0</v>
      </c>
      <c r="AA2070" s="60">
        <f t="shared" si="230"/>
        <v>0</v>
      </c>
    </row>
    <row r="2071" spans="1:27">
      <c r="A2071" s="83" t="str">
        <f t="shared" si="225"/>
        <v/>
      </c>
      <c r="B2071" s="83" t="str">
        <f t="shared" si="226"/>
        <v/>
      </c>
      <c r="S2071" s="83" t="str">
        <f t="shared" si="227"/>
        <v/>
      </c>
      <c r="T2071" s="83" t="str">
        <f t="shared" si="224"/>
        <v/>
      </c>
      <c r="Y2071" s="60">
        <f t="shared" si="228"/>
        <v>0</v>
      </c>
      <c r="Z2071" s="49">
        <f t="shared" si="229"/>
        <v>0</v>
      </c>
      <c r="AA2071" s="60">
        <f t="shared" si="230"/>
        <v>0</v>
      </c>
    </row>
    <row r="2072" spans="1:27">
      <c r="A2072" s="83" t="str">
        <f t="shared" si="225"/>
        <v/>
      </c>
      <c r="B2072" s="83" t="str">
        <f t="shared" si="226"/>
        <v/>
      </c>
      <c r="S2072" s="83" t="str">
        <f t="shared" si="227"/>
        <v/>
      </c>
      <c r="T2072" s="83" t="str">
        <f t="shared" si="224"/>
        <v/>
      </c>
      <c r="Y2072" s="60">
        <f t="shared" si="228"/>
        <v>0</v>
      </c>
      <c r="Z2072" s="49">
        <f t="shared" si="229"/>
        <v>0</v>
      </c>
      <c r="AA2072" s="60">
        <f t="shared" si="230"/>
        <v>0</v>
      </c>
    </row>
    <row r="2073" spans="1:27">
      <c r="A2073" s="83" t="str">
        <f t="shared" si="225"/>
        <v/>
      </c>
      <c r="B2073" s="83" t="str">
        <f t="shared" si="226"/>
        <v/>
      </c>
      <c r="S2073" s="83" t="str">
        <f t="shared" si="227"/>
        <v/>
      </c>
      <c r="T2073" s="83" t="str">
        <f t="shared" si="224"/>
        <v/>
      </c>
      <c r="Y2073" s="60">
        <f t="shared" si="228"/>
        <v>0</v>
      </c>
      <c r="Z2073" s="49">
        <f t="shared" si="229"/>
        <v>0</v>
      </c>
      <c r="AA2073" s="60">
        <f t="shared" si="230"/>
        <v>0</v>
      </c>
    </row>
    <row r="2074" spans="1:27">
      <c r="A2074" s="83" t="str">
        <f t="shared" si="225"/>
        <v/>
      </c>
      <c r="B2074" s="83" t="str">
        <f t="shared" si="226"/>
        <v/>
      </c>
      <c r="S2074" s="83" t="str">
        <f t="shared" si="227"/>
        <v/>
      </c>
      <c r="T2074" s="83" t="str">
        <f t="shared" si="224"/>
        <v/>
      </c>
      <c r="Y2074" s="60">
        <f t="shared" si="228"/>
        <v>0</v>
      </c>
      <c r="Z2074" s="49">
        <f t="shared" si="229"/>
        <v>0</v>
      </c>
      <c r="AA2074" s="60">
        <f t="shared" si="230"/>
        <v>0</v>
      </c>
    </row>
    <row r="2075" spans="1:27">
      <c r="A2075" s="83" t="str">
        <f t="shared" si="225"/>
        <v/>
      </c>
      <c r="B2075" s="83" t="str">
        <f t="shared" si="226"/>
        <v/>
      </c>
      <c r="S2075" s="83" t="str">
        <f t="shared" si="227"/>
        <v/>
      </c>
      <c r="T2075" s="83" t="str">
        <f t="shared" si="224"/>
        <v/>
      </c>
      <c r="Y2075" s="60">
        <f t="shared" si="228"/>
        <v>0</v>
      </c>
      <c r="Z2075" s="49">
        <f t="shared" si="229"/>
        <v>0</v>
      </c>
      <c r="AA2075" s="60">
        <f t="shared" si="230"/>
        <v>0</v>
      </c>
    </row>
    <row r="2076" spans="1:27">
      <c r="A2076" s="83" t="str">
        <f t="shared" si="225"/>
        <v/>
      </c>
      <c r="B2076" s="83" t="str">
        <f t="shared" si="226"/>
        <v/>
      </c>
      <c r="S2076" s="83" t="str">
        <f t="shared" si="227"/>
        <v/>
      </c>
      <c r="T2076" s="83" t="str">
        <f t="shared" si="224"/>
        <v/>
      </c>
      <c r="Y2076" s="60">
        <f t="shared" si="228"/>
        <v>0</v>
      </c>
      <c r="Z2076" s="49">
        <f t="shared" si="229"/>
        <v>0</v>
      </c>
      <c r="AA2076" s="60">
        <f t="shared" si="230"/>
        <v>0</v>
      </c>
    </row>
    <row r="2077" spans="1:27">
      <c r="A2077" s="83" t="str">
        <f t="shared" si="225"/>
        <v/>
      </c>
      <c r="B2077" s="83" t="str">
        <f t="shared" si="226"/>
        <v/>
      </c>
      <c r="S2077" s="83" t="str">
        <f t="shared" si="227"/>
        <v/>
      </c>
      <c r="T2077" s="83" t="str">
        <f t="shared" si="224"/>
        <v/>
      </c>
      <c r="Y2077" s="60">
        <f t="shared" si="228"/>
        <v>0</v>
      </c>
      <c r="Z2077" s="49">
        <f t="shared" si="229"/>
        <v>0</v>
      </c>
      <c r="AA2077" s="60">
        <f t="shared" si="230"/>
        <v>0</v>
      </c>
    </row>
    <row r="2078" spans="1:27">
      <c r="A2078" s="83" t="str">
        <f t="shared" si="225"/>
        <v/>
      </c>
      <c r="B2078" s="83" t="str">
        <f t="shared" si="226"/>
        <v/>
      </c>
      <c r="S2078" s="83" t="str">
        <f t="shared" si="227"/>
        <v/>
      </c>
      <c r="T2078" s="83" t="str">
        <f t="shared" si="224"/>
        <v/>
      </c>
      <c r="Y2078" s="60">
        <f t="shared" si="228"/>
        <v>0</v>
      </c>
      <c r="Z2078" s="49">
        <f t="shared" si="229"/>
        <v>0</v>
      </c>
      <c r="AA2078" s="60">
        <f t="shared" si="230"/>
        <v>0</v>
      </c>
    </row>
    <row r="2079" spans="1:27">
      <c r="A2079" s="83" t="str">
        <f t="shared" si="225"/>
        <v/>
      </c>
      <c r="B2079" s="83" t="str">
        <f t="shared" si="226"/>
        <v/>
      </c>
      <c r="S2079" s="83" t="str">
        <f t="shared" si="227"/>
        <v/>
      </c>
      <c r="T2079" s="83" t="str">
        <f t="shared" si="224"/>
        <v/>
      </c>
      <c r="Y2079" s="60">
        <f t="shared" si="228"/>
        <v>0</v>
      </c>
      <c r="Z2079" s="49">
        <f t="shared" si="229"/>
        <v>0</v>
      </c>
      <c r="AA2079" s="60">
        <f t="shared" si="230"/>
        <v>0</v>
      </c>
    </row>
    <row r="2080" spans="1:27">
      <c r="A2080" s="83" t="str">
        <f t="shared" si="225"/>
        <v/>
      </c>
      <c r="B2080" s="83" t="str">
        <f t="shared" si="226"/>
        <v/>
      </c>
      <c r="S2080" s="83" t="str">
        <f t="shared" si="227"/>
        <v/>
      </c>
      <c r="T2080" s="83" t="str">
        <f t="shared" si="224"/>
        <v/>
      </c>
      <c r="Y2080" s="60">
        <f t="shared" si="228"/>
        <v>0</v>
      </c>
      <c r="Z2080" s="49">
        <f t="shared" si="229"/>
        <v>0</v>
      </c>
      <c r="AA2080" s="60">
        <f t="shared" si="230"/>
        <v>0</v>
      </c>
    </row>
    <row r="2081" spans="1:27">
      <c r="A2081" s="83" t="str">
        <f t="shared" si="225"/>
        <v/>
      </c>
      <c r="B2081" s="83" t="str">
        <f t="shared" si="226"/>
        <v/>
      </c>
      <c r="S2081" s="83" t="str">
        <f t="shared" si="227"/>
        <v/>
      </c>
      <c r="T2081" s="83" t="str">
        <f t="shared" si="224"/>
        <v/>
      </c>
      <c r="Y2081" s="60">
        <f t="shared" si="228"/>
        <v>0</v>
      </c>
      <c r="Z2081" s="49">
        <f t="shared" si="229"/>
        <v>0</v>
      </c>
      <c r="AA2081" s="60">
        <f t="shared" si="230"/>
        <v>0</v>
      </c>
    </row>
    <row r="2082" spans="1:27">
      <c r="A2082" s="83" t="str">
        <f t="shared" si="225"/>
        <v/>
      </c>
      <c r="B2082" s="83" t="str">
        <f t="shared" si="226"/>
        <v/>
      </c>
      <c r="S2082" s="83" t="str">
        <f t="shared" si="227"/>
        <v/>
      </c>
      <c r="T2082" s="83" t="str">
        <f t="shared" si="224"/>
        <v/>
      </c>
      <c r="Y2082" s="60">
        <f t="shared" si="228"/>
        <v>0</v>
      </c>
      <c r="Z2082" s="49">
        <f t="shared" si="229"/>
        <v>0</v>
      </c>
      <c r="AA2082" s="60">
        <f t="shared" si="230"/>
        <v>0</v>
      </c>
    </row>
    <row r="2083" spans="1:27">
      <c r="A2083" s="83" t="str">
        <f t="shared" si="225"/>
        <v/>
      </c>
      <c r="B2083" s="83" t="str">
        <f t="shared" si="226"/>
        <v/>
      </c>
      <c r="S2083" s="83" t="str">
        <f t="shared" si="227"/>
        <v/>
      </c>
      <c r="T2083" s="83" t="str">
        <f t="shared" si="224"/>
        <v/>
      </c>
      <c r="Y2083" s="60">
        <f t="shared" si="228"/>
        <v>0</v>
      </c>
      <c r="Z2083" s="49">
        <f t="shared" si="229"/>
        <v>0</v>
      </c>
      <c r="AA2083" s="60">
        <f t="shared" si="230"/>
        <v>0</v>
      </c>
    </row>
    <row r="2084" spans="1:27">
      <c r="A2084" s="83" t="str">
        <f t="shared" si="225"/>
        <v/>
      </c>
      <c r="B2084" s="83" t="str">
        <f t="shared" si="226"/>
        <v/>
      </c>
      <c r="S2084" s="83" t="str">
        <f t="shared" si="227"/>
        <v/>
      </c>
      <c r="T2084" s="83" t="str">
        <f t="shared" si="224"/>
        <v/>
      </c>
      <c r="Y2084" s="60">
        <f t="shared" si="228"/>
        <v>0</v>
      </c>
      <c r="Z2084" s="49">
        <f t="shared" si="229"/>
        <v>0</v>
      </c>
      <c r="AA2084" s="60">
        <f t="shared" si="230"/>
        <v>0</v>
      </c>
    </row>
    <row r="2085" spans="1:27">
      <c r="A2085" s="83" t="str">
        <f t="shared" si="225"/>
        <v/>
      </c>
      <c r="B2085" s="83" t="str">
        <f t="shared" si="226"/>
        <v/>
      </c>
      <c r="S2085" s="83" t="str">
        <f t="shared" si="227"/>
        <v/>
      </c>
      <c r="T2085" s="83" t="str">
        <f t="shared" si="224"/>
        <v/>
      </c>
      <c r="Y2085" s="60">
        <f t="shared" si="228"/>
        <v>0</v>
      </c>
      <c r="Z2085" s="49">
        <f t="shared" si="229"/>
        <v>0</v>
      </c>
      <c r="AA2085" s="60">
        <f t="shared" si="230"/>
        <v>0</v>
      </c>
    </row>
    <row r="2086" spans="1:27">
      <c r="A2086" s="83" t="str">
        <f t="shared" si="225"/>
        <v/>
      </c>
      <c r="B2086" s="83" t="str">
        <f t="shared" si="226"/>
        <v/>
      </c>
      <c r="S2086" s="83" t="str">
        <f t="shared" si="227"/>
        <v/>
      </c>
      <c r="T2086" s="83" t="str">
        <f t="shared" si="224"/>
        <v/>
      </c>
      <c r="Y2086" s="60">
        <f t="shared" si="228"/>
        <v>0</v>
      </c>
      <c r="Z2086" s="49">
        <f t="shared" si="229"/>
        <v>0</v>
      </c>
      <c r="AA2086" s="60">
        <f t="shared" si="230"/>
        <v>0</v>
      </c>
    </row>
    <row r="2087" spans="1:27">
      <c r="A2087" s="83" t="str">
        <f t="shared" si="225"/>
        <v/>
      </c>
      <c r="B2087" s="83" t="str">
        <f t="shared" si="226"/>
        <v/>
      </c>
      <c r="S2087" s="83" t="str">
        <f t="shared" si="227"/>
        <v/>
      </c>
      <c r="T2087" s="83" t="str">
        <f t="shared" si="224"/>
        <v/>
      </c>
      <c r="Y2087" s="60">
        <f t="shared" si="228"/>
        <v>0</v>
      </c>
      <c r="Z2087" s="49">
        <f t="shared" si="229"/>
        <v>0</v>
      </c>
      <c r="AA2087" s="60">
        <f t="shared" si="230"/>
        <v>0</v>
      </c>
    </row>
    <row r="2088" spans="1:27">
      <c r="A2088" s="83" t="str">
        <f t="shared" si="225"/>
        <v/>
      </c>
      <c r="B2088" s="83" t="str">
        <f t="shared" si="226"/>
        <v/>
      </c>
      <c r="S2088" s="83" t="str">
        <f t="shared" si="227"/>
        <v/>
      </c>
      <c r="T2088" s="83" t="str">
        <f t="shared" si="224"/>
        <v/>
      </c>
      <c r="Y2088" s="60">
        <f t="shared" si="228"/>
        <v>0</v>
      </c>
      <c r="Z2088" s="49">
        <f t="shared" si="229"/>
        <v>0</v>
      </c>
      <c r="AA2088" s="60">
        <f t="shared" si="230"/>
        <v>0</v>
      </c>
    </row>
    <row r="2089" spans="1:27">
      <c r="A2089" s="83" t="str">
        <f t="shared" si="225"/>
        <v/>
      </c>
      <c r="B2089" s="83" t="str">
        <f t="shared" si="226"/>
        <v/>
      </c>
      <c r="S2089" s="83" t="str">
        <f t="shared" si="227"/>
        <v/>
      </c>
      <c r="T2089" s="83" t="str">
        <f t="shared" si="224"/>
        <v/>
      </c>
      <c r="Y2089" s="60">
        <f t="shared" si="228"/>
        <v>0</v>
      </c>
      <c r="Z2089" s="49">
        <f t="shared" si="229"/>
        <v>0</v>
      </c>
      <c r="AA2089" s="60">
        <f t="shared" si="230"/>
        <v>0</v>
      </c>
    </row>
    <row r="2090" spans="1:27">
      <c r="A2090" s="83" t="str">
        <f t="shared" si="225"/>
        <v/>
      </c>
      <c r="B2090" s="83" t="str">
        <f t="shared" si="226"/>
        <v/>
      </c>
      <c r="S2090" s="83" t="str">
        <f t="shared" si="227"/>
        <v/>
      </c>
      <c r="T2090" s="83" t="str">
        <f t="shared" si="224"/>
        <v/>
      </c>
      <c r="Y2090" s="60">
        <f t="shared" si="228"/>
        <v>0</v>
      </c>
      <c r="Z2090" s="49">
        <f t="shared" si="229"/>
        <v>0</v>
      </c>
      <c r="AA2090" s="60">
        <f t="shared" si="230"/>
        <v>0</v>
      </c>
    </row>
    <row r="2091" spans="1:27">
      <c r="A2091" s="83" t="str">
        <f t="shared" si="225"/>
        <v/>
      </c>
      <c r="B2091" s="83" t="str">
        <f t="shared" si="226"/>
        <v/>
      </c>
      <c r="S2091" s="83" t="str">
        <f t="shared" si="227"/>
        <v/>
      </c>
      <c r="T2091" s="83" t="str">
        <f t="shared" si="224"/>
        <v/>
      </c>
      <c r="Y2091" s="60">
        <f t="shared" si="228"/>
        <v>0</v>
      </c>
      <c r="Z2091" s="49">
        <f t="shared" si="229"/>
        <v>0</v>
      </c>
      <c r="AA2091" s="60">
        <f t="shared" si="230"/>
        <v>0</v>
      </c>
    </row>
    <row r="2092" spans="1:27">
      <c r="A2092" s="83" t="str">
        <f t="shared" si="225"/>
        <v/>
      </c>
      <c r="B2092" s="83" t="str">
        <f t="shared" si="226"/>
        <v/>
      </c>
      <c r="S2092" s="83" t="str">
        <f t="shared" si="227"/>
        <v/>
      </c>
      <c r="T2092" s="83" t="str">
        <f t="shared" si="224"/>
        <v/>
      </c>
      <c r="Y2092" s="60">
        <f t="shared" si="228"/>
        <v>0</v>
      </c>
      <c r="Z2092" s="49">
        <f t="shared" si="229"/>
        <v>0</v>
      </c>
      <c r="AA2092" s="60">
        <f t="shared" si="230"/>
        <v>0</v>
      </c>
    </row>
    <row r="2093" spans="1:27">
      <c r="A2093" s="83" t="str">
        <f t="shared" si="225"/>
        <v/>
      </c>
      <c r="B2093" s="83" t="str">
        <f t="shared" si="226"/>
        <v/>
      </c>
      <c r="S2093" s="83" t="str">
        <f t="shared" si="227"/>
        <v/>
      </c>
      <c r="T2093" s="83" t="str">
        <f t="shared" si="224"/>
        <v/>
      </c>
      <c r="Y2093" s="60">
        <f t="shared" si="228"/>
        <v>0</v>
      </c>
      <c r="Z2093" s="49">
        <f t="shared" si="229"/>
        <v>0</v>
      </c>
      <c r="AA2093" s="60">
        <f t="shared" si="230"/>
        <v>0</v>
      </c>
    </row>
    <row r="2094" spans="1:27">
      <c r="A2094" s="83" t="str">
        <f t="shared" si="225"/>
        <v/>
      </c>
      <c r="B2094" s="83" t="str">
        <f t="shared" si="226"/>
        <v/>
      </c>
      <c r="S2094" s="83" t="str">
        <f t="shared" si="227"/>
        <v/>
      </c>
      <c r="T2094" s="83" t="str">
        <f t="shared" si="224"/>
        <v/>
      </c>
      <c r="Y2094" s="60">
        <f t="shared" si="228"/>
        <v>0</v>
      </c>
      <c r="Z2094" s="49">
        <f t="shared" si="229"/>
        <v>0</v>
      </c>
      <c r="AA2094" s="60">
        <f t="shared" si="230"/>
        <v>0</v>
      </c>
    </row>
    <row r="2095" spans="1:27">
      <c r="A2095" s="83" t="str">
        <f t="shared" si="225"/>
        <v/>
      </c>
      <c r="B2095" s="83" t="str">
        <f t="shared" si="226"/>
        <v/>
      </c>
      <c r="S2095" s="83" t="str">
        <f t="shared" si="227"/>
        <v/>
      </c>
      <c r="T2095" s="83" t="str">
        <f t="shared" si="224"/>
        <v/>
      </c>
      <c r="Y2095" s="60">
        <f t="shared" si="228"/>
        <v>0</v>
      </c>
      <c r="Z2095" s="49">
        <f t="shared" si="229"/>
        <v>0</v>
      </c>
      <c r="AA2095" s="60">
        <f t="shared" si="230"/>
        <v>0</v>
      </c>
    </row>
    <row r="2096" spans="1:27">
      <c r="A2096" s="83" t="str">
        <f t="shared" si="225"/>
        <v/>
      </c>
      <c r="B2096" s="83" t="str">
        <f t="shared" si="226"/>
        <v/>
      </c>
      <c r="S2096" s="83" t="str">
        <f t="shared" si="227"/>
        <v/>
      </c>
      <c r="T2096" s="83" t="str">
        <f t="shared" si="224"/>
        <v/>
      </c>
      <c r="Y2096" s="60">
        <f t="shared" si="228"/>
        <v>0</v>
      </c>
      <c r="Z2096" s="49">
        <f t="shared" si="229"/>
        <v>0</v>
      </c>
      <c r="AA2096" s="60">
        <f t="shared" si="230"/>
        <v>0</v>
      </c>
    </row>
    <row r="2097" spans="1:27">
      <c r="A2097" s="83" t="str">
        <f t="shared" si="225"/>
        <v/>
      </c>
      <c r="B2097" s="83" t="str">
        <f t="shared" si="226"/>
        <v/>
      </c>
      <c r="S2097" s="83" t="str">
        <f t="shared" si="227"/>
        <v/>
      </c>
      <c r="T2097" s="83" t="str">
        <f t="shared" si="224"/>
        <v/>
      </c>
      <c r="Y2097" s="60">
        <f t="shared" si="228"/>
        <v>0</v>
      </c>
      <c r="Z2097" s="49">
        <f t="shared" si="229"/>
        <v>0</v>
      </c>
      <c r="AA2097" s="60">
        <f t="shared" si="230"/>
        <v>0</v>
      </c>
    </row>
    <row r="2098" spans="1:27">
      <c r="A2098" s="83" t="str">
        <f t="shared" si="225"/>
        <v/>
      </c>
      <c r="B2098" s="83" t="str">
        <f t="shared" si="226"/>
        <v/>
      </c>
      <c r="S2098" s="83" t="str">
        <f t="shared" si="227"/>
        <v/>
      </c>
      <c r="T2098" s="83" t="str">
        <f t="shared" si="224"/>
        <v/>
      </c>
      <c r="Y2098" s="60">
        <f t="shared" si="228"/>
        <v>0</v>
      </c>
      <c r="Z2098" s="49">
        <f t="shared" si="229"/>
        <v>0</v>
      </c>
      <c r="AA2098" s="60">
        <f t="shared" si="230"/>
        <v>0</v>
      </c>
    </row>
    <row r="2099" spans="1:27">
      <c r="A2099" s="83" t="str">
        <f t="shared" si="225"/>
        <v/>
      </c>
      <c r="B2099" s="83" t="str">
        <f t="shared" si="226"/>
        <v/>
      </c>
      <c r="S2099" s="83" t="str">
        <f t="shared" si="227"/>
        <v/>
      </c>
      <c r="T2099" s="83" t="str">
        <f t="shared" si="224"/>
        <v/>
      </c>
      <c r="Y2099" s="60">
        <f t="shared" si="228"/>
        <v>0</v>
      </c>
      <c r="Z2099" s="49">
        <f t="shared" si="229"/>
        <v>0</v>
      </c>
      <c r="AA2099" s="60">
        <f t="shared" si="230"/>
        <v>0</v>
      </c>
    </row>
    <row r="2100" spans="1:27">
      <c r="A2100" s="83" t="str">
        <f t="shared" si="225"/>
        <v/>
      </c>
      <c r="B2100" s="83" t="str">
        <f t="shared" si="226"/>
        <v/>
      </c>
      <c r="S2100" s="83" t="str">
        <f t="shared" si="227"/>
        <v/>
      </c>
      <c r="T2100" s="83" t="str">
        <f t="shared" si="224"/>
        <v/>
      </c>
      <c r="Y2100" s="60">
        <f t="shared" si="228"/>
        <v>0</v>
      </c>
      <c r="Z2100" s="49">
        <f t="shared" si="229"/>
        <v>0</v>
      </c>
      <c r="AA2100" s="60">
        <f t="shared" si="230"/>
        <v>0</v>
      </c>
    </row>
    <row r="2101" spans="1:27">
      <c r="A2101" s="83" t="str">
        <f t="shared" si="225"/>
        <v/>
      </c>
      <c r="B2101" s="83" t="str">
        <f t="shared" si="226"/>
        <v/>
      </c>
      <c r="S2101" s="83" t="str">
        <f t="shared" si="227"/>
        <v/>
      </c>
      <c r="T2101" s="83" t="str">
        <f t="shared" si="224"/>
        <v/>
      </c>
      <c r="Y2101" s="60">
        <f t="shared" si="228"/>
        <v>0</v>
      </c>
      <c r="Z2101" s="49">
        <f t="shared" si="229"/>
        <v>0</v>
      </c>
      <c r="AA2101" s="60">
        <f t="shared" si="230"/>
        <v>0</v>
      </c>
    </row>
    <row r="2102" spans="1:27">
      <c r="A2102" s="83" t="str">
        <f t="shared" si="225"/>
        <v/>
      </c>
      <c r="B2102" s="83" t="str">
        <f t="shared" si="226"/>
        <v/>
      </c>
      <c r="S2102" s="83" t="str">
        <f t="shared" si="227"/>
        <v/>
      </c>
      <c r="T2102" s="83" t="str">
        <f t="shared" si="224"/>
        <v/>
      </c>
      <c r="Y2102" s="60">
        <f t="shared" si="228"/>
        <v>0</v>
      </c>
      <c r="Z2102" s="49">
        <f t="shared" si="229"/>
        <v>0</v>
      </c>
      <c r="AA2102" s="60">
        <f t="shared" si="230"/>
        <v>0</v>
      </c>
    </row>
    <row r="2103" spans="1:27">
      <c r="A2103" s="83" t="str">
        <f t="shared" si="225"/>
        <v/>
      </c>
      <c r="B2103" s="83" t="str">
        <f t="shared" si="226"/>
        <v/>
      </c>
      <c r="S2103" s="83" t="str">
        <f t="shared" si="227"/>
        <v/>
      </c>
      <c r="T2103" s="83" t="str">
        <f t="shared" si="224"/>
        <v/>
      </c>
      <c r="Y2103" s="60">
        <f t="shared" si="228"/>
        <v>0</v>
      </c>
      <c r="Z2103" s="49">
        <f t="shared" si="229"/>
        <v>0</v>
      </c>
      <c r="AA2103" s="60">
        <f t="shared" si="230"/>
        <v>0</v>
      </c>
    </row>
    <row r="2104" spans="1:27">
      <c r="A2104" s="83" t="str">
        <f t="shared" si="225"/>
        <v/>
      </c>
      <c r="B2104" s="83" t="str">
        <f t="shared" si="226"/>
        <v/>
      </c>
      <c r="S2104" s="83" t="str">
        <f t="shared" si="227"/>
        <v/>
      </c>
      <c r="T2104" s="83" t="str">
        <f t="shared" si="224"/>
        <v/>
      </c>
      <c r="Y2104" s="60">
        <f t="shared" si="228"/>
        <v>0</v>
      </c>
      <c r="Z2104" s="49">
        <f t="shared" si="229"/>
        <v>0</v>
      </c>
      <c r="AA2104" s="60">
        <f t="shared" si="230"/>
        <v>0</v>
      </c>
    </row>
    <row r="2105" spans="1:27">
      <c r="A2105" s="83" t="str">
        <f t="shared" si="225"/>
        <v/>
      </c>
      <c r="B2105" s="83" t="str">
        <f t="shared" si="226"/>
        <v/>
      </c>
      <c r="S2105" s="83" t="str">
        <f t="shared" si="227"/>
        <v/>
      </c>
      <c r="T2105" s="83" t="str">
        <f t="shared" si="224"/>
        <v/>
      </c>
      <c r="Y2105" s="60">
        <f t="shared" si="228"/>
        <v>0</v>
      </c>
      <c r="Z2105" s="49">
        <f t="shared" si="229"/>
        <v>0</v>
      </c>
      <c r="AA2105" s="60">
        <f t="shared" si="230"/>
        <v>0</v>
      </c>
    </row>
    <row r="2106" spans="1:27">
      <c r="A2106" s="83" t="str">
        <f t="shared" si="225"/>
        <v/>
      </c>
      <c r="B2106" s="83" t="str">
        <f t="shared" si="226"/>
        <v/>
      </c>
      <c r="S2106" s="83" t="str">
        <f t="shared" si="227"/>
        <v/>
      </c>
      <c r="T2106" s="83" t="str">
        <f t="shared" si="224"/>
        <v/>
      </c>
      <c r="Y2106" s="60">
        <f t="shared" si="228"/>
        <v>0</v>
      </c>
      <c r="Z2106" s="49">
        <f t="shared" si="229"/>
        <v>0</v>
      </c>
      <c r="AA2106" s="60">
        <f t="shared" si="230"/>
        <v>0</v>
      </c>
    </row>
    <row r="2107" spans="1:27">
      <c r="A2107" s="83" t="str">
        <f t="shared" si="225"/>
        <v/>
      </c>
      <c r="B2107" s="83" t="str">
        <f t="shared" si="226"/>
        <v/>
      </c>
      <c r="S2107" s="83" t="str">
        <f t="shared" si="227"/>
        <v/>
      </c>
      <c r="T2107" s="83" t="str">
        <f t="shared" si="224"/>
        <v/>
      </c>
      <c r="Y2107" s="60">
        <f t="shared" si="228"/>
        <v>0</v>
      </c>
      <c r="Z2107" s="49">
        <f t="shared" si="229"/>
        <v>0</v>
      </c>
      <c r="AA2107" s="60">
        <f t="shared" si="230"/>
        <v>0</v>
      </c>
    </row>
    <row r="2108" spans="1:27">
      <c r="A2108" s="83" t="str">
        <f t="shared" si="225"/>
        <v/>
      </c>
      <c r="B2108" s="83" t="str">
        <f t="shared" si="226"/>
        <v/>
      </c>
      <c r="S2108" s="83" t="str">
        <f t="shared" si="227"/>
        <v/>
      </c>
      <c r="T2108" s="83" t="str">
        <f t="shared" si="224"/>
        <v/>
      </c>
      <c r="Y2108" s="60">
        <f t="shared" si="228"/>
        <v>0</v>
      </c>
      <c r="Z2108" s="49">
        <f t="shared" si="229"/>
        <v>0</v>
      </c>
      <c r="AA2108" s="60">
        <f t="shared" si="230"/>
        <v>0</v>
      </c>
    </row>
    <row r="2109" spans="1:27">
      <c r="A2109" s="83" t="str">
        <f t="shared" si="225"/>
        <v/>
      </c>
      <c r="B2109" s="83" t="str">
        <f t="shared" si="226"/>
        <v/>
      </c>
      <c r="S2109" s="83" t="str">
        <f t="shared" si="227"/>
        <v/>
      </c>
      <c r="T2109" s="83" t="str">
        <f t="shared" si="224"/>
        <v/>
      </c>
      <c r="Y2109" s="60">
        <f t="shared" si="228"/>
        <v>0</v>
      </c>
      <c r="Z2109" s="49">
        <f t="shared" si="229"/>
        <v>0</v>
      </c>
      <c r="AA2109" s="60">
        <f t="shared" si="230"/>
        <v>0</v>
      </c>
    </row>
    <row r="2110" spans="1:27">
      <c r="A2110" s="83" t="str">
        <f t="shared" si="225"/>
        <v/>
      </c>
      <c r="B2110" s="83" t="str">
        <f t="shared" si="226"/>
        <v/>
      </c>
      <c r="S2110" s="83" t="str">
        <f t="shared" si="227"/>
        <v/>
      </c>
      <c r="T2110" s="83" t="str">
        <f t="shared" si="224"/>
        <v/>
      </c>
      <c r="Y2110" s="60">
        <f t="shared" si="228"/>
        <v>0</v>
      </c>
      <c r="Z2110" s="49">
        <f t="shared" si="229"/>
        <v>0</v>
      </c>
      <c r="AA2110" s="60">
        <f t="shared" si="230"/>
        <v>0</v>
      </c>
    </row>
    <row r="2111" spans="1:27">
      <c r="A2111" s="83" t="str">
        <f t="shared" si="225"/>
        <v/>
      </c>
      <c r="B2111" s="83" t="str">
        <f t="shared" si="226"/>
        <v/>
      </c>
      <c r="S2111" s="83" t="str">
        <f t="shared" si="227"/>
        <v/>
      </c>
      <c r="T2111" s="83" t="str">
        <f t="shared" si="224"/>
        <v/>
      </c>
      <c r="Y2111" s="60">
        <f t="shared" si="228"/>
        <v>0</v>
      </c>
      <c r="Z2111" s="49">
        <f t="shared" si="229"/>
        <v>0</v>
      </c>
      <c r="AA2111" s="60">
        <f t="shared" si="230"/>
        <v>0</v>
      </c>
    </row>
    <row r="2112" spans="1:27">
      <c r="A2112" s="83" t="str">
        <f t="shared" si="225"/>
        <v/>
      </c>
      <c r="B2112" s="83" t="str">
        <f t="shared" si="226"/>
        <v/>
      </c>
      <c r="S2112" s="83" t="str">
        <f t="shared" si="227"/>
        <v/>
      </c>
      <c r="T2112" s="83" t="str">
        <f t="shared" si="224"/>
        <v/>
      </c>
      <c r="Y2112" s="60">
        <f t="shared" si="228"/>
        <v>0</v>
      </c>
      <c r="Z2112" s="49">
        <f t="shared" si="229"/>
        <v>0</v>
      </c>
      <c r="AA2112" s="60">
        <f t="shared" si="230"/>
        <v>0</v>
      </c>
    </row>
    <row r="2113" spans="1:27">
      <c r="A2113" s="83" t="str">
        <f t="shared" si="225"/>
        <v/>
      </c>
      <c r="B2113" s="83" t="str">
        <f t="shared" si="226"/>
        <v/>
      </c>
      <c r="S2113" s="83" t="str">
        <f t="shared" si="227"/>
        <v/>
      </c>
      <c r="T2113" s="83" t="str">
        <f t="shared" si="224"/>
        <v/>
      </c>
      <c r="Y2113" s="60">
        <f t="shared" si="228"/>
        <v>0</v>
      </c>
      <c r="Z2113" s="49">
        <f t="shared" si="229"/>
        <v>0</v>
      </c>
      <c r="AA2113" s="60">
        <f t="shared" si="230"/>
        <v>0</v>
      </c>
    </row>
    <row r="2114" spans="1:27">
      <c r="A2114" s="83" t="str">
        <f t="shared" si="225"/>
        <v/>
      </c>
      <c r="B2114" s="83" t="str">
        <f t="shared" si="226"/>
        <v/>
      </c>
      <c r="S2114" s="83" t="str">
        <f t="shared" si="227"/>
        <v/>
      </c>
      <c r="T2114" s="83" t="str">
        <f t="shared" ref="T2114:T2177" si="231">IF(A2114&lt;&gt;"",IF(FIND(" ",G2114)&gt;=1,MID(G2114,FIND(" ",G2114)+1,LEN(G2114)),""),"")</f>
        <v/>
      </c>
      <c r="Y2114" s="60">
        <f t="shared" si="228"/>
        <v>0</v>
      </c>
      <c r="Z2114" s="49">
        <f t="shared" si="229"/>
        <v>0</v>
      </c>
      <c r="AA2114" s="60">
        <f t="shared" si="230"/>
        <v>0</v>
      </c>
    </row>
    <row r="2115" spans="1:27">
      <c r="A2115" s="83" t="str">
        <f t="shared" ref="A2115:A2178" si="232">IF(G2115&amp;Q2115&lt;&gt;"",S2115&amp;Q2115,"")</f>
        <v/>
      </c>
      <c r="B2115" s="83" t="str">
        <f t="shared" ref="B2115:B2178" si="233">IF(C2115&lt;&gt;"",LEFT(C2115,9),"")</f>
        <v/>
      </c>
      <c r="S2115" s="83" t="str">
        <f t="shared" ref="S2115:S2178" si="234">IF(G2115&lt;&gt;"",IF(FIND(" ",G2115)&gt;=1,MID(G2115,1,FIND(" ",G2115)-1),G2115),"")</f>
        <v/>
      </c>
      <c r="T2115" s="83" t="str">
        <f t="shared" si="231"/>
        <v/>
      </c>
      <c r="Y2115" s="60">
        <f t="shared" ref="Y2115:Y2178" si="235">IFERROR(VALUE(MID($C2115,1,2)),0)</f>
        <v>0</v>
      </c>
      <c r="Z2115" s="49">
        <f t="shared" ref="Z2115:Z2178" si="236">IFERROR(VALUE(MID($C2115,4,3)),0)</f>
        <v>0</v>
      </c>
      <c r="AA2115" s="60">
        <f t="shared" ref="AA2115:AA2178" si="237">VALUE(RIGHT("00"&amp;Y2115,2)&amp;RIGHT("000"&amp;Z2115,3))</f>
        <v>0</v>
      </c>
    </row>
    <row r="2116" spans="1:27">
      <c r="A2116" s="83" t="str">
        <f t="shared" si="232"/>
        <v/>
      </c>
      <c r="B2116" s="83" t="str">
        <f t="shared" si="233"/>
        <v/>
      </c>
      <c r="S2116" s="83" t="str">
        <f t="shared" si="234"/>
        <v/>
      </c>
      <c r="T2116" s="83" t="str">
        <f t="shared" si="231"/>
        <v/>
      </c>
      <c r="Y2116" s="60">
        <f t="shared" si="235"/>
        <v>0</v>
      </c>
      <c r="Z2116" s="49">
        <f t="shared" si="236"/>
        <v>0</v>
      </c>
      <c r="AA2116" s="60">
        <f t="shared" si="237"/>
        <v>0</v>
      </c>
    </row>
    <row r="2117" spans="1:27">
      <c r="A2117" s="83" t="str">
        <f t="shared" si="232"/>
        <v/>
      </c>
      <c r="B2117" s="83" t="str">
        <f t="shared" si="233"/>
        <v/>
      </c>
      <c r="S2117" s="83" t="str">
        <f t="shared" si="234"/>
        <v/>
      </c>
      <c r="T2117" s="83" t="str">
        <f t="shared" si="231"/>
        <v/>
      </c>
      <c r="Y2117" s="60">
        <f t="shared" si="235"/>
        <v>0</v>
      </c>
      <c r="Z2117" s="49">
        <f t="shared" si="236"/>
        <v>0</v>
      </c>
      <c r="AA2117" s="60">
        <f t="shared" si="237"/>
        <v>0</v>
      </c>
    </row>
    <row r="2118" spans="1:27">
      <c r="A2118" s="83" t="str">
        <f t="shared" si="232"/>
        <v/>
      </c>
      <c r="B2118" s="83" t="str">
        <f t="shared" si="233"/>
        <v/>
      </c>
      <c r="S2118" s="83" t="str">
        <f t="shared" si="234"/>
        <v/>
      </c>
      <c r="T2118" s="83" t="str">
        <f t="shared" si="231"/>
        <v/>
      </c>
      <c r="Y2118" s="60">
        <f t="shared" si="235"/>
        <v>0</v>
      </c>
      <c r="Z2118" s="49">
        <f t="shared" si="236"/>
        <v>0</v>
      </c>
      <c r="AA2118" s="60">
        <f t="shared" si="237"/>
        <v>0</v>
      </c>
    </row>
    <row r="2119" spans="1:27">
      <c r="A2119" s="83" t="str">
        <f t="shared" si="232"/>
        <v/>
      </c>
      <c r="B2119" s="83" t="str">
        <f t="shared" si="233"/>
        <v/>
      </c>
      <c r="S2119" s="83" t="str">
        <f t="shared" si="234"/>
        <v/>
      </c>
      <c r="T2119" s="83" t="str">
        <f t="shared" si="231"/>
        <v/>
      </c>
      <c r="Y2119" s="60">
        <f t="shared" si="235"/>
        <v>0</v>
      </c>
      <c r="Z2119" s="49">
        <f t="shared" si="236"/>
        <v>0</v>
      </c>
      <c r="AA2119" s="60">
        <f t="shared" si="237"/>
        <v>0</v>
      </c>
    </row>
    <row r="2120" spans="1:27">
      <c r="A2120" s="83" t="str">
        <f t="shared" si="232"/>
        <v/>
      </c>
      <c r="B2120" s="83" t="str">
        <f t="shared" si="233"/>
        <v/>
      </c>
      <c r="S2120" s="83" t="str">
        <f t="shared" si="234"/>
        <v/>
      </c>
      <c r="T2120" s="83" t="str">
        <f t="shared" si="231"/>
        <v/>
      </c>
      <c r="Y2120" s="60">
        <f t="shared" si="235"/>
        <v>0</v>
      </c>
      <c r="Z2120" s="49">
        <f t="shared" si="236"/>
        <v>0</v>
      </c>
      <c r="AA2120" s="60">
        <f t="shared" si="237"/>
        <v>0</v>
      </c>
    </row>
    <row r="2121" spans="1:27">
      <c r="A2121" s="83" t="str">
        <f t="shared" si="232"/>
        <v/>
      </c>
      <c r="B2121" s="83" t="str">
        <f t="shared" si="233"/>
        <v/>
      </c>
      <c r="S2121" s="83" t="str">
        <f t="shared" si="234"/>
        <v/>
      </c>
      <c r="T2121" s="83" t="str">
        <f t="shared" si="231"/>
        <v/>
      </c>
      <c r="Y2121" s="60">
        <f t="shared" si="235"/>
        <v>0</v>
      </c>
      <c r="Z2121" s="49">
        <f t="shared" si="236"/>
        <v>0</v>
      </c>
      <c r="AA2121" s="60">
        <f t="shared" si="237"/>
        <v>0</v>
      </c>
    </row>
    <row r="2122" spans="1:27">
      <c r="A2122" s="83" t="str">
        <f t="shared" si="232"/>
        <v/>
      </c>
      <c r="B2122" s="83" t="str">
        <f t="shared" si="233"/>
        <v/>
      </c>
      <c r="S2122" s="83" t="str">
        <f t="shared" si="234"/>
        <v/>
      </c>
      <c r="T2122" s="83" t="str">
        <f t="shared" si="231"/>
        <v/>
      </c>
      <c r="Y2122" s="60">
        <f t="shared" si="235"/>
        <v>0</v>
      </c>
      <c r="Z2122" s="49">
        <f t="shared" si="236"/>
        <v>0</v>
      </c>
      <c r="AA2122" s="60">
        <f t="shared" si="237"/>
        <v>0</v>
      </c>
    </row>
    <row r="2123" spans="1:27">
      <c r="A2123" s="83" t="str">
        <f t="shared" si="232"/>
        <v/>
      </c>
      <c r="B2123" s="83" t="str">
        <f t="shared" si="233"/>
        <v/>
      </c>
      <c r="S2123" s="83" t="str">
        <f t="shared" si="234"/>
        <v/>
      </c>
      <c r="T2123" s="83" t="str">
        <f t="shared" si="231"/>
        <v/>
      </c>
      <c r="Y2123" s="60">
        <f t="shared" si="235"/>
        <v>0</v>
      </c>
      <c r="Z2123" s="49">
        <f t="shared" si="236"/>
        <v>0</v>
      </c>
      <c r="AA2123" s="60">
        <f t="shared" si="237"/>
        <v>0</v>
      </c>
    </row>
    <row r="2124" spans="1:27">
      <c r="A2124" s="83" t="str">
        <f t="shared" si="232"/>
        <v/>
      </c>
      <c r="B2124" s="83" t="str">
        <f t="shared" si="233"/>
        <v/>
      </c>
      <c r="S2124" s="83" t="str">
        <f t="shared" si="234"/>
        <v/>
      </c>
      <c r="T2124" s="83" t="str">
        <f t="shared" si="231"/>
        <v/>
      </c>
      <c r="Y2124" s="60">
        <f t="shared" si="235"/>
        <v>0</v>
      </c>
      <c r="Z2124" s="49">
        <f t="shared" si="236"/>
        <v>0</v>
      </c>
      <c r="AA2124" s="60">
        <f t="shared" si="237"/>
        <v>0</v>
      </c>
    </row>
    <row r="2125" spans="1:27">
      <c r="A2125" s="83" t="str">
        <f t="shared" si="232"/>
        <v/>
      </c>
      <c r="B2125" s="83" t="str">
        <f t="shared" si="233"/>
        <v/>
      </c>
      <c r="S2125" s="83" t="str">
        <f t="shared" si="234"/>
        <v/>
      </c>
      <c r="T2125" s="83" t="str">
        <f t="shared" si="231"/>
        <v/>
      </c>
      <c r="Y2125" s="60">
        <f t="shared" si="235"/>
        <v>0</v>
      </c>
      <c r="Z2125" s="49">
        <f t="shared" si="236"/>
        <v>0</v>
      </c>
      <c r="AA2125" s="60">
        <f t="shared" si="237"/>
        <v>0</v>
      </c>
    </row>
    <row r="2126" spans="1:27">
      <c r="A2126" s="83" t="str">
        <f t="shared" si="232"/>
        <v/>
      </c>
      <c r="B2126" s="83" t="str">
        <f t="shared" si="233"/>
        <v/>
      </c>
      <c r="S2126" s="83" t="str">
        <f t="shared" si="234"/>
        <v/>
      </c>
      <c r="T2126" s="83" t="str">
        <f t="shared" si="231"/>
        <v/>
      </c>
      <c r="Y2126" s="60">
        <f t="shared" si="235"/>
        <v>0</v>
      </c>
      <c r="Z2126" s="49">
        <f t="shared" si="236"/>
        <v>0</v>
      </c>
      <c r="AA2126" s="60">
        <f t="shared" si="237"/>
        <v>0</v>
      </c>
    </row>
    <row r="2127" spans="1:27">
      <c r="A2127" s="83" t="str">
        <f t="shared" si="232"/>
        <v/>
      </c>
      <c r="B2127" s="83" t="str">
        <f t="shared" si="233"/>
        <v/>
      </c>
      <c r="S2127" s="83" t="str">
        <f t="shared" si="234"/>
        <v/>
      </c>
      <c r="T2127" s="83" t="str">
        <f t="shared" si="231"/>
        <v/>
      </c>
      <c r="Y2127" s="60">
        <f t="shared" si="235"/>
        <v>0</v>
      </c>
      <c r="Z2127" s="49">
        <f t="shared" si="236"/>
        <v>0</v>
      </c>
      <c r="AA2127" s="60">
        <f t="shared" si="237"/>
        <v>0</v>
      </c>
    </row>
    <row r="2128" spans="1:27">
      <c r="A2128" s="83" t="str">
        <f t="shared" si="232"/>
        <v/>
      </c>
      <c r="B2128" s="83" t="str">
        <f t="shared" si="233"/>
        <v/>
      </c>
      <c r="S2128" s="83" t="str">
        <f t="shared" si="234"/>
        <v/>
      </c>
      <c r="T2128" s="83" t="str">
        <f t="shared" si="231"/>
        <v/>
      </c>
      <c r="Y2128" s="60">
        <f t="shared" si="235"/>
        <v>0</v>
      </c>
      <c r="Z2128" s="49">
        <f t="shared" si="236"/>
        <v>0</v>
      </c>
      <c r="AA2128" s="60">
        <f t="shared" si="237"/>
        <v>0</v>
      </c>
    </row>
    <row r="2129" spans="1:27">
      <c r="A2129" s="83" t="str">
        <f t="shared" si="232"/>
        <v/>
      </c>
      <c r="B2129" s="83" t="str">
        <f t="shared" si="233"/>
        <v/>
      </c>
      <c r="S2129" s="83" t="str">
        <f t="shared" si="234"/>
        <v/>
      </c>
      <c r="T2129" s="83" t="str">
        <f t="shared" si="231"/>
        <v/>
      </c>
      <c r="Y2129" s="60">
        <f t="shared" si="235"/>
        <v>0</v>
      </c>
      <c r="Z2129" s="49">
        <f t="shared" si="236"/>
        <v>0</v>
      </c>
      <c r="AA2129" s="60">
        <f t="shared" si="237"/>
        <v>0</v>
      </c>
    </row>
    <row r="2130" spans="1:27">
      <c r="A2130" s="83" t="str">
        <f t="shared" si="232"/>
        <v/>
      </c>
      <c r="B2130" s="83" t="str">
        <f t="shared" si="233"/>
        <v/>
      </c>
      <c r="S2130" s="83" t="str">
        <f t="shared" si="234"/>
        <v/>
      </c>
      <c r="T2130" s="83" t="str">
        <f t="shared" si="231"/>
        <v/>
      </c>
      <c r="Y2130" s="60">
        <f t="shared" si="235"/>
        <v>0</v>
      </c>
      <c r="Z2130" s="49">
        <f t="shared" si="236"/>
        <v>0</v>
      </c>
      <c r="AA2130" s="60">
        <f t="shared" si="237"/>
        <v>0</v>
      </c>
    </row>
    <row r="2131" spans="1:27">
      <c r="A2131" s="83" t="str">
        <f t="shared" si="232"/>
        <v/>
      </c>
      <c r="B2131" s="83" t="str">
        <f t="shared" si="233"/>
        <v/>
      </c>
      <c r="S2131" s="83" t="str">
        <f t="shared" si="234"/>
        <v/>
      </c>
      <c r="T2131" s="83" t="str">
        <f t="shared" si="231"/>
        <v/>
      </c>
      <c r="Y2131" s="60">
        <f t="shared" si="235"/>
        <v>0</v>
      </c>
      <c r="Z2131" s="49">
        <f t="shared" si="236"/>
        <v>0</v>
      </c>
      <c r="AA2131" s="60">
        <f t="shared" si="237"/>
        <v>0</v>
      </c>
    </row>
    <row r="2132" spans="1:27">
      <c r="A2132" s="83" t="str">
        <f t="shared" si="232"/>
        <v/>
      </c>
      <c r="B2132" s="83" t="str">
        <f t="shared" si="233"/>
        <v/>
      </c>
      <c r="S2132" s="83" t="str">
        <f t="shared" si="234"/>
        <v/>
      </c>
      <c r="T2132" s="83" t="str">
        <f t="shared" si="231"/>
        <v/>
      </c>
      <c r="Y2132" s="60">
        <f t="shared" si="235"/>
        <v>0</v>
      </c>
      <c r="Z2132" s="49">
        <f t="shared" si="236"/>
        <v>0</v>
      </c>
      <c r="AA2132" s="60">
        <f t="shared" si="237"/>
        <v>0</v>
      </c>
    </row>
    <row r="2133" spans="1:27">
      <c r="A2133" s="83" t="str">
        <f t="shared" si="232"/>
        <v/>
      </c>
      <c r="B2133" s="83" t="str">
        <f t="shared" si="233"/>
        <v/>
      </c>
      <c r="S2133" s="83" t="str">
        <f t="shared" si="234"/>
        <v/>
      </c>
      <c r="T2133" s="83" t="str">
        <f t="shared" si="231"/>
        <v/>
      </c>
      <c r="Y2133" s="60">
        <f t="shared" si="235"/>
        <v>0</v>
      </c>
      <c r="Z2133" s="49">
        <f t="shared" si="236"/>
        <v>0</v>
      </c>
      <c r="AA2133" s="60">
        <f t="shared" si="237"/>
        <v>0</v>
      </c>
    </row>
    <row r="2134" spans="1:27">
      <c r="A2134" s="83" t="str">
        <f t="shared" si="232"/>
        <v/>
      </c>
      <c r="B2134" s="83" t="str">
        <f t="shared" si="233"/>
        <v/>
      </c>
      <c r="S2134" s="83" t="str">
        <f t="shared" si="234"/>
        <v/>
      </c>
      <c r="T2134" s="83" t="str">
        <f t="shared" si="231"/>
        <v/>
      </c>
      <c r="Y2134" s="60">
        <f t="shared" si="235"/>
        <v>0</v>
      </c>
      <c r="Z2134" s="49">
        <f t="shared" si="236"/>
        <v>0</v>
      </c>
      <c r="AA2134" s="60">
        <f t="shared" si="237"/>
        <v>0</v>
      </c>
    </row>
    <row r="2135" spans="1:27">
      <c r="A2135" s="83" t="str">
        <f t="shared" si="232"/>
        <v/>
      </c>
      <c r="B2135" s="83" t="str">
        <f t="shared" si="233"/>
        <v/>
      </c>
      <c r="S2135" s="83" t="str">
        <f t="shared" si="234"/>
        <v/>
      </c>
      <c r="T2135" s="83" t="str">
        <f t="shared" si="231"/>
        <v/>
      </c>
      <c r="Y2135" s="60">
        <f t="shared" si="235"/>
        <v>0</v>
      </c>
      <c r="Z2135" s="49">
        <f t="shared" si="236"/>
        <v>0</v>
      </c>
      <c r="AA2135" s="60">
        <f t="shared" si="237"/>
        <v>0</v>
      </c>
    </row>
    <row r="2136" spans="1:27">
      <c r="A2136" s="83" t="str">
        <f t="shared" si="232"/>
        <v/>
      </c>
      <c r="B2136" s="83" t="str">
        <f t="shared" si="233"/>
        <v/>
      </c>
      <c r="S2136" s="83" t="str">
        <f t="shared" si="234"/>
        <v/>
      </c>
      <c r="T2136" s="83" t="str">
        <f t="shared" si="231"/>
        <v/>
      </c>
      <c r="Y2136" s="60">
        <f t="shared" si="235"/>
        <v>0</v>
      </c>
      <c r="Z2136" s="49">
        <f t="shared" si="236"/>
        <v>0</v>
      </c>
      <c r="AA2136" s="60">
        <f t="shared" si="237"/>
        <v>0</v>
      </c>
    </row>
    <row r="2137" spans="1:27">
      <c r="A2137" s="83" t="str">
        <f t="shared" si="232"/>
        <v/>
      </c>
      <c r="B2137" s="83" t="str">
        <f t="shared" si="233"/>
        <v/>
      </c>
      <c r="S2137" s="83" t="str">
        <f t="shared" si="234"/>
        <v/>
      </c>
      <c r="T2137" s="83" t="str">
        <f t="shared" si="231"/>
        <v/>
      </c>
      <c r="Y2137" s="60">
        <f t="shared" si="235"/>
        <v>0</v>
      </c>
      <c r="Z2137" s="49">
        <f t="shared" si="236"/>
        <v>0</v>
      </c>
      <c r="AA2137" s="60">
        <f t="shared" si="237"/>
        <v>0</v>
      </c>
    </row>
    <row r="2138" spans="1:27">
      <c r="A2138" s="83" t="str">
        <f t="shared" si="232"/>
        <v/>
      </c>
      <c r="B2138" s="83" t="str">
        <f t="shared" si="233"/>
        <v/>
      </c>
      <c r="S2138" s="83" t="str">
        <f t="shared" si="234"/>
        <v/>
      </c>
      <c r="T2138" s="83" t="str">
        <f t="shared" si="231"/>
        <v/>
      </c>
      <c r="Y2138" s="60">
        <f t="shared" si="235"/>
        <v>0</v>
      </c>
      <c r="Z2138" s="49">
        <f t="shared" si="236"/>
        <v>0</v>
      </c>
      <c r="AA2138" s="60">
        <f t="shared" si="237"/>
        <v>0</v>
      </c>
    </row>
    <row r="2139" spans="1:27">
      <c r="A2139" s="83" t="str">
        <f t="shared" si="232"/>
        <v/>
      </c>
      <c r="B2139" s="83" t="str">
        <f t="shared" si="233"/>
        <v/>
      </c>
      <c r="S2139" s="83" t="str">
        <f t="shared" si="234"/>
        <v/>
      </c>
      <c r="T2139" s="83" t="str">
        <f t="shared" si="231"/>
        <v/>
      </c>
      <c r="Y2139" s="60">
        <f t="shared" si="235"/>
        <v>0</v>
      </c>
      <c r="Z2139" s="49">
        <f t="shared" si="236"/>
        <v>0</v>
      </c>
      <c r="AA2139" s="60">
        <f t="shared" si="237"/>
        <v>0</v>
      </c>
    </row>
    <row r="2140" spans="1:27">
      <c r="A2140" s="83" t="str">
        <f t="shared" si="232"/>
        <v/>
      </c>
      <c r="B2140" s="83" t="str">
        <f t="shared" si="233"/>
        <v/>
      </c>
      <c r="S2140" s="83" t="str">
        <f t="shared" si="234"/>
        <v/>
      </c>
      <c r="T2140" s="83" t="str">
        <f t="shared" si="231"/>
        <v/>
      </c>
      <c r="Y2140" s="60">
        <f t="shared" si="235"/>
        <v>0</v>
      </c>
      <c r="Z2140" s="49">
        <f t="shared" si="236"/>
        <v>0</v>
      </c>
      <c r="AA2140" s="60">
        <f t="shared" si="237"/>
        <v>0</v>
      </c>
    </row>
    <row r="2141" spans="1:27">
      <c r="A2141" s="83" t="str">
        <f t="shared" si="232"/>
        <v/>
      </c>
      <c r="B2141" s="83" t="str">
        <f t="shared" si="233"/>
        <v/>
      </c>
      <c r="S2141" s="83" t="str">
        <f t="shared" si="234"/>
        <v/>
      </c>
      <c r="T2141" s="83" t="str">
        <f t="shared" si="231"/>
        <v/>
      </c>
      <c r="Y2141" s="60">
        <f t="shared" si="235"/>
        <v>0</v>
      </c>
      <c r="Z2141" s="49">
        <f t="shared" si="236"/>
        <v>0</v>
      </c>
      <c r="AA2141" s="60">
        <f t="shared" si="237"/>
        <v>0</v>
      </c>
    </row>
    <row r="2142" spans="1:27">
      <c r="A2142" s="83" t="str">
        <f t="shared" si="232"/>
        <v/>
      </c>
      <c r="B2142" s="83" t="str">
        <f t="shared" si="233"/>
        <v/>
      </c>
      <c r="S2142" s="83" t="str">
        <f t="shared" si="234"/>
        <v/>
      </c>
      <c r="T2142" s="83" t="str">
        <f t="shared" si="231"/>
        <v/>
      </c>
      <c r="Y2142" s="60">
        <f t="shared" si="235"/>
        <v>0</v>
      </c>
      <c r="Z2142" s="49">
        <f t="shared" si="236"/>
        <v>0</v>
      </c>
      <c r="AA2142" s="60">
        <f t="shared" si="237"/>
        <v>0</v>
      </c>
    </row>
    <row r="2143" spans="1:27">
      <c r="A2143" s="83" t="str">
        <f t="shared" si="232"/>
        <v/>
      </c>
      <c r="B2143" s="83" t="str">
        <f t="shared" si="233"/>
        <v/>
      </c>
      <c r="S2143" s="83" t="str">
        <f t="shared" si="234"/>
        <v/>
      </c>
      <c r="T2143" s="83" t="str">
        <f t="shared" si="231"/>
        <v/>
      </c>
      <c r="Y2143" s="60">
        <f t="shared" si="235"/>
        <v>0</v>
      </c>
      <c r="Z2143" s="49">
        <f t="shared" si="236"/>
        <v>0</v>
      </c>
      <c r="AA2143" s="60">
        <f t="shared" si="237"/>
        <v>0</v>
      </c>
    </row>
    <row r="2144" spans="1:27">
      <c r="A2144" s="83" t="str">
        <f t="shared" si="232"/>
        <v/>
      </c>
      <c r="B2144" s="83" t="str">
        <f t="shared" si="233"/>
        <v/>
      </c>
      <c r="S2144" s="83" t="str">
        <f t="shared" si="234"/>
        <v/>
      </c>
      <c r="T2144" s="83" t="str">
        <f t="shared" si="231"/>
        <v/>
      </c>
      <c r="Y2144" s="60">
        <f t="shared" si="235"/>
        <v>0</v>
      </c>
      <c r="Z2144" s="49">
        <f t="shared" si="236"/>
        <v>0</v>
      </c>
      <c r="AA2144" s="60">
        <f t="shared" si="237"/>
        <v>0</v>
      </c>
    </row>
    <row r="2145" spans="1:27">
      <c r="A2145" s="83" t="str">
        <f t="shared" si="232"/>
        <v/>
      </c>
      <c r="B2145" s="83" t="str">
        <f t="shared" si="233"/>
        <v/>
      </c>
      <c r="S2145" s="83" t="str">
        <f t="shared" si="234"/>
        <v/>
      </c>
      <c r="T2145" s="83" t="str">
        <f t="shared" si="231"/>
        <v/>
      </c>
      <c r="Y2145" s="60">
        <f t="shared" si="235"/>
        <v>0</v>
      </c>
      <c r="Z2145" s="49">
        <f t="shared" si="236"/>
        <v>0</v>
      </c>
      <c r="AA2145" s="60">
        <f t="shared" si="237"/>
        <v>0</v>
      </c>
    </row>
    <row r="2146" spans="1:27">
      <c r="A2146" s="83" t="str">
        <f t="shared" si="232"/>
        <v/>
      </c>
      <c r="B2146" s="83" t="str">
        <f t="shared" si="233"/>
        <v/>
      </c>
      <c r="S2146" s="83" t="str">
        <f t="shared" si="234"/>
        <v/>
      </c>
      <c r="T2146" s="83" t="str">
        <f t="shared" si="231"/>
        <v/>
      </c>
      <c r="Y2146" s="60">
        <f t="shared" si="235"/>
        <v>0</v>
      </c>
      <c r="Z2146" s="49">
        <f t="shared" si="236"/>
        <v>0</v>
      </c>
      <c r="AA2146" s="60">
        <f t="shared" si="237"/>
        <v>0</v>
      </c>
    </row>
    <row r="2147" spans="1:27">
      <c r="A2147" s="83" t="str">
        <f t="shared" si="232"/>
        <v/>
      </c>
      <c r="B2147" s="83" t="str">
        <f t="shared" si="233"/>
        <v/>
      </c>
      <c r="S2147" s="83" t="str">
        <f t="shared" si="234"/>
        <v/>
      </c>
      <c r="T2147" s="83" t="str">
        <f t="shared" si="231"/>
        <v/>
      </c>
      <c r="Y2147" s="60">
        <f t="shared" si="235"/>
        <v>0</v>
      </c>
      <c r="Z2147" s="49">
        <f t="shared" si="236"/>
        <v>0</v>
      </c>
      <c r="AA2147" s="60">
        <f t="shared" si="237"/>
        <v>0</v>
      </c>
    </row>
    <row r="2148" spans="1:27">
      <c r="A2148" s="83" t="str">
        <f t="shared" si="232"/>
        <v/>
      </c>
      <c r="B2148" s="83" t="str">
        <f t="shared" si="233"/>
        <v/>
      </c>
      <c r="S2148" s="83" t="str">
        <f t="shared" si="234"/>
        <v/>
      </c>
      <c r="T2148" s="83" t="str">
        <f t="shared" si="231"/>
        <v/>
      </c>
      <c r="Y2148" s="60">
        <f t="shared" si="235"/>
        <v>0</v>
      </c>
      <c r="Z2148" s="49">
        <f t="shared" si="236"/>
        <v>0</v>
      </c>
      <c r="AA2148" s="60">
        <f t="shared" si="237"/>
        <v>0</v>
      </c>
    </row>
    <row r="2149" spans="1:27">
      <c r="A2149" s="83" t="str">
        <f t="shared" si="232"/>
        <v/>
      </c>
      <c r="B2149" s="83" t="str">
        <f t="shared" si="233"/>
        <v/>
      </c>
      <c r="S2149" s="83" t="str">
        <f t="shared" si="234"/>
        <v/>
      </c>
      <c r="T2149" s="83" t="str">
        <f t="shared" si="231"/>
        <v/>
      </c>
      <c r="Y2149" s="60">
        <f t="shared" si="235"/>
        <v>0</v>
      </c>
      <c r="Z2149" s="49">
        <f t="shared" si="236"/>
        <v>0</v>
      </c>
      <c r="AA2149" s="60">
        <f t="shared" si="237"/>
        <v>0</v>
      </c>
    </row>
    <row r="2150" spans="1:27">
      <c r="A2150" s="83" t="str">
        <f t="shared" si="232"/>
        <v/>
      </c>
      <c r="B2150" s="83" t="str">
        <f t="shared" si="233"/>
        <v/>
      </c>
      <c r="S2150" s="83" t="str">
        <f t="shared" si="234"/>
        <v/>
      </c>
      <c r="T2150" s="83" t="str">
        <f t="shared" si="231"/>
        <v/>
      </c>
      <c r="Y2150" s="60">
        <f t="shared" si="235"/>
        <v>0</v>
      </c>
      <c r="Z2150" s="49">
        <f t="shared" si="236"/>
        <v>0</v>
      </c>
      <c r="AA2150" s="60">
        <f t="shared" si="237"/>
        <v>0</v>
      </c>
    </row>
    <row r="2151" spans="1:27">
      <c r="A2151" s="83" t="str">
        <f t="shared" si="232"/>
        <v/>
      </c>
      <c r="B2151" s="83" t="str">
        <f t="shared" si="233"/>
        <v/>
      </c>
      <c r="S2151" s="83" t="str">
        <f t="shared" si="234"/>
        <v/>
      </c>
      <c r="T2151" s="83" t="str">
        <f t="shared" si="231"/>
        <v/>
      </c>
      <c r="Y2151" s="60">
        <f t="shared" si="235"/>
        <v>0</v>
      </c>
      <c r="Z2151" s="49">
        <f t="shared" si="236"/>
        <v>0</v>
      </c>
      <c r="AA2151" s="60">
        <f t="shared" si="237"/>
        <v>0</v>
      </c>
    </row>
    <row r="2152" spans="1:27">
      <c r="A2152" s="83" t="str">
        <f t="shared" si="232"/>
        <v/>
      </c>
      <c r="B2152" s="83" t="str">
        <f t="shared" si="233"/>
        <v/>
      </c>
      <c r="S2152" s="83" t="str">
        <f t="shared" si="234"/>
        <v/>
      </c>
      <c r="T2152" s="83" t="str">
        <f t="shared" si="231"/>
        <v/>
      </c>
      <c r="Y2152" s="60">
        <f t="shared" si="235"/>
        <v>0</v>
      </c>
      <c r="Z2152" s="49">
        <f t="shared" si="236"/>
        <v>0</v>
      </c>
      <c r="AA2152" s="60">
        <f t="shared" si="237"/>
        <v>0</v>
      </c>
    </row>
    <row r="2153" spans="1:27">
      <c r="A2153" s="83" t="str">
        <f t="shared" si="232"/>
        <v/>
      </c>
      <c r="B2153" s="83" t="str">
        <f t="shared" si="233"/>
        <v/>
      </c>
      <c r="S2153" s="83" t="str">
        <f t="shared" si="234"/>
        <v/>
      </c>
      <c r="T2153" s="83" t="str">
        <f t="shared" si="231"/>
        <v/>
      </c>
      <c r="Y2153" s="60">
        <f t="shared" si="235"/>
        <v>0</v>
      </c>
      <c r="Z2153" s="49">
        <f t="shared" si="236"/>
        <v>0</v>
      </c>
      <c r="AA2153" s="60">
        <f t="shared" si="237"/>
        <v>0</v>
      </c>
    </row>
    <row r="2154" spans="1:27">
      <c r="A2154" s="83" t="str">
        <f t="shared" si="232"/>
        <v/>
      </c>
      <c r="B2154" s="83" t="str">
        <f t="shared" si="233"/>
        <v/>
      </c>
      <c r="S2154" s="83" t="str">
        <f t="shared" si="234"/>
        <v/>
      </c>
      <c r="T2154" s="83" t="str">
        <f t="shared" si="231"/>
        <v/>
      </c>
      <c r="Y2154" s="60">
        <f t="shared" si="235"/>
        <v>0</v>
      </c>
      <c r="Z2154" s="49">
        <f t="shared" si="236"/>
        <v>0</v>
      </c>
      <c r="AA2154" s="60">
        <f t="shared" si="237"/>
        <v>0</v>
      </c>
    </row>
    <row r="2155" spans="1:27">
      <c r="A2155" s="83" t="str">
        <f t="shared" si="232"/>
        <v/>
      </c>
      <c r="B2155" s="83" t="str">
        <f t="shared" si="233"/>
        <v/>
      </c>
      <c r="S2155" s="83" t="str">
        <f t="shared" si="234"/>
        <v/>
      </c>
      <c r="T2155" s="83" t="str">
        <f t="shared" si="231"/>
        <v/>
      </c>
      <c r="Y2155" s="60">
        <f t="shared" si="235"/>
        <v>0</v>
      </c>
      <c r="Z2155" s="49">
        <f t="shared" si="236"/>
        <v>0</v>
      </c>
      <c r="AA2155" s="60">
        <f t="shared" si="237"/>
        <v>0</v>
      </c>
    </row>
    <row r="2156" spans="1:27">
      <c r="A2156" s="83" t="str">
        <f t="shared" si="232"/>
        <v/>
      </c>
      <c r="B2156" s="83" t="str">
        <f t="shared" si="233"/>
        <v/>
      </c>
      <c r="S2156" s="83" t="str">
        <f t="shared" si="234"/>
        <v/>
      </c>
      <c r="T2156" s="83" t="str">
        <f t="shared" si="231"/>
        <v/>
      </c>
      <c r="Y2156" s="60">
        <f t="shared" si="235"/>
        <v>0</v>
      </c>
      <c r="Z2156" s="49">
        <f t="shared" si="236"/>
        <v>0</v>
      </c>
      <c r="AA2156" s="60">
        <f t="shared" si="237"/>
        <v>0</v>
      </c>
    </row>
    <row r="2157" spans="1:27">
      <c r="A2157" s="83" t="str">
        <f t="shared" si="232"/>
        <v/>
      </c>
      <c r="B2157" s="83" t="str">
        <f t="shared" si="233"/>
        <v/>
      </c>
      <c r="S2157" s="83" t="str">
        <f t="shared" si="234"/>
        <v/>
      </c>
      <c r="T2157" s="83" t="str">
        <f t="shared" si="231"/>
        <v/>
      </c>
      <c r="Y2157" s="60">
        <f t="shared" si="235"/>
        <v>0</v>
      </c>
      <c r="Z2157" s="49">
        <f t="shared" si="236"/>
        <v>0</v>
      </c>
      <c r="AA2157" s="60">
        <f t="shared" si="237"/>
        <v>0</v>
      </c>
    </row>
    <row r="2158" spans="1:27">
      <c r="A2158" s="83" t="str">
        <f t="shared" si="232"/>
        <v/>
      </c>
      <c r="B2158" s="83" t="str">
        <f t="shared" si="233"/>
        <v/>
      </c>
      <c r="S2158" s="83" t="str">
        <f t="shared" si="234"/>
        <v/>
      </c>
      <c r="T2158" s="83" t="str">
        <f t="shared" si="231"/>
        <v/>
      </c>
      <c r="Y2158" s="60">
        <f t="shared" si="235"/>
        <v>0</v>
      </c>
      <c r="Z2158" s="49">
        <f t="shared" si="236"/>
        <v>0</v>
      </c>
      <c r="AA2158" s="60">
        <f t="shared" si="237"/>
        <v>0</v>
      </c>
    </row>
    <row r="2159" spans="1:27">
      <c r="A2159" s="83" t="str">
        <f t="shared" si="232"/>
        <v/>
      </c>
      <c r="B2159" s="83" t="str">
        <f t="shared" si="233"/>
        <v/>
      </c>
      <c r="S2159" s="83" t="str">
        <f t="shared" si="234"/>
        <v/>
      </c>
      <c r="T2159" s="83" t="str">
        <f t="shared" si="231"/>
        <v/>
      </c>
      <c r="Y2159" s="60">
        <f t="shared" si="235"/>
        <v>0</v>
      </c>
      <c r="Z2159" s="49">
        <f t="shared" si="236"/>
        <v>0</v>
      </c>
      <c r="AA2159" s="60">
        <f t="shared" si="237"/>
        <v>0</v>
      </c>
    </row>
    <row r="2160" spans="1:27">
      <c r="A2160" s="83" t="str">
        <f t="shared" si="232"/>
        <v/>
      </c>
      <c r="B2160" s="83" t="str">
        <f t="shared" si="233"/>
        <v/>
      </c>
      <c r="S2160" s="83" t="str">
        <f t="shared" si="234"/>
        <v/>
      </c>
      <c r="T2160" s="83" t="str">
        <f t="shared" si="231"/>
        <v/>
      </c>
      <c r="Y2160" s="60">
        <f t="shared" si="235"/>
        <v>0</v>
      </c>
      <c r="Z2160" s="49">
        <f t="shared" si="236"/>
        <v>0</v>
      </c>
      <c r="AA2160" s="60">
        <f t="shared" si="237"/>
        <v>0</v>
      </c>
    </row>
    <row r="2161" spans="1:27">
      <c r="A2161" s="83" t="str">
        <f t="shared" si="232"/>
        <v/>
      </c>
      <c r="B2161" s="83" t="str">
        <f t="shared" si="233"/>
        <v/>
      </c>
      <c r="S2161" s="83" t="str">
        <f t="shared" si="234"/>
        <v/>
      </c>
      <c r="T2161" s="83" t="str">
        <f t="shared" si="231"/>
        <v/>
      </c>
      <c r="Y2161" s="60">
        <f t="shared" si="235"/>
        <v>0</v>
      </c>
      <c r="Z2161" s="49">
        <f t="shared" si="236"/>
        <v>0</v>
      </c>
      <c r="AA2161" s="60">
        <f t="shared" si="237"/>
        <v>0</v>
      </c>
    </row>
    <row r="2162" spans="1:27">
      <c r="A2162" s="83" t="str">
        <f t="shared" si="232"/>
        <v/>
      </c>
      <c r="B2162" s="83" t="str">
        <f t="shared" si="233"/>
        <v/>
      </c>
      <c r="S2162" s="83" t="str">
        <f t="shared" si="234"/>
        <v/>
      </c>
      <c r="T2162" s="83" t="str">
        <f t="shared" si="231"/>
        <v/>
      </c>
      <c r="Y2162" s="60">
        <f t="shared" si="235"/>
        <v>0</v>
      </c>
      <c r="Z2162" s="49">
        <f t="shared" si="236"/>
        <v>0</v>
      </c>
      <c r="AA2162" s="60">
        <f t="shared" si="237"/>
        <v>0</v>
      </c>
    </row>
    <row r="2163" spans="1:27">
      <c r="A2163" s="83" t="str">
        <f t="shared" si="232"/>
        <v/>
      </c>
      <c r="B2163" s="83" t="str">
        <f t="shared" si="233"/>
        <v/>
      </c>
      <c r="S2163" s="83" t="str">
        <f t="shared" si="234"/>
        <v/>
      </c>
      <c r="T2163" s="83" t="str">
        <f t="shared" si="231"/>
        <v/>
      </c>
      <c r="Y2163" s="60">
        <f t="shared" si="235"/>
        <v>0</v>
      </c>
      <c r="Z2163" s="49">
        <f t="shared" si="236"/>
        <v>0</v>
      </c>
      <c r="AA2163" s="60">
        <f t="shared" si="237"/>
        <v>0</v>
      </c>
    </row>
    <row r="2164" spans="1:27">
      <c r="A2164" s="83" t="str">
        <f t="shared" si="232"/>
        <v/>
      </c>
      <c r="B2164" s="83" t="str">
        <f t="shared" si="233"/>
        <v/>
      </c>
      <c r="S2164" s="83" t="str">
        <f t="shared" si="234"/>
        <v/>
      </c>
      <c r="T2164" s="83" t="str">
        <f t="shared" si="231"/>
        <v/>
      </c>
      <c r="Y2164" s="60">
        <f t="shared" si="235"/>
        <v>0</v>
      </c>
      <c r="Z2164" s="49">
        <f t="shared" si="236"/>
        <v>0</v>
      </c>
      <c r="AA2164" s="60">
        <f t="shared" si="237"/>
        <v>0</v>
      </c>
    </row>
    <row r="2165" spans="1:27">
      <c r="A2165" s="83" t="str">
        <f t="shared" si="232"/>
        <v/>
      </c>
      <c r="B2165" s="83" t="str">
        <f t="shared" si="233"/>
        <v/>
      </c>
      <c r="S2165" s="83" t="str">
        <f t="shared" si="234"/>
        <v/>
      </c>
      <c r="T2165" s="83" t="str">
        <f t="shared" si="231"/>
        <v/>
      </c>
      <c r="Y2165" s="60">
        <f t="shared" si="235"/>
        <v>0</v>
      </c>
      <c r="Z2165" s="49">
        <f t="shared" si="236"/>
        <v>0</v>
      </c>
      <c r="AA2165" s="60">
        <f t="shared" si="237"/>
        <v>0</v>
      </c>
    </row>
    <row r="2166" spans="1:27">
      <c r="A2166" s="83" t="str">
        <f t="shared" si="232"/>
        <v/>
      </c>
      <c r="B2166" s="83" t="str">
        <f t="shared" si="233"/>
        <v/>
      </c>
      <c r="S2166" s="83" t="str">
        <f t="shared" si="234"/>
        <v/>
      </c>
      <c r="T2166" s="83" t="str">
        <f t="shared" si="231"/>
        <v/>
      </c>
      <c r="Y2166" s="60">
        <f t="shared" si="235"/>
        <v>0</v>
      </c>
      <c r="Z2166" s="49">
        <f t="shared" si="236"/>
        <v>0</v>
      </c>
      <c r="AA2166" s="60">
        <f t="shared" si="237"/>
        <v>0</v>
      </c>
    </row>
    <row r="2167" spans="1:27">
      <c r="A2167" s="83" t="str">
        <f t="shared" si="232"/>
        <v/>
      </c>
      <c r="B2167" s="83" t="str">
        <f t="shared" si="233"/>
        <v/>
      </c>
      <c r="S2167" s="83" t="str">
        <f t="shared" si="234"/>
        <v/>
      </c>
      <c r="T2167" s="83" t="str">
        <f t="shared" si="231"/>
        <v/>
      </c>
      <c r="Y2167" s="60">
        <f t="shared" si="235"/>
        <v>0</v>
      </c>
      <c r="Z2167" s="49">
        <f t="shared" si="236"/>
        <v>0</v>
      </c>
      <c r="AA2167" s="60">
        <f t="shared" si="237"/>
        <v>0</v>
      </c>
    </row>
    <row r="2168" spans="1:27">
      <c r="A2168" s="83" t="str">
        <f t="shared" si="232"/>
        <v/>
      </c>
      <c r="B2168" s="83" t="str">
        <f t="shared" si="233"/>
        <v/>
      </c>
      <c r="S2168" s="83" t="str">
        <f t="shared" si="234"/>
        <v/>
      </c>
      <c r="T2168" s="83" t="str">
        <f t="shared" si="231"/>
        <v/>
      </c>
      <c r="Y2168" s="60">
        <f t="shared" si="235"/>
        <v>0</v>
      </c>
      <c r="Z2168" s="49">
        <f t="shared" si="236"/>
        <v>0</v>
      </c>
      <c r="AA2168" s="60">
        <f t="shared" si="237"/>
        <v>0</v>
      </c>
    </row>
    <row r="2169" spans="1:27">
      <c r="A2169" s="83" t="str">
        <f t="shared" si="232"/>
        <v/>
      </c>
      <c r="B2169" s="83" t="str">
        <f t="shared" si="233"/>
        <v/>
      </c>
      <c r="S2169" s="83" t="str">
        <f t="shared" si="234"/>
        <v/>
      </c>
      <c r="T2169" s="83" t="str">
        <f t="shared" si="231"/>
        <v/>
      </c>
      <c r="Y2169" s="60">
        <f t="shared" si="235"/>
        <v>0</v>
      </c>
      <c r="Z2169" s="49">
        <f t="shared" si="236"/>
        <v>0</v>
      </c>
      <c r="AA2169" s="60">
        <f t="shared" si="237"/>
        <v>0</v>
      </c>
    </row>
    <row r="2170" spans="1:27">
      <c r="A2170" s="83" t="str">
        <f t="shared" si="232"/>
        <v/>
      </c>
      <c r="B2170" s="83" t="str">
        <f t="shared" si="233"/>
        <v/>
      </c>
      <c r="S2170" s="83" t="str">
        <f t="shared" si="234"/>
        <v/>
      </c>
      <c r="T2170" s="83" t="str">
        <f t="shared" si="231"/>
        <v/>
      </c>
      <c r="Y2170" s="60">
        <f t="shared" si="235"/>
        <v>0</v>
      </c>
      <c r="Z2170" s="49">
        <f t="shared" si="236"/>
        <v>0</v>
      </c>
      <c r="AA2170" s="60">
        <f t="shared" si="237"/>
        <v>0</v>
      </c>
    </row>
    <row r="2171" spans="1:27">
      <c r="A2171" s="83" t="str">
        <f t="shared" si="232"/>
        <v/>
      </c>
      <c r="B2171" s="83" t="str">
        <f t="shared" si="233"/>
        <v/>
      </c>
      <c r="S2171" s="83" t="str">
        <f t="shared" si="234"/>
        <v/>
      </c>
      <c r="T2171" s="83" t="str">
        <f t="shared" si="231"/>
        <v/>
      </c>
      <c r="Y2171" s="60">
        <f t="shared" si="235"/>
        <v>0</v>
      </c>
      <c r="Z2171" s="49">
        <f t="shared" si="236"/>
        <v>0</v>
      </c>
      <c r="AA2171" s="60">
        <f t="shared" si="237"/>
        <v>0</v>
      </c>
    </row>
    <row r="2172" spans="1:27">
      <c r="A2172" s="83" t="str">
        <f t="shared" si="232"/>
        <v/>
      </c>
      <c r="B2172" s="83" t="str">
        <f t="shared" si="233"/>
        <v/>
      </c>
      <c r="S2172" s="83" t="str">
        <f t="shared" si="234"/>
        <v/>
      </c>
      <c r="T2172" s="83" t="str">
        <f t="shared" si="231"/>
        <v/>
      </c>
      <c r="Y2172" s="60">
        <f t="shared" si="235"/>
        <v>0</v>
      </c>
      <c r="Z2172" s="49">
        <f t="shared" si="236"/>
        <v>0</v>
      </c>
      <c r="AA2172" s="60">
        <f t="shared" si="237"/>
        <v>0</v>
      </c>
    </row>
    <row r="2173" spans="1:27">
      <c r="A2173" s="83" t="str">
        <f t="shared" si="232"/>
        <v/>
      </c>
      <c r="B2173" s="83" t="str">
        <f t="shared" si="233"/>
        <v/>
      </c>
      <c r="S2173" s="83" t="str">
        <f t="shared" si="234"/>
        <v/>
      </c>
      <c r="T2173" s="83" t="str">
        <f t="shared" si="231"/>
        <v/>
      </c>
      <c r="Y2173" s="60">
        <f t="shared" si="235"/>
        <v>0</v>
      </c>
      <c r="Z2173" s="49">
        <f t="shared" si="236"/>
        <v>0</v>
      </c>
      <c r="AA2173" s="60">
        <f t="shared" si="237"/>
        <v>0</v>
      </c>
    </row>
    <row r="2174" spans="1:27">
      <c r="A2174" s="83" t="str">
        <f t="shared" si="232"/>
        <v/>
      </c>
      <c r="B2174" s="83" t="str">
        <f t="shared" si="233"/>
        <v/>
      </c>
      <c r="S2174" s="83" t="str">
        <f t="shared" si="234"/>
        <v/>
      </c>
      <c r="T2174" s="83" t="str">
        <f t="shared" si="231"/>
        <v/>
      </c>
      <c r="Y2174" s="60">
        <f t="shared" si="235"/>
        <v>0</v>
      </c>
      <c r="Z2174" s="49">
        <f t="shared" si="236"/>
        <v>0</v>
      </c>
      <c r="AA2174" s="60">
        <f t="shared" si="237"/>
        <v>0</v>
      </c>
    </row>
    <row r="2175" spans="1:27">
      <c r="A2175" s="83" t="str">
        <f t="shared" si="232"/>
        <v/>
      </c>
      <c r="B2175" s="83" t="str">
        <f t="shared" si="233"/>
        <v/>
      </c>
      <c r="S2175" s="83" t="str">
        <f t="shared" si="234"/>
        <v/>
      </c>
      <c r="T2175" s="83" t="str">
        <f t="shared" si="231"/>
        <v/>
      </c>
      <c r="Y2175" s="60">
        <f t="shared" si="235"/>
        <v>0</v>
      </c>
      <c r="Z2175" s="49">
        <f t="shared" si="236"/>
        <v>0</v>
      </c>
      <c r="AA2175" s="60">
        <f t="shared" si="237"/>
        <v>0</v>
      </c>
    </row>
    <row r="2176" spans="1:27">
      <c r="A2176" s="83" t="str">
        <f t="shared" si="232"/>
        <v/>
      </c>
      <c r="B2176" s="83" t="str">
        <f t="shared" si="233"/>
        <v/>
      </c>
      <c r="S2176" s="83" t="str">
        <f t="shared" si="234"/>
        <v/>
      </c>
      <c r="T2176" s="83" t="str">
        <f t="shared" si="231"/>
        <v/>
      </c>
      <c r="Y2176" s="60">
        <f t="shared" si="235"/>
        <v>0</v>
      </c>
      <c r="Z2176" s="49">
        <f t="shared" si="236"/>
        <v>0</v>
      </c>
      <c r="AA2176" s="60">
        <f t="shared" si="237"/>
        <v>0</v>
      </c>
    </row>
    <row r="2177" spans="1:27">
      <c r="A2177" s="83" t="str">
        <f t="shared" si="232"/>
        <v/>
      </c>
      <c r="B2177" s="83" t="str">
        <f t="shared" si="233"/>
        <v/>
      </c>
      <c r="S2177" s="83" t="str">
        <f t="shared" si="234"/>
        <v/>
      </c>
      <c r="T2177" s="83" t="str">
        <f t="shared" si="231"/>
        <v/>
      </c>
      <c r="Y2177" s="60">
        <f t="shared" si="235"/>
        <v>0</v>
      </c>
      <c r="Z2177" s="49">
        <f t="shared" si="236"/>
        <v>0</v>
      </c>
      <c r="AA2177" s="60">
        <f t="shared" si="237"/>
        <v>0</v>
      </c>
    </row>
    <row r="2178" spans="1:27">
      <c r="A2178" s="83" t="str">
        <f t="shared" si="232"/>
        <v/>
      </c>
      <c r="B2178" s="83" t="str">
        <f t="shared" si="233"/>
        <v/>
      </c>
      <c r="S2178" s="83" t="str">
        <f t="shared" si="234"/>
        <v/>
      </c>
      <c r="T2178" s="83" t="str">
        <f t="shared" ref="T2178:T2241" si="238">IF(A2178&lt;&gt;"",IF(FIND(" ",G2178)&gt;=1,MID(G2178,FIND(" ",G2178)+1,LEN(G2178)),""),"")</f>
        <v/>
      </c>
      <c r="Y2178" s="60">
        <f t="shared" si="235"/>
        <v>0</v>
      </c>
      <c r="Z2178" s="49">
        <f t="shared" si="236"/>
        <v>0</v>
      </c>
      <c r="AA2178" s="60">
        <f t="shared" si="237"/>
        <v>0</v>
      </c>
    </row>
    <row r="2179" spans="1:27">
      <c r="A2179" s="83" t="str">
        <f t="shared" ref="A2179:A2242" si="239">IF(G2179&amp;Q2179&lt;&gt;"",S2179&amp;Q2179,"")</f>
        <v/>
      </c>
      <c r="B2179" s="83" t="str">
        <f t="shared" ref="B2179:B2242" si="240">IF(C2179&lt;&gt;"",LEFT(C2179,9),"")</f>
        <v/>
      </c>
      <c r="S2179" s="83" t="str">
        <f t="shared" ref="S2179:S2242" si="241">IF(G2179&lt;&gt;"",IF(FIND(" ",G2179)&gt;=1,MID(G2179,1,FIND(" ",G2179)-1),G2179),"")</f>
        <v/>
      </c>
      <c r="T2179" s="83" t="str">
        <f t="shared" si="238"/>
        <v/>
      </c>
      <c r="Y2179" s="60">
        <f t="shared" ref="Y2179:Y2242" si="242">IFERROR(VALUE(MID($C2179,1,2)),0)</f>
        <v>0</v>
      </c>
      <c r="Z2179" s="49">
        <f t="shared" ref="Z2179:Z2242" si="243">IFERROR(VALUE(MID($C2179,4,3)),0)</f>
        <v>0</v>
      </c>
      <c r="AA2179" s="60">
        <f t="shared" ref="AA2179:AA2242" si="244">VALUE(RIGHT("00"&amp;Y2179,2)&amp;RIGHT("000"&amp;Z2179,3))</f>
        <v>0</v>
      </c>
    </row>
    <row r="2180" spans="1:27">
      <c r="A2180" s="83" t="str">
        <f t="shared" si="239"/>
        <v/>
      </c>
      <c r="B2180" s="83" t="str">
        <f t="shared" si="240"/>
        <v/>
      </c>
      <c r="S2180" s="83" t="str">
        <f t="shared" si="241"/>
        <v/>
      </c>
      <c r="T2180" s="83" t="str">
        <f t="shared" si="238"/>
        <v/>
      </c>
      <c r="Y2180" s="60">
        <f t="shared" si="242"/>
        <v>0</v>
      </c>
      <c r="Z2180" s="49">
        <f t="shared" si="243"/>
        <v>0</v>
      </c>
      <c r="AA2180" s="60">
        <f t="shared" si="244"/>
        <v>0</v>
      </c>
    </row>
    <row r="2181" spans="1:27">
      <c r="A2181" s="83" t="str">
        <f t="shared" si="239"/>
        <v/>
      </c>
      <c r="B2181" s="83" t="str">
        <f t="shared" si="240"/>
        <v/>
      </c>
      <c r="S2181" s="83" t="str">
        <f t="shared" si="241"/>
        <v/>
      </c>
      <c r="T2181" s="83" t="str">
        <f t="shared" si="238"/>
        <v/>
      </c>
      <c r="Y2181" s="60">
        <f t="shared" si="242"/>
        <v>0</v>
      </c>
      <c r="Z2181" s="49">
        <f t="shared" si="243"/>
        <v>0</v>
      </c>
      <c r="AA2181" s="60">
        <f t="shared" si="244"/>
        <v>0</v>
      </c>
    </row>
    <row r="2182" spans="1:27">
      <c r="A2182" s="83" t="str">
        <f t="shared" si="239"/>
        <v/>
      </c>
      <c r="B2182" s="83" t="str">
        <f t="shared" si="240"/>
        <v/>
      </c>
      <c r="S2182" s="83" t="str">
        <f t="shared" si="241"/>
        <v/>
      </c>
      <c r="T2182" s="83" t="str">
        <f t="shared" si="238"/>
        <v/>
      </c>
      <c r="Y2182" s="60">
        <f t="shared" si="242"/>
        <v>0</v>
      </c>
      <c r="Z2182" s="49">
        <f t="shared" si="243"/>
        <v>0</v>
      </c>
      <c r="AA2182" s="60">
        <f t="shared" si="244"/>
        <v>0</v>
      </c>
    </row>
    <row r="2183" spans="1:27">
      <c r="A2183" s="83" t="str">
        <f t="shared" si="239"/>
        <v/>
      </c>
      <c r="B2183" s="83" t="str">
        <f t="shared" si="240"/>
        <v/>
      </c>
      <c r="S2183" s="83" t="str">
        <f t="shared" si="241"/>
        <v/>
      </c>
      <c r="T2183" s="83" t="str">
        <f t="shared" si="238"/>
        <v/>
      </c>
      <c r="Y2183" s="60">
        <f t="shared" si="242"/>
        <v>0</v>
      </c>
      <c r="Z2183" s="49">
        <f t="shared" si="243"/>
        <v>0</v>
      </c>
      <c r="AA2183" s="60">
        <f t="shared" si="244"/>
        <v>0</v>
      </c>
    </row>
    <row r="2184" spans="1:27">
      <c r="A2184" s="83" t="str">
        <f t="shared" si="239"/>
        <v/>
      </c>
      <c r="B2184" s="83" t="str">
        <f t="shared" si="240"/>
        <v/>
      </c>
      <c r="S2184" s="83" t="str">
        <f t="shared" si="241"/>
        <v/>
      </c>
      <c r="T2184" s="83" t="str">
        <f t="shared" si="238"/>
        <v/>
      </c>
      <c r="Y2184" s="60">
        <f t="shared" si="242"/>
        <v>0</v>
      </c>
      <c r="Z2184" s="49">
        <f t="shared" si="243"/>
        <v>0</v>
      </c>
      <c r="AA2184" s="60">
        <f t="shared" si="244"/>
        <v>0</v>
      </c>
    </row>
    <row r="2185" spans="1:27">
      <c r="A2185" s="83" t="str">
        <f t="shared" si="239"/>
        <v/>
      </c>
      <c r="B2185" s="83" t="str">
        <f t="shared" si="240"/>
        <v/>
      </c>
      <c r="S2185" s="83" t="str">
        <f t="shared" si="241"/>
        <v/>
      </c>
      <c r="T2185" s="83" t="str">
        <f t="shared" si="238"/>
        <v/>
      </c>
      <c r="Y2185" s="60">
        <f t="shared" si="242"/>
        <v>0</v>
      </c>
      <c r="Z2185" s="49">
        <f t="shared" si="243"/>
        <v>0</v>
      </c>
      <c r="AA2185" s="60">
        <f t="shared" si="244"/>
        <v>0</v>
      </c>
    </row>
    <row r="2186" spans="1:27">
      <c r="A2186" s="83" t="str">
        <f t="shared" si="239"/>
        <v/>
      </c>
      <c r="B2186" s="83" t="str">
        <f t="shared" si="240"/>
        <v/>
      </c>
      <c r="S2186" s="83" t="str">
        <f t="shared" si="241"/>
        <v/>
      </c>
      <c r="T2186" s="83" t="str">
        <f t="shared" si="238"/>
        <v/>
      </c>
      <c r="Y2186" s="60">
        <f t="shared" si="242"/>
        <v>0</v>
      </c>
      <c r="Z2186" s="49">
        <f t="shared" si="243"/>
        <v>0</v>
      </c>
      <c r="AA2186" s="60">
        <f t="shared" si="244"/>
        <v>0</v>
      </c>
    </row>
    <row r="2187" spans="1:27">
      <c r="A2187" s="83" t="str">
        <f t="shared" si="239"/>
        <v/>
      </c>
      <c r="B2187" s="83" t="str">
        <f t="shared" si="240"/>
        <v/>
      </c>
      <c r="S2187" s="83" t="str">
        <f t="shared" si="241"/>
        <v/>
      </c>
      <c r="T2187" s="83" t="str">
        <f t="shared" si="238"/>
        <v/>
      </c>
      <c r="Y2187" s="60">
        <f t="shared" si="242"/>
        <v>0</v>
      </c>
      <c r="Z2187" s="49">
        <f t="shared" si="243"/>
        <v>0</v>
      </c>
      <c r="AA2187" s="60">
        <f t="shared" si="244"/>
        <v>0</v>
      </c>
    </row>
    <row r="2188" spans="1:27">
      <c r="A2188" s="83" t="str">
        <f t="shared" si="239"/>
        <v/>
      </c>
      <c r="B2188" s="83" t="str">
        <f t="shared" si="240"/>
        <v/>
      </c>
      <c r="S2188" s="83" t="str">
        <f t="shared" si="241"/>
        <v/>
      </c>
      <c r="T2188" s="83" t="str">
        <f t="shared" si="238"/>
        <v/>
      </c>
      <c r="Y2188" s="60">
        <f t="shared" si="242"/>
        <v>0</v>
      </c>
      <c r="Z2188" s="49">
        <f t="shared" si="243"/>
        <v>0</v>
      </c>
      <c r="AA2188" s="60">
        <f t="shared" si="244"/>
        <v>0</v>
      </c>
    </row>
    <row r="2189" spans="1:27">
      <c r="A2189" s="83" t="str">
        <f t="shared" si="239"/>
        <v/>
      </c>
      <c r="B2189" s="83" t="str">
        <f t="shared" si="240"/>
        <v/>
      </c>
      <c r="S2189" s="83" t="str">
        <f t="shared" si="241"/>
        <v/>
      </c>
      <c r="T2189" s="83" t="str">
        <f t="shared" si="238"/>
        <v/>
      </c>
      <c r="Y2189" s="60">
        <f t="shared" si="242"/>
        <v>0</v>
      </c>
      <c r="Z2189" s="49">
        <f t="shared" si="243"/>
        <v>0</v>
      </c>
      <c r="AA2189" s="60">
        <f t="shared" si="244"/>
        <v>0</v>
      </c>
    </row>
    <row r="2190" spans="1:27">
      <c r="A2190" s="83" t="str">
        <f t="shared" si="239"/>
        <v/>
      </c>
      <c r="B2190" s="83" t="str">
        <f t="shared" si="240"/>
        <v/>
      </c>
      <c r="S2190" s="83" t="str">
        <f t="shared" si="241"/>
        <v/>
      </c>
      <c r="T2190" s="83" t="str">
        <f t="shared" si="238"/>
        <v/>
      </c>
      <c r="Y2190" s="60">
        <f t="shared" si="242"/>
        <v>0</v>
      </c>
      <c r="Z2190" s="49">
        <f t="shared" si="243"/>
        <v>0</v>
      </c>
      <c r="AA2190" s="60">
        <f t="shared" si="244"/>
        <v>0</v>
      </c>
    </row>
    <row r="2191" spans="1:27">
      <c r="A2191" s="83" t="str">
        <f t="shared" si="239"/>
        <v/>
      </c>
      <c r="B2191" s="83" t="str">
        <f t="shared" si="240"/>
        <v/>
      </c>
      <c r="S2191" s="83" t="str">
        <f t="shared" si="241"/>
        <v/>
      </c>
      <c r="T2191" s="83" t="str">
        <f t="shared" si="238"/>
        <v/>
      </c>
      <c r="Y2191" s="60">
        <f t="shared" si="242"/>
        <v>0</v>
      </c>
      <c r="Z2191" s="49">
        <f t="shared" si="243"/>
        <v>0</v>
      </c>
      <c r="AA2191" s="60">
        <f t="shared" si="244"/>
        <v>0</v>
      </c>
    </row>
    <row r="2192" spans="1:27">
      <c r="A2192" s="83" t="str">
        <f t="shared" si="239"/>
        <v/>
      </c>
      <c r="B2192" s="83" t="str">
        <f t="shared" si="240"/>
        <v/>
      </c>
      <c r="S2192" s="83" t="str">
        <f t="shared" si="241"/>
        <v/>
      </c>
      <c r="T2192" s="83" t="str">
        <f t="shared" si="238"/>
        <v/>
      </c>
      <c r="Y2192" s="60">
        <f t="shared" si="242"/>
        <v>0</v>
      </c>
      <c r="Z2192" s="49">
        <f t="shared" si="243"/>
        <v>0</v>
      </c>
      <c r="AA2192" s="60">
        <f t="shared" si="244"/>
        <v>0</v>
      </c>
    </row>
    <row r="2193" spans="1:27">
      <c r="A2193" s="83" t="str">
        <f t="shared" si="239"/>
        <v/>
      </c>
      <c r="B2193" s="83" t="str">
        <f t="shared" si="240"/>
        <v/>
      </c>
      <c r="S2193" s="83" t="str">
        <f t="shared" si="241"/>
        <v/>
      </c>
      <c r="T2193" s="83" t="str">
        <f t="shared" si="238"/>
        <v/>
      </c>
      <c r="Y2193" s="60">
        <f t="shared" si="242"/>
        <v>0</v>
      </c>
      <c r="Z2193" s="49">
        <f t="shared" si="243"/>
        <v>0</v>
      </c>
      <c r="AA2193" s="60">
        <f t="shared" si="244"/>
        <v>0</v>
      </c>
    </row>
    <row r="2194" spans="1:27">
      <c r="A2194" s="83" t="str">
        <f t="shared" si="239"/>
        <v/>
      </c>
      <c r="B2194" s="83" t="str">
        <f t="shared" si="240"/>
        <v/>
      </c>
      <c r="S2194" s="83" t="str">
        <f t="shared" si="241"/>
        <v/>
      </c>
      <c r="T2194" s="83" t="str">
        <f t="shared" si="238"/>
        <v/>
      </c>
      <c r="Y2194" s="60">
        <f t="shared" si="242"/>
        <v>0</v>
      </c>
      <c r="Z2194" s="49">
        <f t="shared" si="243"/>
        <v>0</v>
      </c>
      <c r="AA2194" s="60">
        <f t="shared" si="244"/>
        <v>0</v>
      </c>
    </row>
    <row r="2195" spans="1:27">
      <c r="A2195" s="83" t="str">
        <f t="shared" si="239"/>
        <v/>
      </c>
      <c r="B2195" s="83" t="str">
        <f t="shared" si="240"/>
        <v/>
      </c>
      <c r="S2195" s="83" t="str">
        <f t="shared" si="241"/>
        <v/>
      </c>
      <c r="T2195" s="83" t="str">
        <f t="shared" si="238"/>
        <v/>
      </c>
      <c r="Y2195" s="60">
        <f t="shared" si="242"/>
        <v>0</v>
      </c>
      <c r="Z2195" s="49">
        <f t="shared" si="243"/>
        <v>0</v>
      </c>
      <c r="AA2195" s="60">
        <f t="shared" si="244"/>
        <v>0</v>
      </c>
    </row>
    <row r="2196" spans="1:27">
      <c r="A2196" s="83" t="str">
        <f t="shared" si="239"/>
        <v/>
      </c>
      <c r="B2196" s="83" t="str">
        <f t="shared" si="240"/>
        <v/>
      </c>
      <c r="S2196" s="83" t="str">
        <f t="shared" si="241"/>
        <v/>
      </c>
      <c r="T2196" s="83" t="str">
        <f t="shared" si="238"/>
        <v/>
      </c>
      <c r="Y2196" s="60">
        <f t="shared" si="242"/>
        <v>0</v>
      </c>
      <c r="Z2196" s="49">
        <f t="shared" si="243"/>
        <v>0</v>
      </c>
      <c r="AA2196" s="60">
        <f t="shared" si="244"/>
        <v>0</v>
      </c>
    </row>
    <row r="2197" spans="1:27">
      <c r="A2197" s="83" t="str">
        <f t="shared" si="239"/>
        <v/>
      </c>
      <c r="B2197" s="83" t="str">
        <f t="shared" si="240"/>
        <v/>
      </c>
      <c r="S2197" s="83" t="str">
        <f t="shared" si="241"/>
        <v/>
      </c>
      <c r="T2197" s="83" t="str">
        <f t="shared" si="238"/>
        <v/>
      </c>
      <c r="Y2197" s="60">
        <f t="shared" si="242"/>
        <v>0</v>
      </c>
      <c r="Z2197" s="49">
        <f t="shared" si="243"/>
        <v>0</v>
      </c>
      <c r="AA2197" s="60">
        <f t="shared" si="244"/>
        <v>0</v>
      </c>
    </row>
    <row r="2198" spans="1:27">
      <c r="A2198" s="83" t="str">
        <f t="shared" si="239"/>
        <v/>
      </c>
      <c r="B2198" s="83" t="str">
        <f t="shared" si="240"/>
        <v/>
      </c>
      <c r="S2198" s="83" t="str">
        <f t="shared" si="241"/>
        <v/>
      </c>
      <c r="T2198" s="83" t="str">
        <f t="shared" si="238"/>
        <v/>
      </c>
      <c r="Y2198" s="60">
        <f t="shared" si="242"/>
        <v>0</v>
      </c>
      <c r="Z2198" s="49">
        <f t="shared" si="243"/>
        <v>0</v>
      </c>
      <c r="AA2198" s="60">
        <f t="shared" si="244"/>
        <v>0</v>
      </c>
    </row>
    <row r="2199" spans="1:27">
      <c r="A2199" s="83" t="str">
        <f t="shared" si="239"/>
        <v/>
      </c>
      <c r="B2199" s="83" t="str">
        <f t="shared" si="240"/>
        <v/>
      </c>
      <c r="S2199" s="83" t="str">
        <f t="shared" si="241"/>
        <v/>
      </c>
      <c r="T2199" s="83" t="str">
        <f t="shared" si="238"/>
        <v/>
      </c>
      <c r="Y2199" s="60">
        <f t="shared" si="242"/>
        <v>0</v>
      </c>
      <c r="Z2199" s="49">
        <f t="shared" si="243"/>
        <v>0</v>
      </c>
      <c r="AA2199" s="60">
        <f t="shared" si="244"/>
        <v>0</v>
      </c>
    </row>
    <row r="2200" spans="1:27">
      <c r="A2200" s="83" t="str">
        <f t="shared" si="239"/>
        <v/>
      </c>
      <c r="B2200" s="83" t="str">
        <f t="shared" si="240"/>
        <v/>
      </c>
      <c r="S2200" s="83" t="str">
        <f t="shared" si="241"/>
        <v/>
      </c>
      <c r="T2200" s="83" t="str">
        <f t="shared" si="238"/>
        <v/>
      </c>
      <c r="Y2200" s="60">
        <f t="shared" si="242"/>
        <v>0</v>
      </c>
      <c r="Z2200" s="49">
        <f t="shared" si="243"/>
        <v>0</v>
      </c>
      <c r="AA2200" s="60">
        <f t="shared" si="244"/>
        <v>0</v>
      </c>
    </row>
    <row r="2201" spans="1:27">
      <c r="A2201" s="83" t="str">
        <f t="shared" si="239"/>
        <v/>
      </c>
      <c r="B2201" s="83" t="str">
        <f t="shared" si="240"/>
        <v/>
      </c>
      <c r="S2201" s="83" t="str">
        <f t="shared" si="241"/>
        <v/>
      </c>
      <c r="T2201" s="83" t="str">
        <f t="shared" si="238"/>
        <v/>
      </c>
      <c r="Y2201" s="60">
        <f t="shared" si="242"/>
        <v>0</v>
      </c>
      <c r="Z2201" s="49">
        <f t="shared" si="243"/>
        <v>0</v>
      </c>
      <c r="AA2201" s="60">
        <f t="shared" si="244"/>
        <v>0</v>
      </c>
    </row>
    <row r="2202" spans="1:27">
      <c r="A2202" s="83" t="str">
        <f t="shared" si="239"/>
        <v/>
      </c>
      <c r="B2202" s="83" t="str">
        <f t="shared" si="240"/>
        <v/>
      </c>
      <c r="S2202" s="83" t="str">
        <f t="shared" si="241"/>
        <v/>
      </c>
      <c r="T2202" s="83" t="str">
        <f t="shared" si="238"/>
        <v/>
      </c>
      <c r="Y2202" s="60">
        <f t="shared" si="242"/>
        <v>0</v>
      </c>
      <c r="Z2202" s="49">
        <f t="shared" si="243"/>
        <v>0</v>
      </c>
      <c r="AA2202" s="60">
        <f t="shared" si="244"/>
        <v>0</v>
      </c>
    </row>
    <row r="2203" spans="1:27">
      <c r="A2203" s="83" t="str">
        <f t="shared" si="239"/>
        <v/>
      </c>
      <c r="B2203" s="83" t="str">
        <f t="shared" si="240"/>
        <v/>
      </c>
      <c r="S2203" s="83" t="str">
        <f t="shared" si="241"/>
        <v/>
      </c>
      <c r="T2203" s="83" t="str">
        <f t="shared" si="238"/>
        <v/>
      </c>
      <c r="Y2203" s="60">
        <f t="shared" si="242"/>
        <v>0</v>
      </c>
      <c r="Z2203" s="49">
        <f t="shared" si="243"/>
        <v>0</v>
      </c>
      <c r="AA2203" s="60">
        <f t="shared" si="244"/>
        <v>0</v>
      </c>
    </row>
    <row r="2204" spans="1:27">
      <c r="A2204" s="83" t="str">
        <f t="shared" si="239"/>
        <v/>
      </c>
      <c r="B2204" s="83" t="str">
        <f t="shared" si="240"/>
        <v/>
      </c>
      <c r="S2204" s="83" t="str">
        <f t="shared" si="241"/>
        <v/>
      </c>
      <c r="T2204" s="83" t="str">
        <f t="shared" si="238"/>
        <v/>
      </c>
      <c r="Y2204" s="60">
        <f t="shared" si="242"/>
        <v>0</v>
      </c>
      <c r="Z2204" s="49">
        <f t="shared" si="243"/>
        <v>0</v>
      </c>
      <c r="AA2204" s="60">
        <f t="shared" si="244"/>
        <v>0</v>
      </c>
    </row>
    <row r="2205" spans="1:27">
      <c r="A2205" s="83" t="str">
        <f t="shared" si="239"/>
        <v/>
      </c>
      <c r="B2205" s="83" t="str">
        <f t="shared" si="240"/>
        <v/>
      </c>
      <c r="S2205" s="83" t="str">
        <f t="shared" si="241"/>
        <v/>
      </c>
      <c r="T2205" s="83" t="str">
        <f t="shared" si="238"/>
        <v/>
      </c>
      <c r="Y2205" s="60">
        <f t="shared" si="242"/>
        <v>0</v>
      </c>
      <c r="Z2205" s="49">
        <f t="shared" si="243"/>
        <v>0</v>
      </c>
      <c r="AA2205" s="60">
        <f t="shared" si="244"/>
        <v>0</v>
      </c>
    </row>
    <row r="2206" spans="1:27">
      <c r="A2206" s="83" t="str">
        <f t="shared" si="239"/>
        <v/>
      </c>
      <c r="B2206" s="83" t="str">
        <f t="shared" si="240"/>
        <v/>
      </c>
      <c r="S2206" s="83" t="str">
        <f t="shared" si="241"/>
        <v/>
      </c>
      <c r="T2206" s="83" t="str">
        <f t="shared" si="238"/>
        <v/>
      </c>
      <c r="Y2206" s="60">
        <f t="shared" si="242"/>
        <v>0</v>
      </c>
      <c r="Z2206" s="49">
        <f t="shared" si="243"/>
        <v>0</v>
      </c>
      <c r="AA2206" s="60">
        <f t="shared" si="244"/>
        <v>0</v>
      </c>
    </row>
    <row r="2207" spans="1:27">
      <c r="A2207" s="83" t="str">
        <f t="shared" si="239"/>
        <v/>
      </c>
      <c r="B2207" s="83" t="str">
        <f t="shared" si="240"/>
        <v/>
      </c>
      <c r="S2207" s="83" t="str">
        <f t="shared" si="241"/>
        <v/>
      </c>
      <c r="T2207" s="83" t="str">
        <f t="shared" si="238"/>
        <v/>
      </c>
      <c r="Y2207" s="60">
        <f t="shared" si="242"/>
        <v>0</v>
      </c>
      <c r="Z2207" s="49">
        <f t="shared" si="243"/>
        <v>0</v>
      </c>
      <c r="AA2207" s="60">
        <f t="shared" si="244"/>
        <v>0</v>
      </c>
    </row>
    <row r="2208" spans="1:27">
      <c r="A2208" s="83" t="str">
        <f t="shared" si="239"/>
        <v/>
      </c>
      <c r="B2208" s="83" t="str">
        <f t="shared" si="240"/>
        <v/>
      </c>
      <c r="S2208" s="83" t="str">
        <f t="shared" si="241"/>
        <v/>
      </c>
      <c r="T2208" s="83" t="str">
        <f t="shared" si="238"/>
        <v/>
      </c>
      <c r="Y2208" s="60">
        <f t="shared" si="242"/>
        <v>0</v>
      </c>
      <c r="Z2208" s="49">
        <f t="shared" si="243"/>
        <v>0</v>
      </c>
      <c r="AA2208" s="60">
        <f t="shared" si="244"/>
        <v>0</v>
      </c>
    </row>
    <row r="2209" spans="1:27">
      <c r="A2209" s="83" t="str">
        <f t="shared" si="239"/>
        <v/>
      </c>
      <c r="B2209" s="83" t="str">
        <f t="shared" si="240"/>
        <v/>
      </c>
      <c r="S2209" s="83" t="str">
        <f t="shared" si="241"/>
        <v/>
      </c>
      <c r="T2209" s="83" t="str">
        <f t="shared" si="238"/>
        <v/>
      </c>
      <c r="Y2209" s="60">
        <f t="shared" si="242"/>
        <v>0</v>
      </c>
      <c r="Z2209" s="49">
        <f t="shared" si="243"/>
        <v>0</v>
      </c>
      <c r="AA2209" s="60">
        <f t="shared" si="244"/>
        <v>0</v>
      </c>
    </row>
    <row r="2210" spans="1:27">
      <c r="A2210" s="83" t="str">
        <f t="shared" si="239"/>
        <v/>
      </c>
      <c r="B2210" s="83" t="str">
        <f t="shared" si="240"/>
        <v/>
      </c>
      <c r="S2210" s="83" t="str">
        <f t="shared" si="241"/>
        <v/>
      </c>
      <c r="T2210" s="83" t="str">
        <f t="shared" si="238"/>
        <v/>
      </c>
      <c r="Y2210" s="60">
        <f t="shared" si="242"/>
        <v>0</v>
      </c>
      <c r="Z2210" s="49">
        <f t="shared" si="243"/>
        <v>0</v>
      </c>
      <c r="AA2210" s="60">
        <f t="shared" si="244"/>
        <v>0</v>
      </c>
    </row>
    <row r="2211" spans="1:27">
      <c r="A2211" s="83" t="str">
        <f t="shared" si="239"/>
        <v/>
      </c>
      <c r="B2211" s="83" t="str">
        <f t="shared" si="240"/>
        <v/>
      </c>
      <c r="S2211" s="83" t="str">
        <f t="shared" si="241"/>
        <v/>
      </c>
      <c r="T2211" s="83" t="str">
        <f t="shared" si="238"/>
        <v/>
      </c>
      <c r="Y2211" s="60">
        <f t="shared" si="242"/>
        <v>0</v>
      </c>
      <c r="Z2211" s="49">
        <f t="shared" si="243"/>
        <v>0</v>
      </c>
      <c r="AA2211" s="60">
        <f t="shared" si="244"/>
        <v>0</v>
      </c>
    </row>
    <row r="2212" spans="1:27">
      <c r="A2212" s="83" t="str">
        <f t="shared" si="239"/>
        <v/>
      </c>
      <c r="B2212" s="83" t="str">
        <f t="shared" si="240"/>
        <v/>
      </c>
      <c r="S2212" s="83" t="str">
        <f t="shared" si="241"/>
        <v/>
      </c>
      <c r="T2212" s="83" t="str">
        <f t="shared" si="238"/>
        <v/>
      </c>
      <c r="Y2212" s="60">
        <f t="shared" si="242"/>
        <v>0</v>
      </c>
      <c r="Z2212" s="49">
        <f t="shared" si="243"/>
        <v>0</v>
      </c>
      <c r="AA2212" s="60">
        <f t="shared" si="244"/>
        <v>0</v>
      </c>
    </row>
    <row r="2213" spans="1:27">
      <c r="A2213" s="83" t="str">
        <f t="shared" si="239"/>
        <v/>
      </c>
      <c r="B2213" s="83" t="str">
        <f t="shared" si="240"/>
        <v/>
      </c>
      <c r="S2213" s="83" t="str">
        <f t="shared" si="241"/>
        <v/>
      </c>
      <c r="T2213" s="83" t="str">
        <f t="shared" si="238"/>
        <v/>
      </c>
      <c r="Y2213" s="60">
        <f t="shared" si="242"/>
        <v>0</v>
      </c>
      <c r="Z2213" s="49">
        <f t="shared" si="243"/>
        <v>0</v>
      </c>
      <c r="AA2213" s="60">
        <f t="shared" si="244"/>
        <v>0</v>
      </c>
    </row>
    <row r="2214" spans="1:27">
      <c r="A2214" s="83" t="str">
        <f t="shared" si="239"/>
        <v/>
      </c>
      <c r="B2214" s="83" t="str">
        <f t="shared" si="240"/>
        <v/>
      </c>
      <c r="S2214" s="83" t="str">
        <f t="shared" si="241"/>
        <v/>
      </c>
      <c r="T2214" s="83" t="str">
        <f t="shared" si="238"/>
        <v/>
      </c>
      <c r="Y2214" s="60">
        <f t="shared" si="242"/>
        <v>0</v>
      </c>
      <c r="Z2214" s="49">
        <f t="shared" si="243"/>
        <v>0</v>
      </c>
      <c r="AA2214" s="60">
        <f t="shared" si="244"/>
        <v>0</v>
      </c>
    </row>
    <row r="2215" spans="1:27">
      <c r="A2215" s="83" t="str">
        <f t="shared" si="239"/>
        <v/>
      </c>
      <c r="B2215" s="83" t="str">
        <f t="shared" si="240"/>
        <v/>
      </c>
      <c r="S2215" s="83" t="str">
        <f t="shared" si="241"/>
        <v/>
      </c>
      <c r="T2215" s="83" t="str">
        <f t="shared" si="238"/>
        <v/>
      </c>
      <c r="Y2215" s="60">
        <f t="shared" si="242"/>
        <v>0</v>
      </c>
      <c r="Z2215" s="49">
        <f t="shared" si="243"/>
        <v>0</v>
      </c>
      <c r="AA2215" s="60">
        <f t="shared" si="244"/>
        <v>0</v>
      </c>
    </row>
    <row r="2216" spans="1:27">
      <c r="A2216" s="83" t="str">
        <f t="shared" si="239"/>
        <v/>
      </c>
      <c r="B2216" s="83" t="str">
        <f t="shared" si="240"/>
        <v/>
      </c>
      <c r="S2216" s="83" t="str">
        <f t="shared" si="241"/>
        <v/>
      </c>
      <c r="T2216" s="83" t="str">
        <f t="shared" si="238"/>
        <v/>
      </c>
      <c r="Y2216" s="60">
        <f t="shared" si="242"/>
        <v>0</v>
      </c>
      <c r="Z2216" s="49">
        <f t="shared" si="243"/>
        <v>0</v>
      </c>
      <c r="AA2216" s="60">
        <f t="shared" si="244"/>
        <v>0</v>
      </c>
    </row>
    <row r="2217" spans="1:27">
      <c r="A2217" s="83" t="str">
        <f t="shared" si="239"/>
        <v/>
      </c>
      <c r="B2217" s="83" t="str">
        <f t="shared" si="240"/>
        <v/>
      </c>
      <c r="S2217" s="83" t="str">
        <f t="shared" si="241"/>
        <v/>
      </c>
      <c r="T2217" s="83" t="str">
        <f t="shared" si="238"/>
        <v/>
      </c>
      <c r="Y2217" s="60">
        <f t="shared" si="242"/>
        <v>0</v>
      </c>
      <c r="Z2217" s="49">
        <f t="shared" si="243"/>
        <v>0</v>
      </c>
      <c r="AA2217" s="60">
        <f t="shared" si="244"/>
        <v>0</v>
      </c>
    </row>
    <row r="2218" spans="1:27">
      <c r="A2218" s="83" t="str">
        <f t="shared" si="239"/>
        <v/>
      </c>
      <c r="B2218" s="83" t="str">
        <f t="shared" si="240"/>
        <v/>
      </c>
      <c r="S2218" s="83" t="str">
        <f t="shared" si="241"/>
        <v/>
      </c>
      <c r="T2218" s="83" t="str">
        <f t="shared" si="238"/>
        <v/>
      </c>
      <c r="Y2218" s="60">
        <f t="shared" si="242"/>
        <v>0</v>
      </c>
      <c r="Z2218" s="49">
        <f t="shared" si="243"/>
        <v>0</v>
      </c>
      <c r="AA2218" s="60">
        <f t="shared" si="244"/>
        <v>0</v>
      </c>
    </row>
    <row r="2219" spans="1:27">
      <c r="A2219" s="83" t="str">
        <f t="shared" si="239"/>
        <v/>
      </c>
      <c r="B2219" s="83" t="str">
        <f t="shared" si="240"/>
        <v/>
      </c>
      <c r="S2219" s="83" t="str">
        <f t="shared" si="241"/>
        <v/>
      </c>
      <c r="T2219" s="83" t="str">
        <f t="shared" si="238"/>
        <v/>
      </c>
      <c r="Y2219" s="60">
        <f t="shared" si="242"/>
        <v>0</v>
      </c>
      <c r="Z2219" s="49">
        <f t="shared" si="243"/>
        <v>0</v>
      </c>
      <c r="AA2219" s="60">
        <f t="shared" si="244"/>
        <v>0</v>
      </c>
    </row>
    <row r="2220" spans="1:27">
      <c r="A2220" s="83" t="str">
        <f t="shared" si="239"/>
        <v/>
      </c>
      <c r="B2220" s="83" t="str">
        <f t="shared" si="240"/>
        <v/>
      </c>
      <c r="S2220" s="83" t="str">
        <f t="shared" si="241"/>
        <v/>
      </c>
      <c r="T2220" s="83" t="str">
        <f t="shared" si="238"/>
        <v/>
      </c>
      <c r="Y2220" s="60">
        <f t="shared" si="242"/>
        <v>0</v>
      </c>
      <c r="Z2220" s="49">
        <f t="shared" si="243"/>
        <v>0</v>
      </c>
      <c r="AA2220" s="60">
        <f t="shared" si="244"/>
        <v>0</v>
      </c>
    </row>
    <row r="2221" spans="1:27">
      <c r="A2221" s="83" t="str">
        <f t="shared" si="239"/>
        <v/>
      </c>
      <c r="B2221" s="83" t="str">
        <f t="shared" si="240"/>
        <v/>
      </c>
      <c r="S2221" s="83" t="str">
        <f t="shared" si="241"/>
        <v/>
      </c>
      <c r="T2221" s="83" t="str">
        <f t="shared" si="238"/>
        <v/>
      </c>
      <c r="Y2221" s="60">
        <f t="shared" si="242"/>
        <v>0</v>
      </c>
      <c r="Z2221" s="49">
        <f t="shared" si="243"/>
        <v>0</v>
      </c>
      <c r="AA2221" s="60">
        <f t="shared" si="244"/>
        <v>0</v>
      </c>
    </row>
    <row r="2222" spans="1:27">
      <c r="A2222" s="83" t="str">
        <f t="shared" si="239"/>
        <v/>
      </c>
      <c r="B2222" s="83" t="str">
        <f t="shared" si="240"/>
        <v/>
      </c>
      <c r="S2222" s="83" t="str">
        <f t="shared" si="241"/>
        <v/>
      </c>
      <c r="T2222" s="83" t="str">
        <f t="shared" si="238"/>
        <v/>
      </c>
      <c r="Y2222" s="60">
        <f t="shared" si="242"/>
        <v>0</v>
      </c>
      <c r="Z2222" s="49">
        <f t="shared" si="243"/>
        <v>0</v>
      </c>
      <c r="AA2222" s="60">
        <f t="shared" si="244"/>
        <v>0</v>
      </c>
    </row>
    <row r="2223" spans="1:27">
      <c r="A2223" s="83" t="str">
        <f t="shared" si="239"/>
        <v/>
      </c>
      <c r="B2223" s="83" t="str">
        <f t="shared" si="240"/>
        <v/>
      </c>
      <c r="S2223" s="83" t="str">
        <f t="shared" si="241"/>
        <v/>
      </c>
      <c r="T2223" s="83" t="str">
        <f t="shared" si="238"/>
        <v/>
      </c>
      <c r="Y2223" s="60">
        <f t="shared" si="242"/>
        <v>0</v>
      </c>
      <c r="Z2223" s="49">
        <f t="shared" si="243"/>
        <v>0</v>
      </c>
      <c r="AA2223" s="60">
        <f t="shared" si="244"/>
        <v>0</v>
      </c>
    </row>
    <row r="2224" spans="1:27">
      <c r="A2224" s="83" t="str">
        <f t="shared" si="239"/>
        <v/>
      </c>
      <c r="B2224" s="83" t="str">
        <f t="shared" si="240"/>
        <v/>
      </c>
      <c r="S2224" s="83" t="str">
        <f t="shared" si="241"/>
        <v/>
      </c>
      <c r="T2224" s="83" t="str">
        <f t="shared" si="238"/>
        <v/>
      </c>
      <c r="Y2224" s="60">
        <f t="shared" si="242"/>
        <v>0</v>
      </c>
      <c r="Z2224" s="49">
        <f t="shared" si="243"/>
        <v>0</v>
      </c>
      <c r="AA2224" s="60">
        <f t="shared" si="244"/>
        <v>0</v>
      </c>
    </row>
    <row r="2225" spans="1:27">
      <c r="A2225" s="83" t="str">
        <f t="shared" si="239"/>
        <v/>
      </c>
      <c r="B2225" s="83" t="str">
        <f t="shared" si="240"/>
        <v/>
      </c>
      <c r="S2225" s="83" t="str">
        <f t="shared" si="241"/>
        <v/>
      </c>
      <c r="T2225" s="83" t="str">
        <f t="shared" si="238"/>
        <v/>
      </c>
      <c r="Y2225" s="60">
        <f t="shared" si="242"/>
        <v>0</v>
      </c>
      <c r="Z2225" s="49">
        <f t="shared" si="243"/>
        <v>0</v>
      </c>
      <c r="AA2225" s="60">
        <f t="shared" si="244"/>
        <v>0</v>
      </c>
    </row>
    <row r="2226" spans="1:27">
      <c r="A2226" s="83" t="str">
        <f t="shared" si="239"/>
        <v/>
      </c>
      <c r="B2226" s="83" t="str">
        <f t="shared" si="240"/>
        <v/>
      </c>
      <c r="S2226" s="83" t="str">
        <f t="shared" si="241"/>
        <v/>
      </c>
      <c r="T2226" s="83" t="str">
        <f t="shared" si="238"/>
        <v/>
      </c>
      <c r="Y2226" s="60">
        <f t="shared" si="242"/>
        <v>0</v>
      </c>
      <c r="Z2226" s="49">
        <f t="shared" si="243"/>
        <v>0</v>
      </c>
      <c r="AA2226" s="60">
        <f t="shared" si="244"/>
        <v>0</v>
      </c>
    </row>
    <row r="2227" spans="1:27">
      <c r="A2227" s="83" t="str">
        <f t="shared" si="239"/>
        <v/>
      </c>
      <c r="B2227" s="83" t="str">
        <f t="shared" si="240"/>
        <v/>
      </c>
      <c r="S2227" s="83" t="str">
        <f t="shared" si="241"/>
        <v/>
      </c>
      <c r="T2227" s="83" t="str">
        <f t="shared" si="238"/>
        <v/>
      </c>
      <c r="Y2227" s="60">
        <f t="shared" si="242"/>
        <v>0</v>
      </c>
      <c r="Z2227" s="49">
        <f t="shared" si="243"/>
        <v>0</v>
      </c>
      <c r="AA2227" s="60">
        <f t="shared" si="244"/>
        <v>0</v>
      </c>
    </row>
    <row r="2228" spans="1:27">
      <c r="A2228" s="83" t="str">
        <f t="shared" si="239"/>
        <v/>
      </c>
      <c r="B2228" s="83" t="str">
        <f t="shared" si="240"/>
        <v/>
      </c>
      <c r="S2228" s="83" t="str">
        <f t="shared" si="241"/>
        <v/>
      </c>
      <c r="T2228" s="83" t="str">
        <f t="shared" si="238"/>
        <v/>
      </c>
      <c r="Y2228" s="60">
        <f t="shared" si="242"/>
        <v>0</v>
      </c>
      <c r="Z2228" s="49">
        <f t="shared" si="243"/>
        <v>0</v>
      </c>
      <c r="AA2228" s="60">
        <f t="shared" si="244"/>
        <v>0</v>
      </c>
    </row>
    <row r="2229" spans="1:27">
      <c r="A2229" s="83" t="str">
        <f t="shared" si="239"/>
        <v/>
      </c>
      <c r="B2229" s="83" t="str">
        <f t="shared" si="240"/>
        <v/>
      </c>
      <c r="S2229" s="83" t="str">
        <f t="shared" si="241"/>
        <v/>
      </c>
      <c r="T2229" s="83" t="str">
        <f t="shared" si="238"/>
        <v/>
      </c>
      <c r="Y2229" s="60">
        <f t="shared" si="242"/>
        <v>0</v>
      </c>
      <c r="Z2229" s="49">
        <f t="shared" si="243"/>
        <v>0</v>
      </c>
      <c r="AA2229" s="60">
        <f t="shared" si="244"/>
        <v>0</v>
      </c>
    </row>
    <row r="2230" spans="1:27">
      <c r="A2230" s="83" t="str">
        <f t="shared" si="239"/>
        <v/>
      </c>
      <c r="B2230" s="83" t="str">
        <f t="shared" si="240"/>
        <v/>
      </c>
      <c r="S2230" s="83" t="str">
        <f t="shared" si="241"/>
        <v/>
      </c>
      <c r="T2230" s="83" t="str">
        <f t="shared" si="238"/>
        <v/>
      </c>
      <c r="Y2230" s="60">
        <f t="shared" si="242"/>
        <v>0</v>
      </c>
      <c r="Z2230" s="49">
        <f t="shared" si="243"/>
        <v>0</v>
      </c>
      <c r="AA2230" s="60">
        <f t="shared" si="244"/>
        <v>0</v>
      </c>
    </row>
    <row r="2231" spans="1:27">
      <c r="A2231" s="83" t="str">
        <f t="shared" si="239"/>
        <v/>
      </c>
      <c r="B2231" s="83" t="str">
        <f t="shared" si="240"/>
        <v/>
      </c>
      <c r="S2231" s="83" t="str">
        <f t="shared" si="241"/>
        <v/>
      </c>
      <c r="T2231" s="83" t="str">
        <f t="shared" si="238"/>
        <v/>
      </c>
      <c r="Y2231" s="60">
        <f t="shared" si="242"/>
        <v>0</v>
      </c>
      <c r="Z2231" s="49">
        <f t="shared" si="243"/>
        <v>0</v>
      </c>
      <c r="AA2231" s="60">
        <f t="shared" si="244"/>
        <v>0</v>
      </c>
    </row>
    <row r="2232" spans="1:27">
      <c r="A2232" s="83" t="str">
        <f t="shared" si="239"/>
        <v/>
      </c>
      <c r="B2232" s="83" t="str">
        <f t="shared" si="240"/>
        <v/>
      </c>
      <c r="S2232" s="83" t="str">
        <f t="shared" si="241"/>
        <v/>
      </c>
      <c r="T2232" s="83" t="str">
        <f t="shared" si="238"/>
        <v/>
      </c>
      <c r="Y2232" s="60">
        <f t="shared" si="242"/>
        <v>0</v>
      </c>
      <c r="Z2232" s="49">
        <f t="shared" si="243"/>
        <v>0</v>
      </c>
      <c r="AA2232" s="60">
        <f t="shared" si="244"/>
        <v>0</v>
      </c>
    </row>
    <row r="2233" spans="1:27">
      <c r="A2233" s="83" t="str">
        <f t="shared" si="239"/>
        <v/>
      </c>
      <c r="B2233" s="83" t="str">
        <f t="shared" si="240"/>
        <v/>
      </c>
      <c r="S2233" s="83" t="str">
        <f t="shared" si="241"/>
        <v/>
      </c>
      <c r="T2233" s="83" t="str">
        <f t="shared" si="238"/>
        <v/>
      </c>
      <c r="Y2233" s="60">
        <f t="shared" si="242"/>
        <v>0</v>
      </c>
      <c r="Z2233" s="49">
        <f t="shared" si="243"/>
        <v>0</v>
      </c>
      <c r="AA2233" s="60">
        <f t="shared" si="244"/>
        <v>0</v>
      </c>
    </row>
    <row r="2234" spans="1:27">
      <c r="A2234" s="83" t="str">
        <f t="shared" si="239"/>
        <v/>
      </c>
      <c r="B2234" s="83" t="str">
        <f t="shared" si="240"/>
        <v/>
      </c>
      <c r="S2234" s="83" t="str">
        <f t="shared" si="241"/>
        <v/>
      </c>
      <c r="T2234" s="83" t="str">
        <f t="shared" si="238"/>
        <v/>
      </c>
      <c r="Y2234" s="60">
        <f t="shared" si="242"/>
        <v>0</v>
      </c>
      <c r="Z2234" s="49">
        <f t="shared" si="243"/>
        <v>0</v>
      </c>
      <c r="AA2234" s="60">
        <f t="shared" si="244"/>
        <v>0</v>
      </c>
    </row>
    <row r="2235" spans="1:27">
      <c r="A2235" s="83" t="str">
        <f t="shared" si="239"/>
        <v/>
      </c>
      <c r="B2235" s="83" t="str">
        <f t="shared" si="240"/>
        <v/>
      </c>
      <c r="S2235" s="83" t="str">
        <f t="shared" si="241"/>
        <v/>
      </c>
      <c r="T2235" s="83" t="str">
        <f t="shared" si="238"/>
        <v/>
      </c>
      <c r="Y2235" s="60">
        <f t="shared" si="242"/>
        <v>0</v>
      </c>
      <c r="Z2235" s="49">
        <f t="shared" si="243"/>
        <v>0</v>
      </c>
      <c r="AA2235" s="60">
        <f t="shared" si="244"/>
        <v>0</v>
      </c>
    </row>
    <row r="2236" spans="1:27">
      <c r="A2236" s="83" t="str">
        <f t="shared" si="239"/>
        <v/>
      </c>
      <c r="B2236" s="83" t="str">
        <f t="shared" si="240"/>
        <v/>
      </c>
      <c r="S2236" s="83" t="str">
        <f t="shared" si="241"/>
        <v/>
      </c>
      <c r="T2236" s="83" t="str">
        <f t="shared" si="238"/>
        <v/>
      </c>
      <c r="Y2236" s="60">
        <f t="shared" si="242"/>
        <v>0</v>
      </c>
      <c r="Z2236" s="49">
        <f t="shared" si="243"/>
        <v>0</v>
      </c>
      <c r="AA2236" s="60">
        <f t="shared" si="244"/>
        <v>0</v>
      </c>
    </row>
    <row r="2237" spans="1:27">
      <c r="A2237" s="83" t="str">
        <f t="shared" si="239"/>
        <v/>
      </c>
      <c r="B2237" s="83" t="str">
        <f t="shared" si="240"/>
        <v/>
      </c>
      <c r="S2237" s="83" t="str">
        <f t="shared" si="241"/>
        <v/>
      </c>
      <c r="T2237" s="83" t="str">
        <f t="shared" si="238"/>
        <v/>
      </c>
      <c r="Y2237" s="60">
        <f t="shared" si="242"/>
        <v>0</v>
      </c>
      <c r="Z2237" s="49">
        <f t="shared" si="243"/>
        <v>0</v>
      </c>
      <c r="AA2237" s="60">
        <f t="shared" si="244"/>
        <v>0</v>
      </c>
    </row>
    <row r="2238" spans="1:27">
      <c r="A2238" s="83" t="str">
        <f t="shared" si="239"/>
        <v/>
      </c>
      <c r="B2238" s="83" t="str">
        <f t="shared" si="240"/>
        <v/>
      </c>
      <c r="S2238" s="83" t="str">
        <f t="shared" si="241"/>
        <v/>
      </c>
      <c r="T2238" s="83" t="str">
        <f t="shared" si="238"/>
        <v/>
      </c>
      <c r="Y2238" s="60">
        <f t="shared" si="242"/>
        <v>0</v>
      </c>
      <c r="Z2238" s="49">
        <f t="shared" si="243"/>
        <v>0</v>
      </c>
      <c r="AA2238" s="60">
        <f t="shared" si="244"/>
        <v>0</v>
      </c>
    </row>
    <row r="2239" spans="1:27">
      <c r="A2239" s="83" t="str">
        <f t="shared" si="239"/>
        <v/>
      </c>
      <c r="B2239" s="83" t="str">
        <f t="shared" si="240"/>
        <v/>
      </c>
      <c r="S2239" s="83" t="str">
        <f t="shared" si="241"/>
        <v/>
      </c>
      <c r="T2239" s="83" t="str">
        <f t="shared" si="238"/>
        <v/>
      </c>
      <c r="Y2239" s="60">
        <f t="shared" si="242"/>
        <v>0</v>
      </c>
      <c r="Z2239" s="49">
        <f t="shared" si="243"/>
        <v>0</v>
      </c>
      <c r="AA2239" s="60">
        <f t="shared" si="244"/>
        <v>0</v>
      </c>
    </row>
    <row r="2240" spans="1:27">
      <c r="A2240" s="83" t="str">
        <f t="shared" si="239"/>
        <v/>
      </c>
      <c r="B2240" s="83" t="str">
        <f t="shared" si="240"/>
        <v/>
      </c>
      <c r="S2240" s="83" t="str">
        <f t="shared" si="241"/>
        <v/>
      </c>
      <c r="T2240" s="83" t="str">
        <f t="shared" si="238"/>
        <v/>
      </c>
      <c r="Y2240" s="60">
        <f t="shared" si="242"/>
        <v>0</v>
      </c>
      <c r="Z2240" s="49">
        <f t="shared" si="243"/>
        <v>0</v>
      </c>
      <c r="AA2240" s="60">
        <f t="shared" si="244"/>
        <v>0</v>
      </c>
    </row>
    <row r="2241" spans="1:27">
      <c r="A2241" s="83" t="str">
        <f t="shared" si="239"/>
        <v/>
      </c>
      <c r="B2241" s="83" t="str">
        <f t="shared" si="240"/>
        <v/>
      </c>
      <c r="S2241" s="83" t="str">
        <f t="shared" si="241"/>
        <v/>
      </c>
      <c r="T2241" s="83" t="str">
        <f t="shared" si="238"/>
        <v/>
      </c>
      <c r="Y2241" s="60">
        <f t="shared" si="242"/>
        <v>0</v>
      </c>
      <c r="Z2241" s="49">
        <f t="shared" si="243"/>
        <v>0</v>
      </c>
      <c r="AA2241" s="60">
        <f t="shared" si="244"/>
        <v>0</v>
      </c>
    </row>
    <row r="2242" spans="1:27">
      <c r="A2242" s="83" t="str">
        <f t="shared" si="239"/>
        <v/>
      </c>
      <c r="B2242" s="83" t="str">
        <f t="shared" si="240"/>
        <v/>
      </c>
      <c r="S2242" s="83" t="str">
        <f t="shared" si="241"/>
        <v/>
      </c>
      <c r="T2242" s="83" t="str">
        <f t="shared" ref="T2242:T2305" si="245">IF(A2242&lt;&gt;"",IF(FIND(" ",G2242)&gt;=1,MID(G2242,FIND(" ",G2242)+1,LEN(G2242)),""),"")</f>
        <v/>
      </c>
      <c r="Y2242" s="60">
        <f t="shared" si="242"/>
        <v>0</v>
      </c>
      <c r="Z2242" s="49">
        <f t="shared" si="243"/>
        <v>0</v>
      </c>
      <c r="AA2242" s="60">
        <f t="shared" si="244"/>
        <v>0</v>
      </c>
    </row>
    <row r="2243" spans="1:27">
      <c r="A2243" s="83" t="str">
        <f t="shared" ref="A2243:A2306" si="246">IF(G2243&amp;Q2243&lt;&gt;"",S2243&amp;Q2243,"")</f>
        <v/>
      </c>
      <c r="B2243" s="83" t="str">
        <f t="shared" ref="B2243:B2306" si="247">IF(C2243&lt;&gt;"",LEFT(C2243,9),"")</f>
        <v/>
      </c>
      <c r="S2243" s="83" t="str">
        <f t="shared" ref="S2243:S2306" si="248">IF(G2243&lt;&gt;"",IF(FIND(" ",G2243)&gt;=1,MID(G2243,1,FIND(" ",G2243)-1),G2243),"")</f>
        <v/>
      </c>
      <c r="T2243" s="83" t="str">
        <f t="shared" si="245"/>
        <v/>
      </c>
      <c r="Y2243" s="60">
        <f t="shared" ref="Y2243:Y2306" si="249">IFERROR(VALUE(MID($C2243,1,2)),0)</f>
        <v>0</v>
      </c>
      <c r="Z2243" s="49">
        <f t="shared" ref="Z2243:Z2306" si="250">IFERROR(VALUE(MID($C2243,4,3)),0)</f>
        <v>0</v>
      </c>
      <c r="AA2243" s="60">
        <f t="shared" ref="AA2243:AA2306" si="251">VALUE(RIGHT("00"&amp;Y2243,2)&amp;RIGHT("000"&amp;Z2243,3))</f>
        <v>0</v>
      </c>
    </row>
    <row r="2244" spans="1:27">
      <c r="A2244" s="83" t="str">
        <f t="shared" si="246"/>
        <v/>
      </c>
      <c r="B2244" s="83" t="str">
        <f t="shared" si="247"/>
        <v/>
      </c>
      <c r="S2244" s="83" t="str">
        <f t="shared" si="248"/>
        <v/>
      </c>
      <c r="T2244" s="83" t="str">
        <f t="shared" si="245"/>
        <v/>
      </c>
      <c r="Y2244" s="60">
        <f t="shared" si="249"/>
        <v>0</v>
      </c>
      <c r="Z2244" s="49">
        <f t="shared" si="250"/>
        <v>0</v>
      </c>
      <c r="AA2244" s="60">
        <f t="shared" si="251"/>
        <v>0</v>
      </c>
    </row>
    <row r="2245" spans="1:27">
      <c r="A2245" s="83" t="str">
        <f t="shared" si="246"/>
        <v/>
      </c>
      <c r="B2245" s="83" t="str">
        <f t="shared" si="247"/>
        <v/>
      </c>
      <c r="S2245" s="83" t="str">
        <f t="shared" si="248"/>
        <v/>
      </c>
      <c r="T2245" s="83" t="str">
        <f t="shared" si="245"/>
        <v/>
      </c>
      <c r="Y2245" s="60">
        <f t="shared" si="249"/>
        <v>0</v>
      </c>
      <c r="Z2245" s="49">
        <f t="shared" si="250"/>
        <v>0</v>
      </c>
      <c r="AA2245" s="60">
        <f t="shared" si="251"/>
        <v>0</v>
      </c>
    </row>
    <row r="2246" spans="1:27">
      <c r="A2246" s="83" t="str">
        <f t="shared" si="246"/>
        <v/>
      </c>
      <c r="B2246" s="83" t="str">
        <f t="shared" si="247"/>
        <v/>
      </c>
      <c r="S2246" s="83" t="str">
        <f t="shared" si="248"/>
        <v/>
      </c>
      <c r="T2246" s="83" t="str">
        <f t="shared" si="245"/>
        <v/>
      </c>
      <c r="Y2246" s="60">
        <f t="shared" si="249"/>
        <v>0</v>
      </c>
      <c r="Z2246" s="49">
        <f t="shared" si="250"/>
        <v>0</v>
      </c>
      <c r="AA2246" s="60">
        <f t="shared" si="251"/>
        <v>0</v>
      </c>
    </row>
    <row r="2247" spans="1:27">
      <c r="A2247" s="83" t="str">
        <f t="shared" si="246"/>
        <v/>
      </c>
      <c r="B2247" s="83" t="str">
        <f t="shared" si="247"/>
        <v/>
      </c>
      <c r="S2247" s="83" t="str">
        <f t="shared" si="248"/>
        <v/>
      </c>
      <c r="T2247" s="83" t="str">
        <f t="shared" si="245"/>
        <v/>
      </c>
      <c r="Y2247" s="60">
        <f t="shared" si="249"/>
        <v>0</v>
      </c>
      <c r="Z2247" s="49">
        <f t="shared" si="250"/>
        <v>0</v>
      </c>
      <c r="AA2247" s="60">
        <f t="shared" si="251"/>
        <v>0</v>
      </c>
    </row>
    <row r="2248" spans="1:27">
      <c r="A2248" s="83" t="str">
        <f t="shared" si="246"/>
        <v/>
      </c>
      <c r="B2248" s="83" t="str">
        <f t="shared" si="247"/>
        <v/>
      </c>
      <c r="S2248" s="83" t="str">
        <f t="shared" si="248"/>
        <v/>
      </c>
      <c r="T2248" s="83" t="str">
        <f t="shared" si="245"/>
        <v/>
      </c>
      <c r="Y2248" s="60">
        <f t="shared" si="249"/>
        <v>0</v>
      </c>
      <c r="Z2248" s="49">
        <f t="shared" si="250"/>
        <v>0</v>
      </c>
      <c r="AA2248" s="60">
        <f t="shared" si="251"/>
        <v>0</v>
      </c>
    </row>
    <row r="2249" spans="1:27">
      <c r="A2249" s="83" t="str">
        <f t="shared" si="246"/>
        <v/>
      </c>
      <c r="B2249" s="83" t="str">
        <f t="shared" si="247"/>
        <v/>
      </c>
      <c r="S2249" s="83" t="str">
        <f t="shared" si="248"/>
        <v/>
      </c>
      <c r="T2249" s="83" t="str">
        <f t="shared" si="245"/>
        <v/>
      </c>
      <c r="Y2249" s="60">
        <f t="shared" si="249"/>
        <v>0</v>
      </c>
      <c r="Z2249" s="49">
        <f t="shared" si="250"/>
        <v>0</v>
      </c>
      <c r="AA2249" s="60">
        <f t="shared" si="251"/>
        <v>0</v>
      </c>
    </row>
    <row r="2250" spans="1:27">
      <c r="A2250" s="83" t="str">
        <f t="shared" si="246"/>
        <v/>
      </c>
      <c r="B2250" s="83" t="str">
        <f t="shared" si="247"/>
        <v/>
      </c>
      <c r="S2250" s="83" t="str">
        <f t="shared" si="248"/>
        <v/>
      </c>
      <c r="T2250" s="83" t="str">
        <f t="shared" si="245"/>
        <v/>
      </c>
      <c r="Y2250" s="60">
        <f t="shared" si="249"/>
        <v>0</v>
      </c>
      <c r="Z2250" s="49">
        <f t="shared" si="250"/>
        <v>0</v>
      </c>
      <c r="AA2250" s="60">
        <f t="shared" si="251"/>
        <v>0</v>
      </c>
    </row>
    <row r="2251" spans="1:27">
      <c r="A2251" s="83" t="str">
        <f t="shared" si="246"/>
        <v/>
      </c>
      <c r="B2251" s="83" t="str">
        <f t="shared" si="247"/>
        <v/>
      </c>
      <c r="S2251" s="83" t="str">
        <f t="shared" si="248"/>
        <v/>
      </c>
      <c r="T2251" s="83" t="str">
        <f t="shared" si="245"/>
        <v/>
      </c>
      <c r="Y2251" s="60">
        <f t="shared" si="249"/>
        <v>0</v>
      </c>
      <c r="Z2251" s="49">
        <f t="shared" si="250"/>
        <v>0</v>
      </c>
      <c r="AA2251" s="60">
        <f t="shared" si="251"/>
        <v>0</v>
      </c>
    </row>
    <row r="2252" spans="1:27">
      <c r="A2252" s="83" t="str">
        <f t="shared" si="246"/>
        <v/>
      </c>
      <c r="B2252" s="83" t="str">
        <f t="shared" si="247"/>
        <v/>
      </c>
      <c r="S2252" s="83" t="str">
        <f t="shared" si="248"/>
        <v/>
      </c>
      <c r="T2252" s="83" t="str">
        <f t="shared" si="245"/>
        <v/>
      </c>
      <c r="Y2252" s="60">
        <f t="shared" si="249"/>
        <v>0</v>
      </c>
      <c r="Z2252" s="49">
        <f t="shared" si="250"/>
        <v>0</v>
      </c>
      <c r="AA2252" s="60">
        <f t="shared" si="251"/>
        <v>0</v>
      </c>
    </row>
    <row r="2253" spans="1:27">
      <c r="A2253" s="83" t="str">
        <f t="shared" si="246"/>
        <v/>
      </c>
      <c r="B2253" s="83" t="str">
        <f t="shared" si="247"/>
        <v/>
      </c>
      <c r="S2253" s="83" t="str">
        <f t="shared" si="248"/>
        <v/>
      </c>
      <c r="T2253" s="83" t="str">
        <f t="shared" si="245"/>
        <v/>
      </c>
      <c r="Y2253" s="60">
        <f t="shared" si="249"/>
        <v>0</v>
      </c>
      <c r="Z2253" s="49">
        <f t="shared" si="250"/>
        <v>0</v>
      </c>
      <c r="AA2253" s="60">
        <f t="shared" si="251"/>
        <v>0</v>
      </c>
    </row>
    <row r="2254" spans="1:27">
      <c r="A2254" s="83" t="str">
        <f t="shared" si="246"/>
        <v/>
      </c>
      <c r="B2254" s="83" t="str">
        <f t="shared" si="247"/>
        <v/>
      </c>
      <c r="S2254" s="83" t="str">
        <f t="shared" si="248"/>
        <v/>
      </c>
      <c r="T2254" s="83" t="str">
        <f t="shared" si="245"/>
        <v/>
      </c>
      <c r="Y2254" s="60">
        <f t="shared" si="249"/>
        <v>0</v>
      </c>
      <c r="Z2254" s="49">
        <f t="shared" si="250"/>
        <v>0</v>
      </c>
      <c r="AA2254" s="60">
        <f t="shared" si="251"/>
        <v>0</v>
      </c>
    </row>
    <row r="2255" spans="1:27">
      <c r="A2255" s="83" t="str">
        <f t="shared" si="246"/>
        <v/>
      </c>
      <c r="B2255" s="83" t="str">
        <f t="shared" si="247"/>
        <v/>
      </c>
      <c r="S2255" s="83" t="str">
        <f t="shared" si="248"/>
        <v/>
      </c>
      <c r="T2255" s="83" t="str">
        <f t="shared" si="245"/>
        <v/>
      </c>
      <c r="Y2255" s="60">
        <f t="shared" si="249"/>
        <v>0</v>
      </c>
      <c r="Z2255" s="49">
        <f t="shared" si="250"/>
        <v>0</v>
      </c>
      <c r="AA2255" s="60">
        <f t="shared" si="251"/>
        <v>0</v>
      </c>
    </row>
    <row r="2256" spans="1:27">
      <c r="A2256" s="83" t="str">
        <f t="shared" si="246"/>
        <v/>
      </c>
      <c r="B2256" s="83" t="str">
        <f t="shared" si="247"/>
        <v/>
      </c>
      <c r="S2256" s="83" t="str">
        <f t="shared" si="248"/>
        <v/>
      </c>
      <c r="T2256" s="83" t="str">
        <f t="shared" si="245"/>
        <v/>
      </c>
      <c r="Y2256" s="60">
        <f t="shared" si="249"/>
        <v>0</v>
      </c>
      <c r="Z2256" s="49">
        <f t="shared" si="250"/>
        <v>0</v>
      </c>
      <c r="AA2256" s="60">
        <f t="shared" si="251"/>
        <v>0</v>
      </c>
    </row>
    <row r="2257" spans="1:27">
      <c r="A2257" s="83" t="str">
        <f t="shared" si="246"/>
        <v/>
      </c>
      <c r="B2257" s="83" t="str">
        <f t="shared" si="247"/>
        <v/>
      </c>
      <c r="S2257" s="83" t="str">
        <f t="shared" si="248"/>
        <v/>
      </c>
      <c r="T2257" s="83" t="str">
        <f t="shared" si="245"/>
        <v/>
      </c>
      <c r="Y2257" s="60">
        <f t="shared" si="249"/>
        <v>0</v>
      </c>
      <c r="Z2257" s="49">
        <f t="shared" si="250"/>
        <v>0</v>
      </c>
      <c r="AA2257" s="60">
        <f t="shared" si="251"/>
        <v>0</v>
      </c>
    </row>
    <row r="2258" spans="1:27">
      <c r="A2258" s="83" t="str">
        <f t="shared" si="246"/>
        <v/>
      </c>
      <c r="B2258" s="83" t="str">
        <f t="shared" si="247"/>
        <v/>
      </c>
      <c r="S2258" s="83" t="str">
        <f t="shared" si="248"/>
        <v/>
      </c>
      <c r="T2258" s="83" t="str">
        <f t="shared" si="245"/>
        <v/>
      </c>
      <c r="Y2258" s="60">
        <f t="shared" si="249"/>
        <v>0</v>
      </c>
      <c r="Z2258" s="49">
        <f t="shared" si="250"/>
        <v>0</v>
      </c>
      <c r="AA2258" s="60">
        <f t="shared" si="251"/>
        <v>0</v>
      </c>
    </row>
    <row r="2259" spans="1:27">
      <c r="A2259" s="83" t="str">
        <f t="shared" si="246"/>
        <v/>
      </c>
      <c r="B2259" s="83" t="str">
        <f t="shared" si="247"/>
        <v/>
      </c>
      <c r="S2259" s="83" t="str">
        <f t="shared" si="248"/>
        <v/>
      </c>
      <c r="T2259" s="83" t="str">
        <f t="shared" si="245"/>
        <v/>
      </c>
      <c r="Y2259" s="60">
        <f t="shared" si="249"/>
        <v>0</v>
      </c>
      <c r="Z2259" s="49">
        <f t="shared" si="250"/>
        <v>0</v>
      </c>
      <c r="AA2259" s="60">
        <f t="shared" si="251"/>
        <v>0</v>
      </c>
    </row>
    <row r="2260" spans="1:27">
      <c r="A2260" s="83" t="str">
        <f t="shared" si="246"/>
        <v/>
      </c>
      <c r="B2260" s="83" t="str">
        <f t="shared" si="247"/>
        <v/>
      </c>
      <c r="S2260" s="83" t="str">
        <f t="shared" si="248"/>
        <v/>
      </c>
      <c r="T2260" s="83" t="str">
        <f t="shared" si="245"/>
        <v/>
      </c>
      <c r="Y2260" s="60">
        <f t="shared" si="249"/>
        <v>0</v>
      </c>
      <c r="Z2260" s="49">
        <f t="shared" si="250"/>
        <v>0</v>
      </c>
      <c r="AA2260" s="60">
        <f t="shared" si="251"/>
        <v>0</v>
      </c>
    </row>
    <row r="2261" spans="1:27">
      <c r="A2261" s="83" t="str">
        <f t="shared" si="246"/>
        <v/>
      </c>
      <c r="B2261" s="83" t="str">
        <f t="shared" si="247"/>
        <v/>
      </c>
      <c r="S2261" s="83" t="str">
        <f t="shared" si="248"/>
        <v/>
      </c>
      <c r="T2261" s="83" t="str">
        <f t="shared" si="245"/>
        <v/>
      </c>
      <c r="Y2261" s="60">
        <f t="shared" si="249"/>
        <v>0</v>
      </c>
      <c r="Z2261" s="49">
        <f t="shared" si="250"/>
        <v>0</v>
      </c>
      <c r="AA2261" s="60">
        <f t="shared" si="251"/>
        <v>0</v>
      </c>
    </row>
    <row r="2262" spans="1:27">
      <c r="A2262" s="83" t="str">
        <f t="shared" si="246"/>
        <v/>
      </c>
      <c r="B2262" s="83" t="str">
        <f t="shared" si="247"/>
        <v/>
      </c>
      <c r="S2262" s="83" t="str">
        <f t="shared" si="248"/>
        <v/>
      </c>
      <c r="T2262" s="83" t="str">
        <f t="shared" si="245"/>
        <v/>
      </c>
      <c r="Y2262" s="60">
        <f t="shared" si="249"/>
        <v>0</v>
      </c>
      <c r="Z2262" s="49">
        <f t="shared" si="250"/>
        <v>0</v>
      </c>
      <c r="AA2262" s="60">
        <f t="shared" si="251"/>
        <v>0</v>
      </c>
    </row>
    <row r="2263" spans="1:27">
      <c r="A2263" s="83" t="str">
        <f t="shared" si="246"/>
        <v/>
      </c>
      <c r="B2263" s="83" t="str">
        <f t="shared" si="247"/>
        <v/>
      </c>
      <c r="S2263" s="83" t="str">
        <f t="shared" si="248"/>
        <v/>
      </c>
      <c r="T2263" s="83" t="str">
        <f t="shared" si="245"/>
        <v/>
      </c>
      <c r="Y2263" s="60">
        <f t="shared" si="249"/>
        <v>0</v>
      </c>
      <c r="Z2263" s="49">
        <f t="shared" si="250"/>
        <v>0</v>
      </c>
      <c r="AA2263" s="60">
        <f t="shared" si="251"/>
        <v>0</v>
      </c>
    </row>
    <row r="2264" spans="1:27">
      <c r="A2264" s="83" t="str">
        <f t="shared" si="246"/>
        <v/>
      </c>
      <c r="B2264" s="83" t="str">
        <f t="shared" si="247"/>
        <v/>
      </c>
      <c r="S2264" s="83" t="str">
        <f t="shared" si="248"/>
        <v/>
      </c>
      <c r="T2264" s="83" t="str">
        <f t="shared" si="245"/>
        <v/>
      </c>
      <c r="Y2264" s="60">
        <f t="shared" si="249"/>
        <v>0</v>
      </c>
      <c r="Z2264" s="49">
        <f t="shared" si="250"/>
        <v>0</v>
      </c>
      <c r="AA2264" s="60">
        <f t="shared" si="251"/>
        <v>0</v>
      </c>
    </row>
    <row r="2265" spans="1:27">
      <c r="A2265" s="83" t="str">
        <f t="shared" si="246"/>
        <v/>
      </c>
      <c r="B2265" s="83" t="str">
        <f t="shared" si="247"/>
        <v/>
      </c>
      <c r="S2265" s="83" t="str">
        <f t="shared" si="248"/>
        <v/>
      </c>
      <c r="T2265" s="83" t="str">
        <f t="shared" si="245"/>
        <v/>
      </c>
      <c r="Y2265" s="60">
        <f t="shared" si="249"/>
        <v>0</v>
      </c>
      <c r="Z2265" s="49">
        <f t="shared" si="250"/>
        <v>0</v>
      </c>
      <c r="AA2265" s="60">
        <f t="shared" si="251"/>
        <v>0</v>
      </c>
    </row>
    <row r="2266" spans="1:27">
      <c r="A2266" s="83" t="str">
        <f t="shared" si="246"/>
        <v/>
      </c>
      <c r="B2266" s="83" t="str">
        <f t="shared" si="247"/>
        <v/>
      </c>
      <c r="S2266" s="83" t="str">
        <f t="shared" si="248"/>
        <v/>
      </c>
      <c r="T2266" s="83" t="str">
        <f t="shared" si="245"/>
        <v/>
      </c>
      <c r="Y2266" s="60">
        <f t="shared" si="249"/>
        <v>0</v>
      </c>
      <c r="Z2266" s="49">
        <f t="shared" si="250"/>
        <v>0</v>
      </c>
      <c r="AA2266" s="60">
        <f t="shared" si="251"/>
        <v>0</v>
      </c>
    </row>
    <row r="2267" spans="1:27">
      <c r="A2267" s="83" t="str">
        <f t="shared" si="246"/>
        <v/>
      </c>
      <c r="B2267" s="83" t="str">
        <f t="shared" si="247"/>
        <v/>
      </c>
      <c r="S2267" s="83" t="str">
        <f t="shared" si="248"/>
        <v/>
      </c>
      <c r="T2267" s="83" t="str">
        <f t="shared" si="245"/>
        <v/>
      </c>
      <c r="Y2267" s="60">
        <f t="shared" si="249"/>
        <v>0</v>
      </c>
      <c r="Z2267" s="49">
        <f t="shared" si="250"/>
        <v>0</v>
      </c>
      <c r="AA2267" s="60">
        <f t="shared" si="251"/>
        <v>0</v>
      </c>
    </row>
    <row r="2268" spans="1:27">
      <c r="A2268" s="83" t="str">
        <f t="shared" si="246"/>
        <v/>
      </c>
      <c r="B2268" s="83" t="str">
        <f t="shared" si="247"/>
        <v/>
      </c>
      <c r="S2268" s="83" t="str">
        <f t="shared" si="248"/>
        <v/>
      </c>
      <c r="T2268" s="83" t="str">
        <f t="shared" si="245"/>
        <v/>
      </c>
      <c r="Y2268" s="60">
        <f t="shared" si="249"/>
        <v>0</v>
      </c>
      <c r="Z2268" s="49">
        <f t="shared" si="250"/>
        <v>0</v>
      </c>
      <c r="AA2268" s="60">
        <f t="shared" si="251"/>
        <v>0</v>
      </c>
    </row>
    <row r="2269" spans="1:27">
      <c r="A2269" s="83" t="str">
        <f t="shared" si="246"/>
        <v/>
      </c>
      <c r="B2269" s="83" t="str">
        <f t="shared" si="247"/>
        <v/>
      </c>
      <c r="S2269" s="83" t="str">
        <f t="shared" si="248"/>
        <v/>
      </c>
      <c r="T2269" s="83" t="str">
        <f t="shared" si="245"/>
        <v/>
      </c>
      <c r="Y2269" s="60">
        <f t="shared" si="249"/>
        <v>0</v>
      </c>
      <c r="Z2269" s="49">
        <f t="shared" si="250"/>
        <v>0</v>
      </c>
      <c r="AA2269" s="60">
        <f t="shared" si="251"/>
        <v>0</v>
      </c>
    </row>
    <row r="2270" spans="1:27">
      <c r="A2270" s="83" t="str">
        <f t="shared" si="246"/>
        <v/>
      </c>
      <c r="B2270" s="83" t="str">
        <f t="shared" si="247"/>
        <v/>
      </c>
      <c r="S2270" s="83" t="str">
        <f t="shared" si="248"/>
        <v/>
      </c>
      <c r="T2270" s="83" t="str">
        <f t="shared" si="245"/>
        <v/>
      </c>
      <c r="Y2270" s="60">
        <f t="shared" si="249"/>
        <v>0</v>
      </c>
      <c r="Z2270" s="49">
        <f t="shared" si="250"/>
        <v>0</v>
      </c>
      <c r="AA2270" s="60">
        <f t="shared" si="251"/>
        <v>0</v>
      </c>
    </row>
    <row r="2271" spans="1:27">
      <c r="A2271" s="83" t="str">
        <f t="shared" si="246"/>
        <v/>
      </c>
      <c r="B2271" s="83" t="str">
        <f t="shared" si="247"/>
        <v/>
      </c>
      <c r="S2271" s="83" t="str">
        <f t="shared" si="248"/>
        <v/>
      </c>
      <c r="T2271" s="83" t="str">
        <f t="shared" si="245"/>
        <v/>
      </c>
      <c r="Y2271" s="60">
        <f t="shared" si="249"/>
        <v>0</v>
      </c>
      <c r="Z2271" s="49">
        <f t="shared" si="250"/>
        <v>0</v>
      </c>
      <c r="AA2271" s="60">
        <f t="shared" si="251"/>
        <v>0</v>
      </c>
    </row>
    <row r="2272" spans="1:27">
      <c r="A2272" s="83" t="str">
        <f t="shared" si="246"/>
        <v/>
      </c>
      <c r="B2272" s="83" t="str">
        <f t="shared" si="247"/>
        <v/>
      </c>
      <c r="S2272" s="83" t="str">
        <f t="shared" si="248"/>
        <v/>
      </c>
      <c r="T2272" s="83" t="str">
        <f t="shared" si="245"/>
        <v/>
      </c>
      <c r="Y2272" s="60">
        <f t="shared" si="249"/>
        <v>0</v>
      </c>
      <c r="Z2272" s="49">
        <f t="shared" si="250"/>
        <v>0</v>
      </c>
      <c r="AA2272" s="60">
        <f t="shared" si="251"/>
        <v>0</v>
      </c>
    </row>
    <row r="2273" spans="1:27">
      <c r="A2273" s="83" t="str">
        <f t="shared" si="246"/>
        <v/>
      </c>
      <c r="B2273" s="83" t="str">
        <f t="shared" si="247"/>
        <v/>
      </c>
      <c r="S2273" s="83" t="str">
        <f t="shared" si="248"/>
        <v/>
      </c>
      <c r="T2273" s="83" t="str">
        <f t="shared" si="245"/>
        <v/>
      </c>
      <c r="Y2273" s="60">
        <f t="shared" si="249"/>
        <v>0</v>
      </c>
      <c r="Z2273" s="49">
        <f t="shared" si="250"/>
        <v>0</v>
      </c>
      <c r="AA2273" s="60">
        <f t="shared" si="251"/>
        <v>0</v>
      </c>
    </row>
    <row r="2274" spans="1:27">
      <c r="A2274" s="83" t="str">
        <f t="shared" si="246"/>
        <v/>
      </c>
      <c r="B2274" s="83" t="str">
        <f t="shared" si="247"/>
        <v/>
      </c>
      <c r="S2274" s="83" t="str">
        <f t="shared" si="248"/>
        <v/>
      </c>
      <c r="T2274" s="83" t="str">
        <f t="shared" si="245"/>
        <v/>
      </c>
      <c r="Y2274" s="60">
        <f t="shared" si="249"/>
        <v>0</v>
      </c>
      <c r="Z2274" s="49">
        <f t="shared" si="250"/>
        <v>0</v>
      </c>
      <c r="AA2274" s="60">
        <f t="shared" si="251"/>
        <v>0</v>
      </c>
    </row>
    <row r="2275" spans="1:27">
      <c r="A2275" s="83" t="str">
        <f t="shared" si="246"/>
        <v/>
      </c>
      <c r="B2275" s="83" t="str">
        <f t="shared" si="247"/>
        <v/>
      </c>
      <c r="S2275" s="83" t="str">
        <f t="shared" si="248"/>
        <v/>
      </c>
      <c r="T2275" s="83" t="str">
        <f t="shared" si="245"/>
        <v/>
      </c>
      <c r="Y2275" s="60">
        <f t="shared" si="249"/>
        <v>0</v>
      </c>
      <c r="Z2275" s="49">
        <f t="shared" si="250"/>
        <v>0</v>
      </c>
      <c r="AA2275" s="60">
        <f t="shared" si="251"/>
        <v>0</v>
      </c>
    </row>
    <row r="2276" spans="1:27">
      <c r="A2276" s="83" t="str">
        <f t="shared" si="246"/>
        <v/>
      </c>
      <c r="B2276" s="83" t="str">
        <f t="shared" si="247"/>
        <v/>
      </c>
      <c r="S2276" s="83" t="str">
        <f t="shared" si="248"/>
        <v/>
      </c>
      <c r="T2276" s="83" t="str">
        <f t="shared" si="245"/>
        <v/>
      </c>
      <c r="Y2276" s="60">
        <f t="shared" si="249"/>
        <v>0</v>
      </c>
      <c r="Z2276" s="49">
        <f t="shared" si="250"/>
        <v>0</v>
      </c>
      <c r="AA2276" s="60">
        <f t="shared" si="251"/>
        <v>0</v>
      </c>
    </row>
    <row r="2277" spans="1:27">
      <c r="A2277" s="83" t="str">
        <f t="shared" si="246"/>
        <v/>
      </c>
      <c r="B2277" s="83" t="str">
        <f t="shared" si="247"/>
        <v/>
      </c>
      <c r="S2277" s="83" t="str">
        <f t="shared" si="248"/>
        <v/>
      </c>
      <c r="T2277" s="83" t="str">
        <f t="shared" si="245"/>
        <v/>
      </c>
      <c r="Y2277" s="60">
        <f t="shared" si="249"/>
        <v>0</v>
      </c>
      <c r="Z2277" s="49">
        <f t="shared" si="250"/>
        <v>0</v>
      </c>
      <c r="AA2277" s="60">
        <f t="shared" si="251"/>
        <v>0</v>
      </c>
    </row>
    <row r="2278" spans="1:27">
      <c r="A2278" s="83" t="str">
        <f t="shared" si="246"/>
        <v/>
      </c>
      <c r="B2278" s="83" t="str">
        <f t="shared" si="247"/>
        <v/>
      </c>
      <c r="S2278" s="83" t="str">
        <f t="shared" si="248"/>
        <v/>
      </c>
      <c r="T2278" s="83" t="str">
        <f t="shared" si="245"/>
        <v/>
      </c>
      <c r="Y2278" s="60">
        <f t="shared" si="249"/>
        <v>0</v>
      </c>
      <c r="Z2278" s="49">
        <f t="shared" si="250"/>
        <v>0</v>
      </c>
      <c r="AA2278" s="60">
        <f t="shared" si="251"/>
        <v>0</v>
      </c>
    </row>
    <row r="2279" spans="1:27">
      <c r="A2279" s="83" t="str">
        <f t="shared" si="246"/>
        <v/>
      </c>
      <c r="B2279" s="83" t="str">
        <f t="shared" si="247"/>
        <v/>
      </c>
      <c r="S2279" s="83" t="str">
        <f t="shared" si="248"/>
        <v/>
      </c>
      <c r="T2279" s="83" t="str">
        <f t="shared" si="245"/>
        <v/>
      </c>
      <c r="Y2279" s="60">
        <f t="shared" si="249"/>
        <v>0</v>
      </c>
      <c r="Z2279" s="49">
        <f t="shared" si="250"/>
        <v>0</v>
      </c>
      <c r="AA2279" s="60">
        <f t="shared" si="251"/>
        <v>0</v>
      </c>
    </row>
    <row r="2280" spans="1:27">
      <c r="A2280" s="83" t="str">
        <f t="shared" si="246"/>
        <v/>
      </c>
      <c r="B2280" s="83" t="str">
        <f t="shared" si="247"/>
        <v/>
      </c>
      <c r="S2280" s="83" t="str">
        <f t="shared" si="248"/>
        <v/>
      </c>
      <c r="T2280" s="83" t="str">
        <f t="shared" si="245"/>
        <v/>
      </c>
      <c r="Y2280" s="60">
        <f t="shared" si="249"/>
        <v>0</v>
      </c>
      <c r="Z2280" s="49">
        <f t="shared" si="250"/>
        <v>0</v>
      </c>
      <c r="AA2280" s="60">
        <f t="shared" si="251"/>
        <v>0</v>
      </c>
    </row>
    <row r="2281" spans="1:27">
      <c r="A2281" s="83" t="str">
        <f t="shared" si="246"/>
        <v/>
      </c>
      <c r="B2281" s="83" t="str">
        <f t="shared" si="247"/>
        <v/>
      </c>
      <c r="S2281" s="83" t="str">
        <f t="shared" si="248"/>
        <v/>
      </c>
      <c r="T2281" s="83" t="str">
        <f t="shared" si="245"/>
        <v/>
      </c>
      <c r="Y2281" s="60">
        <f t="shared" si="249"/>
        <v>0</v>
      </c>
      <c r="Z2281" s="49">
        <f t="shared" si="250"/>
        <v>0</v>
      </c>
      <c r="AA2281" s="60">
        <f t="shared" si="251"/>
        <v>0</v>
      </c>
    </row>
    <row r="2282" spans="1:27">
      <c r="A2282" s="83" t="str">
        <f t="shared" si="246"/>
        <v/>
      </c>
      <c r="B2282" s="83" t="str">
        <f t="shared" si="247"/>
        <v/>
      </c>
      <c r="S2282" s="83" t="str">
        <f t="shared" si="248"/>
        <v/>
      </c>
      <c r="T2282" s="83" t="str">
        <f t="shared" si="245"/>
        <v/>
      </c>
      <c r="Y2282" s="60">
        <f t="shared" si="249"/>
        <v>0</v>
      </c>
      <c r="Z2282" s="49">
        <f t="shared" si="250"/>
        <v>0</v>
      </c>
      <c r="AA2282" s="60">
        <f t="shared" si="251"/>
        <v>0</v>
      </c>
    </row>
    <row r="2283" spans="1:27">
      <c r="A2283" s="83" t="str">
        <f t="shared" si="246"/>
        <v/>
      </c>
      <c r="B2283" s="83" t="str">
        <f t="shared" si="247"/>
        <v/>
      </c>
      <c r="S2283" s="83" t="str">
        <f t="shared" si="248"/>
        <v/>
      </c>
      <c r="T2283" s="83" t="str">
        <f t="shared" si="245"/>
        <v/>
      </c>
      <c r="Y2283" s="60">
        <f t="shared" si="249"/>
        <v>0</v>
      </c>
      <c r="Z2283" s="49">
        <f t="shared" si="250"/>
        <v>0</v>
      </c>
      <c r="AA2283" s="60">
        <f t="shared" si="251"/>
        <v>0</v>
      </c>
    </row>
    <row r="2284" spans="1:27">
      <c r="A2284" s="83" t="str">
        <f t="shared" si="246"/>
        <v/>
      </c>
      <c r="B2284" s="83" t="str">
        <f t="shared" si="247"/>
        <v/>
      </c>
      <c r="S2284" s="83" t="str">
        <f t="shared" si="248"/>
        <v/>
      </c>
      <c r="T2284" s="83" t="str">
        <f t="shared" si="245"/>
        <v/>
      </c>
      <c r="Y2284" s="60">
        <f t="shared" si="249"/>
        <v>0</v>
      </c>
      <c r="Z2284" s="49">
        <f t="shared" si="250"/>
        <v>0</v>
      </c>
      <c r="AA2284" s="60">
        <f t="shared" si="251"/>
        <v>0</v>
      </c>
    </row>
    <row r="2285" spans="1:27">
      <c r="A2285" s="83" t="str">
        <f t="shared" si="246"/>
        <v/>
      </c>
      <c r="B2285" s="83" t="str">
        <f t="shared" si="247"/>
        <v/>
      </c>
      <c r="S2285" s="83" t="str">
        <f t="shared" si="248"/>
        <v/>
      </c>
      <c r="T2285" s="83" t="str">
        <f t="shared" si="245"/>
        <v/>
      </c>
      <c r="Y2285" s="60">
        <f t="shared" si="249"/>
        <v>0</v>
      </c>
      <c r="Z2285" s="49">
        <f t="shared" si="250"/>
        <v>0</v>
      </c>
      <c r="AA2285" s="60">
        <f t="shared" si="251"/>
        <v>0</v>
      </c>
    </row>
    <row r="2286" spans="1:27">
      <c r="A2286" s="83" t="str">
        <f t="shared" si="246"/>
        <v/>
      </c>
      <c r="B2286" s="83" t="str">
        <f t="shared" si="247"/>
        <v/>
      </c>
      <c r="S2286" s="83" t="str">
        <f t="shared" si="248"/>
        <v/>
      </c>
      <c r="T2286" s="83" t="str">
        <f t="shared" si="245"/>
        <v/>
      </c>
      <c r="Y2286" s="60">
        <f t="shared" si="249"/>
        <v>0</v>
      </c>
      <c r="Z2286" s="49">
        <f t="shared" si="250"/>
        <v>0</v>
      </c>
      <c r="AA2286" s="60">
        <f t="shared" si="251"/>
        <v>0</v>
      </c>
    </row>
    <row r="2287" spans="1:27">
      <c r="A2287" s="83" t="str">
        <f t="shared" si="246"/>
        <v/>
      </c>
      <c r="B2287" s="83" t="str">
        <f t="shared" si="247"/>
        <v/>
      </c>
      <c r="S2287" s="83" t="str">
        <f t="shared" si="248"/>
        <v/>
      </c>
      <c r="T2287" s="83" t="str">
        <f t="shared" si="245"/>
        <v/>
      </c>
      <c r="Y2287" s="60">
        <f t="shared" si="249"/>
        <v>0</v>
      </c>
      <c r="Z2287" s="49">
        <f t="shared" si="250"/>
        <v>0</v>
      </c>
      <c r="AA2287" s="60">
        <f t="shared" si="251"/>
        <v>0</v>
      </c>
    </row>
    <row r="2288" spans="1:27">
      <c r="A2288" s="83" t="str">
        <f t="shared" si="246"/>
        <v/>
      </c>
      <c r="B2288" s="83" t="str">
        <f t="shared" si="247"/>
        <v/>
      </c>
      <c r="S2288" s="83" t="str">
        <f t="shared" si="248"/>
        <v/>
      </c>
      <c r="T2288" s="83" t="str">
        <f t="shared" si="245"/>
        <v/>
      </c>
      <c r="Y2288" s="60">
        <f t="shared" si="249"/>
        <v>0</v>
      </c>
      <c r="Z2288" s="49">
        <f t="shared" si="250"/>
        <v>0</v>
      </c>
      <c r="AA2288" s="60">
        <f t="shared" si="251"/>
        <v>0</v>
      </c>
    </row>
    <row r="2289" spans="1:27">
      <c r="A2289" s="83" t="str">
        <f t="shared" si="246"/>
        <v/>
      </c>
      <c r="B2289" s="83" t="str">
        <f t="shared" si="247"/>
        <v/>
      </c>
      <c r="S2289" s="83" t="str">
        <f t="shared" si="248"/>
        <v/>
      </c>
      <c r="T2289" s="83" t="str">
        <f t="shared" si="245"/>
        <v/>
      </c>
      <c r="Y2289" s="60">
        <f t="shared" si="249"/>
        <v>0</v>
      </c>
      <c r="Z2289" s="49">
        <f t="shared" si="250"/>
        <v>0</v>
      </c>
      <c r="AA2289" s="60">
        <f t="shared" si="251"/>
        <v>0</v>
      </c>
    </row>
    <row r="2290" spans="1:27">
      <c r="A2290" s="83" t="str">
        <f t="shared" si="246"/>
        <v/>
      </c>
      <c r="B2290" s="83" t="str">
        <f t="shared" si="247"/>
        <v/>
      </c>
      <c r="S2290" s="83" t="str">
        <f t="shared" si="248"/>
        <v/>
      </c>
      <c r="T2290" s="83" t="str">
        <f t="shared" si="245"/>
        <v/>
      </c>
      <c r="Y2290" s="60">
        <f t="shared" si="249"/>
        <v>0</v>
      </c>
      <c r="Z2290" s="49">
        <f t="shared" si="250"/>
        <v>0</v>
      </c>
      <c r="AA2290" s="60">
        <f t="shared" si="251"/>
        <v>0</v>
      </c>
    </row>
    <row r="2291" spans="1:27">
      <c r="A2291" s="83" t="str">
        <f t="shared" si="246"/>
        <v/>
      </c>
      <c r="B2291" s="83" t="str">
        <f t="shared" si="247"/>
        <v/>
      </c>
      <c r="S2291" s="83" t="str">
        <f t="shared" si="248"/>
        <v/>
      </c>
      <c r="T2291" s="83" t="str">
        <f t="shared" si="245"/>
        <v/>
      </c>
      <c r="Y2291" s="60">
        <f t="shared" si="249"/>
        <v>0</v>
      </c>
      <c r="Z2291" s="49">
        <f t="shared" si="250"/>
        <v>0</v>
      </c>
      <c r="AA2291" s="60">
        <f t="shared" si="251"/>
        <v>0</v>
      </c>
    </row>
    <row r="2292" spans="1:27">
      <c r="A2292" s="83" t="str">
        <f t="shared" si="246"/>
        <v/>
      </c>
      <c r="B2292" s="83" t="str">
        <f t="shared" si="247"/>
        <v/>
      </c>
      <c r="S2292" s="83" t="str">
        <f t="shared" si="248"/>
        <v/>
      </c>
      <c r="T2292" s="83" t="str">
        <f t="shared" si="245"/>
        <v/>
      </c>
      <c r="Y2292" s="60">
        <f t="shared" si="249"/>
        <v>0</v>
      </c>
      <c r="Z2292" s="49">
        <f t="shared" si="250"/>
        <v>0</v>
      </c>
      <c r="AA2292" s="60">
        <f t="shared" si="251"/>
        <v>0</v>
      </c>
    </row>
    <row r="2293" spans="1:27">
      <c r="A2293" s="83" t="str">
        <f t="shared" si="246"/>
        <v/>
      </c>
      <c r="B2293" s="83" t="str">
        <f t="shared" si="247"/>
        <v/>
      </c>
      <c r="S2293" s="83" t="str">
        <f t="shared" si="248"/>
        <v/>
      </c>
      <c r="T2293" s="83" t="str">
        <f t="shared" si="245"/>
        <v/>
      </c>
      <c r="Y2293" s="60">
        <f t="shared" si="249"/>
        <v>0</v>
      </c>
      <c r="Z2293" s="49">
        <f t="shared" si="250"/>
        <v>0</v>
      </c>
      <c r="AA2293" s="60">
        <f t="shared" si="251"/>
        <v>0</v>
      </c>
    </row>
    <row r="2294" spans="1:27">
      <c r="A2294" s="83" t="str">
        <f t="shared" si="246"/>
        <v/>
      </c>
      <c r="B2294" s="83" t="str">
        <f t="shared" si="247"/>
        <v/>
      </c>
      <c r="S2294" s="83" t="str">
        <f t="shared" si="248"/>
        <v/>
      </c>
      <c r="T2294" s="83" t="str">
        <f t="shared" si="245"/>
        <v/>
      </c>
      <c r="Y2294" s="60">
        <f t="shared" si="249"/>
        <v>0</v>
      </c>
      <c r="Z2294" s="49">
        <f t="shared" si="250"/>
        <v>0</v>
      </c>
      <c r="AA2294" s="60">
        <f t="shared" si="251"/>
        <v>0</v>
      </c>
    </row>
    <row r="2295" spans="1:27">
      <c r="A2295" s="83" t="str">
        <f t="shared" si="246"/>
        <v/>
      </c>
      <c r="B2295" s="83" t="str">
        <f t="shared" si="247"/>
        <v/>
      </c>
      <c r="S2295" s="83" t="str">
        <f t="shared" si="248"/>
        <v/>
      </c>
      <c r="T2295" s="83" t="str">
        <f t="shared" si="245"/>
        <v/>
      </c>
      <c r="Y2295" s="60">
        <f t="shared" si="249"/>
        <v>0</v>
      </c>
      <c r="Z2295" s="49">
        <f t="shared" si="250"/>
        <v>0</v>
      </c>
      <c r="AA2295" s="60">
        <f t="shared" si="251"/>
        <v>0</v>
      </c>
    </row>
    <row r="2296" spans="1:27">
      <c r="A2296" s="83" t="str">
        <f t="shared" si="246"/>
        <v/>
      </c>
      <c r="B2296" s="83" t="str">
        <f t="shared" si="247"/>
        <v/>
      </c>
      <c r="S2296" s="83" t="str">
        <f t="shared" si="248"/>
        <v/>
      </c>
      <c r="T2296" s="83" t="str">
        <f t="shared" si="245"/>
        <v/>
      </c>
      <c r="Y2296" s="60">
        <f t="shared" si="249"/>
        <v>0</v>
      </c>
      <c r="Z2296" s="49">
        <f t="shared" si="250"/>
        <v>0</v>
      </c>
      <c r="AA2296" s="60">
        <f t="shared" si="251"/>
        <v>0</v>
      </c>
    </row>
    <row r="2297" spans="1:27">
      <c r="A2297" s="83" t="str">
        <f t="shared" si="246"/>
        <v/>
      </c>
      <c r="B2297" s="83" t="str">
        <f t="shared" si="247"/>
        <v/>
      </c>
      <c r="S2297" s="83" t="str">
        <f t="shared" si="248"/>
        <v/>
      </c>
      <c r="T2297" s="83" t="str">
        <f t="shared" si="245"/>
        <v/>
      </c>
      <c r="Y2297" s="60">
        <f t="shared" si="249"/>
        <v>0</v>
      </c>
      <c r="Z2297" s="49">
        <f t="shared" si="250"/>
        <v>0</v>
      </c>
      <c r="AA2297" s="60">
        <f t="shared" si="251"/>
        <v>0</v>
      </c>
    </row>
    <row r="2298" spans="1:27">
      <c r="A2298" s="83" t="str">
        <f t="shared" si="246"/>
        <v/>
      </c>
      <c r="B2298" s="83" t="str">
        <f t="shared" si="247"/>
        <v/>
      </c>
      <c r="S2298" s="83" t="str">
        <f t="shared" si="248"/>
        <v/>
      </c>
      <c r="T2298" s="83" t="str">
        <f t="shared" si="245"/>
        <v/>
      </c>
      <c r="Y2298" s="60">
        <f t="shared" si="249"/>
        <v>0</v>
      </c>
      <c r="Z2298" s="49">
        <f t="shared" si="250"/>
        <v>0</v>
      </c>
      <c r="AA2298" s="60">
        <f t="shared" si="251"/>
        <v>0</v>
      </c>
    </row>
    <row r="2299" spans="1:27">
      <c r="A2299" s="83" t="str">
        <f t="shared" si="246"/>
        <v/>
      </c>
      <c r="B2299" s="83" t="str">
        <f t="shared" si="247"/>
        <v/>
      </c>
      <c r="S2299" s="83" t="str">
        <f t="shared" si="248"/>
        <v/>
      </c>
      <c r="T2299" s="83" t="str">
        <f t="shared" si="245"/>
        <v/>
      </c>
      <c r="Y2299" s="60">
        <f t="shared" si="249"/>
        <v>0</v>
      </c>
      <c r="Z2299" s="49">
        <f t="shared" si="250"/>
        <v>0</v>
      </c>
      <c r="AA2299" s="60">
        <f t="shared" si="251"/>
        <v>0</v>
      </c>
    </row>
    <row r="2300" spans="1:27">
      <c r="A2300" s="83" t="str">
        <f t="shared" si="246"/>
        <v/>
      </c>
      <c r="B2300" s="83" t="str">
        <f t="shared" si="247"/>
        <v/>
      </c>
      <c r="S2300" s="83" t="str">
        <f t="shared" si="248"/>
        <v/>
      </c>
      <c r="T2300" s="83" t="str">
        <f t="shared" si="245"/>
        <v/>
      </c>
      <c r="Y2300" s="60">
        <f t="shared" si="249"/>
        <v>0</v>
      </c>
      <c r="Z2300" s="49">
        <f t="shared" si="250"/>
        <v>0</v>
      </c>
      <c r="AA2300" s="60">
        <f t="shared" si="251"/>
        <v>0</v>
      </c>
    </row>
    <row r="2301" spans="1:27">
      <c r="A2301" s="83" t="str">
        <f t="shared" si="246"/>
        <v/>
      </c>
      <c r="B2301" s="83" t="str">
        <f t="shared" si="247"/>
        <v/>
      </c>
      <c r="S2301" s="83" t="str">
        <f t="shared" si="248"/>
        <v/>
      </c>
      <c r="T2301" s="83" t="str">
        <f t="shared" si="245"/>
        <v/>
      </c>
      <c r="Y2301" s="60">
        <f t="shared" si="249"/>
        <v>0</v>
      </c>
      <c r="Z2301" s="49">
        <f t="shared" si="250"/>
        <v>0</v>
      </c>
      <c r="AA2301" s="60">
        <f t="shared" si="251"/>
        <v>0</v>
      </c>
    </row>
    <row r="2302" spans="1:27">
      <c r="A2302" s="83" t="str">
        <f t="shared" si="246"/>
        <v/>
      </c>
      <c r="B2302" s="83" t="str">
        <f t="shared" si="247"/>
        <v/>
      </c>
      <c r="S2302" s="83" t="str">
        <f t="shared" si="248"/>
        <v/>
      </c>
      <c r="T2302" s="83" t="str">
        <f t="shared" si="245"/>
        <v/>
      </c>
      <c r="Y2302" s="60">
        <f t="shared" si="249"/>
        <v>0</v>
      </c>
      <c r="Z2302" s="49">
        <f t="shared" si="250"/>
        <v>0</v>
      </c>
      <c r="AA2302" s="60">
        <f t="shared" si="251"/>
        <v>0</v>
      </c>
    </row>
    <row r="2303" spans="1:27">
      <c r="A2303" s="83" t="str">
        <f t="shared" si="246"/>
        <v/>
      </c>
      <c r="B2303" s="83" t="str">
        <f t="shared" si="247"/>
        <v/>
      </c>
      <c r="S2303" s="83" t="str">
        <f t="shared" si="248"/>
        <v/>
      </c>
      <c r="T2303" s="83" t="str">
        <f t="shared" si="245"/>
        <v/>
      </c>
      <c r="Y2303" s="60">
        <f t="shared" si="249"/>
        <v>0</v>
      </c>
      <c r="Z2303" s="49">
        <f t="shared" si="250"/>
        <v>0</v>
      </c>
      <c r="AA2303" s="60">
        <f t="shared" si="251"/>
        <v>0</v>
      </c>
    </row>
    <row r="2304" spans="1:27">
      <c r="A2304" s="83" t="str">
        <f t="shared" si="246"/>
        <v/>
      </c>
      <c r="B2304" s="83" t="str">
        <f t="shared" si="247"/>
        <v/>
      </c>
      <c r="S2304" s="83" t="str">
        <f t="shared" si="248"/>
        <v/>
      </c>
      <c r="T2304" s="83" t="str">
        <f t="shared" si="245"/>
        <v/>
      </c>
      <c r="Y2304" s="60">
        <f t="shared" si="249"/>
        <v>0</v>
      </c>
      <c r="Z2304" s="49">
        <f t="shared" si="250"/>
        <v>0</v>
      </c>
      <c r="AA2304" s="60">
        <f t="shared" si="251"/>
        <v>0</v>
      </c>
    </row>
    <row r="2305" spans="1:27">
      <c r="A2305" s="83" t="str">
        <f t="shared" si="246"/>
        <v/>
      </c>
      <c r="B2305" s="83" t="str">
        <f t="shared" si="247"/>
        <v/>
      </c>
      <c r="S2305" s="83" t="str">
        <f t="shared" si="248"/>
        <v/>
      </c>
      <c r="T2305" s="83" t="str">
        <f t="shared" si="245"/>
        <v/>
      </c>
      <c r="Y2305" s="60">
        <f t="shared" si="249"/>
        <v>0</v>
      </c>
      <c r="Z2305" s="49">
        <f t="shared" si="250"/>
        <v>0</v>
      </c>
      <c r="AA2305" s="60">
        <f t="shared" si="251"/>
        <v>0</v>
      </c>
    </row>
    <row r="2306" spans="1:27">
      <c r="A2306" s="83" t="str">
        <f t="shared" si="246"/>
        <v/>
      </c>
      <c r="B2306" s="83" t="str">
        <f t="shared" si="247"/>
        <v/>
      </c>
      <c r="S2306" s="83" t="str">
        <f t="shared" si="248"/>
        <v/>
      </c>
      <c r="T2306" s="83" t="str">
        <f t="shared" ref="T2306:T2369" si="252">IF(A2306&lt;&gt;"",IF(FIND(" ",G2306)&gt;=1,MID(G2306,FIND(" ",G2306)+1,LEN(G2306)),""),"")</f>
        <v/>
      </c>
      <c r="Y2306" s="60">
        <f t="shared" si="249"/>
        <v>0</v>
      </c>
      <c r="Z2306" s="49">
        <f t="shared" si="250"/>
        <v>0</v>
      </c>
      <c r="AA2306" s="60">
        <f t="shared" si="251"/>
        <v>0</v>
      </c>
    </row>
    <row r="2307" spans="1:27">
      <c r="A2307" s="83" t="str">
        <f t="shared" ref="A2307:A2370" si="253">IF(G2307&amp;Q2307&lt;&gt;"",S2307&amp;Q2307,"")</f>
        <v/>
      </c>
      <c r="B2307" s="83" t="str">
        <f t="shared" ref="B2307:B2370" si="254">IF(C2307&lt;&gt;"",LEFT(C2307,9),"")</f>
        <v/>
      </c>
      <c r="S2307" s="83" t="str">
        <f t="shared" ref="S2307:S2370" si="255">IF(G2307&lt;&gt;"",IF(FIND(" ",G2307)&gt;=1,MID(G2307,1,FIND(" ",G2307)-1),G2307),"")</f>
        <v/>
      </c>
      <c r="T2307" s="83" t="str">
        <f t="shared" si="252"/>
        <v/>
      </c>
      <c r="Y2307" s="60">
        <f t="shared" ref="Y2307:Y2370" si="256">IFERROR(VALUE(MID($C2307,1,2)),0)</f>
        <v>0</v>
      </c>
      <c r="Z2307" s="49">
        <f t="shared" ref="Z2307:Z2370" si="257">IFERROR(VALUE(MID($C2307,4,3)),0)</f>
        <v>0</v>
      </c>
      <c r="AA2307" s="60">
        <f t="shared" ref="AA2307:AA2370" si="258">VALUE(RIGHT("00"&amp;Y2307,2)&amp;RIGHT("000"&amp;Z2307,3))</f>
        <v>0</v>
      </c>
    </row>
    <row r="2308" spans="1:27">
      <c r="A2308" s="83" t="str">
        <f t="shared" si="253"/>
        <v/>
      </c>
      <c r="B2308" s="83" t="str">
        <f t="shared" si="254"/>
        <v/>
      </c>
      <c r="S2308" s="83" t="str">
        <f t="shared" si="255"/>
        <v/>
      </c>
      <c r="T2308" s="83" t="str">
        <f t="shared" si="252"/>
        <v/>
      </c>
      <c r="Y2308" s="60">
        <f t="shared" si="256"/>
        <v>0</v>
      </c>
      <c r="Z2308" s="49">
        <f t="shared" si="257"/>
        <v>0</v>
      </c>
      <c r="AA2308" s="60">
        <f t="shared" si="258"/>
        <v>0</v>
      </c>
    </row>
    <row r="2309" spans="1:27">
      <c r="A2309" s="83" t="str">
        <f t="shared" si="253"/>
        <v/>
      </c>
      <c r="B2309" s="83" t="str">
        <f t="shared" si="254"/>
        <v/>
      </c>
      <c r="S2309" s="83" t="str">
        <f t="shared" si="255"/>
        <v/>
      </c>
      <c r="T2309" s="83" t="str">
        <f t="shared" si="252"/>
        <v/>
      </c>
      <c r="Y2309" s="60">
        <f t="shared" si="256"/>
        <v>0</v>
      </c>
      <c r="Z2309" s="49">
        <f t="shared" si="257"/>
        <v>0</v>
      </c>
      <c r="AA2309" s="60">
        <f t="shared" si="258"/>
        <v>0</v>
      </c>
    </row>
    <row r="2310" spans="1:27">
      <c r="A2310" s="83" t="str">
        <f t="shared" si="253"/>
        <v/>
      </c>
      <c r="B2310" s="83" t="str">
        <f t="shared" si="254"/>
        <v/>
      </c>
      <c r="S2310" s="83" t="str">
        <f t="shared" si="255"/>
        <v/>
      </c>
      <c r="T2310" s="83" t="str">
        <f t="shared" si="252"/>
        <v/>
      </c>
      <c r="Y2310" s="60">
        <f t="shared" si="256"/>
        <v>0</v>
      </c>
      <c r="Z2310" s="49">
        <f t="shared" si="257"/>
        <v>0</v>
      </c>
      <c r="AA2310" s="60">
        <f t="shared" si="258"/>
        <v>0</v>
      </c>
    </row>
    <row r="2311" spans="1:27">
      <c r="A2311" s="83" t="str">
        <f t="shared" si="253"/>
        <v/>
      </c>
      <c r="B2311" s="83" t="str">
        <f t="shared" si="254"/>
        <v/>
      </c>
      <c r="S2311" s="83" t="str">
        <f t="shared" si="255"/>
        <v/>
      </c>
      <c r="T2311" s="83" t="str">
        <f t="shared" si="252"/>
        <v/>
      </c>
      <c r="Y2311" s="60">
        <f t="shared" si="256"/>
        <v>0</v>
      </c>
      <c r="Z2311" s="49">
        <f t="shared" si="257"/>
        <v>0</v>
      </c>
      <c r="AA2311" s="60">
        <f t="shared" si="258"/>
        <v>0</v>
      </c>
    </row>
    <row r="2312" spans="1:27">
      <c r="A2312" s="83" t="str">
        <f t="shared" si="253"/>
        <v/>
      </c>
      <c r="B2312" s="83" t="str">
        <f t="shared" si="254"/>
        <v/>
      </c>
      <c r="S2312" s="83" t="str">
        <f t="shared" si="255"/>
        <v/>
      </c>
      <c r="T2312" s="83" t="str">
        <f t="shared" si="252"/>
        <v/>
      </c>
      <c r="Y2312" s="60">
        <f t="shared" si="256"/>
        <v>0</v>
      </c>
      <c r="Z2312" s="49">
        <f t="shared" si="257"/>
        <v>0</v>
      </c>
      <c r="AA2312" s="60">
        <f t="shared" si="258"/>
        <v>0</v>
      </c>
    </row>
    <row r="2313" spans="1:27">
      <c r="A2313" s="83" t="str">
        <f t="shared" si="253"/>
        <v/>
      </c>
      <c r="B2313" s="83" t="str">
        <f t="shared" si="254"/>
        <v/>
      </c>
      <c r="S2313" s="83" t="str">
        <f t="shared" si="255"/>
        <v/>
      </c>
      <c r="T2313" s="83" t="str">
        <f t="shared" si="252"/>
        <v/>
      </c>
      <c r="Y2313" s="60">
        <f t="shared" si="256"/>
        <v>0</v>
      </c>
      <c r="Z2313" s="49">
        <f t="shared" si="257"/>
        <v>0</v>
      </c>
      <c r="AA2313" s="60">
        <f t="shared" si="258"/>
        <v>0</v>
      </c>
    </row>
    <row r="2314" spans="1:27">
      <c r="A2314" s="83" t="str">
        <f t="shared" si="253"/>
        <v/>
      </c>
      <c r="B2314" s="83" t="str">
        <f t="shared" si="254"/>
        <v/>
      </c>
      <c r="S2314" s="83" t="str">
        <f t="shared" si="255"/>
        <v/>
      </c>
      <c r="T2314" s="83" t="str">
        <f t="shared" si="252"/>
        <v/>
      </c>
      <c r="Y2314" s="60">
        <f t="shared" si="256"/>
        <v>0</v>
      </c>
      <c r="Z2314" s="49">
        <f t="shared" si="257"/>
        <v>0</v>
      </c>
      <c r="AA2314" s="60">
        <f t="shared" si="258"/>
        <v>0</v>
      </c>
    </row>
    <row r="2315" spans="1:27">
      <c r="A2315" s="83" t="str">
        <f t="shared" si="253"/>
        <v/>
      </c>
      <c r="B2315" s="83" t="str">
        <f t="shared" si="254"/>
        <v/>
      </c>
      <c r="S2315" s="83" t="str">
        <f t="shared" si="255"/>
        <v/>
      </c>
      <c r="T2315" s="83" t="str">
        <f t="shared" si="252"/>
        <v/>
      </c>
      <c r="Y2315" s="60">
        <f t="shared" si="256"/>
        <v>0</v>
      </c>
      <c r="Z2315" s="49">
        <f t="shared" si="257"/>
        <v>0</v>
      </c>
      <c r="AA2315" s="60">
        <f t="shared" si="258"/>
        <v>0</v>
      </c>
    </row>
    <row r="2316" spans="1:27">
      <c r="A2316" s="83" t="str">
        <f t="shared" si="253"/>
        <v/>
      </c>
      <c r="B2316" s="83" t="str">
        <f t="shared" si="254"/>
        <v/>
      </c>
      <c r="S2316" s="83" t="str">
        <f t="shared" si="255"/>
        <v/>
      </c>
      <c r="T2316" s="83" t="str">
        <f t="shared" si="252"/>
        <v/>
      </c>
      <c r="Y2316" s="60">
        <f t="shared" si="256"/>
        <v>0</v>
      </c>
      <c r="Z2316" s="49">
        <f t="shared" si="257"/>
        <v>0</v>
      </c>
      <c r="AA2316" s="60">
        <f t="shared" si="258"/>
        <v>0</v>
      </c>
    </row>
    <row r="2317" spans="1:27">
      <c r="A2317" s="83" t="str">
        <f t="shared" si="253"/>
        <v/>
      </c>
      <c r="B2317" s="83" t="str">
        <f t="shared" si="254"/>
        <v/>
      </c>
      <c r="S2317" s="83" t="str">
        <f t="shared" si="255"/>
        <v/>
      </c>
      <c r="T2317" s="83" t="str">
        <f t="shared" si="252"/>
        <v/>
      </c>
      <c r="Y2317" s="60">
        <f t="shared" si="256"/>
        <v>0</v>
      </c>
      <c r="Z2317" s="49">
        <f t="shared" si="257"/>
        <v>0</v>
      </c>
      <c r="AA2317" s="60">
        <f t="shared" si="258"/>
        <v>0</v>
      </c>
    </row>
    <row r="2318" spans="1:27">
      <c r="A2318" s="83" t="str">
        <f t="shared" si="253"/>
        <v/>
      </c>
      <c r="B2318" s="83" t="str">
        <f t="shared" si="254"/>
        <v/>
      </c>
      <c r="S2318" s="83" t="str">
        <f t="shared" si="255"/>
        <v/>
      </c>
      <c r="T2318" s="83" t="str">
        <f t="shared" si="252"/>
        <v/>
      </c>
      <c r="Y2318" s="60">
        <f t="shared" si="256"/>
        <v>0</v>
      </c>
      <c r="Z2318" s="49">
        <f t="shared" si="257"/>
        <v>0</v>
      </c>
      <c r="AA2318" s="60">
        <f t="shared" si="258"/>
        <v>0</v>
      </c>
    </row>
    <row r="2319" spans="1:27">
      <c r="A2319" s="83" t="str">
        <f t="shared" si="253"/>
        <v/>
      </c>
      <c r="B2319" s="83" t="str">
        <f t="shared" si="254"/>
        <v/>
      </c>
      <c r="S2319" s="83" t="str">
        <f t="shared" si="255"/>
        <v/>
      </c>
      <c r="T2319" s="83" t="str">
        <f t="shared" si="252"/>
        <v/>
      </c>
      <c r="Y2319" s="60">
        <f t="shared" si="256"/>
        <v>0</v>
      </c>
      <c r="Z2319" s="49">
        <f t="shared" si="257"/>
        <v>0</v>
      </c>
      <c r="AA2319" s="60">
        <f t="shared" si="258"/>
        <v>0</v>
      </c>
    </row>
    <row r="2320" spans="1:27">
      <c r="A2320" s="83" t="str">
        <f t="shared" si="253"/>
        <v/>
      </c>
      <c r="B2320" s="83" t="str">
        <f t="shared" si="254"/>
        <v/>
      </c>
      <c r="S2320" s="83" t="str">
        <f t="shared" si="255"/>
        <v/>
      </c>
      <c r="T2320" s="83" t="str">
        <f t="shared" si="252"/>
        <v/>
      </c>
      <c r="Y2320" s="60">
        <f t="shared" si="256"/>
        <v>0</v>
      </c>
      <c r="Z2320" s="49">
        <f t="shared" si="257"/>
        <v>0</v>
      </c>
      <c r="AA2320" s="60">
        <f t="shared" si="258"/>
        <v>0</v>
      </c>
    </row>
    <row r="2321" spans="1:27">
      <c r="A2321" s="83" t="str">
        <f t="shared" si="253"/>
        <v/>
      </c>
      <c r="B2321" s="83" t="str">
        <f t="shared" si="254"/>
        <v/>
      </c>
      <c r="S2321" s="83" t="str">
        <f t="shared" si="255"/>
        <v/>
      </c>
      <c r="T2321" s="83" t="str">
        <f t="shared" si="252"/>
        <v/>
      </c>
      <c r="Y2321" s="60">
        <f t="shared" si="256"/>
        <v>0</v>
      </c>
      <c r="Z2321" s="49">
        <f t="shared" si="257"/>
        <v>0</v>
      </c>
      <c r="AA2321" s="60">
        <f t="shared" si="258"/>
        <v>0</v>
      </c>
    </row>
    <row r="2322" spans="1:27">
      <c r="A2322" s="83" t="str">
        <f t="shared" si="253"/>
        <v/>
      </c>
      <c r="B2322" s="83" t="str">
        <f t="shared" si="254"/>
        <v/>
      </c>
      <c r="S2322" s="83" t="str">
        <f t="shared" si="255"/>
        <v/>
      </c>
      <c r="T2322" s="83" t="str">
        <f t="shared" si="252"/>
        <v/>
      </c>
      <c r="Y2322" s="60">
        <f t="shared" si="256"/>
        <v>0</v>
      </c>
      <c r="Z2322" s="49">
        <f t="shared" si="257"/>
        <v>0</v>
      </c>
      <c r="AA2322" s="60">
        <f t="shared" si="258"/>
        <v>0</v>
      </c>
    </row>
    <row r="2323" spans="1:27">
      <c r="A2323" s="83" t="str">
        <f t="shared" si="253"/>
        <v/>
      </c>
      <c r="B2323" s="83" t="str">
        <f t="shared" si="254"/>
        <v/>
      </c>
      <c r="S2323" s="83" t="str">
        <f t="shared" si="255"/>
        <v/>
      </c>
      <c r="T2323" s="83" t="str">
        <f t="shared" si="252"/>
        <v/>
      </c>
      <c r="Y2323" s="60">
        <f t="shared" si="256"/>
        <v>0</v>
      </c>
      <c r="Z2323" s="49">
        <f t="shared" si="257"/>
        <v>0</v>
      </c>
      <c r="AA2323" s="60">
        <f t="shared" si="258"/>
        <v>0</v>
      </c>
    </row>
    <row r="2324" spans="1:27">
      <c r="A2324" s="83" t="str">
        <f t="shared" si="253"/>
        <v/>
      </c>
      <c r="B2324" s="83" t="str">
        <f t="shared" si="254"/>
        <v/>
      </c>
      <c r="S2324" s="83" t="str">
        <f t="shared" si="255"/>
        <v/>
      </c>
      <c r="T2324" s="83" t="str">
        <f t="shared" si="252"/>
        <v/>
      </c>
      <c r="Y2324" s="60">
        <f t="shared" si="256"/>
        <v>0</v>
      </c>
      <c r="Z2324" s="49">
        <f t="shared" si="257"/>
        <v>0</v>
      </c>
      <c r="AA2324" s="60">
        <f t="shared" si="258"/>
        <v>0</v>
      </c>
    </row>
    <row r="2325" spans="1:27">
      <c r="A2325" s="83" t="str">
        <f t="shared" si="253"/>
        <v/>
      </c>
      <c r="B2325" s="83" t="str">
        <f t="shared" si="254"/>
        <v/>
      </c>
      <c r="S2325" s="83" t="str">
        <f t="shared" si="255"/>
        <v/>
      </c>
      <c r="T2325" s="83" t="str">
        <f t="shared" si="252"/>
        <v/>
      </c>
      <c r="Y2325" s="60">
        <f t="shared" si="256"/>
        <v>0</v>
      </c>
      <c r="Z2325" s="49">
        <f t="shared" si="257"/>
        <v>0</v>
      </c>
      <c r="AA2325" s="60">
        <f t="shared" si="258"/>
        <v>0</v>
      </c>
    </row>
    <row r="2326" spans="1:27">
      <c r="A2326" s="83" t="str">
        <f t="shared" si="253"/>
        <v/>
      </c>
      <c r="B2326" s="83" t="str">
        <f t="shared" si="254"/>
        <v/>
      </c>
      <c r="S2326" s="83" t="str">
        <f t="shared" si="255"/>
        <v/>
      </c>
      <c r="T2326" s="83" t="str">
        <f t="shared" si="252"/>
        <v/>
      </c>
      <c r="Y2326" s="60">
        <f t="shared" si="256"/>
        <v>0</v>
      </c>
      <c r="Z2326" s="49">
        <f t="shared" si="257"/>
        <v>0</v>
      </c>
      <c r="AA2326" s="60">
        <f t="shared" si="258"/>
        <v>0</v>
      </c>
    </row>
    <row r="2327" spans="1:27">
      <c r="A2327" s="83" t="str">
        <f t="shared" si="253"/>
        <v/>
      </c>
      <c r="B2327" s="83" t="str">
        <f t="shared" si="254"/>
        <v/>
      </c>
      <c r="S2327" s="83" t="str">
        <f t="shared" si="255"/>
        <v/>
      </c>
      <c r="T2327" s="83" t="str">
        <f t="shared" si="252"/>
        <v/>
      </c>
      <c r="Y2327" s="60">
        <f t="shared" si="256"/>
        <v>0</v>
      </c>
      <c r="Z2327" s="49">
        <f t="shared" si="257"/>
        <v>0</v>
      </c>
      <c r="AA2327" s="60">
        <f t="shared" si="258"/>
        <v>0</v>
      </c>
    </row>
    <row r="2328" spans="1:27">
      <c r="A2328" s="83" t="str">
        <f t="shared" si="253"/>
        <v/>
      </c>
      <c r="B2328" s="83" t="str">
        <f t="shared" si="254"/>
        <v/>
      </c>
      <c r="S2328" s="83" t="str">
        <f t="shared" si="255"/>
        <v/>
      </c>
      <c r="T2328" s="83" t="str">
        <f t="shared" si="252"/>
        <v/>
      </c>
      <c r="Y2328" s="60">
        <f t="shared" si="256"/>
        <v>0</v>
      </c>
      <c r="Z2328" s="49">
        <f t="shared" si="257"/>
        <v>0</v>
      </c>
      <c r="AA2328" s="60">
        <f t="shared" si="258"/>
        <v>0</v>
      </c>
    </row>
    <row r="2329" spans="1:27">
      <c r="A2329" s="83" t="str">
        <f t="shared" si="253"/>
        <v/>
      </c>
      <c r="B2329" s="83" t="str">
        <f t="shared" si="254"/>
        <v/>
      </c>
      <c r="S2329" s="83" t="str">
        <f t="shared" si="255"/>
        <v/>
      </c>
      <c r="T2329" s="83" t="str">
        <f t="shared" si="252"/>
        <v/>
      </c>
      <c r="Y2329" s="60">
        <f t="shared" si="256"/>
        <v>0</v>
      </c>
      <c r="Z2329" s="49">
        <f t="shared" si="257"/>
        <v>0</v>
      </c>
      <c r="AA2329" s="60">
        <f t="shared" si="258"/>
        <v>0</v>
      </c>
    </row>
    <row r="2330" spans="1:27">
      <c r="A2330" s="83" t="str">
        <f t="shared" si="253"/>
        <v/>
      </c>
      <c r="B2330" s="83" t="str">
        <f t="shared" si="254"/>
        <v/>
      </c>
      <c r="S2330" s="83" t="str">
        <f t="shared" si="255"/>
        <v/>
      </c>
      <c r="T2330" s="83" t="str">
        <f t="shared" si="252"/>
        <v/>
      </c>
      <c r="Y2330" s="60">
        <f t="shared" si="256"/>
        <v>0</v>
      </c>
      <c r="Z2330" s="49">
        <f t="shared" si="257"/>
        <v>0</v>
      </c>
      <c r="AA2330" s="60">
        <f t="shared" si="258"/>
        <v>0</v>
      </c>
    </row>
    <row r="2331" spans="1:27">
      <c r="A2331" s="83" t="str">
        <f t="shared" si="253"/>
        <v/>
      </c>
      <c r="B2331" s="83" t="str">
        <f t="shared" si="254"/>
        <v/>
      </c>
      <c r="S2331" s="83" t="str">
        <f t="shared" si="255"/>
        <v/>
      </c>
      <c r="T2331" s="83" t="str">
        <f t="shared" si="252"/>
        <v/>
      </c>
      <c r="Y2331" s="60">
        <f t="shared" si="256"/>
        <v>0</v>
      </c>
      <c r="Z2331" s="49">
        <f t="shared" si="257"/>
        <v>0</v>
      </c>
      <c r="AA2331" s="60">
        <f t="shared" si="258"/>
        <v>0</v>
      </c>
    </row>
    <row r="2332" spans="1:27">
      <c r="A2332" s="83" t="str">
        <f t="shared" si="253"/>
        <v/>
      </c>
      <c r="B2332" s="83" t="str">
        <f t="shared" si="254"/>
        <v/>
      </c>
      <c r="S2332" s="83" t="str">
        <f t="shared" si="255"/>
        <v/>
      </c>
      <c r="T2332" s="83" t="str">
        <f t="shared" si="252"/>
        <v/>
      </c>
      <c r="Y2332" s="60">
        <f t="shared" si="256"/>
        <v>0</v>
      </c>
      <c r="Z2332" s="49">
        <f t="shared" si="257"/>
        <v>0</v>
      </c>
      <c r="AA2332" s="60">
        <f t="shared" si="258"/>
        <v>0</v>
      </c>
    </row>
    <row r="2333" spans="1:27">
      <c r="A2333" s="83" t="str">
        <f t="shared" si="253"/>
        <v/>
      </c>
      <c r="B2333" s="83" t="str">
        <f t="shared" si="254"/>
        <v/>
      </c>
      <c r="S2333" s="83" t="str">
        <f t="shared" si="255"/>
        <v/>
      </c>
      <c r="T2333" s="83" t="str">
        <f t="shared" si="252"/>
        <v/>
      </c>
      <c r="Y2333" s="60">
        <f t="shared" si="256"/>
        <v>0</v>
      </c>
      <c r="Z2333" s="49">
        <f t="shared" si="257"/>
        <v>0</v>
      </c>
      <c r="AA2333" s="60">
        <f t="shared" si="258"/>
        <v>0</v>
      </c>
    </row>
    <row r="2334" spans="1:27">
      <c r="A2334" s="83" t="str">
        <f t="shared" si="253"/>
        <v/>
      </c>
      <c r="B2334" s="83" t="str">
        <f t="shared" si="254"/>
        <v/>
      </c>
      <c r="S2334" s="83" t="str">
        <f t="shared" si="255"/>
        <v/>
      </c>
      <c r="T2334" s="83" t="str">
        <f t="shared" si="252"/>
        <v/>
      </c>
      <c r="Y2334" s="60">
        <f t="shared" si="256"/>
        <v>0</v>
      </c>
      <c r="Z2334" s="49">
        <f t="shared" si="257"/>
        <v>0</v>
      </c>
      <c r="AA2334" s="60">
        <f t="shared" si="258"/>
        <v>0</v>
      </c>
    </row>
    <row r="2335" spans="1:27">
      <c r="A2335" s="83" t="str">
        <f t="shared" si="253"/>
        <v/>
      </c>
      <c r="B2335" s="83" t="str">
        <f t="shared" si="254"/>
        <v/>
      </c>
      <c r="S2335" s="83" t="str">
        <f t="shared" si="255"/>
        <v/>
      </c>
      <c r="T2335" s="83" t="str">
        <f t="shared" si="252"/>
        <v/>
      </c>
      <c r="Y2335" s="60">
        <f t="shared" si="256"/>
        <v>0</v>
      </c>
      <c r="Z2335" s="49">
        <f t="shared" si="257"/>
        <v>0</v>
      </c>
      <c r="AA2335" s="60">
        <f t="shared" si="258"/>
        <v>0</v>
      </c>
    </row>
    <row r="2336" spans="1:27">
      <c r="A2336" s="83" t="str">
        <f t="shared" si="253"/>
        <v/>
      </c>
      <c r="B2336" s="83" t="str">
        <f t="shared" si="254"/>
        <v/>
      </c>
      <c r="S2336" s="83" t="str">
        <f t="shared" si="255"/>
        <v/>
      </c>
      <c r="T2336" s="83" t="str">
        <f t="shared" si="252"/>
        <v/>
      </c>
      <c r="Y2336" s="60">
        <f t="shared" si="256"/>
        <v>0</v>
      </c>
      <c r="Z2336" s="49">
        <f t="shared" si="257"/>
        <v>0</v>
      </c>
      <c r="AA2336" s="60">
        <f t="shared" si="258"/>
        <v>0</v>
      </c>
    </row>
    <row r="2337" spans="1:27">
      <c r="A2337" s="83" t="str">
        <f t="shared" si="253"/>
        <v/>
      </c>
      <c r="B2337" s="83" t="str">
        <f t="shared" si="254"/>
        <v/>
      </c>
      <c r="S2337" s="83" t="str">
        <f t="shared" si="255"/>
        <v/>
      </c>
      <c r="T2337" s="83" t="str">
        <f t="shared" si="252"/>
        <v/>
      </c>
      <c r="Y2337" s="60">
        <f t="shared" si="256"/>
        <v>0</v>
      </c>
      <c r="Z2337" s="49">
        <f t="shared" si="257"/>
        <v>0</v>
      </c>
      <c r="AA2337" s="60">
        <f t="shared" si="258"/>
        <v>0</v>
      </c>
    </row>
    <row r="2338" spans="1:27">
      <c r="A2338" s="83" t="str">
        <f t="shared" si="253"/>
        <v/>
      </c>
      <c r="B2338" s="83" t="str">
        <f t="shared" si="254"/>
        <v/>
      </c>
      <c r="S2338" s="83" t="str">
        <f t="shared" si="255"/>
        <v/>
      </c>
      <c r="T2338" s="83" t="str">
        <f t="shared" si="252"/>
        <v/>
      </c>
      <c r="Y2338" s="60">
        <f t="shared" si="256"/>
        <v>0</v>
      </c>
      <c r="Z2338" s="49">
        <f t="shared" si="257"/>
        <v>0</v>
      </c>
      <c r="AA2338" s="60">
        <f t="shared" si="258"/>
        <v>0</v>
      </c>
    </row>
    <row r="2339" spans="1:27">
      <c r="A2339" s="83" t="str">
        <f t="shared" si="253"/>
        <v/>
      </c>
      <c r="B2339" s="83" t="str">
        <f t="shared" si="254"/>
        <v/>
      </c>
      <c r="S2339" s="83" t="str">
        <f t="shared" si="255"/>
        <v/>
      </c>
      <c r="T2339" s="83" t="str">
        <f t="shared" si="252"/>
        <v/>
      </c>
      <c r="Y2339" s="60">
        <f t="shared" si="256"/>
        <v>0</v>
      </c>
      <c r="Z2339" s="49">
        <f t="shared" si="257"/>
        <v>0</v>
      </c>
      <c r="AA2339" s="60">
        <f t="shared" si="258"/>
        <v>0</v>
      </c>
    </row>
    <row r="2340" spans="1:27">
      <c r="A2340" s="83" t="str">
        <f t="shared" si="253"/>
        <v/>
      </c>
      <c r="B2340" s="83" t="str">
        <f t="shared" si="254"/>
        <v/>
      </c>
      <c r="S2340" s="83" t="str">
        <f t="shared" si="255"/>
        <v/>
      </c>
      <c r="T2340" s="83" t="str">
        <f t="shared" si="252"/>
        <v/>
      </c>
      <c r="Y2340" s="60">
        <f t="shared" si="256"/>
        <v>0</v>
      </c>
      <c r="Z2340" s="49">
        <f t="shared" si="257"/>
        <v>0</v>
      </c>
      <c r="AA2340" s="60">
        <f t="shared" si="258"/>
        <v>0</v>
      </c>
    </row>
    <row r="2341" spans="1:27">
      <c r="A2341" s="83" t="str">
        <f t="shared" si="253"/>
        <v/>
      </c>
      <c r="B2341" s="83" t="str">
        <f t="shared" si="254"/>
        <v/>
      </c>
      <c r="S2341" s="83" t="str">
        <f t="shared" si="255"/>
        <v/>
      </c>
      <c r="T2341" s="83" t="str">
        <f t="shared" si="252"/>
        <v/>
      </c>
      <c r="Y2341" s="60">
        <f t="shared" si="256"/>
        <v>0</v>
      </c>
      <c r="Z2341" s="49">
        <f t="shared" si="257"/>
        <v>0</v>
      </c>
      <c r="AA2341" s="60">
        <f t="shared" si="258"/>
        <v>0</v>
      </c>
    </row>
    <row r="2342" spans="1:27">
      <c r="A2342" s="83" t="str">
        <f t="shared" si="253"/>
        <v/>
      </c>
      <c r="B2342" s="83" t="str">
        <f t="shared" si="254"/>
        <v/>
      </c>
      <c r="S2342" s="83" t="str">
        <f t="shared" si="255"/>
        <v/>
      </c>
      <c r="T2342" s="83" t="str">
        <f t="shared" si="252"/>
        <v/>
      </c>
      <c r="Y2342" s="60">
        <f t="shared" si="256"/>
        <v>0</v>
      </c>
      <c r="Z2342" s="49">
        <f t="shared" si="257"/>
        <v>0</v>
      </c>
      <c r="AA2342" s="60">
        <f t="shared" si="258"/>
        <v>0</v>
      </c>
    </row>
    <row r="2343" spans="1:27">
      <c r="A2343" s="83" t="str">
        <f t="shared" si="253"/>
        <v/>
      </c>
      <c r="B2343" s="83" t="str">
        <f t="shared" si="254"/>
        <v/>
      </c>
      <c r="S2343" s="83" t="str">
        <f t="shared" si="255"/>
        <v/>
      </c>
      <c r="T2343" s="83" t="str">
        <f t="shared" si="252"/>
        <v/>
      </c>
      <c r="Y2343" s="60">
        <f t="shared" si="256"/>
        <v>0</v>
      </c>
      <c r="Z2343" s="49">
        <f t="shared" si="257"/>
        <v>0</v>
      </c>
      <c r="AA2343" s="60">
        <f t="shared" si="258"/>
        <v>0</v>
      </c>
    </row>
    <row r="2344" spans="1:27">
      <c r="A2344" s="83" t="str">
        <f t="shared" si="253"/>
        <v/>
      </c>
      <c r="B2344" s="83" t="str">
        <f t="shared" si="254"/>
        <v/>
      </c>
      <c r="S2344" s="83" t="str">
        <f t="shared" si="255"/>
        <v/>
      </c>
      <c r="T2344" s="83" t="str">
        <f t="shared" si="252"/>
        <v/>
      </c>
      <c r="Y2344" s="60">
        <f t="shared" si="256"/>
        <v>0</v>
      </c>
      <c r="Z2344" s="49">
        <f t="shared" si="257"/>
        <v>0</v>
      </c>
      <c r="AA2344" s="60">
        <f t="shared" si="258"/>
        <v>0</v>
      </c>
    </row>
    <row r="2345" spans="1:27">
      <c r="A2345" s="83" t="str">
        <f t="shared" si="253"/>
        <v/>
      </c>
      <c r="B2345" s="83" t="str">
        <f t="shared" si="254"/>
        <v/>
      </c>
      <c r="S2345" s="83" t="str">
        <f t="shared" si="255"/>
        <v/>
      </c>
      <c r="T2345" s="83" t="str">
        <f t="shared" si="252"/>
        <v/>
      </c>
      <c r="Y2345" s="60">
        <f t="shared" si="256"/>
        <v>0</v>
      </c>
      <c r="Z2345" s="49">
        <f t="shared" si="257"/>
        <v>0</v>
      </c>
      <c r="AA2345" s="60">
        <f t="shared" si="258"/>
        <v>0</v>
      </c>
    </row>
    <row r="2346" spans="1:27">
      <c r="A2346" s="83" t="str">
        <f t="shared" si="253"/>
        <v/>
      </c>
      <c r="B2346" s="83" t="str">
        <f t="shared" si="254"/>
        <v/>
      </c>
      <c r="S2346" s="83" t="str">
        <f t="shared" si="255"/>
        <v/>
      </c>
      <c r="T2346" s="83" t="str">
        <f t="shared" si="252"/>
        <v/>
      </c>
      <c r="Y2346" s="60">
        <f t="shared" si="256"/>
        <v>0</v>
      </c>
      <c r="Z2346" s="49">
        <f t="shared" si="257"/>
        <v>0</v>
      </c>
      <c r="AA2346" s="60">
        <f t="shared" si="258"/>
        <v>0</v>
      </c>
    </row>
    <row r="2347" spans="1:27">
      <c r="A2347" s="83" t="str">
        <f t="shared" si="253"/>
        <v/>
      </c>
      <c r="B2347" s="83" t="str">
        <f t="shared" si="254"/>
        <v/>
      </c>
      <c r="S2347" s="83" t="str">
        <f t="shared" si="255"/>
        <v/>
      </c>
      <c r="T2347" s="83" t="str">
        <f t="shared" si="252"/>
        <v/>
      </c>
      <c r="Y2347" s="60">
        <f t="shared" si="256"/>
        <v>0</v>
      </c>
      <c r="Z2347" s="49">
        <f t="shared" si="257"/>
        <v>0</v>
      </c>
      <c r="AA2347" s="60">
        <f t="shared" si="258"/>
        <v>0</v>
      </c>
    </row>
    <row r="2348" spans="1:27">
      <c r="A2348" s="83" t="str">
        <f t="shared" si="253"/>
        <v/>
      </c>
      <c r="B2348" s="83" t="str">
        <f t="shared" si="254"/>
        <v/>
      </c>
      <c r="S2348" s="83" t="str">
        <f t="shared" si="255"/>
        <v/>
      </c>
      <c r="T2348" s="83" t="str">
        <f t="shared" si="252"/>
        <v/>
      </c>
      <c r="Y2348" s="60">
        <f t="shared" si="256"/>
        <v>0</v>
      </c>
      <c r="Z2348" s="49">
        <f t="shared" si="257"/>
        <v>0</v>
      </c>
      <c r="AA2348" s="60">
        <f t="shared" si="258"/>
        <v>0</v>
      </c>
    </row>
    <row r="2349" spans="1:27">
      <c r="A2349" s="83" t="str">
        <f t="shared" si="253"/>
        <v/>
      </c>
      <c r="B2349" s="83" t="str">
        <f t="shared" si="254"/>
        <v/>
      </c>
      <c r="S2349" s="83" t="str">
        <f t="shared" si="255"/>
        <v/>
      </c>
      <c r="T2349" s="83" t="str">
        <f t="shared" si="252"/>
        <v/>
      </c>
      <c r="Y2349" s="60">
        <f t="shared" si="256"/>
        <v>0</v>
      </c>
      <c r="Z2349" s="49">
        <f t="shared" si="257"/>
        <v>0</v>
      </c>
      <c r="AA2349" s="60">
        <f t="shared" si="258"/>
        <v>0</v>
      </c>
    </row>
    <row r="2350" spans="1:27">
      <c r="A2350" s="83" t="str">
        <f t="shared" si="253"/>
        <v/>
      </c>
      <c r="B2350" s="83" t="str">
        <f t="shared" si="254"/>
        <v/>
      </c>
      <c r="S2350" s="83" t="str">
        <f t="shared" si="255"/>
        <v/>
      </c>
      <c r="T2350" s="83" t="str">
        <f t="shared" si="252"/>
        <v/>
      </c>
      <c r="Y2350" s="60">
        <f t="shared" si="256"/>
        <v>0</v>
      </c>
      <c r="Z2350" s="49">
        <f t="shared" si="257"/>
        <v>0</v>
      </c>
      <c r="AA2350" s="60">
        <f t="shared" si="258"/>
        <v>0</v>
      </c>
    </row>
    <row r="2351" spans="1:27">
      <c r="A2351" s="83" t="str">
        <f t="shared" si="253"/>
        <v/>
      </c>
      <c r="B2351" s="83" t="str">
        <f t="shared" si="254"/>
        <v/>
      </c>
      <c r="S2351" s="83" t="str">
        <f t="shared" si="255"/>
        <v/>
      </c>
      <c r="T2351" s="83" t="str">
        <f t="shared" si="252"/>
        <v/>
      </c>
      <c r="Y2351" s="60">
        <f t="shared" si="256"/>
        <v>0</v>
      </c>
      <c r="Z2351" s="49">
        <f t="shared" si="257"/>
        <v>0</v>
      </c>
      <c r="AA2351" s="60">
        <f t="shared" si="258"/>
        <v>0</v>
      </c>
    </row>
    <row r="2352" spans="1:27">
      <c r="A2352" s="83" t="str">
        <f t="shared" si="253"/>
        <v/>
      </c>
      <c r="B2352" s="83" t="str">
        <f t="shared" si="254"/>
        <v/>
      </c>
      <c r="S2352" s="83" t="str">
        <f t="shared" si="255"/>
        <v/>
      </c>
      <c r="T2352" s="83" t="str">
        <f t="shared" si="252"/>
        <v/>
      </c>
      <c r="Y2352" s="60">
        <f t="shared" si="256"/>
        <v>0</v>
      </c>
      <c r="Z2352" s="49">
        <f t="shared" si="257"/>
        <v>0</v>
      </c>
      <c r="AA2352" s="60">
        <f t="shared" si="258"/>
        <v>0</v>
      </c>
    </row>
    <row r="2353" spans="1:27">
      <c r="A2353" s="83" t="str">
        <f t="shared" si="253"/>
        <v/>
      </c>
      <c r="B2353" s="83" t="str">
        <f t="shared" si="254"/>
        <v/>
      </c>
      <c r="S2353" s="83" t="str">
        <f t="shared" si="255"/>
        <v/>
      </c>
      <c r="T2353" s="83" t="str">
        <f t="shared" si="252"/>
        <v/>
      </c>
      <c r="Y2353" s="60">
        <f t="shared" si="256"/>
        <v>0</v>
      </c>
      <c r="Z2353" s="49">
        <f t="shared" si="257"/>
        <v>0</v>
      </c>
      <c r="AA2353" s="60">
        <f t="shared" si="258"/>
        <v>0</v>
      </c>
    </row>
    <row r="2354" spans="1:27">
      <c r="A2354" s="83" t="str">
        <f t="shared" si="253"/>
        <v/>
      </c>
      <c r="B2354" s="83" t="str">
        <f t="shared" si="254"/>
        <v/>
      </c>
      <c r="S2354" s="83" t="str">
        <f t="shared" si="255"/>
        <v/>
      </c>
      <c r="T2354" s="83" t="str">
        <f t="shared" si="252"/>
        <v/>
      </c>
      <c r="Y2354" s="60">
        <f t="shared" si="256"/>
        <v>0</v>
      </c>
      <c r="Z2354" s="49">
        <f t="shared" si="257"/>
        <v>0</v>
      </c>
      <c r="AA2354" s="60">
        <f t="shared" si="258"/>
        <v>0</v>
      </c>
    </row>
    <row r="2355" spans="1:27">
      <c r="A2355" s="83" t="str">
        <f t="shared" si="253"/>
        <v/>
      </c>
      <c r="B2355" s="83" t="str">
        <f t="shared" si="254"/>
        <v/>
      </c>
      <c r="S2355" s="83" t="str">
        <f t="shared" si="255"/>
        <v/>
      </c>
      <c r="T2355" s="83" t="str">
        <f t="shared" si="252"/>
        <v/>
      </c>
      <c r="Y2355" s="60">
        <f t="shared" si="256"/>
        <v>0</v>
      </c>
      <c r="Z2355" s="49">
        <f t="shared" si="257"/>
        <v>0</v>
      </c>
      <c r="AA2355" s="60">
        <f t="shared" si="258"/>
        <v>0</v>
      </c>
    </row>
    <row r="2356" spans="1:27">
      <c r="A2356" s="83" t="str">
        <f t="shared" si="253"/>
        <v/>
      </c>
      <c r="B2356" s="83" t="str">
        <f t="shared" si="254"/>
        <v/>
      </c>
      <c r="S2356" s="83" t="str">
        <f t="shared" si="255"/>
        <v/>
      </c>
      <c r="T2356" s="83" t="str">
        <f t="shared" si="252"/>
        <v/>
      </c>
      <c r="Y2356" s="60">
        <f t="shared" si="256"/>
        <v>0</v>
      </c>
      <c r="Z2356" s="49">
        <f t="shared" si="257"/>
        <v>0</v>
      </c>
      <c r="AA2356" s="60">
        <f t="shared" si="258"/>
        <v>0</v>
      </c>
    </row>
    <row r="2357" spans="1:27">
      <c r="A2357" s="83" t="str">
        <f t="shared" si="253"/>
        <v/>
      </c>
      <c r="B2357" s="83" t="str">
        <f t="shared" si="254"/>
        <v/>
      </c>
      <c r="S2357" s="83" t="str">
        <f t="shared" si="255"/>
        <v/>
      </c>
      <c r="T2357" s="83" t="str">
        <f t="shared" si="252"/>
        <v/>
      </c>
      <c r="Y2357" s="60">
        <f t="shared" si="256"/>
        <v>0</v>
      </c>
      <c r="Z2357" s="49">
        <f t="shared" si="257"/>
        <v>0</v>
      </c>
      <c r="AA2357" s="60">
        <f t="shared" si="258"/>
        <v>0</v>
      </c>
    </row>
    <row r="2358" spans="1:27">
      <c r="A2358" s="83" t="str">
        <f t="shared" si="253"/>
        <v/>
      </c>
      <c r="B2358" s="83" t="str">
        <f t="shared" si="254"/>
        <v/>
      </c>
      <c r="S2358" s="83" t="str">
        <f t="shared" si="255"/>
        <v/>
      </c>
      <c r="T2358" s="83" t="str">
        <f t="shared" si="252"/>
        <v/>
      </c>
      <c r="Y2358" s="60">
        <f t="shared" si="256"/>
        <v>0</v>
      </c>
      <c r="Z2358" s="49">
        <f t="shared" si="257"/>
        <v>0</v>
      </c>
      <c r="AA2358" s="60">
        <f t="shared" si="258"/>
        <v>0</v>
      </c>
    </row>
    <row r="2359" spans="1:27">
      <c r="A2359" s="83" t="str">
        <f t="shared" si="253"/>
        <v/>
      </c>
      <c r="B2359" s="83" t="str">
        <f t="shared" si="254"/>
        <v/>
      </c>
      <c r="S2359" s="83" t="str">
        <f t="shared" si="255"/>
        <v/>
      </c>
      <c r="T2359" s="83" t="str">
        <f t="shared" si="252"/>
        <v/>
      </c>
      <c r="Y2359" s="60">
        <f t="shared" si="256"/>
        <v>0</v>
      </c>
      <c r="Z2359" s="49">
        <f t="shared" si="257"/>
        <v>0</v>
      </c>
      <c r="AA2359" s="60">
        <f t="shared" si="258"/>
        <v>0</v>
      </c>
    </row>
    <row r="2360" spans="1:27">
      <c r="A2360" s="83" t="str">
        <f t="shared" si="253"/>
        <v/>
      </c>
      <c r="B2360" s="83" t="str">
        <f t="shared" si="254"/>
        <v/>
      </c>
      <c r="S2360" s="83" t="str">
        <f t="shared" si="255"/>
        <v/>
      </c>
      <c r="T2360" s="83" t="str">
        <f t="shared" si="252"/>
        <v/>
      </c>
      <c r="Y2360" s="60">
        <f t="shared" si="256"/>
        <v>0</v>
      </c>
      <c r="Z2360" s="49">
        <f t="shared" si="257"/>
        <v>0</v>
      </c>
      <c r="AA2360" s="60">
        <f t="shared" si="258"/>
        <v>0</v>
      </c>
    </row>
    <row r="2361" spans="1:27">
      <c r="A2361" s="83" t="str">
        <f t="shared" si="253"/>
        <v/>
      </c>
      <c r="B2361" s="83" t="str">
        <f t="shared" si="254"/>
        <v/>
      </c>
      <c r="S2361" s="83" t="str">
        <f t="shared" si="255"/>
        <v/>
      </c>
      <c r="T2361" s="83" t="str">
        <f t="shared" si="252"/>
        <v/>
      </c>
      <c r="Y2361" s="60">
        <f t="shared" si="256"/>
        <v>0</v>
      </c>
      <c r="Z2361" s="49">
        <f t="shared" si="257"/>
        <v>0</v>
      </c>
      <c r="AA2361" s="60">
        <f t="shared" si="258"/>
        <v>0</v>
      </c>
    </row>
    <row r="2362" spans="1:27">
      <c r="A2362" s="83" t="str">
        <f t="shared" si="253"/>
        <v/>
      </c>
      <c r="B2362" s="83" t="str">
        <f t="shared" si="254"/>
        <v/>
      </c>
      <c r="S2362" s="83" t="str">
        <f t="shared" si="255"/>
        <v/>
      </c>
      <c r="T2362" s="83" t="str">
        <f t="shared" si="252"/>
        <v/>
      </c>
      <c r="Y2362" s="60">
        <f t="shared" si="256"/>
        <v>0</v>
      </c>
      <c r="Z2362" s="49">
        <f t="shared" si="257"/>
        <v>0</v>
      </c>
      <c r="AA2362" s="60">
        <f t="shared" si="258"/>
        <v>0</v>
      </c>
    </row>
    <row r="2363" spans="1:27">
      <c r="A2363" s="83" t="str">
        <f t="shared" si="253"/>
        <v/>
      </c>
      <c r="B2363" s="83" t="str">
        <f t="shared" si="254"/>
        <v/>
      </c>
      <c r="S2363" s="83" t="str">
        <f t="shared" si="255"/>
        <v/>
      </c>
      <c r="T2363" s="83" t="str">
        <f t="shared" si="252"/>
        <v/>
      </c>
      <c r="Y2363" s="60">
        <f t="shared" si="256"/>
        <v>0</v>
      </c>
      <c r="Z2363" s="49">
        <f t="shared" si="257"/>
        <v>0</v>
      </c>
      <c r="AA2363" s="60">
        <f t="shared" si="258"/>
        <v>0</v>
      </c>
    </row>
    <row r="2364" spans="1:27">
      <c r="A2364" s="83" t="str">
        <f t="shared" si="253"/>
        <v/>
      </c>
      <c r="B2364" s="83" t="str">
        <f t="shared" si="254"/>
        <v/>
      </c>
      <c r="S2364" s="83" t="str">
        <f t="shared" si="255"/>
        <v/>
      </c>
      <c r="T2364" s="83" t="str">
        <f t="shared" si="252"/>
        <v/>
      </c>
      <c r="Y2364" s="60">
        <f t="shared" si="256"/>
        <v>0</v>
      </c>
      <c r="Z2364" s="49">
        <f t="shared" si="257"/>
        <v>0</v>
      </c>
      <c r="AA2364" s="60">
        <f t="shared" si="258"/>
        <v>0</v>
      </c>
    </row>
    <row r="2365" spans="1:27">
      <c r="A2365" s="83" t="str">
        <f t="shared" si="253"/>
        <v/>
      </c>
      <c r="B2365" s="83" t="str">
        <f t="shared" si="254"/>
        <v/>
      </c>
      <c r="S2365" s="83" t="str">
        <f t="shared" si="255"/>
        <v/>
      </c>
      <c r="T2365" s="83" t="str">
        <f t="shared" si="252"/>
        <v/>
      </c>
      <c r="Y2365" s="60">
        <f t="shared" si="256"/>
        <v>0</v>
      </c>
      <c r="Z2365" s="49">
        <f t="shared" si="257"/>
        <v>0</v>
      </c>
      <c r="AA2365" s="60">
        <f t="shared" si="258"/>
        <v>0</v>
      </c>
    </row>
    <row r="2366" spans="1:27">
      <c r="A2366" s="83" t="str">
        <f t="shared" si="253"/>
        <v/>
      </c>
      <c r="B2366" s="83" t="str">
        <f t="shared" si="254"/>
        <v/>
      </c>
      <c r="S2366" s="83" t="str">
        <f t="shared" si="255"/>
        <v/>
      </c>
      <c r="T2366" s="83" t="str">
        <f t="shared" si="252"/>
        <v/>
      </c>
      <c r="Y2366" s="60">
        <f t="shared" si="256"/>
        <v>0</v>
      </c>
      <c r="Z2366" s="49">
        <f t="shared" si="257"/>
        <v>0</v>
      </c>
      <c r="AA2366" s="60">
        <f t="shared" si="258"/>
        <v>0</v>
      </c>
    </row>
    <row r="2367" spans="1:27">
      <c r="A2367" s="83" t="str">
        <f t="shared" si="253"/>
        <v/>
      </c>
      <c r="B2367" s="83" t="str">
        <f t="shared" si="254"/>
        <v/>
      </c>
      <c r="S2367" s="83" t="str">
        <f t="shared" si="255"/>
        <v/>
      </c>
      <c r="T2367" s="83" t="str">
        <f t="shared" si="252"/>
        <v/>
      </c>
      <c r="Y2367" s="60">
        <f t="shared" si="256"/>
        <v>0</v>
      </c>
      <c r="Z2367" s="49">
        <f t="shared" si="257"/>
        <v>0</v>
      </c>
      <c r="AA2367" s="60">
        <f t="shared" si="258"/>
        <v>0</v>
      </c>
    </row>
    <row r="2368" spans="1:27">
      <c r="A2368" s="83" t="str">
        <f t="shared" si="253"/>
        <v/>
      </c>
      <c r="B2368" s="83" t="str">
        <f t="shared" si="254"/>
        <v/>
      </c>
      <c r="S2368" s="83" t="str">
        <f t="shared" si="255"/>
        <v/>
      </c>
      <c r="T2368" s="83" t="str">
        <f t="shared" si="252"/>
        <v/>
      </c>
      <c r="Y2368" s="60">
        <f t="shared" si="256"/>
        <v>0</v>
      </c>
      <c r="Z2368" s="49">
        <f t="shared" si="257"/>
        <v>0</v>
      </c>
      <c r="AA2368" s="60">
        <f t="shared" si="258"/>
        <v>0</v>
      </c>
    </row>
    <row r="2369" spans="1:27">
      <c r="A2369" s="83" t="str">
        <f t="shared" si="253"/>
        <v/>
      </c>
      <c r="B2369" s="83" t="str">
        <f t="shared" si="254"/>
        <v/>
      </c>
      <c r="S2369" s="83" t="str">
        <f t="shared" si="255"/>
        <v/>
      </c>
      <c r="T2369" s="83" t="str">
        <f t="shared" si="252"/>
        <v/>
      </c>
      <c r="Y2369" s="60">
        <f t="shared" si="256"/>
        <v>0</v>
      </c>
      <c r="Z2369" s="49">
        <f t="shared" si="257"/>
        <v>0</v>
      </c>
      <c r="AA2369" s="60">
        <f t="shared" si="258"/>
        <v>0</v>
      </c>
    </row>
    <row r="2370" spans="1:27">
      <c r="A2370" s="83" t="str">
        <f t="shared" si="253"/>
        <v/>
      </c>
      <c r="B2370" s="83" t="str">
        <f t="shared" si="254"/>
        <v/>
      </c>
      <c r="S2370" s="83" t="str">
        <f t="shared" si="255"/>
        <v/>
      </c>
      <c r="T2370" s="83" t="str">
        <f t="shared" ref="T2370:T2433" si="259">IF(A2370&lt;&gt;"",IF(FIND(" ",G2370)&gt;=1,MID(G2370,FIND(" ",G2370)+1,LEN(G2370)),""),"")</f>
        <v/>
      </c>
      <c r="Y2370" s="60">
        <f t="shared" si="256"/>
        <v>0</v>
      </c>
      <c r="Z2370" s="49">
        <f t="shared" si="257"/>
        <v>0</v>
      </c>
      <c r="AA2370" s="60">
        <f t="shared" si="258"/>
        <v>0</v>
      </c>
    </row>
    <row r="2371" spans="1:27">
      <c r="A2371" s="83" t="str">
        <f t="shared" ref="A2371:A2434" si="260">IF(G2371&amp;Q2371&lt;&gt;"",S2371&amp;Q2371,"")</f>
        <v/>
      </c>
      <c r="B2371" s="83" t="str">
        <f t="shared" ref="B2371:B2434" si="261">IF(C2371&lt;&gt;"",LEFT(C2371,9),"")</f>
        <v/>
      </c>
      <c r="S2371" s="83" t="str">
        <f t="shared" ref="S2371:S2434" si="262">IF(G2371&lt;&gt;"",IF(FIND(" ",G2371)&gt;=1,MID(G2371,1,FIND(" ",G2371)-1),G2371),"")</f>
        <v/>
      </c>
      <c r="T2371" s="83" t="str">
        <f t="shared" si="259"/>
        <v/>
      </c>
      <c r="Y2371" s="60">
        <f t="shared" ref="Y2371:Y2434" si="263">IFERROR(VALUE(MID($C2371,1,2)),0)</f>
        <v>0</v>
      </c>
      <c r="Z2371" s="49">
        <f t="shared" ref="Z2371:Z2434" si="264">IFERROR(VALUE(MID($C2371,4,3)),0)</f>
        <v>0</v>
      </c>
      <c r="AA2371" s="60">
        <f t="shared" ref="AA2371:AA2434" si="265">VALUE(RIGHT("00"&amp;Y2371,2)&amp;RIGHT("000"&amp;Z2371,3))</f>
        <v>0</v>
      </c>
    </row>
    <row r="2372" spans="1:27">
      <c r="A2372" s="83" t="str">
        <f t="shared" si="260"/>
        <v/>
      </c>
      <c r="B2372" s="83" t="str">
        <f t="shared" si="261"/>
        <v/>
      </c>
      <c r="S2372" s="83" t="str">
        <f t="shared" si="262"/>
        <v/>
      </c>
      <c r="T2372" s="83" t="str">
        <f t="shared" si="259"/>
        <v/>
      </c>
      <c r="Y2372" s="60">
        <f t="shared" si="263"/>
        <v>0</v>
      </c>
      <c r="Z2372" s="49">
        <f t="shared" si="264"/>
        <v>0</v>
      </c>
      <c r="AA2372" s="60">
        <f t="shared" si="265"/>
        <v>0</v>
      </c>
    </row>
    <row r="2373" spans="1:27">
      <c r="A2373" s="83" t="str">
        <f t="shared" si="260"/>
        <v/>
      </c>
      <c r="B2373" s="83" t="str">
        <f t="shared" si="261"/>
        <v/>
      </c>
      <c r="S2373" s="83" t="str">
        <f t="shared" si="262"/>
        <v/>
      </c>
      <c r="T2373" s="83" t="str">
        <f t="shared" si="259"/>
        <v/>
      </c>
      <c r="Y2373" s="60">
        <f t="shared" si="263"/>
        <v>0</v>
      </c>
      <c r="Z2373" s="49">
        <f t="shared" si="264"/>
        <v>0</v>
      </c>
      <c r="AA2373" s="60">
        <f t="shared" si="265"/>
        <v>0</v>
      </c>
    </row>
    <row r="2374" spans="1:27">
      <c r="A2374" s="83" t="str">
        <f t="shared" si="260"/>
        <v/>
      </c>
      <c r="B2374" s="83" t="str">
        <f t="shared" si="261"/>
        <v/>
      </c>
      <c r="S2374" s="83" t="str">
        <f t="shared" si="262"/>
        <v/>
      </c>
      <c r="T2374" s="83" t="str">
        <f t="shared" si="259"/>
        <v/>
      </c>
      <c r="Y2374" s="60">
        <f t="shared" si="263"/>
        <v>0</v>
      </c>
      <c r="Z2374" s="49">
        <f t="shared" si="264"/>
        <v>0</v>
      </c>
      <c r="AA2374" s="60">
        <f t="shared" si="265"/>
        <v>0</v>
      </c>
    </row>
    <row r="2375" spans="1:27">
      <c r="A2375" s="83" t="str">
        <f t="shared" si="260"/>
        <v/>
      </c>
      <c r="B2375" s="83" t="str">
        <f t="shared" si="261"/>
        <v/>
      </c>
      <c r="S2375" s="83" t="str">
        <f t="shared" si="262"/>
        <v/>
      </c>
      <c r="T2375" s="83" t="str">
        <f t="shared" si="259"/>
        <v/>
      </c>
      <c r="Y2375" s="60">
        <f t="shared" si="263"/>
        <v>0</v>
      </c>
      <c r="Z2375" s="49">
        <f t="shared" si="264"/>
        <v>0</v>
      </c>
      <c r="AA2375" s="60">
        <f t="shared" si="265"/>
        <v>0</v>
      </c>
    </row>
    <row r="2376" spans="1:27">
      <c r="A2376" s="83" t="str">
        <f t="shared" si="260"/>
        <v/>
      </c>
      <c r="B2376" s="83" t="str">
        <f t="shared" si="261"/>
        <v/>
      </c>
      <c r="S2376" s="83" t="str">
        <f t="shared" si="262"/>
        <v/>
      </c>
      <c r="T2376" s="83" t="str">
        <f t="shared" si="259"/>
        <v/>
      </c>
      <c r="Y2376" s="60">
        <f t="shared" si="263"/>
        <v>0</v>
      </c>
      <c r="Z2376" s="49">
        <f t="shared" si="264"/>
        <v>0</v>
      </c>
      <c r="AA2376" s="60">
        <f t="shared" si="265"/>
        <v>0</v>
      </c>
    </row>
    <row r="2377" spans="1:27">
      <c r="A2377" s="83" t="str">
        <f t="shared" si="260"/>
        <v/>
      </c>
      <c r="B2377" s="83" t="str">
        <f t="shared" si="261"/>
        <v/>
      </c>
      <c r="S2377" s="83" t="str">
        <f t="shared" si="262"/>
        <v/>
      </c>
      <c r="T2377" s="83" t="str">
        <f t="shared" si="259"/>
        <v/>
      </c>
      <c r="Y2377" s="60">
        <f t="shared" si="263"/>
        <v>0</v>
      </c>
      <c r="Z2377" s="49">
        <f t="shared" si="264"/>
        <v>0</v>
      </c>
      <c r="AA2377" s="60">
        <f t="shared" si="265"/>
        <v>0</v>
      </c>
    </row>
    <row r="2378" spans="1:27">
      <c r="A2378" s="83" t="str">
        <f t="shared" si="260"/>
        <v/>
      </c>
      <c r="B2378" s="83" t="str">
        <f t="shared" si="261"/>
        <v/>
      </c>
      <c r="S2378" s="83" t="str">
        <f t="shared" si="262"/>
        <v/>
      </c>
      <c r="T2378" s="83" t="str">
        <f t="shared" si="259"/>
        <v/>
      </c>
      <c r="Y2378" s="60">
        <f t="shared" si="263"/>
        <v>0</v>
      </c>
      <c r="Z2378" s="49">
        <f t="shared" si="264"/>
        <v>0</v>
      </c>
      <c r="AA2378" s="60">
        <f t="shared" si="265"/>
        <v>0</v>
      </c>
    </row>
    <row r="2379" spans="1:27">
      <c r="A2379" s="83" t="str">
        <f t="shared" si="260"/>
        <v/>
      </c>
      <c r="B2379" s="83" t="str">
        <f t="shared" si="261"/>
        <v/>
      </c>
      <c r="S2379" s="83" t="str">
        <f t="shared" si="262"/>
        <v/>
      </c>
      <c r="T2379" s="83" t="str">
        <f t="shared" si="259"/>
        <v/>
      </c>
      <c r="Y2379" s="60">
        <f t="shared" si="263"/>
        <v>0</v>
      </c>
      <c r="Z2379" s="49">
        <f t="shared" si="264"/>
        <v>0</v>
      </c>
      <c r="AA2379" s="60">
        <f t="shared" si="265"/>
        <v>0</v>
      </c>
    </row>
    <row r="2380" spans="1:27">
      <c r="A2380" s="83" t="str">
        <f t="shared" si="260"/>
        <v/>
      </c>
      <c r="B2380" s="83" t="str">
        <f t="shared" si="261"/>
        <v/>
      </c>
      <c r="S2380" s="83" t="str">
        <f t="shared" si="262"/>
        <v/>
      </c>
      <c r="T2380" s="83" t="str">
        <f t="shared" si="259"/>
        <v/>
      </c>
      <c r="Y2380" s="60">
        <f t="shared" si="263"/>
        <v>0</v>
      </c>
      <c r="Z2380" s="49">
        <f t="shared" si="264"/>
        <v>0</v>
      </c>
      <c r="AA2380" s="60">
        <f t="shared" si="265"/>
        <v>0</v>
      </c>
    </row>
    <row r="2381" spans="1:27">
      <c r="A2381" s="83" t="str">
        <f t="shared" si="260"/>
        <v/>
      </c>
      <c r="B2381" s="83" t="str">
        <f t="shared" si="261"/>
        <v/>
      </c>
      <c r="S2381" s="83" t="str">
        <f t="shared" si="262"/>
        <v/>
      </c>
      <c r="T2381" s="83" t="str">
        <f t="shared" si="259"/>
        <v/>
      </c>
      <c r="Y2381" s="60">
        <f t="shared" si="263"/>
        <v>0</v>
      </c>
      <c r="Z2381" s="49">
        <f t="shared" si="264"/>
        <v>0</v>
      </c>
      <c r="AA2381" s="60">
        <f t="shared" si="265"/>
        <v>0</v>
      </c>
    </row>
    <row r="2382" spans="1:27">
      <c r="A2382" s="83" t="str">
        <f t="shared" si="260"/>
        <v/>
      </c>
      <c r="B2382" s="83" t="str">
        <f t="shared" si="261"/>
        <v/>
      </c>
      <c r="S2382" s="83" t="str">
        <f t="shared" si="262"/>
        <v/>
      </c>
      <c r="T2382" s="83" t="str">
        <f t="shared" si="259"/>
        <v/>
      </c>
      <c r="Y2382" s="60">
        <f t="shared" si="263"/>
        <v>0</v>
      </c>
      <c r="Z2382" s="49">
        <f t="shared" si="264"/>
        <v>0</v>
      </c>
      <c r="AA2382" s="60">
        <f t="shared" si="265"/>
        <v>0</v>
      </c>
    </row>
    <row r="2383" spans="1:27">
      <c r="A2383" s="83" t="str">
        <f t="shared" si="260"/>
        <v/>
      </c>
      <c r="B2383" s="83" t="str">
        <f t="shared" si="261"/>
        <v/>
      </c>
      <c r="S2383" s="83" t="str">
        <f t="shared" si="262"/>
        <v/>
      </c>
      <c r="T2383" s="83" t="str">
        <f t="shared" si="259"/>
        <v/>
      </c>
      <c r="Y2383" s="60">
        <f t="shared" si="263"/>
        <v>0</v>
      </c>
      <c r="Z2383" s="49">
        <f t="shared" si="264"/>
        <v>0</v>
      </c>
      <c r="AA2383" s="60">
        <f t="shared" si="265"/>
        <v>0</v>
      </c>
    </row>
    <row r="2384" spans="1:27">
      <c r="A2384" s="83" t="str">
        <f t="shared" si="260"/>
        <v/>
      </c>
      <c r="B2384" s="83" t="str">
        <f t="shared" si="261"/>
        <v/>
      </c>
      <c r="S2384" s="83" t="str">
        <f t="shared" si="262"/>
        <v/>
      </c>
      <c r="T2384" s="83" t="str">
        <f t="shared" si="259"/>
        <v/>
      </c>
      <c r="Y2384" s="60">
        <f t="shared" si="263"/>
        <v>0</v>
      </c>
      <c r="Z2384" s="49">
        <f t="shared" si="264"/>
        <v>0</v>
      </c>
      <c r="AA2384" s="60">
        <f t="shared" si="265"/>
        <v>0</v>
      </c>
    </row>
    <row r="2385" spans="1:27">
      <c r="A2385" s="83" t="str">
        <f t="shared" si="260"/>
        <v/>
      </c>
      <c r="B2385" s="83" t="str">
        <f t="shared" si="261"/>
        <v/>
      </c>
      <c r="S2385" s="83" t="str">
        <f t="shared" si="262"/>
        <v/>
      </c>
      <c r="T2385" s="83" t="str">
        <f t="shared" si="259"/>
        <v/>
      </c>
      <c r="Y2385" s="60">
        <f t="shared" si="263"/>
        <v>0</v>
      </c>
      <c r="Z2385" s="49">
        <f t="shared" si="264"/>
        <v>0</v>
      </c>
      <c r="AA2385" s="60">
        <f t="shared" si="265"/>
        <v>0</v>
      </c>
    </row>
    <row r="2386" spans="1:27">
      <c r="A2386" s="83" t="str">
        <f t="shared" si="260"/>
        <v/>
      </c>
      <c r="B2386" s="83" t="str">
        <f t="shared" si="261"/>
        <v/>
      </c>
      <c r="S2386" s="83" t="str">
        <f t="shared" si="262"/>
        <v/>
      </c>
      <c r="T2386" s="83" t="str">
        <f t="shared" si="259"/>
        <v/>
      </c>
      <c r="Y2386" s="60">
        <f t="shared" si="263"/>
        <v>0</v>
      </c>
      <c r="Z2386" s="49">
        <f t="shared" si="264"/>
        <v>0</v>
      </c>
      <c r="AA2386" s="60">
        <f t="shared" si="265"/>
        <v>0</v>
      </c>
    </row>
    <row r="2387" spans="1:27">
      <c r="A2387" s="83" t="str">
        <f t="shared" si="260"/>
        <v/>
      </c>
      <c r="B2387" s="83" t="str">
        <f t="shared" si="261"/>
        <v/>
      </c>
      <c r="S2387" s="83" t="str">
        <f t="shared" si="262"/>
        <v/>
      </c>
      <c r="T2387" s="83" t="str">
        <f t="shared" si="259"/>
        <v/>
      </c>
      <c r="Y2387" s="60">
        <f t="shared" si="263"/>
        <v>0</v>
      </c>
      <c r="Z2387" s="49">
        <f t="shared" si="264"/>
        <v>0</v>
      </c>
      <c r="AA2387" s="60">
        <f t="shared" si="265"/>
        <v>0</v>
      </c>
    </row>
    <row r="2388" spans="1:27">
      <c r="A2388" s="83" t="str">
        <f t="shared" si="260"/>
        <v/>
      </c>
      <c r="B2388" s="83" t="str">
        <f t="shared" si="261"/>
        <v/>
      </c>
      <c r="S2388" s="83" t="str">
        <f t="shared" si="262"/>
        <v/>
      </c>
      <c r="T2388" s="83" t="str">
        <f t="shared" si="259"/>
        <v/>
      </c>
      <c r="Y2388" s="60">
        <f t="shared" si="263"/>
        <v>0</v>
      </c>
      <c r="Z2388" s="49">
        <f t="shared" si="264"/>
        <v>0</v>
      </c>
      <c r="AA2388" s="60">
        <f t="shared" si="265"/>
        <v>0</v>
      </c>
    </row>
    <row r="2389" spans="1:27">
      <c r="A2389" s="83" t="str">
        <f t="shared" si="260"/>
        <v/>
      </c>
      <c r="B2389" s="83" t="str">
        <f t="shared" si="261"/>
        <v/>
      </c>
      <c r="S2389" s="83" t="str">
        <f t="shared" si="262"/>
        <v/>
      </c>
      <c r="T2389" s="83" t="str">
        <f t="shared" si="259"/>
        <v/>
      </c>
      <c r="Y2389" s="60">
        <f t="shared" si="263"/>
        <v>0</v>
      </c>
      <c r="Z2389" s="49">
        <f t="shared" si="264"/>
        <v>0</v>
      </c>
      <c r="AA2389" s="60">
        <f t="shared" si="265"/>
        <v>0</v>
      </c>
    </row>
    <row r="2390" spans="1:27">
      <c r="A2390" s="83" t="str">
        <f t="shared" si="260"/>
        <v/>
      </c>
      <c r="B2390" s="83" t="str">
        <f t="shared" si="261"/>
        <v/>
      </c>
      <c r="S2390" s="83" t="str">
        <f t="shared" si="262"/>
        <v/>
      </c>
      <c r="T2390" s="83" t="str">
        <f t="shared" si="259"/>
        <v/>
      </c>
      <c r="Y2390" s="60">
        <f t="shared" si="263"/>
        <v>0</v>
      </c>
      <c r="Z2390" s="49">
        <f t="shared" si="264"/>
        <v>0</v>
      </c>
      <c r="AA2390" s="60">
        <f t="shared" si="265"/>
        <v>0</v>
      </c>
    </row>
    <row r="2391" spans="1:27">
      <c r="A2391" s="83" t="str">
        <f t="shared" si="260"/>
        <v/>
      </c>
      <c r="B2391" s="83" t="str">
        <f t="shared" si="261"/>
        <v/>
      </c>
      <c r="S2391" s="83" t="str">
        <f t="shared" si="262"/>
        <v/>
      </c>
      <c r="T2391" s="83" t="str">
        <f t="shared" si="259"/>
        <v/>
      </c>
      <c r="Y2391" s="60">
        <f t="shared" si="263"/>
        <v>0</v>
      </c>
      <c r="Z2391" s="49">
        <f t="shared" si="264"/>
        <v>0</v>
      </c>
      <c r="AA2391" s="60">
        <f t="shared" si="265"/>
        <v>0</v>
      </c>
    </row>
    <row r="2392" spans="1:27">
      <c r="A2392" s="83" t="str">
        <f t="shared" si="260"/>
        <v/>
      </c>
      <c r="B2392" s="83" t="str">
        <f t="shared" si="261"/>
        <v/>
      </c>
      <c r="S2392" s="83" t="str">
        <f t="shared" si="262"/>
        <v/>
      </c>
      <c r="T2392" s="83" t="str">
        <f t="shared" si="259"/>
        <v/>
      </c>
      <c r="Y2392" s="60">
        <f t="shared" si="263"/>
        <v>0</v>
      </c>
      <c r="Z2392" s="49">
        <f t="shared" si="264"/>
        <v>0</v>
      </c>
      <c r="AA2392" s="60">
        <f t="shared" si="265"/>
        <v>0</v>
      </c>
    </row>
    <row r="2393" spans="1:27">
      <c r="A2393" s="83" t="str">
        <f t="shared" si="260"/>
        <v/>
      </c>
      <c r="B2393" s="83" t="str">
        <f t="shared" si="261"/>
        <v/>
      </c>
      <c r="S2393" s="83" t="str">
        <f t="shared" si="262"/>
        <v/>
      </c>
      <c r="T2393" s="83" t="str">
        <f t="shared" si="259"/>
        <v/>
      </c>
      <c r="Y2393" s="60">
        <f t="shared" si="263"/>
        <v>0</v>
      </c>
      <c r="Z2393" s="49">
        <f t="shared" si="264"/>
        <v>0</v>
      </c>
      <c r="AA2393" s="60">
        <f t="shared" si="265"/>
        <v>0</v>
      </c>
    </row>
    <row r="2394" spans="1:27">
      <c r="A2394" s="83" t="str">
        <f t="shared" si="260"/>
        <v/>
      </c>
      <c r="B2394" s="83" t="str">
        <f t="shared" si="261"/>
        <v/>
      </c>
      <c r="S2394" s="83" t="str">
        <f t="shared" si="262"/>
        <v/>
      </c>
      <c r="T2394" s="83" t="str">
        <f t="shared" si="259"/>
        <v/>
      </c>
      <c r="Y2394" s="60">
        <f t="shared" si="263"/>
        <v>0</v>
      </c>
      <c r="Z2394" s="49">
        <f t="shared" si="264"/>
        <v>0</v>
      </c>
      <c r="AA2394" s="60">
        <f t="shared" si="265"/>
        <v>0</v>
      </c>
    </row>
    <row r="2395" spans="1:27">
      <c r="A2395" s="83" t="str">
        <f t="shared" si="260"/>
        <v/>
      </c>
      <c r="B2395" s="83" t="str">
        <f t="shared" si="261"/>
        <v/>
      </c>
      <c r="S2395" s="83" t="str">
        <f t="shared" si="262"/>
        <v/>
      </c>
      <c r="T2395" s="83" t="str">
        <f t="shared" si="259"/>
        <v/>
      </c>
      <c r="Y2395" s="60">
        <f t="shared" si="263"/>
        <v>0</v>
      </c>
      <c r="Z2395" s="49">
        <f t="shared" si="264"/>
        <v>0</v>
      </c>
      <c r="AA2395" s="60">
        <f t="shared" si="265"/>
        <v>0</v>
      </c>
    </row>
    <row r="2396" spans="1:27">
      <c r="A2396" s="83" t="str">
        <f t="shared" si="260"/>
        <v/>
      </c>
      <c r="B2396" s="83" t="str">
        <f t="shared" si="261"/>
        <v/>
      </c>
      <c r="S2396" s="83" t="str">
        <f t="shared" si="262"/>
        <v/>
      </c>
      <c r="T2396" s="83" t="str">
        <f t="shared" si="259"/>
        <v/>
      </c>
      <c r="Y2396" s="60">
        <f t="shared" si="263"/>
        <v>0</v>
      </c>
      <c r="Z2396" s="49">
        <f t="shared" si="264"/>
        <v>0</v>
      </c>
      <c r="AA2396" s="60">
        <f t="shared" si="265"/>
        <v>0</v>
      </c>
    </row>
    <row r="2397" spans="1:27">
      <c r="A2397" s="83" t="str">
        <f t="shared" si="260"/>
        <v/>
      </c>
      <c r="B2397" s="83" t="str">
        <f t="shared" si="261"/>
        <v/>
      </c>
      <c r="S2397" s="83" t="str">
        <f t="shared" si="262"/>
        <v/>
      </c>
      <c r="T2397" s="83" t="str">
        <f t="shared" si="259"/>
        <v/>
      </c>
      <c r="Y2397" s="60">
        <f t="shared" si="263"/>
        <v>0</v>
      </c>
      <c r="Z2397" s="49">
        <f t="shared" si="264"/>
        <v>0</v>
      </c>
      <c r="AA2397" s="60">
        <f t="shared" si="265"/>
        <v>0</v>
      </c>
    </row>
    <row r="2398" spans="1:27">
      <c r="A2398" s="83" t="str">
        <f t="shared" si="260"/>
        <v/>
      </c>
      <c r="B2398" s="83" t="str">
        <f t="shared" si="261"/>
        <v/>
      </c>
      <c r="S2398" s="83" t="str">
        <f t="shared" si="262"/>
        <v/>
      </c>
      <c r="T2398" s="83" t="str">
        <f t="shared" si="259"/>
        <v/>
      </c>
      <c r="Y2398" s="60">
        <f t="shared" si="263"/>
        <v>0</v>
      </c>
      <c r="Z2398" s="49">
        <f t="shared" si="264"/>
        <v>0</v>
      </c>
      <c r="AA2398" s="60">
        <f t="shared" si="265"/>
        <v>0</v>
      </c>
    </row>
    <row r="2399" spans="1:27">
      <c r="A2399" s="83" t="str">
        <f t="shared" si="260"/>
        <v/>
      </c>
      <c r="B2399" s="83" t="str">
        <f t="shared" si="261"/>
        <v/>
      </c>
      <c r="S2399" s="83" t="str">
        <f t="shared" si="262"/>
        <v/>
      </c>
      <c r="T2399" s="83" t="str">
        <f t="shared" si="259"/>
        <v/>
      </c>
      <c r="Y2399" s="60">
        <f t="shared" si="263"/>
        <v>0</v>
      </c>
      <c r="Z2399" s="49">
        <f t="shared" si="264"/>
        <v>0</v>
      </c>
      <c r="AA2399" s="60">
        <f t="shared" si="265"/>
        <v>0</v>
      </c>
    </row>
    <row r="2400" spans="1:27">
      <c r="A2400" s="83" t="str">
        <f t="shared" si="260"/>
        <v/>
      </c>
      <c r="B2400" s="83" t="str">
        <f t="shared" si="261"/>
        <v/>
      </c>
      <c r="S2400" s="83" t="str">
        <f t="shared" si="262"/>
        <v/>
      </c>
      <c r="T2400" s="83" t="str">
        <f t="shared" si="259"/>
        <v/>
      </c>
      <c r="Y2400" s="60">
        <f t="shared" si="263"/>
        <v>0</v>
      </c>
      <c r="Z2400" s="49">
        <f t="shared" si="264"/>
        <v>0</v>
      </c>
      <c r="AA2400" s="60">
        <f t="shared" si="265"/>
        <v>0</v>
      </c>
    </row>
    <row r="2401" spans="1:27">
      <c r="A2401" s="83" t="str">
        <f t="shared" si="260"/>
        <v/>
      </c>
      <c r="B2401" s="83" t="str">
        <f t="shared" si="261"/>
        <v/>
      </c>
      <c r="S2401" s="83" t="str">
        <f t="shared" si="262"/>
        <v/>
      </c>
      <c r="T2401" s="83" t="str">
        <f t="shared" si="259"/>
        <v/>
      </c>
      <c r="Y2401" s="60">
        <f t="shared" si="263"/>
        <v>0</v>
      </c>
      <c r="Z2401" s="49">
        <f t="shared" si="264"/>
        <v>0</v>
      </c>
      <c r="AA2401" s="60">
        <f t="shared" si="265"/>
        <v>0</v>
      </c>
    </row>
    <row r="2402" spans="1:27">
      <c r="A2402" s="83" t="str">
        <f t="shared" si="260"/>
        <v/>
      </c>
      <c r="B2402" s="83" t="str">
        <f t="shared" si="261"/>
        <v/>
      </c>
      <c r="S2402" s="83" t="str">
        <f t="shared" si="262"/>
        <v/>
      </c>
      <c r="T2402" s="83" t="str">
        <f t="shared" si="259"/>
        <v/>
      </c>
      <c r="Y2402" s="60">
        <f t="shared" si="263"/>
        <v>0</v>
      </c>
      <c r="Z2402" s="49">
        <f t="shared" si="264"/>
        <v>0</v>
      </c>
      <c r="AA2402" s="60">
        <f t="shared" si="265"/>
        <v>0</v>
      </c>
    </row>
    <row r="2403" spans="1:27">
      <c r="A2403" s="83" t="str">
        <f t="shared" si="260"/>
        <v/>
      </c>
      <c r="B2403" s="83" t="str">
        <f t="shared" si="261"/>
        <v/>
      </c>
      <c r="S2403" s="83" t="str">
        <f t="shared" si="262"/>
        <v/>
      </c>
      <c r="T2403" s="83" t="str">
        <f t="shared" si="259"/>
        <v/>
      </c>
      <c r="Y2403" s="60">
        <f t="shared" si="263"/>
        <v>0</v>
      </c>
      <c r="Z2403" s="49">
        <f t="shared" si="264"/>
        <v>0</v>
      </c>
      <c r="AA2403" s="60">
        <f t="shared" si="265"/>
        <v>0</v>
      </c>
    </row>
    <row r="2404" spans="1:27">
      <c r="A2404" s="83" t="str">
        <f t="shared" si="260"/>
        <v/>
      </c>
      <c r="B2404" s="83" t="str">
        <f t="shared" si="261"/>
        <v/>
      </c>
      <c r="S2404" s="83" t="str">
        <f t="shared" si="262"/>
        <v/>
      </c>
      <c r="T2404" s="83" t="str">
        <f t="shared" si="259"/>
        <v/>
      </c>
      <c r="Y2404" s="60">
        <f t="shared" si="263"/>
        <v>0</v>
      </c>
      <c r="Z2404" s="49">
        <f t="shared" si="264"/>
        <v>0</v>
      </c>
      <c r="AA2404" s="60">
        <f t="shared" si="265"/>
        <v>0</v>
      </c>
    </row>
    <row r="2405" spans="1:27">
      <c r="A2405" s="83" t="str">
        <f t="shared" si="260"/>
        <v/>
      </c>
      <c r="B2405" s="83" t="str">
        <f t="shared" si="261"/>
        <v/>
      </c>
      <c r="S2405" s="83" t="str">
        <f t="shared" si="262"/>
        <v/>
      </c>
      <c r="T2405" s="83" t="str">
        <f t="shared" si="259"/>
        <v/>
      </c>
      <c r="Y2405" s="60">
        <f t="shared" si="263"/>
        <v>0</v>
      </c>
      <c r="Z2405" s="49">
        <f t="shared" si="264"/>
        <v>0</v>
      </c>
      <c r="AA2405" s="60">
        <f t="shared" si="265"/>
        <v>0</v>
      </c>
    </row>
    <row r="2406" spans="1:27">
      <c r="A2406" s="83" t="str">
        <f t="shared" si="260"/>
        <v/>
      </c>
      <c r="B2406" s="83" t="str">
        <f t="shared" si="261"/>
        <v/>
      </c>
      <c r="S2406" s="83" t="str">
        <f t="shared" si="262"/>
        <v/>
      </c>
      <c r="T2406" s="83" t="str">
        <f t="shared" si="259"/>
        <v/>
      </c>
      <c r="Y2406" s="60">
        <f t="shared" si="263"/>
        <v>0</v>
      </c>
      <c r="Z2406" s="49">
        <f t="shared" si="264"/>
        <v>0</v>
      </c>
      <c r="AA2406" s="60">
        <f t="shared" si="265"/>
        <v>0</v>
      </c>
    </row>
    <row r="2407" spans="1:27">
      <c r="A2407" s="83" t="str">
        <f t="shared" si="260"/>
        <v/>
      </c>
      <c r="B2407" s="83" t="str">
        <f t="shared" si="261"/>
        <v/>
      </c>
      <c r="S2407" s="83" t="str">
        <f t="shared" si="262"/>
        <v/>
      </c>
      <c r="T2407" s="83" t="str">
        <f t="shared" si="259"/>
        <v/>
      </c>
      <c r="Y2407" s="60">
        <f t="shared" si="263"/>
        <v>0</v>
      </c>
      <c r="Z2407" s="49">
        <f t="shared" si="264"/>
        <v>0</v>
      </c>
      <c r="AA2407" s="60">
        <f t="shared" si="265"/>
        <v>0</v>
      </c>
    </row>
    <row r="2408" spans="1:27">
      <c r="A2408" s="83" t="str">
        <f t="shared" si="260"/>
        <v/>
      </c>
      <c r="B2408" s="83" t="str">
        <f t="shared" si="261"/>
        <v/>
      </c>
      <c r="S2408" s="83" t="str">
        <f t="shared" si="262"/>
        <v/>
      </c>
      <c r="T2408" s="83" t="str">
        <f t="shared" si="259"/>
        <v/>
      </c>
      <c r="Y2408" s="60">
        <f t="shared" si="263"/>
        <v>0</v>
      </c>
      <c r="Z2408" s="49">
        <f t="shared" si="264"/>
        <v>0</v>
      </c>
      <c r="AA2408" s="60">
        <f t="shared" si="265"/>
        <v>0</v>
      </c>
    </row>
    <row r="2409" spans="1:27">
      <c r="A2409" s="83" t="str">
        <f t="shared" si="260"/>
        <v/>
      </c>
      <c r="B2409" s="83" t="str">
        <f t="shared" si="261"/>
        <v/>
      </c>
      <c r="S2409" s="83" t="str">
        <f t="shared" si="262"/>
        <v/>
      </c>
      <c r="T2409" s="83" t="str">
        <f t="shared" si="259"/>
        <v/>
      </c>
      <c r="Y2409" s="60">
        <f t="shared" si="263"/>
        <v>0</v>
      </c>
      <c r="Z2409" s="49">
        <f t="shared" si="264"/>
        <v>0</v>
      </c>
      <c r="AA2409" s="60">
        <f t="shared" si="265"/>
        <v>0</v>
      </c>
    </row>
    <row r="2410" spans="1:27">
      <c r="A2410" s="83" t="str">
        <f t="shared" si="260"/>
        <v/>
      </c>
      <c r="B2410" s="83" t="str">
        <f t="shared" si="261"/>
        <v/>
      </c>
      <c r="S2410" s="83" t="str">
        <f t="shared" si="262"/>
        <v/>
      </c>
      <c r="T2410" s="83" t="str">
        <f t="shared" si="259"/>
        <v/>
      </c>
      <c r="Y2410" s="60">
        <f t="shared" si="263"/>
        <v>0</v>
      </c>
      <c r="Z2410" s="49">
        <f t="shared" si="264"/>
        <v>0</v>
      </c>
      <c r="AA2410" s="60">
        <f t="shared" si="265"/>
        <v>0</v>
      </c>
    </row>
    <row r="2411" spans="1:27">
      <c r="A2411" s="83" t="str">
        <f t="shared" si="260"/>
        <v/>
      </c>
      <c r="B2411" s="83" t="str">
        <f t="shared" si="261"/>
        <v/>
      </c>
      <c r="S2411" s="83" t="str">
        <f t="shared" si="262"/>
        <v/>
      </c>
      <c r="T2411" s="83" t="str">
        <f t="shared" si="259"/>
        <v/>
      </c>
      <c r="Y2411" s="60">
        <f t="shared" si="263"/>
        <v>0</v>
      </c>
      <c r="Z2411" s="49">
        <f t="shared" si="264"/>
        <v>0</v>
      </c>
      <c r="AA2411" s="60">
        <f t="shared" si="265"/>
        <v>0</v>
      </c>
    </row>
    <row r="2412" spans="1:27">
      <c r="A2412" s="83" t="str">
        <f t="shared" si="260"/>
        <v/>
      </c>
      <c r="B2412" s="83" t="str">
        <f t="shared" si="261"/>
        <v/>
      </c>
      <c r="S2412" s="83" t="str">
        <f t="shared" si="262"/>
        <v/>
      </c>
      <c r="T2412" s="83" t="str">
        <f t="shared" si="259"/>
        <v/>
      </c>
      <c r="Y2412" s="60">
        <f t="shared" si="263"/>
        <v>0</v>
      </c>
      <c r="Z2412" s="49">
        <f t="shared" si="264"/>
        <v>0</v>
      </c>
      <c r="AA2412" s="60">
        <f t="shared" si="265"/>
        <v>0</v>
      </c>
    </row>
    <row r="2413" spans="1:27">
      <c r="A2413" s="83" t="str">
        <f t="shared" si="260"/>
        <v/>
      </c>
      <c r="B2413" s="83" t="str">
        <f t="shared" si="261"/>
        <v/>
      </c>
      <c r="S2413" s="83" t="str">
        <f t="shared" si="262"/>
        <v/>
      </c>
      <c r="T2413" s="83" t="str">
        <f t="shared" si="259"/>
        <v/>
      </c>
      <c r="Y2413" s="60">
        <f t="shared" si="263"/>
        <v>0</v>
      </c>
      <c r="Z2413" s="49">
        <f t="shared" si="264"/>
        <v>0</v>
      </c>
      <c r="AA2413" s="60">
        <f t="shared" si="265"/>
        <v>0</v>
      </c>
    </row>
    <row r="2414" spans="1:27">
      <c r="A2414" s="83" t="str">
        <f t="shared" si="260"/>
        <v/>
      </c>
      <c r="B2414" s="83" t="str">
        <f t="shared" si="261"/>
        <v/>
      </c>
      <c r="S2414" s="83" t="str">
        <f t="shared" si="262"/>
        <v/>
      </c>
      <c r="T2414" s="83" t="str">
        <f t="shared" si="259"/>
        <v/>
      </c>
      <c r="Y2414" s="60">
        <f t="shared" si="263"/>
        <v>0</v>
      </c>
      <c r="Z2414" s="49">
        <f t="shared" si="264"/>
        <v>0</v>
      </c>
      <c r="AA2414" s="60">
        <f t="shared" si="265"/>
        <v>0</v>
      </c>
    </row>
    <row r="2415" spans="1:27">
      <c r="A2415" s="83" t="str">
        <f t="shared" si="260"/>
        <v/>
      </c>
      <c r="B2415" s="83" t="str">
        <f t="shared" si="261"/>
        <v/>
      </c>
      <c r="S2415" s="83" t="str">
        <f t="shared" si="262"/>
        <v/>
      </c>
      <c r="T2415" s="83" t="str">
        <f t="shared" si="259"/>
        <v/>
      </c>
      <c r="Y2415" s="60">
        <f t="shared" si="263"/>
        <v>0</v>
      </c>
      <c r="Z2415" s="49">
        <f t="shared" si="264"/>
        <v>0</v>
      </c>
      <c r="AA2415" s="60">
        <f t="shared" si="265"/>
        <v>0</v>
      </c>
    </row>
    <row r="2416" spans="1:27">
      <c r="A2416" s="83" t="str">
        <f t="shared" si="260"/>
        <v/>
      </c>
      <c r="B2416" s="83" t="str">
        <f t="shared" si="261"/>
        <v/>
      </c>
      <c r="S2416" s="83" t="str">
        <f t="shared" si="262"/>
        <v/>
      </c>
      <c r="T2416" s="83" t="str">
        <f t="shared" si="259"/>
        <v/>
      </c>
      <c r="Y2416" s="60">
        <f t="shared" si="263"/>
        <v>0</v>
      </c>
      <c r="Z2416" s="49">
        <f t="shared" si="264"/>
        <v>0</v>
      </c>
      <c r="AA2416" s="60">
        <f t="shared" si="265"/>
        <v>0</v>
      </c>
    </row>
    <row r="2417" spans="1:27">
      <c r="A2417" s="83" t="str">
        <f t="shared" si="260"/>
        <v/>
      </c>
      <c r="B2417" s="83" t="str">
        <f t="shared" si="261"/>
        <v/>
      </c>
      <c r="S2417" s="83" t="str">
        <f t="shared" si="262"/>
        <v/>
      </c>
      <c r="T2417" s="83" t="str">
        <f t="shared" si="259"/>
        <v/>
      </c>
      <c r="Y2417" s="60">
        <f t="shared" si="263"/>
        <v>0</v>
      </c>
      <c r="Z2417" s="49">
        <f t="shared" si="264"/>
        <v>0</v>
      </c>
      <c r="AA2417" s="60">
        <f t="shared" si="265"/>
        <v>0</v>
      </c>
    </row>
    <row r="2418" spans="1:27">
      <c r="A2418" s="83" t="str">
        <f t="shared" si="260"/>
        <v/>
      </c>
      <c r="B2418" s="83" t="str">
        <f t="shared" si="261"/>
        <v/>
      </c>
      <c r="S2418" s="83" t="str">
        <f t="shared" si="262"/>
        <v/>
      </c>
      <c r="T2418" s="83" t="str">
        <f t="shared" si="259"/>
        <v/>
      </c>
      <c r="Y2418" s="60">
        <f t="shared" si="263"/>
        <v>0</v>
      </c>
      <c r="Z2418" s="49">
        <f t="shared" si="264"/>
        <v>0</v>
      </c>
      <c r="AA2418" s="60">
        <f t="shared" si="265"/>
        <v>0</v>
      </c>
    </row>
    <row r="2419" spans="1:27">
      <c r="A2419" s="83" t="str">
        <f t="shared" si="260"/>
        <v/>
      </c>
      <c r="B2419" s="83" t="str">
        <f t="shared" si="261"/>
        <v/>
      </c>
      <c r="S2419" s="83" t="str">
        <f t="shared" si="262"/>
        <v/>
      </c>
      <c r="T2419" s="83" t="str">
        <f t="shared" si="259"/>
        <v/>
      </c>
      <c r="Y2419" s="60">
        <f t="shared" si="263"/>
        <v>0</v>
      </c>
      <c r="Z2419" s="49">
        <f t="shared" si="264"/>
        <v>0</v>
      </c>
      <c r="AA2419" s="60">
        <f t="shared" si="265"/>
        <v>0</v>
      </c>
    </row>
    <row r="2420" spans="1:27">
      <c r="A2420" s="83" t="str">
        <f t="shared" si="260"/>
        <v/>
      </c>
      <c r="B2420" s="83" t="str">
        <f t="shared" si="261"/>
        <v/>
      </c>
      <c r="S2420" s="83" t="str">
        <f t="shared" si="262"/>
        <v/>
      </c>
      <c r="T2420" s="83" t="str">
        <f t="shared" si="259"/>
        <v/>
      </c>
      <c r="Y2420" s="60">
        <f t="shared" si="263"/>
        <v>0</v>
      </c>
      <c r="Z2420" s="49">
        <f t="shared" si="264"/>
        <v>0</v>
      </c>
      <c r="AA2420" s="60">
        <f t="shared" si="265"/>
        <v>0</v>
      </c>
    </row>
    <row r="2421" spans="1:27">
      <c r="A2421" s="83" t="str">
        <f t="shared" si="260"/>
        <v/>
      </c>
      <c r="B2421" s="83" t="str">
        <f t="shared" si="261"/>
        <v/>
      </c>
      <c r="S2421" s="83" t="str">
        <f t="shared" si="262"/>
        <v/>
      </c>
      <c r="T2421" s="83" t="str">
        <f t="shared" si="259"/>
        <v/>
      </c>
      <c r="Y2421" s="60">
        <f t="shared" si="263"/>
        <v>0</v>
      </c>
      <c r="Z2421" s="49">
        <f t="shared" si="264"/>
        <v>0</v>
      </c>
      <c r="AA2421" s="60">
        <f t="shared" si="265"/>
        <v>0</v>
      </c>
    </row>
    <row r="2422" spans="1:27">
      <c r="A2422" s="83" t="str">
        <f t="shared" si="260"/>
        <v/>
      </c>
      <c r="B2422" s="83" t="str">
        <f t="shared" si="261"/>
        <v/>
      </c>
      <c r="S2422" s="83" t="str">
        <f t="shared" si="262"/>
        <v/>
      </c>
      <c r="T2422" s="83" t="str">
        <f t="shared" si="259"/>
        <v/>
      </c>
      <c r="Y2422" s="60">
        <f t="shared" si="263"/>
        <v>0</v>
      </c>
      <c r="Z2422" s="49">
        <f t="shared" si="264"/>
        <v>0</v>
      </c>
      <c r="AA2422" s="60">
        <f t="shared" si="265"/>
        <v>0</v>
      </c>
    </row>
    <row r="2423" spans="1:27">
      <c r="A2423" s="83" t="str">
        <f t="shared" si="260"/>
        <v/>
      </c>
      <c r="B2423" s="83" t="str">
        <f t="shared" si="261"/>
        <v/>
      </c>
      <c r="S2423" s="83" t="str">
        <f t="shared" si="262"/>
        <v/>
      </c>
      <c r="T2423" s="83" t="str">
        <f t="shared" si="259"/>
        <v/>
      </c>
      <c r="Y2423" s="60">
        <f t="shared" si="263"/>
        <v>0</v>
      </c>
      <c r="Z2423" s="49">
        <f t="shared" si="264"/>
        <v>0</v>
      </c>
      <c r="AA2423" s="60">
        <f t="shared" si="265"/>
        <v>0</v>
      </c>
    </row>
    <row r="2424" spans="1:27">
      <c r="A2424" s="83" t="str">
        <f t="shared" si="260"/>
        <v/>
      </c>
      <c r="B2424" s="83" t="str">
        <f t="shared" si="261"/>
        <v/>
      </c>
      <c r="S2424" s="83" t="str">
        <f t="shared" si="262"/>
        <v/>
      </c>
      <c r="T2424" s="83" t="str">
        <f t="shared" si="259"/>
        <v/>
      </c>
      <c r="Y2424" s="60">
        <f t="shared" si="263"/>
        <v>0</v>
      </c>
      <c r="Z2424" s="49">
        <f t="shared" si="264"/>
        <v>0</v>
      </c>
      <c r="AA2424" s="60">
        <f t="shared" si="265"/>
        <v>0</v>
      </c>
    </row>
    <row r="2425" spans="1:27">
      <c r="A2425" s="83" t="str">
        <f t="shared" si="260"/>
        <v/>
      </c>
      <c r="B2425" s="83" t="str">
        <f t="shared" si="261"/>
        <v/>
      </c>
      <c r="S2425" s="83" t="str">
        <f t="shared" si="262"/>
        <v/>
      </c>
      <c r="T2425" s="83" t="str">
        <f t="shared" si="259"/>
        <v/>
      </c>
      <c r="Y2425" s="60">
        <f t="shared" si="263"/>
        <v>0</v>
      </c>
      <c r="Z2425" s="49">
        <f t="shared" si="264"/>
        <v>0</v>
      </c>
      <c r="AA2425" s="60">
        <f t="shared" si="265"/>
        <v>0</v>
      </c>
    </row>
    <row r="2426" spans="1:27">
      <c r="A2426" s="83" t="str">
        <f t="shared" si="260"/>
        <v/>
      </c>
      <c r="B2426" s="83" t="str">
        <f t="shared" si="261"/>
        <v/>
      </c>
      <c r="S2426" s="83" t="str">
        <f t="shared" si="262"/>
        <v/>
      </c>
      <c r="T2426" s="83" t="str">
        <f t="shared" si="259"/>
        <v/>
      </c>
      <c r="Y2426" s="60">
        <f t="shared" si="263"/>
        <v>0</v>
      </c>
      <c r="Z2426" s="49">
        <f t="shared" si="264"/>
        <v>0</v>
      </c>
      <c r="AA2426" s="60">
        <f t="shared" si="265"/>
        <v>0</v>
      </c>
    </row>
    <row r="2427" spans="1:27">
      <c r="A2427" s="83" t="str">
        <f t="shared" si="260"/>
        <v/>
      </c>
      <c r="B2427" s="83" t="str">
        <f t="shared" si="261"/>
        <v/>
      </c>
      <c r="S2427" s="83" t="str">
        <f t="shared" si="262"/>
        <v/>
      </c>
      <c r="T2427" s="83" t="str">
        <f t="shared" si="259"/>
        <v/>
      </c>
      <c r="Y2427" s="60">
        <f t="shared" si="263"/>
        <v>0</v>
      </c>
      <c r="Z2427" s="49">
        <f t="shared" si="264"/>
        <v>0</v>
      </c>
      <c r="AA2427" s="60">
        <f t="shared" si="265"/>
        <v>0</v>
      </c>
    </row>
    <row r="2428" spans="1:27">
      <c r="A2428" s="83" t="str">
        <f t="shared" si="260"/>
        <v/>
      </c>
      <c r="B2428" s="83" t="str">
        <f t="shared" si="261"/>
        <v/>
      </c>
      <c r="S2428" s="83" t="str">
        <f t="shared" si="262"/>
        <v/>
      </c>
      <c r="T2428" s="83" t="str">
        <f t="shared" si="259"/>
        <v/>
      </c>
      <c r="Y2428" s="60">
        <f t="shared" si="263"/>
        <v>0</v>
      </c>
      <c r="Z2428" s="49">
        <f t="shared" si="264"/>
        <v>0</v>
      </c>
      <c r="AA2428" s="60">
        <f t="shared" si="265"/>
        <v>0</v>
      </c>
    </row>
    <row r="2429" spans="1:27">
      <c r="A2429" s="83" t="str">
        <f t="shared" si="260"/>
        <v/>
      </c>
      <c r="B2429" s="83" t="str">
        <f t="shared" si="261"/>
        <v/>
      </c>
      <c r="S2429" s="83" t="str">
        <f t="shared" si="262"/>
        <v/>
      </c>
      <c r="T2429" s="83" t="str">
        <f t="shared" si="259"/>
        <v/>
      </c>
      <c r="Y2429" s="60">
        <f t="shared" si="263"/>
        <v>0</v>
      </c>
      <c r="Z2429" s="49">
        <f t="shared" si="264"/>
        <v>0</v>
      </c>
      <c r="AA2429" s="60">
        <f t="shared" si="265"/>
        <v>0</v>
      </c>
    </row>
    <row r="2430" spans="1:27">
      <c r="A2430" s="83" t="str">
        <f t="shared" si="260"/>
        <v/>
      </c>
      <c r="B2430" s="83" t="str">
        <f t="shared" si="261"/>
        <v/>
      </c>
      <c r="S2430" s="83" t="str">
        <f t="shared" si="262"/>
        <v/>
      </c>
      <c r="T2430" s="83" t="str">
        <f t="shared" si="259"/>
        <v/>
      </c>
      <c r="Y2430" s="60">
        <f t="shared" si="263"/>
        <v>0</v>
      </c>
      <c r="Z2430" s="49">
        <f t="shared" si="264"/>
        <v>0</v>
      </c>
      <c r="AA2430" s="60">
        <f t="shared" si="265"/>
        <v>0</v>
      </c>
    </row>
    <row r="2431" spans="1:27">
      <c r="A2431" s="83" t="str">
        <f t="shared" si="260"/>
        <v/>
      </c>
      <c r="B2431" s="83" t="str">
        <f t="shared" si="261"/>
        <v/>
      </c>
      <c r="S2431" s="83" t="str">
        <f t="shared" si="262"/>
        <v/>
      </c>
      <c r="T2431" s="83" t="str">
        <f t="shared" si="259"/>
        <v/>
      </c>
      <c r="Y2431" s="60">
        <f t="shared" si="263"/>
        <v>0</v>
      </c>
      <c r="Z2431" s="49">
        <f t="shared" si="264"/>
        <v>0</v>
      </c>
      <c r="AA2431" s="60">
        <f t="shared" si="265"/>
        <v>0</v>
      </c>
    </row>
    <row r="2432" spans="1:27">
      <c r="A2432" s="83" t="str">
        <f t="shared" si="260"/>
        <v/>
      </c>
      <c r="B2432" s="83" t="str">
        <f t="shared" si="261"/>
        <v/>
      </c>
      <c r="S2432" s="83" t="str">
        <f t="shared" si="262"/>
        <v/>
      </c>
      <c r="T2432" s="83" t="str">
        <f t="shared" si="259"/>
        <v/>
      </c>
      <c r="Y2432" s="60">
        <f t="shared" si="263"/>
        <v>0</v>
      </c>
      <c r="Z2432" s="49">
        <f t="shared" si="264"/>
        <v>0</v>
      </c>
      <c r="AA2432" s="60">
        <f t="shared" si="265"/>
        <v>0</v>
      </c>
    </row>
    <row r="2433" spans="1:27">
      <c r="A2433" s="83" t="str">
        <f t="shared" si="260"/>
        <v/>
      </c>
      <c r="B2433" s="83" t="str">
        <f t="shared" si="261"/>
        <v/>
      </c>
      <c r="S2433" s="83" t="str">
        <f t="shared" si="262"/>
        <v/>
      </c>
      <c r="T2433" s="83" t="str">
        <f t="shared" si="259"/>
        <v/>
      </c>
      <c r="Y2433" s="60">
        <f t="shared" si="263"/>
        <v>0</v>
      </c>
      <c r="Z2433" s="49">
        <f t="shared" si="264"/>
        <v>0</v>
      </c>
      <c r="AA2433" s="60">
        <f t="shared" si="265"/>
        <v>0</v>
      </c>
    </row>
    <row r="2434" spans="1:27">
      <c r="A2434" s="83" t="str">
        <f t="shared" si="260"/>
        <v/>
      </c>
      <c r="B2434" s="83" t="str">
        <f t="shared" si="261"/>
        <v/>
      </c>
      <c r="S2434" s="83" t="str">
        <f t="shared" si="262"/>
        <v/>
      </c>
      <c r="T2434" s="83" t="str">
        <f t="shared" ref="T2434:T2497" si="266">IF(A2434&lt;&gt;"",IF(FIND(" ",G2434)&gt;=1,MID(G2434,FIND(" ",G2434)+1,LEN(G2434)),""),"")</f>
        <v/>
      </c>
      <c r="Y2434" s="60">
        <f t="shared" si="263"/>
        <v>0</v>
      </c>
      <c r="Z2434" s="49">
        <f t="shared" si="264"/>
        <v>0</v>
      </c>
      <c r="AA2434" s="60">
        <f t="shared" si="265"/>
        <v>0</v>
      </c>
    </row>
    <row r="2435" spans="1:27">
      <c r="A2435" s="83" t="str">
        <f t="shared" ref="A2435:A2498" si="267">IF(G2435&amp;Q2435&lt;&gt;"",S2435&amp;Q2435,"")</f>
        <v/>
      </c>
      <c r="B2435" s="83" t="str">
        <f t="shared" ref="B2435:B2498" si="268">IF(C2435&lt;&gt;"",LEFT(C2435,9),"")</f>
        <v/>
      </c>
      <c r="S2435" s="83" t="str">
        <f t="shared" ref="S2435:S2498" si="269">IF(G2435&lt;&gt;"",IF(FIND(" ",G2435)&gt;=1,MID(G2435,1,FIND(" ",G2435)-1),G2435),"")</f>
        <v/>
      </c>
      <c r="T2435" s="83" t="str">
        <f t="shared" si="266"/>
        <v/>
      </c>
      <c r="Y2435" s="60">
        <f t="shared" ref="Y2435:Y2498" si="270">IFERROR(VALUE(MID($C2435,1,2)),0)</f>
        <v>0</v>
      </c>
      <c r="Z2435" s="49">
        <f t="shared" ref="Z2435:Z2498" si="271">IFERROR(VALUE(MID($C2435,4,3)),0)</f>
        <v>0</v>
      </c>
      <c r="AA2435" s="60">
        <f t="shared" ref="AA2435:AA2498" si="272">VALUE(RIGHT("00"&amp;Y2435,2)&amp;RIGHT("000"&amp;Z2435,3))</f>
        <v>0</v>
      </c>
    </row>
    <row r="2436" spans="1:27">
      <c r="A2436" s="83" t="str">
        <f t="shared" si="267"/>
        <v/>
      </c>
      <c r="B2436" s="83" t="str">
        <f t="shared" si="268"/>
        <v/>
      </c>
      <c r="S2436" s="83" t="str">
        <f t="shared" si="269"/>
        <v/>
      </c>
      <c r="T2436" s="83" t="str">
        <f t="shared" si="266"/>
        <v/>
      </c>
      <c r="Y2436" s="60">
        <f t="shared" si="270"/>
        <v>0</v>
      </c>
      <c r="Z2436" s="49">
        <f t="shared" si="271"/>
        <v>0</v>
      </c>
      <c r="AA2436" s="60">
        <f t="shared" si="272"/>
        <v>0</v>
      </c>
    </row>
    <row r="2437" spans="1:27">
      <c r="A2437" s="83" t="str">
        <f t="shared" si="267"/>
        <v/>
      </c>
      <c r="B2437" s="83" t="str">
        <f t="shared" si="268"/>
        <v/>
      </c>
      <c r="S2437" s="83" t="str">
        <f t="shared" si="269"/>
        <v/>
      </c>
      <c r="T2437" s="83" t="str">
        <f t="shared" si="266"/>
        <v/>
      </c>
      <c r="Y2437" s="60">
        <f t="shared" si="270"/>
        <v>0</v>
      </c>
      <c r="Z2437" s="49">
        <f t="shared" si="271"/>
        <v>0</v>
      </c>
      <c r="AA2437" s="60">
        <f t="shared" si="272"/>
        <v>0</v>
      </c>
    </row>
    <row r="2438" spans="1:27">
      <c r="A2438" s="83" t="str">
        <f t="shared" si="267"/>
        <v/>
      </c>
      <c r="B2438" s="83" t="str">
        <f t="shared" si="268"/>
        <v/>
      </c>
      <c r="S2438" s="83" t="str">
        <f t="shared" si="269"/>
        <v/>
      </c>
      <c r="T2438" s="83" t="str">
        <f t="shared" si="266"/>
        <v/>
      </c>
      <c r="Y2438" s="60">
        <f t="shared" si="270"/>
        <v>0</v>
      </c>
      <c r="Z2438" s="49">
        <f t="shared" si="271"/>
        <v>0</v>
      </c>
      <c r="AA2438" s="60">
        <f t="shared" si="272"/>
        <v>0</v>
      </c>
    </row>
    <row r="2439" spans="1:27">
      <c r="A2439" s="83" t="str">
        <f t="shared" si="267"/>
        <v/>
      </c>
      <c r="B2439" s="83" t="str">
        <f t="shared" si="268"/>
        <v/>
      </c>
      <c r="S2439" s="83" t="str">
        <f t="shared" si="269"/>
        <v/>
      </c>
      <c r="T2439" s="83" t="str">
        <f t="shared" si="266"/>
        <v/>
      </c>
      <c r="Y2439" s="60">
        <f t="shared" si="270"/>
        <v>0</v>
      </c>
      <c r="Z2439" s="49">
        <f t="shared" si="271"/>
        <v>0</v>
      </c>
      <c r="AA2439" s="60">
        <f t="shared" si="272"/>
        <v>0</v>
      </c>
    </row>
    <row r="2440" spans="1:27">
      <c r="A2440" s="83" t="str">
        <f t="shared" si="267"/>
        <v/>
      </c>
      <c r="B2440" s="83" t="str">
        <f t="shared" si="268"/>
        <v/>
      </c>
      <c r="S2440" s="83" t="str">
        <f t="shared" si="269"/>
        <v/>
      </c>
      <c r="T2440" s="83" t="str">
        <f t="shared" si="266"/>
        <v/>
      </c>
      <c r="Y2440" s="60">
        <f t="shared" si="270"/>
        <v>0</v>
      </c>
      <c r="Z2440" s="49">
        <f t="shared" si="271"/>
        <v>0</v>
      </c>
      <c r="AA2440" s="60">
        <f t="shared" si="272"/>
        <v>0</v>
      </c>
    </row>
    <row r="2441" spans="1:27">
      <c r="A2441" s="83" t="str">
        <f t="shared" si="267"/>
        <v/>
      </c>
      <c r="B2441" s="83" t="str">
        <f t="shared" si="268"/>
        <v/>
      </c>
      <c r="S2441" s="83" t="str">
        <f t="shared" si="269"/>
        <v/>
      </c>
      <c r="T2441" s="83" t="str">
        <f t="shared" si="266"/>
        <v/>
      </c>
      <c r="Y2441" s="60">
        <f t="shared" si="270"/>
        <v>0</v>
      </c>
      <c r="Z2441" s="49">
        <f t="shared" si="271"/>
        <v>0</v>
      </c>
      <c r="AA2441" s="60">
        <f t="shared" si="272"/>
        <v>0</v>
      </c>
    </row>
    <row r="2442" spans="1:27">
      <c r="A2442" s="83" t="str">
        <f t="shared" si="267"/>
        <v/>
      </c>
      <c r="B2442" s="83" t="str">
        <f t="shared" si="268"/>
        <v/>
      </c>
      <c r="S2442" s="83" t="str">
        <f t="shared" si="269"/>
        <v/>
      </c>
      <c r="T2442" s="83" t="str">
        <f t="shared" si="266"/>
        <v/>
      </c>
      <c r="Y2442" s="60">
        <f t="shared" si="270"/>
        <v>0</v>
      </c>
      <c r="Z2442" s="49">
        <f t="shared" si="271"/>
        <v>0</v>
      </c>
      <c r="AA2442" s="60">
        <f t="shared" si="272"/>
        <v>0</v>
      </c>
    </row>
    <row r="2443" spans="1:27">
      <c r="A2443" s="83" t="str">
        <f t="shared" si="267"/>
        <v/>
      </c>
      <c r="B2443" s="83" t="str">
        <f t="shared" si="268"/>
        <v/>
      </c>
      <c r="S2443" s="83" t="str">
        <f t="shared" si="269"/>
        <v/>
      </c>
      <c r="T2443" s="83" t="str">
        <f t="shared" si="266"/>
        <v/>
      </c>
      <c r="Y2443" s="60">
        <f t="shared" si="270"/>
        <v>0</v>
      </c>
      <c r="Z2443" s="49">
        <f t="shared" si="271"/>
        <v>0</v>
      </c>
      <c r="AA2443" s="60">
        <f t="shared" si="272"/>
        <v>0</v>
      </c>
    </row>
    <row r="2444" spans="1:27">
      <c r="A2444" s="83" t="str">
        <f t="shared" si="267"/>
        <v/>
      </c>
      <c r="B2444" s="83" t="str">
        <f t="shared" si="268"/>
        <v/>
      </c>
      <c r="S2444" s="83" t="str">
        <f t="shared" si="269"/>
        <v/>
      </c>
      <c r="T2444" s="83" t="str">
        <f t="shared" si="266"/>
        <v/>
      </c>
      <c r="Y2444" s="60">
        <f t="shared" si="270"/>
        <v>0</v>
      </c>
      <c r="Z2444" s="49">
        <f t="shared" si="271"/>
        <v>0</v>
      </c>
      <c r="AA2444" s="60">
        <f t="shared" si="272"/>
        <v>0</v>
      </c>
    </row>
    <row r="2445" spans="1:27">
      <c r="A2445" s="83" t="str">
        <f t="shared" si="267"/>
        <v/>
      </c>
      <c r="B2445" s="83" t="str">
        <f t="shared" si="268"/>
        <v/>
      </c>
      <c r="S2445" s="83" t="str">
        <f t="shared" si="269"/>
        <v/>
      </c>
      <c r="T2445" s="83" t="str">
        <f t="shared" si="266"/>
        <v/>
      </c>
      <c r="Y2445" s="60">
        <f t="shared" si="270"/>
        <v>0</v>
      </c>
      <c r="Z2445" s="49">
        <f t="shared" si="271"/>
        <v>0</v>
      </c>
      <c r="AA2445" s="60">
        <f t="shared" si="272"/>
        <v>0</v>
      </c>
    </row>
    <row r="2446" spans="1:27">
      <c r="A2446" s="83" t="str">
        <f t="shared" si="267"/>
        <v/>
      </c>
      <c r="B2446" s="83" t="str">
        <f t="shared" si="268"/>
        <v/>
      </c>
      <c r="S2446" s="83" t="str">
        <f t="shared" si="269"/>
        <v/>
      </c>
      <c r="T2446" s="83" t="str">
        <f t="shared" si="266"/>
        <v/>
      </c>
      <c r="Y2446" s="60">
        <f t="shared" si="270"/>
        <v>0</v>
      </c>
      <c r="Z2446" s="49">
        <f t="shared" si="271"/>
        <v>0</v>
      </c>
      <c r="AA2446" s="60">
        <f t="shared" si="272"/>
        <v>0</v>
      </c>
    </row>
    <row r="2447" spans="1:27">
      <c r="A2447" s="83" t="str">
        <f t="shared" si="267"/>
        <v/>
      </c>
      <c r="B2447" s="83" t="str">
        <f t="shared" si="268"/>
        <v/>
      </c>
      <c r="S2447" s="83" t="str">
        <f t="shared" si="269"/>
        <v/>
      </c>
      <c r="T2447" s="83" t="str">
        <f t="shared" si="266"/>
        <v/>
      </c>
      <c r="Y2447" s="60">
        <f t="shared" si="270"/>
        <v>0</v>
      </c>
      <c r="Z2447" s="49">
        <f t="shared" si="271"/>
        <v>0</v>
      </c>
      <c r="AA2447" s="60">
        <f t="shared" si="272"/>
        <v>0</v>
      </c>
    </row>
    <row r="2448" spans="1:27">
      <c r="A2448" s="83" t="str">
        <f t="shared" si="267"/>
        <v/>
      </c>
      <c r="B2448" s="83" t="str">
        <f t="shared" si="268"/>
        <v/>
      </c>
      <c r="S2448" s="83" t="str">
        <f t="shared" si="269"/>
        <v/>
      </c>
      <c r="T2448" s="83" t="str">
        <f t="shared" si="266"/>
        <v/>
      </c>
      <c r="Y2448" s="60">
        <f t="shared" si="270"/>
        <v>0</v>
      </c>
      <c r="Z2448" s="49">
        <f t="shared" si="271"/>
        <v>0</v>
      </c>
      <c r="AA2448" s="60">
        <f t="shared" si="272"/>
        <v>0</v>
      </c>
    </row>
    <row r="2449" spans="1:27">
      <c r="A2449" s="83" t="str">
        <f t="shared" si="267"/>
        <v/>
      </c>
      <c r="B2449" s="83" t="str">
        <f t="shared" si="268"/>
        <v/>
      </c>
      <c r="S2449" s="83" t="str">
        <f t="shared" si="269"/>
        <v/>
      </c>
      <c r="T2449" s="83" t="str">
        <f t="shared" si="266"/>
        <v/>
      </c>
      <c r="Y2449" s="60">
        <f t="shared" si="270"/>
        <v>0</v>
      </c>
      <c r="Z2449" s="49">
        <f t="shared" si="271"/>
        <v>0</v>
      </c>
      <c r="AA2449" s="60">
        <f t="shared" si="272"/>
        <v>0</v>
      </c>
    </row>
    <row r="2450" spans="1:27">
      <c r="A2450" s="83" t="str">
        <f t="shared" si="267"/>
        <v/>
      </c>
      <c r="B2450" s="83" t="str">
        <f t="shared" si="268"/>
        <v/>
      </c>
      <c r="S2450" s="83" t="str">
        <f t="shared" si="269"/>
        <v/>
      </c>
      <c r="T2450" s="83" t="str">
        <f t="shared" si="266"/>
        <v/>
      </c>
      <c r="Y2450" s="60">
        <f t="shared" si="270"/>
        <v>0</v>
      </c>
      <c r="Z2450" s="49">
        <f t="shared" si="271"/>
        <v>0</v>
      </c>
      <c r="AA2450" s="60">
        <f t="shared" si="272"/>
        <v>0</v>
      </c>
    </row>
    <row r="2451" spans="1:27">
      <c r="A2451" s="83" t="str">
        <f t="shared" si="267"/>
        <v/>
      </c>
      <c r="B2451" s="83" t="str">
        <f t="shared" si="268"/>
        <v/>
      </c>
      <c r="S2451" s="83" t="str">
        <f t="shared" si="269"/>
        <v/>
      </c>
      <c r="T2451" s="83" t="str">
        <f t="shared" si="266"/>
        <v/>
      </c>
      <c r="Y2451" s="60">
        <f t="shared" si="270"/>
        <v>0</v>
      </c>
      <c r="Z2451" s="49">
        <f t="shared" si="271"/>
        <v>0</v>
      </c>
      <c r="AA2451" s="60">
        <f t="shared" si="272"/>
        <v>0</v>
      </c>
    </row>
    <row r="2452" spans="1:27">
      <c r="A2452" s="83" t="str">
        <f t="shared" si="267"/>
        <v/>
      </c>
      <c r="B2452" s="83" t="str">
        <f t="shared" si="268"/>
        <v/>
      </c>
      <c r="S2452" s="83" t="str">
        <f t="shared" si="269"/>
        <v/>
      </c>
      <c r="T2452" s="83" t="str">
        <f t="shared" si="266"/>
        <v/>
      </c>
      <c r="Y2452" s="60">
        <f t="shared" si="270"/>
        <v>0</v>
      </c>
      <c r="Z2452" s="49">
        <f t="shared" si="271"/>
        <v>0</v>
      </c>
      <c r="AA2452" s="60">
        <f t="shared" si="272"/>
        <v>0</v>
      </c>
    </row>
    <row r="2453" spans="1:27">
      <c r="A2453" s="83" t="str">
        <f t="shared" si="267"/>
        <v/>
      </c>
      <c r="B2453" s="83" t="str">
        <f t="shared" si="268"/>
        <v/>
      </c>
      <c r="S2453" s="83" t="str">
        <f t="shared" si="269"/>
        <v/>
      </c>
      <c r="T2453" s="83" t="str">
        <f t="shared" si="266"/>
        <v/>
      </c>
      <c r="Y2453" s="60">
        <f t="shared" si="270"/>
        <v>0</v>
      </c>
      <c r="Z2453" s="49">
        <f t="shared" si="271"/>
        <v>0</v>
      </c>
      <c r="AA2453" s="60">
        <f t="shared" si="272"/>
        <v>0</v>
      </c>
    </row>
    <row r="2454" spans="1:27">
      <c r="A2454" s="83" t="str">
        <f t="shared" si="267"/>
        <v/>
      </c>
      <c r="B2454" s="83" t="str">
        <f t="shared" si="268"/>
        <v/>
      </c>
      <c r="S2454" s="83" t="str">
        <f t="shared" si="269"/>
        <v/>
      </c>
      <c r="T2454" s="83" t="str">
        <f t="shared" si="266"/>
        <v/>
      </c>
      <c r="Y2454" s="60">
        <f t="shared" si="270"/>
        <v>0</v>
      </c>
      <c r="Z2454" s="49">
        <f t="shared" si="271"/>
        <v>0</v>
      </c>
      <c r="AA2454" s="60">
        <f t="shared" si="272"/>
        <v>0</v>
      </c>
    </row>
    <row r="2455" spans="1:27">
      <c r="A2455" s="83" t="str">
        <f t="shared" si="267"/>
        <v/>
      </c>
      <c r="B2455" s="83" t="str">
        <f t="shared" si="268"/>
        <v/>
      </c>
      <c r="S2455" s="83" t="str">
        <f t="shared" si="269"/>
        <v/>
      </c>
      <c r="T2455" s="83" t="str">
        <f t="shared" si="266"/>
        <v/>
      </c>
      <c r="Y2455" s="60">
        <f t="shared" si="270"/>
        <v>0</v>
      </c>
      <c r="Z2455" s="49">
        <f t="shared" si="271"/>
        <v>0</v>
      </c>
      <c r="AA2455" s="60">
        <f t="shared" si="272"/>
        <v>0</v>
      </c>
    </row>
    <row r="2456" spans="1:27">
      <c r="A2456" s="83" t="str">
        <f t="shared" si="267"/>
        <v/>
      </c>
      <c r="B2456" s="83" t="str">
        <f t="shared" si="268"/>
        <v/>
      </c>
      <c r="S2456" s="83" t="str">
        <f t="shared" si="269"/>
        <v/>
      </c>
      <c r="T2456" s="83" t="str">
        <f t="shared" si="266"/>
        <v/>
      </c>
      <c r="Y2456" s="60">
        <f t="shared" si="270"/>
        <v>0</v>
      </c>
      <c r="Z2456" s="49">
        <f t="shared" si="271"/>
        <v>0</v>
      </c>
      <c r="AA2456" s="60">
        <f t="shared" si="272"/>
        <v>0</v>
      </c>
    </row>
    <row r="2457" spans="1:27">
      <c r="A2457" s="83" t="str">
        <f t="shared" si="267"/>
        <v/>
      </c>
      <c r="B2457" s="83" t="str">
        <f t="shared" si="268"/>
        <v/>
      </c>
      <c r="S2457" s="83" t="str">
        <f t="shared" si="269"/>
        <v/>
      </c>
      <c r="T2457" s="83" t="str">
        <f t="shared" si="266"/>
        <v/>
      </c>
      <c r="Y2457" s="60">
        <f t="shared" si="270"/>
        <v>0</v>
      </c>
      <c r="Z2457" s="49">
        <f t="shared" si="271"/>
        <v>0</v>
      </c>
      <c r="AA2457" s="60">
        <f t="shared" si="272"/>
        <v>0</v>
      </c>
    </row>
    <row r="2458" spans="1:27">
      <c r="A2458" s="83" t="str">
        <f t="shared" si="267"/>
        <v/>
      </c>
      <c r="B2458" s="83" t="str">
        <f t="shared" si="268"/>
        <v/>
      </c>
      <c r="S2458" s="83" t="str">
        <f t="shared" si="269"/>
        <v/>
      </c>
      <c r="T2458" s="83" t="str">
        <f t="shared" si="266"/>
        <v/>
      </c>
      <c r="Y2458" s="60">
        <f t="shared" si="270"/>
        <v>0</v>
      </c>
      <c r="Z2458" s="49">
        <f t="shared" si="271"/>
        <v>0</v>
      </c>
      <c r="AA2458" s="60">
        <f t="shared" si="272"/>
        <v>0</v>
      </c>
    </row>
    <row r="2459" spans="1:27">
      <c r="A2459" s="83" t="str">
        <f t="shared" si="267"/>
        <v/>
      </c>
      <c r="B2459" s="83" t="str">
        <f t="shared" si="268"/>
        <v/>
      </c>
      <c r="S2459" s="83" t="str">
        <f t="shared" si="269"/>
        <v/>
      </c>
      <c r="T2459" s="83" t="str">
        <f t="shared" si="266"/>
        <v/>
      </c>
      <c r="Y2459" s="60">
        <f t="shared" si="270"/>
        <v>0</v>
      </c>
      <c r="Z2459" s="49">
        <f t="shared" si="271"/>
        <v>0</v>
      </c>
      <c r="AA2459" s="60">
        <f t="shared" si="272"/>
        <v>0</v>
      </c>
    </row>
    <row r="2460" spans="1:27">
      <c r="A2460" s="83" t="str">
        <f t="shared" si="267"/>
        <v/>
      </c>
      <c r="B2460" s="83" t="str">
        <f t="shared" si="268"/>
        <v/>
      </c>
      <c r="S2460" s="83" t="str">
        <f t="shared" si="269"/>
        <v/>
      </c>
      <c r="T2460" s="83" t="str">
        <f t="shared" si="266"/>
        <v/>
      </c>
      <c r="Y2460" s="60">
        <f t="shared" si="270"/>
        <v>0</v>
      </c>
      <c r="Z2460" s="49">
        <f t="shared" si="271"/>
        <v>0</v>
      </c>
      <c r="AA2460" s="60">
        <f t="shared" si="272"/>
        <v>0</v>
      </c>
    </row>
    <row r="2461" spans="1:27">
      <c r="A2461" s="83" t="str">
        <f t="shared" si="267"/>
        <v/>
      </c>
      <c r="B2461" s="83" t="str">
        <f t="shared" si="268"/>
        <v/>
      </c>
      <c r="S2461" s="83" t="str">
        <f t="shared" si="269"/>
        <v/>
      </c>
      <c r="T2461" s="83" t="str">
        <f t="shared" si="266"/>
        <v/>
      </c>
      <c r="Y2461" s="60">
        <f t="shared" si="270"/>
        <v>0</v>
      </c>
      <c r="Z2461" s="49">
        <f t="shared" si="271"/>
        <v>0</v>
      </c>
      <c r="AA2461" s="60">
        <f t="shared" si="272"/>
        <v>0</v>
      </c>
    </row>
    <row r="2462" spans="1:27">
      <c r="A2462" s="83" t="str">
        <f t="shared" si="267"/>
        <v/>
      </c>
      <c r="B2462" s="83" t="str">
        <f t="shared" si="268"/>
        <v/>
      </c>
      <c r="S2462" s="83" t="str">
        <f t="shared" si="269"/>
        <v/>
      </c>
      <c r="T2462" s="83" t="str">
        <f t="shared" si="266"/>
        <v/>
      </c>
      <c r="Y2462" s="60">
        <f t="shared" si="270"/>
        <v>0</v>
      </c>
      <c r="Z2462" s="49">
        <f t="shared" si="271"/>
        <v>0</v>
      </c>
      <c r="AA2462" s="60">
        <f t="shared" si="272"/>
        <v>0</v>
      </c>
    </row>
    <row r="2463" spans="1:27">
      <c r="A2463" s="83" t="str">
        <f t="shared" si="267"/>
        <v/>
      </c>
      <c r="B2463" s="83" t="str">
        <f t="shared" si="268"/>
        <v/>
      </c>
      <c r="S2463" s="83" t="str">
        <f t="shared" si="269"/>
        <v/>
      </c>
      <c r="T2463" s="83" t="str">
        <f t="shared" si="266"/>
        <v/>
      </c>
      <c r="Y2463" s="60">
        <f t="shared" si="270"/>
        <v>0</v>
      </c>
      <c r="Z2463" s="49">
        <f t="shared" si="271"/>
        <v>0</v>
      </c>
      <c r="AA2463" s="60">
        <f t="shared" si="272"/>
        <v>0</v>
      </c>
    </row>
    <row r="2464" spans="1:27">
      <c r="A2464" s="83" t="str">
        <f t="shared" si="267"/>
        <v/>
      </c>
      <c r="B2464" s="83" t="str">
        <f t="shared" si="268"/>
        <v/>
      </c>
      <c r="S2464" s="83" t="str">
        <f t="shared" si="269"/>
        <v/>
      </c>
      <c r="T2464" s="83" t="str">
        <f t="shared" si="266"/>
        <v/>
      </c>
      <c r="Y2464" s="60">
        <f t="shared" si="270"/>
        <v>0</v>
      </c>
      <c r="Z2464" s="49">
        <f t="shared" si="271"/>
        <v>0</v>
      </c>
      <c r="AA2464" s="60">
        <f t="shared" si="272"/>
        <v>0</v>
      </c>
    </row>
    <row r="2465" spans="1:27">
      <c r="A2465" s="83" t="str">
        <f t="shared" si="267"/>
        <v/>
      </c>
      <c r="B2465" s="83" t="str">
        <f t="shared" si="268"/>
        <v/>
      </c>
      <c r="S2465" s="83" t="str">
        <f t="shared" si="269"/>
        <v/>
      </c>
      <c r="T2465" s="83" t="str">
        <f t="shared" si="266"/>
        <v/>
      </c>
      <c r="Y2465" s="60">
        <f t="shared" si="270"/>
        <v>0</v>
      </c>
      <c r="Z2465" s="49">
        <f t="shared" si="271"/>
        <v>0</v>
      </c>
      <c r="AA2465" s="60">
        <f t="shared" si="272"/>
        <v>0</v>
      </c>
    </row>
    <row r="2466" spans="1:27">
      <c r="A2466" s="83" t="str">
        <f t="shared" si="267"/>
        <v/>
      </c>
      <c r="B2466" s="83" t="str">
        <f t="shared" si="268"/>
        <v/>
      </c>
      <c r="S2466" s="83" t="str">
        <f t="shared" si="269"/>
        <v/>
      </c>
      <c r="T2466" s="83" t="str">
        <f t="shared" si="266"/>
        <v/>
      </c>
      <c r="Y2466" s="60">
        <f t="shared" si="270"/>
        <v>0</v>
      </c>
      <c r="Z2466" s="49">
        <f t="shared" si="271"/>
        <v>0</v>
      </c>
      <c r="AA2466" s="60">
        <f t="shared" si="272"/>
        <v>0</v>
      </c>
    </row>
    <row r="2467" spans="1:27">
      <c r="A2467" s="83" t="str">
        <f t="shared" si="267"/>
        <v/>
      </c>
      <c r="B2467" s="83" t="str">
        <f t="shared" si="268"/>
        <v/>
      </c>
      <c r="S2467" s="83" t="str">
        <f t="shared" si="269"/>
        <v/>
      </c>
      <c r="T2467" s="83" t="str">
        <f t="shared" si="266"/>
        <v/>
      </c>
      <c r="Y2467" s="60">
        <f t="shared" si="270"/>
        <v>0</v>
      </c>
      <c r="Z2467" s="49">
        <f t="shared" si="271"/>
        <v>0</v>
      </c>
      <c r="AA2467" s="60">
        <f t="shared" si="272"/>
        <v>0</v>
      </c>
    </row>
    <row r="2468" spans="1:27">
      <c r="A2468" s="83" t="str">
        <f t="shared" si="267"/>
        <v/>
      </c>
      <c r="B2468" s="83" t="str">
        <f t="shared" si="268"/>
        <v/>
      </c>
      <c r="S2468" s="83" t="str">
        <f t="shared" si="269"/>
        <v/>
      </c>
      <c r="T2468" s="83" t="str">
        <f t="shared" si="266"/>
        <v/>
      </c>
      <c r="Y2468" s="60">
        <f t="shared" si="270"/>
        <v>0</v>
      </c>
      <c r="Z2468" s="49">
        <f t="shared" si="271"/>
        <v>0</v>
      </c>
      <c r="AA2468" s="60">
        <f t="shared" si="272"/>
        <v>0</v>
      </c>
    </row>
    <row r="2469" spans="1:27">
      <c r="A2469" s="83" t="str">
        <f t="shared" si="267"/>
        <v/>
      </c>
      <c r="B2469" s="83" t="str">
        <f t="shared" si="268"/>
        <v/>
      </c>
      <c r="S2469" s="83" t="str">
        <f t="shared" si="269"/>
        <v/>
      </c>
      <c r="T2469" s="83" t="str">
        <f t="shared" si="266"/>
        <v/>
      </c>
      <c r="Y2469" s="60">
        <f t="shared" si="270"/>
        <v>0</v>
      </c>
      <c r="Z2469" s="49">
        <f t="shared" si="271"/>
        <v>0</v>
      </c>
      <c r="AA2469" s="60">
        <f t="shared" si="272"/>
        <v>0</v>
      </c>
    </row>
    <row r="2470" spans="1:27">
      <c r="A2470" s="83" t="str">
        <f t="shared" si="267"/>
        <v/>
      </c>
      <c r="B2470" s="83" t="str">
        <f t="shared" si="268"/>
        <v/>
      </c>
      <c r="S2470" s="83" t="str">
        <f t="shared" si="269"/>
        <v/>
      </c>
      <c r="T2470" s="83" t="str">
        <f t="shared" si="266"/>
        <v/>
      </c>
      <c r="Y2470" s="60">
        <f t="shared" si="270"/>
        <v>0</v>
      </c>
      <c r="Z2470" s="49">
        <f t="shared" si="271"/>
        <v>0</v>
      </c>
      <c r="AA2470" s="60">
        <f t="shared" si="272"/>
        <v>0</v>
      </c>
    </row>
    <row r="2471" spans="1:27">
      <c r="A2471" s="83" t="str">
        <f t="shared" si="267"/>
        <v/>
      </c>
      <c r="B2471" s="83" t="str">
        <f t="shared" si="268"/>
        <v/>
      </c>
      <c r="S2471" s="83" t="str">
        <f t="shared" si="269"/>
        <v/>
      </c>
      <c r="T2471" s="83" t="str">
        <f t="shared" si="266"/>
        <v/>
      </c>
      <c r="Y2471" s="60">
        <f t="shared" si="270"/>
        <v>0</v>
      </c>
      <c r="Z2471" s="49">
        <f t="shared" si="271"/>
        <v>0</v>
      </c>
      <c r="AA2471" s="60">
        <f t="shared" si="272"/>
        <v>0</v>
      </c>
    </row>
    <row r="2472" spans="1:27">
      <c r="A2472" s="83" t="str">
        <f t="shared" si="267"/>
        <v/>
      </c>
      <c r="B2472" s="83" t="str">
        <f t="shared" si="268"/>
        <v/>
      </c>
      <c r="S2472" s="83" t="str">
        <f t="shared" si="269"/>
        <v/>
      </c>
      <c r="T2472" s="83" t="str">
        <f t="shared" si="266"/>
        <v/>
      </c>
      <c r="Y2472" s="60">
        <f t="shared" si="270"/>
        <v>0</v>
      </c>
      <c r="Z2472" s="49">
        <f t="shared" si="271"/>
        <v>0</v>
      </c>
      <c r="AA2472" s="60">
        <f t="shared" si="272"/>
        <v>0</v>
      </c>
    </row>
    <row r="2473" spans="1:27">
      <c r="A2473" s="83" t="str">
        <f t="shared" si="267"/>
        <v/>
      </c>
      <c r="B2473" s="83" t="str">
        <f t="shared" si="268"/>
        <v/>
      </c>
      <c r="S2473" s="83" t="str">
        <f t="shared" si="269"/>
        <v/>
      </c>
      <c r="T2473" s="83" t="str">
        <f t="shared" si="266"/>
        <v/>
      </c>
      <c r="Y2473" s="60">
        <f t="shared" si="270"/>
        <v>0</v>
      </c>
      <c r="Z2473" s="49">
        <f t="shared" si="271"/>
        <v>0</v>
      </c>
      <c r="AA2473" s="60">
        <f t="shared" si="272"/>
        <v>0</v>
      </c>
    </row>
    <row r="2474" spans="1:27">
      <c r="A2474" s="83" t="str">
        <f t="shared" si="267"/>
        <v/>
      </c>
      <c r="B2474" s="83" t="str">
        <f t="shared" si="268"/>
        <v/>
      </c>
      <c r="S2474" s="83" t="str">
        <f t="shared" si="269"/>
        <v/>
      </c>
      <c r="T2474" s="83" t="str">
        <f t="shared" si="266"/>
        <v/>
      </c>
      <c r="Y2474" s="60">
        <f t="shared" si="270"/>
        <v>0</v>
      </c>
      <c r="Z2474" s="49">
        <f t="shared" si="271"/>
        <v>0</v>
      </c>
      <c r="AA2474" s="60">
        <f t="shared" si="272"/>
        <v>0</v>
      </c>
    </row>
    <row r="2475" spans="1:27">
      <c r="A2475" s="83" t="str">
        <f t="shared" si="267"/>
        <v/>
      </c>
      <c r="B2475" s="83" t="str">
        <f t="shared" si="268"/>
        <v/>
      </c>
      <c r="S2475" s="83" t="str">
        <f t="shared" si="269"/>
        <v/>
      </c>
      <c r="T2475" s="83" t="str">
        <f t="shared" si="266"/>
        <v/>
      </c>
      <c r="Y2475" s="60">
        <f t="shared" si="270"/>
        <v>0</v>
      </c>
      <c r="Z2475" s="49">
        <f t="shared" si="271"/>
        <v>0</v>
      </c>
      <c r="AA2475" s="60">
        <f t="shared" si="272"/>
        <v>0</v>
      </c>
    </row>
    <row r="2476" spans="1:27">
      <c r="A2476" s="83" t="str">
        <f t="shared" si="267"/>
        <v/>
      </c>
      <c r="B2476" s="83" t="str">
        <f t="shared" si="268"/>
        <v/>
      </c>
      <c r="S2476" s="83" t="str">
        <f t="shared" si="269"/>
        <v/>
      </c>
      <c r="T2476" s="83" t="str">
        <f t="shared" si="266"/>
        <v/>
      </c>
      <c r="Y2476" s="60">
        <f t="shared" si="270"/>
        <v>0</v>
      </c>
      <c r="Z2476" s="49">
        <f t="shared" si="271"/>
        <v>0</v>
      </c>
      <c r="AA2476" s="60">
        <f t="shared" si="272"/>
        <v>0</v>
      </c>
    </row>
    <row r="2477" spans="1:27">
      <c r="A2477" s="83" t="str">
        <f t="shared" si="267"/>
        <v/>
      </c>
      <c r="B2477" s="83" t="str">
        <f t="shared" si="268"/>
        <v/>
      </c>
      <c r="S2477" s="83" t="str">
        <f t="shared" si="269"/>
        <v/>
      </c>
      <c r="T2477" s="83" t="str">
        <f t="shared" si="266"/>
        <v/>
      </c>
      <c r="Y2477" s="60">
        <f t="shared" si="270"/>
        <v>0</v>
      </c>
      <c r="Z2477" s="49">
        <f t="shared" si="271"/>
        <v>0</v>
      </c>
      <c r="AA2477" s="60">
        <f t="shared" si="272"/>
        <v>0</v>
      </c>
    </row>
    <row r="2478" spans="1:27">
      <c r="A2478" s="83" t="str">
        <f t="shared" si="267"/>
        <v/>
      </c>
      <c r="B2478" s="83" t="str">
        <f t="shared" si="268"/>
        <v/>
      </c>
      <c r="S2478" s="83" t="str">
        <f t="shared" si="269"/>
        <v/>
      </c>
      <c r="T2478" s="83" t="str">
        <f t="shared" si="266"/>
        <v/>
      </c>
      <c r="Y2478" s="60">
        <f t="shared" si="270"/>
        <v>0</v>
      </c>
      <c r="Z2478" s="49">
        <f t="shared" si="271"/>
        <v>0</v>
      </c>
      <c r="AA2478" s="60">
        <f t="shared" si="272"/>
        <v>0</v>
      </c>
    </row>
    <row r="2479" spans="1:27">
      <c r="A2479" s="83" t="str">
        <f t="shared" si="267"/>
        <v/>
      </c>
      <c r="B2479" s="83" t="str">
        <f t="shared" si="268"/>
        <v/>
      </c>
      <c r="S2479" s="83" t="str">
        <f t="shared" si="269"/>
        <v/>
      </c>
      <c r="T2479" s="83" t="str">
        <f t="shared" si="266"/>
        <v/>
      </c>
      <c r="Y2479" s="60">
        <f t="shared" si="270"/>
        <v>0</v>
      </c>
      <c r="Z2479" s="49">
        <f t="shared" si="271"/>
        <v>0</v>
      </c>
      <c r="AA2479" s="60">
        <f t="shared" si="272"/>
        <v>0</v>
      </c>
    </row>
    <row r="2480" spans="1:27">
      <c r="A2480" s="83" t="str">
        <f t="shared" si="267"/>
        <v/>
      </c>
      <c r="B2480" s="83" t="str">
        <f t="shared" si="268"/>
        <v/>
      </c>
      <c r="S2480" s="83" t="str">
        <f t="shared" si="269"/>
        <v/>
      </c>
      <c r="T2480" s="83" t="str">
        <f t="shared" si="266"/>
        <v/>
      </c>
      <c r="Y2480" s="60">
        <f t="shared" si="270"/>
        <v>0</v>
      </c>
      <c r="Z2480" s="49">
        <f t="shared" si="271"/>
        <v>0</v>
      </c>
      <c r="AA2480" s="60">
        <f t="shared" si="272"/>
        <v>0</v>
      </c>
    </row>
    <row r="2481" spans="1:27">
      <c r="A2481" s="83" t="str">
        <f t="shared" si="267"/>
        <v/>
      </c>
      <c r="B2481" s="83" t="str">
        <f t="shared" si="268"/>
        <v/>
      </c>
      <c r="S2481" s="83" t="str">
        <f t="shared" si="269"/>
        <v/>
      </c>
      <c r="T2481" s="83" t="str">
        <f t="shared" si="266"/>
        <v/>
      </c>
      <c r="Y2481" s="60">
        <f t="shared" si="270"/>
        <v>0</v>
      </c>
      <c r="Z2481" s="49">
        <f t="shared" si="271"/>
        <v>0</v>
      </c>
      <c r="AA2481" s="60">
        <f t="shared" si="272"/>
        <v>0</v>
      </c>
    </row>
    <row r="2482" spans="1:27">
      <c r="A2482" s="83" t="str">
        <f t="shared" si="267"/>
        <v/>
      </c>
      <c r="B2482" s="83" t="str">
        <f t="shared" si="268"/>
        <v/>
      </c>
      <c r="S2482" s="83" t="str">
        <f t="shared" si="269"/>
        <v/>
      </c>
      <c r="T2482" s="83" t="str">
        <f t="shared" si="266"/>
        <v/>
      </c>
      <c r="Y2482" s="60">
        <f t="shared" si="270"/>
        <v>0</v>
      </c>
      <c r="Z2482" s="49">
        <f t="shared" si="271"/>
        <v>0</v>
      </c>
      <c r="AA2482" s="60">
        <f t="shared" si="272"/>
        <v>0</v>
      </c>
    </row>
    <row r="2483" spans="1:27">
      <c r="A2483" s="83" t="str">
        <f t="shared" si="267"/>
        <v/>
      </c>
      <c r="B2483" s="83" t="str">
        <f t="shared" si="268"/>
        <v/>
      </c>
      <c r="S2483" s="83" t="str">
        <f t="shared" si="269"/>
        <v/>
      </c>
      <c r="T2483" s="83" t="str">
        <f t="shared" si="266"/>
        <v/>
      </c>
      <c r="Y2483" s="60">
        <f t="shared" si="270"/>
        <v>0</v>
      </c>
      <c r="Z2483" s="49">
        <f t="shared" si="271"/>
        <v>0</v>
      </c>
      <c r="AA2483" s="60">
        <f t="shared" si="272"/>
        <v>0</v>
      </c>
    </row>
    <row r="2484" spans="1:27">
      <c r="A2484" s="83" t="str">
        <f t="shared" si="267"/>
        <v/>
      </c>
      <c r="B2484" s="83" t="str">
        <f t="shared" si="268"/>
        <v/>
      </c>
      <c r="S2484" s="83" t="str">
        <f t="shared" si="269"/>
        <v/>
      </c>
      <c r="T2484" s="83" t="str">
        <f t="shared" si="266"/>
        <v/>
      </c>
      <c r="Y2484" s="60">
        <f t="shared" si="270"/>
        <v>0</v>
      </c>
      <c r="Z2484" s="49">
        <f t="shared" si="271"/>
        <v>0</v>
      </c>
      <c r="AA2484" s="60">
        <f t="shared" si="272"/>
        <v>0</v>
      </c>
    </row>
    <row r="2485" spans="1:27">
      <c r="A2485" s="83" t="str">
        <f t="shared" si="267"/>
        <v/>
      </c>
      <c r="B2485" s="83" t="str">
        <f t="shared" si="268"/>
        <v/>
      </c>
      <c r="S2485" s="83" t="str">
        <f t="shared" si="269"/>
        <v/>
      </c>
      <c r="T2485" s="83" t="str">
        <f t="shared" si="266"/>
        <v/>
      </c>
      <c r="Y2485" s="60">
        <f t="shared" si="270"/>
        <v>0</v>
      </c>
      <c r="Z2485" s="49">
        <f t="shared" si="271"/>
        <v>0</v>
      </c>
      <c r="AA2485" s="60">
        <f t="shared" si="272"/>
        <v>0</v>
      </c>
    </row>
    <row r="2486" spans="1:27">
      <c r="A2486" s="83" t="str">
        <f t="shared" si="267"/>
        <v/>
      </c>
      <c r="B2486" s="83" t="str">
        <f t="shared" si="268"/>
        <v/>
      </c>
      <c r="S2486" s="83" t="str">
        <f t="shared" si="269"/>
        <v/>
      </c>
      <c r="T2486" s="83" t="str">
        <f t="shared" si="266"/>
        <v/>
      </c>
      <c r="Y2486" s="60">
        <f t="shared" si="270"/>
        <v>0</v>
      </c>
      <c r="Z2486" s="49">
        <f t="shared" si="271"/>
        <v>0</v>
      </c>
      <c r="AA2486" s="60">
        <f t="shared" si="272"/>
        <v>0</v>
      </c>
    </row>
    <row r="2487" spans="1:27">
      <c r="A2487" s="83" t="str">
        <f t="shared" si="267"/>
        <v/>
      </c>
      <c r="B2487" s="83" t="str">
        <f t="shared" si="268"/>
        <v/>
      </c>
      <c r="S2487" s="83" t="str">
        <f t="shared" si="269"/>
        <v/>
      </c>
      <c r="T2487" s="83" t="str">
        <f t="shared" si="266"/>
        <v/>
      </c>
      <c r="Y2487" s="60">
        <f t="shared" si="270"/>
        <v>0</v>
      </c>
      <c r="Z2487" s="49">
        <f t="shared" si="271"/>
        <v>0</v>
      </c>
      <c r="AA2487" s="60">
        <f t="shared" si="272"/>
        <v>0</v>
      </c>
    </row>
    <row r="2488" spans="1:27">
      <c r="A2488" s="83" t="str">
        <f t="shared" si="267"/>
        <v/>
      </c>
      <c r="B2488" s="83" t="str">
        <f t="shared" si="268"/>
        <v/>
      </c>
      <c r="S2488" s="83" t="str">
        <f t="shared" si="269"/>
        <v/>
      </c>
      <c r="T2488" s="83" t="str">
        <f t="shared" si="266"/>
        <v/>
      </c>
      <c r="Y2488" s="60">
        <f t="shared" si="270"/>
        <v>0</v>
      </c>
      <c r="Z2488" s="49">
        <f t="shared" si="271"/>
        <v>0</v>
      </c>
      <c r="AA2488" s="60">
        <f t="shared" si="272"/>
        <v>0</v>
      </c>
    </row>
    <row r="2489" spans="1:27">
      <c r="A2489" s="83" t="str">
        <f t="shared" si="267"/>
        <v/>
      </c>
      <c r="B2489" s="83" t="str">
        <f t="shared" si="268"/>
        <v/>
      </c>
      <c r="S2489" s="83" t="str">
        <f t="shared" si="269"/>
        <v/>
      </c>
      <c r="T2489" s="83" t="str">
        <f t="shared" si="266"/>
        <v/>
      </c>
      <c r="Y2489" s="60">
        <f t="shared" si="270"/>
        <v>0</v>
      </c>
      <c r="Z2489" s="49">
        <f t="shared" si="271"/>
        <v>0</v>
      </c>
      <c r="AA2489" s="60">
        <f t="shared" si="272"/>
        <v>0</v>
      </c>
    </row>
    <row r="2490" spans="1:27">
      <c r="A2490" s="83" t="str">
        <f t="shared" si="267"/>
        <v/>
      </c>
      <c r="B2490" s="83" t="str">
        <f t="shared" si="268"/>
        <v/>
      </c>
      <c r="S2490" s="83" t="str">
        <f t="shared" si="269"/>
        <v/>
      </c>
      <c r="T2490" s="83" t="str">
        <f t="shared" si="266"/>
        <v/>
      </c>
      <c r="Y2490" s="60">
        <f t="shared" si="270"/>
        <v>0</v>
      </c>
      <c r="Z2490" s="49">
        <f t="shared" si="271"/>
        <v>0</v>
      </c>
      <c r="AA2490" s="60">
        <f t="shared" si="272"/>
        <v>0</v>
      </c>
    </row>
    <row r="2491" spans="1:27">
      <c r="A2491" s="83" t="str">
        <f t="shared" si="267"/>
        <v/>
      </c>
      <c r="B2491" s="83" t="str">
        <f t="shared" si="268"/>
        <v/>
      </c>
      <c r="S2491" s="83" t="str">
        <f t="shared" si="269"/>
        <v/>
      </c>
      <c r="T2491" s="83" t="str">
        <f t="shared" si="266"/>
        <v/>
      </c>
      <c r="Y2491" s="60">
        <f t="shared" si="270"/>
        <v>0</v>
      </c>
      <c r="Z2491" s="49">
        <f t="shared" si="271"/>
        <v>0</v>
      </c>
      <c r="AA2491" s="60">
        <f t="shared" si="272"/>
        <v>0</v>
      </c>
    </row>
    <row r="2492" spans="1:27">
      <c r="A2492" s="83" t="str">
        <f t="shared" si="267"/>
        <v/>
      </c>
      <c r="B2492" s="83" t="str">
        <f t="shared" si="268"/>
        <v/>
      </c>
      <c r="S2492" s="83" t="str">
        <f t="shared" si="269"/>
        <v/>
      </c>
      <c r="T2492" s="83" t="str">
        <f t="shared" si="266"/>
        <v/>
      </c>
      <c r="Y2492" s="60">
        <f t="shared" si="270"/>
        <v>0</v>
      </c>
      <c r="Z2492" s="49">
        <f t="shared" si="271"/>
        <v>0</v>
      </c>
      <c r="AA2492" s="60">
        <f t="shared" si="272"/>
        <v>0</v>
      </c>
    </row>
    <row r="2493" spans="1:27">
      <c r="A2493" s="83" t="str">
        <f t="shared" si="267"/>
        <v/>
      </c>
      <c r="B2493" s="83" t="str">
        <f t="shared" si="268"/>
        <v/>
      </c>
      <c r="S2493" s="83" t="str">
        <f t="shared" si="269"/>
        <v/>
      </c>
      <c r="T2493" s="83" t="str">
        <f t="shared" si="266"/>
        <v/>
      </c>
      <c r="Y2493" s="60">
        <f t="shared" si="270"/>
        <v>0</v>
      </c>
      <c r="Z2493" s="49">
        <f t="shared" si="271"/>
        <v>0</v>
      </c>
      <c r="AA2493" s="60">
        <f t="shared" si="272"/>
        <v>0</v>
      </c>
    </row>
    <row r="2494" spans="1:27">
      <c r="A2494" s="83" t="str">
        <f t="shared" si="267"/>
        <v/>
      </c>
      <c r="B2494" s="83" t="str">
        <f t="shared" si="268"/>
        <v/>
      </c>
      <c r="S2494" s="83" t="str">
        <f t="shared" si="269"/>
        <v/>
      </c>
      <c r="T2494" s="83" t="str">
        <f t="shared" si="266"/>
        <v/>
      </c>
      <c r="Y2494" s="60">
        <f t="shared" si="270"/>
        <v>0</v>
      </c>
      <c r="Z2494" s="49">
        <f t="shared" si="271"/>
        <v>0</v>
      </c>
      <c r="AA2494" s="60">
        <f t="shared" si="272"/>
        <v>0</v>
      </c>
    </row>
    <row r="2495" spans="1:27">
      <c r="A2495" s="83" t="str">
        <f t="shared" si="267"/>
        <v/>
      </c>
      <c r="B2495" s="83" t="str">
        <f t="shared" si="268"/>
        <v/>
      </c>
      <c r="S2495" s="83" t="str">
        <f t="shared" si="269"/>
        <v/>
      </c>
      <c r="T2495" s="83" t="str">
        <f t="shared" si="266"/>
        <v/>
      </c>
      <c r="Y2495" s="60">
        <f t="shared" si="270"/>
        <v>0</v>
      </c>
      <c r="Z2495" s="49">
        <f t="shared" si="271"/>
        <v>0</v>
      </c>
      <c r="AA2495" s="60">
        <f t="shared" si="272"/>
        <v>0</v>
      </c>
    </row>
    <row r="2496" spans="1:27">
      <c r="A2496" s="83" t="str">
        <f t="shared" si="267"/>
        <v/>
      </c>
      <c r="B2496" s="83" t="str">
        <f t="shared" si="268"/>
        <v/>
      </c>
      <c r="S2496" s="83" t="str">
        <f t="shared" si="269"/>
        <v/>
      </c>
      <c r="T2496" s="83" t="str">
        <f t="shared" si="266"/>
        <v/>
      </c>
      <c r="Y2496" s="60">
        <f t="shared" si="270"/>
        <v>0</v>
      </c>
      <c r="Z2496" s="49">
        <f t="shared" si="271"/>
        <v>0</v>
      </c>
      <c r="AA2496" s="60">
        <f t="shared" si="272"/>
        <v>0</v>
      </c>
    </row>
    <row r="2497" spans="1:27">
      <c r="A2497" s="83" t="str">
        <f t="shared" si="267"/>
        <v/>
      </c>
      <c r="B2497" s="83" t="str">
        <f t="shared" si="268"/>
        <v/>
      </c>
      <c r="S2497" s="83" t="str">
        <f t="shared" si="269"/>
        <v/>
      </c>
      <c r="T2497" s="83" t="str">
        <f t="shared" si="266"/>
        <v/>
      </c>
      <c r="Y2497" s="60">
        <f t="shared" si="270"/>
        <v>0</v>
      </c>
      <c r="Z2497" s="49">
        <f t="shared" si="271"/>
        <v>0</v>
      </c>
      <c r="AA2497" s="60">
        <f t="shared" si="272"/>
        <v>0</v>
      </c>
    </row>
    <row r="2498" spans="1:27">
      <c r="A2498" s="83" t="str">
        <f t="shared" si="267"/>
        <v/>
      </c>
      <c r="B2498" s="83" t="str">
        <f t="shared" si="268"/>
        <v/>
      </c>
      <c r="S2498" s="83" t="str">
        <f t="shared" si="269"/>
        <v/>
      </c>
      <c r="T2498" s="83" t="str">
        <f t="shared" ref="T2498:T2561" si="273">IF(A2498&lt;&gt;"",IF(FIND(" ",G2498)&gt;=1,MID(G2498,FIND(" ",G2498)+1,LEN(G2498)),""),"")</f>
        <v/>
      </c>
      <c r="Y2498" s="60">
        <f t="shared" si="270"/>
        <v>0</v>
      </c>
      <c r="Z2498" s="49">
        <f t="shared" si="271"/>
        <v>0</v>
      </c>
      <c r="AA2498" s="60">
        <f t="shared" si="272"/>
        <v>0</v>
      </c>
    </row>
    <row r="2499" spans="1:27">
      <c r="A2499" s="83" t="str">
        <f t="shared" ref="A2499:A2562" si="274">IF(G2499&amp;Q2499&lt;&gt;"",S2499&amp;Q2499,"")</f>
        <v/>
      </c>
      <c r="B2499" s="83" t="str">
        <f t="shared" ref="B2499:B2562" si="275">IF(C2499&lt;&gt;"",LEFT(C2499,9),"")</f>
        <v/>
      </c>
      <c r="S2499" s="83" t="str">
        <f t="shared" ref="S2499:S2562" si="276">IF(G2499&lt;&gt;"",IF(FIND(" ",G2499)&gt;=1,MID(G2499,1,FIND(" ",G2499)-1),G2499),"")</f>
        <v/>
      </c>
      <c r="T2499" s="83" t="str">
        <f t="shared" si="273"/>
        <v/>
      </c>
      <c r="Y2499" s="60">
        <f t="shared" ref="Y2499:Y2562" si="277">IFERROR(VALUE(MID($C2499,1,2)),0)</f>
        <v>0</v>
      </c>
      <c r="Z2499" s="49">
        <f t="shared" ref="Z2499:Z2562" si="278">IFERROR(VALUE(MID($C2499,4,3)),0)</f>
        <v>0</v>
      </c>
      <c r="AA2499" s="60">
        <f t="shared" ref="AA2499:AA2562" si="279">VALUE(RIGHT("00"&amp;Y2499,2)&amp;RIGHT("000"&amp;Z2499,3))</f>
        <v>0</v>
      </c>
    </row>
    <row r="2500" spans="1:27">
      <c r="A2500" s="83" t="str">
        <f t="shared" si="274"/>
        <v/>
      </c>
      <c r="B2500" s="83" t="str">
        <f t="shared" si="275"/>
        <v/>
      </c>
      <c r="S2500" s="83" t="str">
        <f t="shared" si="276"/>
        <v/>
      </c>
      <c r="T2500" s="83" t="str">
        <f t="shared" si="273"/>
        <v/>
      </c>
      <c r="Y2500" s="60">
        <f t="shared" si="277"/>
        <v>0</v>
      </c>
      <c r="Z2500" s="49">
        <f t="shared" si="278"/>
        <v>0</v>
      </c>
      <c r="AA2500" s="60">
        <f t="shared" si="279"/>
        <v>0</v>
      </c>
    </row>
    <row r="2501" spans="1:27">
      <c r="A2501" s="83" t="str">
        <f t="shared" si="274"/>
        <v/>
      </c>
      <c r="B2501" s="83" t="str">
        <f t="shared" si="275"/>
        <v/>
      </c>
      <c r="S2501" s="83" t="str">
        <f t="shared" si="276"/>
        <v/>
      </c>
      <c r="T2501" s="83" t="str">
        <f t="shared" si="273"/>
        <v/>
      </c>
      <c r="Y2501" s="60">
        <f t="shared" si="277"/>
        <v>0</v>
      </c>
      <c r="Z2501" s="49">
        <f t="shared" si="278"/>
        <v>0</v>
      </c>
      <c r="AA2501" s="60">
        <f t="shared" si="279"/>
        <v>0</v>
      </c>
    </row>
    <row r="2502" spans="1:27">
      <c r="A2502" s="83" t="str">
        <f t="shared" si="274"/>
        <v/>
      </c>
      <c r="B2502" s="83" t="str">
        <f t="shared" si="275"/>
        <v/>
      </c>
      <c r="S2502" s="83" t="str">
        <f t="shared" si="276"/>
        <v/>
      </c>
      <c r="T2502" s="83" t="str">
        <f t="shared" si="273"/>
        <v/>
      </c>
      <c r="Y2502" s="60">
        <f t="shared" si="277"/>
        <v>0</v>
      </c>
      <c r="Z2502" s="49">
        <f t="shared" si="278"/>
        <v>0</v>
      </c>
      <c r="AA2502" s="60">
        <f t="shared" si="279"/>
        <v>0</v>
      </c>
    </row>
    <row r="2503" spans="1:27">
      <c r="A2503" s="83" t="str">
        <f t="shared" si="274"/>
        <v/>
      </c>
      <c r="B2503" s="83" t="str">
        <f t="shared" si="275"/>
        <v/>
      </c>
      <c r="S2503" s="83" t="str">
        <f t="shared" si="276"/>
        <v/>
      </c>
      <c r="T2503" s="83" t="str">
        <f t="shared" si="273"/>
        <v/>
      </c>
      <c r="Y2503" s="60">
        <f t="shared" si="277"/>
        <v>0</v>
      </c>
      <c r="Z2503" s="49">
        <f t="shared" si="278"/>
        <v>0</v>
      </c>
      <c r="AA2503" s="60">
        <f t="shared" si="279"/>
        <v>0</v>
      </c>
    </row>
    <row r="2504" spans="1:27">
      <c r="A2504" s="83" t="str">
        <f t="shared" si="274"/>
        <v/>
      </c>
      <c r="B2504" s="83" t="str">
        <f t="shared" si="275"/>
        <v/>
      </c>
      <c r="S2504" s="83" t="str">
        <f t="shared" si="276"/>
        <v/>
      </c>
      <c r="T2504" s="83" t="str">
        <f t="shared" si="273"/>
        <v/>
      </c>
      <c r="Y2504" s="60">
        <f t="shared" si="277"/>
        <v>0</v>
      </c>
      <c r="Z2504" s="49">
        <f t="shared" si="278"/>
        <v>0</v>
      </c>
      <c r="AA2504" s="60">
        <f t="shared" si="279"/>
        <v>0</v>
      </c>
    </row>
    <row r="2505" spans="1:27">
      <c r="A2505" s="83" t="str">
        <f t="shared" si="274"/>
        <v/>
      </c>
      <c r="B2505" s="83" t="str">
        <f t="shared" si="275"/>
        <v/>
      </c>
      <c r="S2505" s="83" t="str">
        <f t="shared" si="276"/>
        <v/>
      </c>
      <c r="T2505" s="83" t="str">
        <f t="shared" si="273"/>
        <v/>
      </c>
      <c r="Y2505" s="60">
        <f t="shared" si="277"/>
        <v>0</v>
      </c>
      <c r="Z2505" s="49">
        <f t="shared" si="278"/>
        <v>0</v>
      </c>
      <c r="AA2505" s="60">
        <f t="shared" si="279"/>
        <v>0</v>
      </c>
    </row>
    <row r="2506" spans="1:27">
      <c r="A2506" s="83" t="str">
        <f t="shared" si="274"/>
        <v/>
      </c>
      <c r="B2506" s="83" t="str">
        <f t="shared" si="275"/>
        <v/>
      </c>
      <c r="S2506" s="83" t="str">
        <f t="shared" si="276"/>
        <v/>
      </c>
      <c r="T2506" s="83" t="str">
        <f t="shared" si="273"/>
        <v/>
      </c>
      <c r="Y2506" s="60">
        <f t="shared" si="277"/>
        <v>0</v>
      </c>
      <c r="Z2506" s="49">
        <f t="shared" si="278"/>
        <v>0</v>
      </c>
      <c r="AA2506" s="60">
        <f t="shared" si="279"/>
        <v>0</v>
      </c>
    </row>
    <row r="2507" spans="1:27">
      <c r="A2507" s="83" t="str">
        <f t="shared" si="274"/>
        <v/>
      </c>
      <c r="B2507" s="83" t="str">
        <f t="shared" si="275"/>
        <v/>
      </c>
      <c r="S2507" s="83" t="str">
        <f t="shared" si="276"/>
        <v/>
      </c>
      <c r="T2507" s="83" t="str">
        <f t="shared" si="273"/>
        <v/>
      </c>
      <c r="Y2507" s="60">
        <f t="shared" si="277"/>
        <v>0</v>
      </c>
      <c r="Z2507" s="49">
        <f t="shared" si="278"/>
        <v>0</v>
      </c>
      <c r="AA2507" s="60">
        <f t="shared" si="279"/>
        <v>0</v>
      </c>
    </row>
    <row r="2508" spans="1:27">
      <c r="A2508" s="83" t="str">
        <f t="shared" si="274"/>
        <v/>
      </c>
      <c r="B2508" s="83" t="str">
        <f t="shared" si="275"/>
        <v/>
      </c>
      <c r="S2508" s="83" t="str">
        <f t="shared" si="276"/>
        <v/>
      </c>
      <c r="T2508" s="83" t="str">
        <f t="shared" si="273"/>
        <v/>
      </c>
      <c r="Y2508" s="60">
        <f t="shared" si="277"/>
        <v>0</v>
      </c>
      <c r="Z2508" s="49">
        <f t="shared" si="278"/>
        <v>0</v>
      </c>
      <c r="AA2508" s="60">
        <f t="shared" si="279"/>
        <v>0</v>
      </c>
    </row>
    <row r="2509" spans="1:27">
      <c r="A2509" s="83" t="str">
        <f t="shared" si="274"/>
        <v/>
      </c>
      <c r="B2509" s="83" t="str">
        <f t="shared" si="275"/>
        <v/>
      </c>
      <c r="S2509" s="83" t="str">
        <f t="shared" si="276"/>
        <v/>
      </c>
      <c r="T2509" s="83" t="str">
        <f t="shared" si="273"/>
        <v/>
      </c>
      <c r="Y2509" s="60">
        <f t="shared" si="277"/>
        <v>0</v>
      </c>
      <c r="Z2509" s="49">
        <f t="shared" si="278"/>
        <v>0</v>
      </c>
      <c r="AA2509" s="60">
        <f t="shared" si="279"/>
        <v>0</v>
      </c>
    </row>
    <row r="2510" spans="1:27">
      <c r="A2510" s="83" t="str">
        <f t="shared" si="274"/>
        <v/>
      </c>
      <c r="B2510" s="83" t="str">
        <f t="shared" si="275"/>
        <v/>
      </c>
      <c r="S2510" s="83" t="str">
        <f t="shared" si="276"/>
        <v/>
      </c>
      <c r="T2510" s="83" t="str">
        <f t="shared" si="273"/>
        <v/>
      </c>
      <c r="Y2510" s="60">
        <f t="shared" si="277"/>
        <v>0</v>
      </c>
      <c r="Z2510" s="49">
        <f t="shared" si="278"/>
        <v>0</v>
      </c>
      <c r="AA2510" s="60">
        <f t="shared" si="279"/>
        <v>0</v>
      </c>
    </row>
    <row r="2511" spans="1:27">
      <c r="A2511" s="83" t="str">
        <f t="shared" si="274"/>
        <v/>
      </c>
      <c r="B2511" s="83" t="str">
        <f t="shared" si="275"/>
        <v/>
      </c>
      <c r="S2511" s="83" t="str">
        <f t="shared" si="276"/>
        <v/>
      </c>
      <c r="T2511" s="83" t="str">
        <f t="shared" si="273"/>
        <v/>
      </c>
      <c r="Y2511" s="60">
        <f t="shared" si="277"/>
        <v>0</v>
      </c>
      <c r="Z2511" s="49">
        <f t="shared" si="278"/>
        <v>0</v>
      </c>
      <c r="AA2511" s="60">
        <f t="shared" si="279"/>
        <v>0</v>
      </c>
    </row>
    <row r="2512" spans="1:27">
      <c r="A2512" s="83" t="str">
        <f t="shared" si="274"/>
        <v/>
      </c>
      <c r="B2512" s="83" t="str">
        <f t="shared" si="275"/>
        <v/>
      </c>
      <c r="S2512" s="83" t="str">
        <f t="shared" si="276"/>
        <v/>
      </c>
      <c r="T2512" s="83" t="str">
        <f t="shared" si="273"/>
        <v/>
      </c>
      <c r="Y2512" s="60">
        <f t="shared" si="277"/>
        <v>0</v>
      </c>
      <c r="Z2512" s="49">
        <f t="shared" si="278"/>
        <v>0</v>
      </c>
      <c r="AA2512" s="60">
        <f t="shared" si="279"/>
        <v>0</v>
      </c>
    </row>
    <row r="2513" spans="1:27">
      <c r="A2513" s="83" t="str">
        <f t="shared" si="274"/>
        <v/>
      </c>
      <c r="B2513" s="83" t="str">
        <f t="shared" si="275"/>
        <v/>
      </c>
      <c r="S2513" s="83" t="str">
        <f t="shared" si="276"/>
        <v/>
      </c>
      <c r="T2513" s="83" t="str">
        <f t="shared" si="273"/>
        <v/>
      </c>
      <c r="Y2513" s="60">
        <f t="shared" si="277"/>
        <v>0</v>
      </c>
      <c r="Z2513" s="49">
        <f t="shared" si="278"/>
        <v>0</v>
      </c>
      <c r="AA2513" s="60">
        <f t="shared" si="279"/>
        <v>0</v>
      </c>
    </row>
    <row r="2514" spans="1:27">
      <c r="A2514" s="83" t="str">
        <f t="shared" si="274"/>
        <v/>
      </c>
      <c r="B2514" s="83" t="str">
        <f t="shared" si="275"/>
        <v/>
      </c>
      <c r="S2514" s="83" t="str">
        <f t="shared" si="276"/>
        <v/>
      </c>
      <c r="T2514" s="83" t="str">
        <f t="shared" si="273"/>
        <v/>
      </c>
      <c r="Y2514" s="60">
        <f t="shared" si="277"/>
        <v>0</v>
      </c>
      <c r="Z2514" s="49">
        <f t="shared" si="278"/>
        <v>0</v>
      </c>
      <c r="AA2514" s="60">
        <f t="shared" si="279"/>
        <v>0</v>
      </c>
    </row>
    <row r="2515" spans="1:27">
      <c r="A2515" s="83" t="str">
        <f t="shared" si="274"/>
        <v/>
      </c>
      <c r="B2515" s="83" t="str">
        <f t="shared" si="275"/>
        <v/>
      </c>
      <c r="S2515" s="83" t="str">
        <f t="shared" si="276"/>
        <v/>
      </c>
      <c r="T2515" s="83" t="str">
        <f t="shared" si="273"/>
        <v/>
      </c>
      <c r="Y2515" s="60">
        <f t="shared" si="277"/>
        <v>0</v>
      </c>
      <c r="Z2515" s="49">
        <f t="shared" si="278"/>
        <v>0</v>
      </c>
      <c r="AA2515" s="60">
        <f t="shared" si="279"/>
        <v>0</v>
      </c>
    </row>
    <row r="2516" spans="1:27">
      <c r="A2516" s="83" t="str">
        <f t="shared" si="274"/>
        <v/>
      </c>
      <c r="B2516" s="83" t="str">
        <f t="shared" si="275"/>
        <v/>
      </c>
      <c r="S2516" s="83" t="str">
        <f t="shared" si="276"/>
        <v/>
      </c>
      <c r="T2516" s="83" t="str">
        <f t="shared" si="273"/>
        <v/>
      </c>
      <c r="Y2516" s="60">
        <f t="shared" si="277"/>
        <v>0</v>
      </c>
      <c r="Z2516" s="49">
        <f t="shared" si="278"/>
        <v>0</v>
      </c>
      <c r="AA2516" s="60">
        <f t="shared" si="279"/>
        <v>0</v>
      </c>
    </row>
    <row r="2517" spans="1:27">
      <c r="A2517" s="83" t="str">
        <f t="shared" si="274"/>
        <v/>
      </c>
      <c r="B2517" s="83" t="str">
        <f t="shared" si="275"/>
        <v/>
      </c>
      <c r="S2517" s="83" t="str">
        <f t="shared" si="276"/>
        <v/>
      </c>
      <c r="T2517" s="83" t="str">
        <f t="shared" si="273"/>
        <v/>
      </c>
      <c r="Y2517" s="60">
        <f t="shared" si="277"/>
        <v>0</v>
      </c>
      <c r="Z2517" s="49">
        <f t="shared" si="278"/>
        <v>0</v>
      </c>
      <c r="AA2517" s="60">
        <f t="shared" si="279"/>
        <v>0</v>
      </c>
    </row>
    <row r="2518" spans="1:27">
      <c r="A2518" s="83" t="str">
        <f t="shared" si="274"/>
        <v/>
      </c>
      <c r="B2518" s="83" t="str">
        <f t="shared" si="275"/>
        <v/>
      </c>
      <c r="S2518" s="83" t="str">
        <f t="shared" si="276"/>
        <v/>
      </c>
      <c r="T2518" s="83" t="str">
        <f t="shared" si="273"/>
        <v/>
      </c>
      <c r="Y2518" s="60">
        <f t="shared" si="277"/>
        <v>0</v>
      </c>
      <c r="Z2518" s="49">
        <f t="shared" si="278"/>
        <v>0</v>
      </c>
      <c r="AA2518" s="60">
        <f t="shared" si="279"/>
        <v>0</v>
      </c>
    </row>
    <row r="2519" spans="1:27">
      <c r="A2519" s="83" t="str">
        <f t="shared" si="274"/>
        <v/>
      </c>
      <c r="B2519" s="83" t="str">
        <f t="shared" si="275"/>
        <v/>
      </c>
      <c r="S2519" s="83" t="str">
        <f t="shared" si="276"/>
        <v/>
      </c>
      <c r="T2519" s="83" t="str">
        <f t="shared" si="273"/>
        <v/>
      </c>
      <c r="Y2519" s="60">
        <f t="shared" si="277"/>
        <v>0</v>
      </c>
      <c r="Z2519" s="49">
        <f t="shared" si="278"/>
        <v>0</v>
      </c>
      <c r="AA2519" s="60">
        <f t="shared" si="279"/>
        <v>0</v>
      </c>
    </row>
    <row r="2520" spans="1:27">
      <c r="A2520" s="83" t="str">
        <f t="shared" si="274"/>
        <v/>
      </c>
      <c r="B2520" s="83" t="str">
        <f t="shared" si="275"/>
        <v/>
      </c>
      <c r="S2520" s="83" t="str">
        <f t="shared" si="276"/>
        <v/>
      </c>
      <c r="T2520" s="83" t="str">
        <f t="shared" si="273"/>
        <v/>
      </c>
      <c r="Y2520" s="60">
        <f t="shared" si="277"/>
        <v>0</v>
      </c>
      <c r="Z2520" s="49">
        <f t="shared" si="278"/>
        <v>0</v>
      </c>
      <c r="AA2520" s="60">
        <f t="shared" si="279"/>
        <v>0</v>
      </c>
    </row>
    <row r="2521" spans="1:27">
      <c r="A2521" s="83" t="str">
        <f t="shared" si="274"/>
        <v/>
      </c>
      <c r="B2521" s="83" t="str">
        <f t="shared" si="275"/>
        <v/>
      </c>
      <c r="S2521" s="83" t="str">
        <f t="shared" si="276"/>
        <v/>
      </c>
      <c r="T2521" s="83" t="str">
        <f t="shared" si="273"/>
        <v/>
      </c>
      <c r="Y2521" s="60">
        <f t="shared" si="277"/>
        <v>0</v>
      </c>
      <c r="Z2521" s="49">
        <f t="shared" si="278"/>
        <v>0</v>
      </c>
      <c r="AA2521" s="60">
        <f t="shared" si="279"/>
        <v>0</v>
      </c>
    </row>
    <row r="2522" spans="1:27">
      <c r="A2522" s="83" t="str">
        <f t="shared" si="274"/>
        <v/>
      </c>
      <c r="B2522" s="83" t="str">
        <f t="shared" si="275"/>
        <v/>
      </c>
      <c r="S2522" s="83" t="str">
        <f t="shared" si="276"/>
        <v/>
      </c>
      <c r="T2522" s="83" t="str">
        <f t="shared" si="273"/>
        <v/>
      </c>
      <c r="Y2522" s="60">
        <f t="shared" si="277"/>
        <v>0</v>
      </c>
      <c r="Z2522" s="49">
        <f t="shared" si="278"/>
        <v>0</v>
      </c>
      <c r="AA2522" s="60">
        <f t="shared" si="279"/>
        <v>0</v>
      </c>
    </row>
    <row r="2523" spans="1:27">
      <c r="A2523" s="83" t="str">
        <f t="shared" si="274"/>
        <v/>
      </c>
      <c r="B2523" s="83" t="str">
        <f t="shared" si="275"/>
        <v/>
      </c>
      <c r="S2523" s="83" t="str">
        <f t="shared" si="276"/>
        <v/>
      </c>
      <c r="T2523" s="83" t="str">
        <f t="shared" si="273"/>
        <v/>
      </c>
      <c r="Y2523" s="60">
        <f t="shared" si="277"/>
        <v>0</v>
      </c>
      <c r="Z2523" s="49">
        <f t="shared" si="278"/>
        <v>0</v>
      </c>
      <c r="AA2523" s="60">
        <f t="shared" si="279"/>
        <v>0</v>
      </c>
    </row>
    <row r="2524" spans="1:27">
      <c r="A2524" s="83" t="str">
        <f t="shared" si="274"/>
        <v/>
      </c>
      <c r="B2524" s="83" t="str">
        <f t="shared" si="275"/>
        <v/>
      </c>
      <c r="S2524" s="83" t="str">
        <f t="shared" si="276"/>
        <v/>
      </c>
      <c r="T2524" s="83" t="str">
        <f t="shared" si="273"/>
        <v/>
      </c>
      <c r="Y2524" s="60">
        <f t="shared" si="277"/>
        <v>0</v>
      </c>
      <c r="Z2524" s="49">
        <f t="shared" si="278"/>
        <v>0</v>
      </c>
      <c r="AA2524" s="60">
        <f t="shared" si="279"/>
        <v>0</v>
      </c>
    </row>
    <row r="2525" spans="1:27">
      <c r="A2525" s="83" t="str">
        <f t="shared" si="274"/>
        <v/>
      </c>
      <c r="B2525" s="83" t="str">
        <f t="shared" si="275"/>
        <v/>
      </c>
      <c r="S2525" s="83" t="str">
        <f t="shared" si="276"/>
        <v/>
      </c>
      <c r="T2525" s="83" t="str">
        <f t="shared" si="273"/>
        <v/>
      </c>
      <c r="Y2525" s="60">
        <f t="shared" si="277"/>
        <v>0</v>
      </c>
      <c r="Z2525" s="49">
        <f t="shared" si="278"/>
        <v>0</v>
      </c>
      <c r="AA2525" s="60">
        <f t="shared" si="279"/>
        <v>0</v>
      </c>
    </row>
    <row r="2526" spans="1:27">
      <c r="A2526" s="83" t="str">
        <f t="shared" si="274"/>
        <v/>
      </c>
      <c r="B2526" s="83" t="str">
        <f t="shared" si="275"/>
        <v/>
      </c>
      <c r="S2526" s="83" t="str">
        <f t="shared" si="276"/>
        <v/>
      </c>
      <c r="T2526" s="83" t="str">
        <f t="shared" si="273"/>
        <v/>
      </c>
      <c r="Y2526" s="60">
        <f t="shared" si="277"/>
        <v>0</v>
      </c>
      <c r="Z2526" s="49">
        <f t="shared" si="278"/>
        <v>0</v>
      </c>
      <c r="AA2526" s="60">
        <f t="shared" si="279"/>
        <v>0</v>
      </c>
    </row>
    <row r="2527" spans="1:27">
      <c r="A2527" s="83" t="str">
        <f t="shared" si="274"/>
        <v/>
      </c>
      <c r="B2527" s="83" t="str">
        <f t="shared" si="275"/>
        <v/>
      </c>
      <c r="S2527" s="83" t="str">
        <f t="shared" si="276"/>
        <v/>
      </c>
      <c r="T2527" s="83" t="str">
        <f t="shared" si="273"/>
        <v/>
      </c>
      <c r="Y2527" s="60">
        <f t="shared" si="277"/>
        <v>0</v>
      </c>
      <c r="Z2527" s="49">
        <f t="shared" si="278"/>
        <v>0</v>
      </c>
      <c r="AA2527" s="60">
        <f t="shared" si="279"/>
        <v>0</v>
      </c>
    </row>
    <row r="2528" spans="1:27">
      <c r="A2528" s="83" t="str">
        <f t="shared" si="274"/>
        <v/>
      </c>
      <c r="B2528" s="83" t="str">
        <f t="shared" si="275"/>
        <v/>
      </c>
      <c r="S2528" s="83" t="str">
        <f t="shared" si="276"/>
        <v/>
      </c>
      <c r="T2528" s="83" t="str">
        <f t="shared" si="273"/>
        <v/>
      </c>
      <c r="Y2528" s="60">
        <f t="shared" si="277"/>
        <v>0</v>
      </c>
      <c r="Z2528" s="49">
        <f t="shared" si="278"/>
        <v>0</v>
      </c>
      <c r="AA2528" s="60">
        <f t="shared" si="279"/>
        <v>0</v>
      </c>
    </row>
    <row r="2529" spans="1:27">
      <c r="A2529" s="83" t="str">
        <f t="shared" si="274"/>
        <v/>
      </c>
      <c r="B2529" s="83" t="str">
        <f t="shared" si="275"/>
        <v/>
      </c>
      <c r="S2529" s="83" t="str">
        <f t="shared" si="276"/>
        <v/>
      </c>
      <c r="T2529" s="83" t="str">
        <f t="shared" si="273"/>
        <v/>
      </c>
      <c r="Y2529" s="60">
        <f t="shared" si="277"/>
        <v>0</v>
      </c>
      <c r="Z2529" s="49">
        <f t="shared" si="278"/>
        <v>0</v>
      </c>
      <c r="AA2529" s="60">
        <f t="shared" si="279"/>
        <v>0</v>
      </c>
    </row>
    <row r="2530" spans="1:27">
      <c r="A2530" s="83" t="str">
        <f t="shared" si="274"/>
        <v/>
      </c>
      <c r="B2530" s="83" t="str">
        <f t="shared" si="275"/>
        <v/>
      </c>
      <c r="S2530" s="83" t="str">
        <f t="shared" si="276"/>
        <v/>
      </c>
      <c r="T2530" s="83" t="str">
        <f t="shared" si="273"/>
        <v/>
      </c>
      <c r="Y2530" s="60">
        <f t="shared" si="277"/>
        <v>0</v>
      </c>
      <c r="Z2530" s="49">
        <f t="shared" si="278"/>
        <v>0</v>
      </c>
      <c r="AA2530" s="60">
        <f t="shared" si="279"/>
        <v>0</v>
      </c>
    </row>
    <row r="2531" spans="1:27">
      <c r="A2531" s="83" t="str">
        <f t="shared" si="274"/>
        <v/>
      </c>
      <c r="B2531" s="83" t="str">
        <f t="shared" si="275"/>
        <v/>
      </c>
      <c r="S2531" s="83" t="str">
        <f t="shared" si="276"/>
        <v/>
      </c>
      <c r="T2531" s="83" t="str">
        <f t="shared" si="273"/>
        <v/>
      </c>
      <c r="Y2531" s="60">
        <f t="shared" si="277"/>
        <v>0</v>
      </c>
      <c r="Z2531" s="49">
        <f t="shared" si="278"/>
        <v>0</v>
      </c>
      <c r="AA2531" s="60">
        <f t="shared" si="279"/>
        <v>0</v>
      </c>
    </row>
    <row r="2532" spans="1:27">
      <c r="A2532" s="83" t="str">
        <f t="shared" si="274"/>
        <v/>
      </c>
      <c r="B2532" s="83" t="str">
        <f t="shared" si="275"/>
        <v/>
      </c>
      <c r="S2532" s="83" t="str">
        <f t="shared" si="276"/>
        <v/>
      </c>
      <c r="T2532" s="83" t="str">
        <f t="shared" si="273"/>
        <v/>
      </c>
      <c r="Y2532" s="60">
        <f t="shared" si="277"/>
        <v>0</v>
      </c>
      <c r="Z2532" s="49">
        <f t="shared" si="278"/>
        <v>0</v>
      </c>
      <c r="AA2532" s="60">
        <f t="shared" si="279"/>
        <v>0</v>
      </c>
    </row>
    <row r="2533" spans="1:27">
      <c r="A2533" s="83" t="str">
        <f t="shared" si="274"/>
        <v/>
      </c>
      <c r="B2533" s="83" t="str">
        <f t="shared" si="275"/>
        <v/>
      </c>
      <c r="S2533" s="83" t="str">
        <f t="shared" si="276"/>
        <v/>
      </c>
      <c r="T2533" s="83" t="str">
        <f t="shared" si="273"/>
        <v/>
      </c>
      <c r="Y2533" s="60">
        <f t="shared" si="277"/>
        <v>0</v>
      </c>
      <c r="Z2533" s="49">
        <f t="shared" si="278"/>
        <v>0</v>
      </c>
      <c r="AA2533" s="60">
        <f t="shared" si="279"/>
        <v>0</v>
      </c>
    </row>
    <row r="2534" spans="1:27">
      <c r="A2534" s="83" t="str">
        <f t="shared" si="274"/>
        <v/>
      </c>
      <c r="B2534" s="83" t="str">
        <f t="shared" si="275"/>
        <v/>
      </c>
      <c r="S2534" s="83" t="str">
        <f t="shared" si="276"/>
        <v/>
      </c>
      <c r="T2534" s="83" t="str">
        <f t="shared" si="273"/>
        <v/>
      </c>
      <c r="Y2534" s="60">
        <f t="shared" si="277"/>
        <v>0</v>
      </c>
      <c r="Z2534" s="49">
        <f t="shared" si="278"/>
        <v>0</v>
      </c>
      <c r="AA2534" s="60">
        <f t="shared" si="279"/>
        <v>0</v>
      </c>
    </row>
    <row r="2535" spans="1:27">
      <c r="A2535" s="83" t="str">
        <f t="shared" si="274"/>
        <v/>
      </c>
      <c r="B2535" s="83" t="str">
        <f t="shared" si="275"/>
        <v/>
      </c>
      <c r="S2535" s="83" t="str">
        <f t="shared" si="276"/>
        <v/>
      </c>
      <c r="T2535" s="83" t="str">
        <f t="shared" si="273"/>
        <v/>
      </c>
      <c r="Y2535" s="60">
        <f t="shared" si="277"/>
        <v>0</v>
      </c>
      <c r="Z2535" s="49">
        <f t="shared" si="278"/>
        <v>0</v>
      </c>
      <c r="AA2535" s="60">
        <f t="shared" si="279"/>
        <v>0</v>
      </c>
    </row>
    <row r="2536" spans="1:27">
      <c r="A2536" s="83" t="str">
        <f t="shared" si="274"/>
        <v/>
      </c>
      <c r="B2536" s="83" t="str">
        <f t="shared" si="275"/>
        <v/>
      </c>
      <c r="S2536" s="83" t="str">
        <f t="shared" si="276"/>
        <v/>
      </c>
      <c r="T2536" s="83" t="str">
        <f t="shared" si="273"/>
        <v/>
      </c>
      <c r="Y2536" s="60">
        <f t="shared" si="277"/>
        <v>0</v>
      </c>
      <c r="Z2536" s="49">
        <f t="shared" si="278"/>
        <v>0</v>
      </c>
      <c r="AA2536" s="60">
        <f t="shared" si="279"/>
        <v>0</v>
      </c>
    </row>
    <row r="2537" spans="1:27">
      <c r="A2537" s="83" t="str">
        <f t="shared" si="274"/>
        <v/>
      </c>
      <c r="B2537" s="83" t="str">
        <f t="shared" si="275"/>
        <v/>
      </c>
      <c r="S2537" s="83" t="str">
        <f t="shared" si="276"/>
        <v/>
      </c>
      <c r="T2537" s="83" t="str">
        <f t="shared" si="273"/>
        <v/>
      </c>
      <c r="Y2537" s="60">
        <f t="shared" si="277"/>
        <v>0</v>
      </c>
      <c r="Z2537" s="49">
        <f t="shared" si="278"/>
        <v>0</v>
      </c>
      <c r="AA2537" s="60">
        <f t="shared" si="279"/>
        <v>0</v>
      </c>
    </row>
    <row r="2538" spans="1:27">
      <c r="A2538" s="83" t="str">
        <f t="shared" si="274"/>
        <v/>
      </c>
      <c r="B2538" s="83" t="str">
        <f t="shared" si="275"/>
        <v/>
      </c>
      <c r="S2538" s="83" t="str">
        <f t="shared" si="276"/>
        <v/>
      </c>
      <c r="T2538" s="83" t="str">
        <f t="shared" si="273"/>
        <v/>
      </c>
      <c r="Y2538" s="60">
        <f t="shared" si="277"/>
        <v>0</v>
      </c>
      <c r="Z2538" s="49">
        <f t="shared" si="278"/>
        <v>0</v>
      </c>
      <c r="AA2538" s="60">
        <f t="shared" si="279"/>
        <v>0</v>
      </c>
    </row>
    <row r="2539" spans="1:27">
      <c r="A2539" s="83" t="str">
        <f t="shared" si="274"/>
        <v/>
      </c>
      <c r="B2539" s="83" t="str">
        <f t="shared" si="275"/>
        <v/>
      </c>
      <c r="S2539" s="83" t="str">
        <f t="shared" si="276"/>
        <v/>
      </c>
      <c r="T2539" s="83" t="str">
        <f t="shared" si="273"/>
        <v/>
      </c>
      <c r="Y2539" s="60">
        <f t="shared" si="277"/>
        <v>0</v>
      </c>
      <c r="Z2539" s="49">
        <f t="shared" si="278"/>
        <v>0</v>
      </c>
      <c r="AA2539" s="60">
        <f t="shared" si="279"/>
        <v>0</v>
      </c>
    </row>
    <row r="2540" spans="1:27">
      <c r="A2540" s="83" t="str">
        <f t="shared" si="274"/>
        <v/>
      </c>
      <c r="B2540" s="83" t="str">
        <f t="shared" si="275"/>
        <v/>
      </c>
      <c r="S2540" s="83" t="str">
        <f t="shared" si="276"/>
        <v/>
      </c>
      <c r="T2540" s="83" t="str">
        <f t="shared" si="273"/>
        <v/>
      </c>
      <c r="Y2540" s="60">
        <f t="shared" si="277"/>
        <v>0</v>
      </c>
      <c r="Z2540" s="49">
        <f t="shared" si="278"/>
        <v>0</v>
      </c>
      <c r="AA2540" s="60">
        <f t="shared" si="279"/>
        <v>0</v>
      </c>
    </row>
    <row r="2541" spans="1:27">
      <c r="A2541" s="83" t="str">
        <f t="shared" si="274"/>
        <v/>
      </c>
      <c r="B2541" s="83" t="str">
        <f t="shared" si="275"/>
        <v/>
      </c>
      <c r="S2541" s="83" t="str">
        <f t="shared" si="276"/>
        <v/>
      </c>
      <c r="T2541" s="83" t="str">
        <f t="shared" si="273"/>
        <v/>
      </c>
      <c r="Y2541" s="60">
        <f t="shared" si="277"/>
        <v>0</v>
      </c>
      <c r="Z2541" s="49">
        <f t="shared" si="278"/>
        <v>0</v>
      </c>
      <c r="AA2541" s="60">
        <f t="shared" si="279"/>
        <v>0</v>
      </c>
    </row>
    <row r="2542" spans="1:27">
      <c r="A2542" s="83" t="str">
        <f t="shared" si="274"/>
        <v/>
      </c>
      <c r="B2542" s="83" t="str">
        <f t="shared" si="275"/>
        <v/>
      </c>
      <c r="S2542" s="83" t="str">
        <f t="shared" si="276"/>
        <v/>
      </c>
      <c r="T2542" s="83" t="str">
        <f t="shared" si="273"/>
        <v/>
      </c>
      <c r="Y2542" s="60">
        <f t="shared" si="277"/>
        <v>0</v>
      </c>
      <c r="Z2542" s="49">
        <f t="shared" si="278"/>
        <v>0</v>
      </c>
      <c r="AA2542" s="60">
        <f t="shared" si="279"/>
        <v>0</v>
      </c>
    </row>
    <row r="2543" spans="1:27">
      <c r="A2543" s="83" t="str">
        <f t="shared" si="274"/>
        <v/>
      </c>
      <c r="B2543" s="83" t="str">
        <f t="shared" si="275"/>
        <v/>
      </c>
      <c r="S2543" s="83" t="str">
        <f t="shared" si="276"/>
        <v/>
      </c>
      <c r="T2543" s="83" t="str">
        <f t="shared" si="273"/>
        <v/>
      </c>
      <c r="Y2543" s="60">
        <f t="shared" si="277"/>
        <v>0</v>
      </c>
      <c r="Z2543" s="49">
        <f t="shared" si="278"/>
        <v>0</v>
      </c>
      <c r="AA2543" s="60">
        <f t="shared" si="279"/>
        <v>0</v>
      </c>
    </row>
    <row r="2544" spans="1:27">
      <c r="A2544" s="83" t="str">
        <f t="shared" si="274"/>
        <v/>
      </c>
      <c r="B2544" s="83" t="str">
        <f t="shared" si="275"/>
        <v/>
      </c>
      <c r="S2544" s="83" t="str">
        <f t="shared" si="276"/>
        <v/>
      </c>
      <c r="T2544" s="83" t="str">
        <f t="shared" si="273"/>
        <v/>
      </c>
      <c r="Y2544" s="60">
        <f t="shared" si="277"/>
        <v>0</v>
      </c>
      <c r="Z2544" s="49">
        <f t="shared" si="278"/>
        <v>0</v>
      </c>
      <c r="AA2544" s="60">
        <f t="shared" si="279"/>
        <v>0</v>
      </c>
    </row>
    <row r="2545" spans="1:27">
      <c r="A2545" s="83" t="str">
        <f t="shared" si="274"/>
        <v/>
      </c>
      <c r="B2545" s="83" t="str">
        <f t="shared" si="275"/>
        <v/>
      </c>
      <c r="S2545" s="83" t="str">
        <f t="shared" si="276"/>
        <v/>
      </c>
      <c r="T2545" s="83" t="str">
        <f t="shared" si="273"/>
        <v/>
      </c>
      <c r="Y2545" s="60">
        <f t="shared" si="277"/>
        <v>0</v>
      </c>
      <c r="Z2545" s="49">
        <f t="shared" si="278"/>
        <v>0</v>
      </c>
      <c r="AA2545" s="60">
        <f t="shared" si="279"/>
        <v>0</v>
      </c>
    </row>
    <row r="2546" spans="1:27">
      <c r="A2546" s="83" t="str">
        <f t="shared" si="274"/>
        <v/>
      </c>
      <c r="B2546" s="83" t="str">
        <f t="shared" si="275"/>
        <v/>
      </c>
      <c r="S2546" s="83" t="str">
        <f t="shared" si="276"/>
        <v/>
      </c>
      <c r="T2546" s="83" t="str">
        <f t="shared" si="273"/>
        <v/>
      </c>
      <c r="Y2546" s="60">
        <f t="shared" si="277"/>
        <v>0</v>
      </c>
      <c r="Z2546" s="49">
        <f t="shared" si="278"/>
        <v>0</v>
      </c>
      <c r="AA2546" s="60">
        <f t="shared" si="279"/>
        <v>0</v>
      </c>
    </row>
    <row r="2547" spans="1:27">
      <c r="A2547" s="83" t="str">
        <f t="shared" si="274"/>
        <v/>
      </c>
      <c r="B2547" s="83" t="str">
        <f t="shared" si="275"/>
        <v/>
      </c>
      <c r="S2547" s="83" t="str">
        <f t="shared" si="276"/>
        <v/>
      </c>
      <c r="T2547" s="83" t="str">
        <f t="shared" si="273"/>
        <v/>
      </c>
      <c r="Y2547" s="60">
        <f t="shared" si="277"/>
        <v>0</v>
      </c>
      <c r="Z2547" s="49">
        <f t="shared" si="278"/>
        <v>0</v>
      </c>
      <c r="AA2547" s="60">
        <f t="shared" si="279"/>
        <v>0</v>
      </c>
    </row>
    <row r="2548" spans="1:27">
      <c r="A2548" s="83" t="str">
        <f t="shared" si="274"/>
        <v/>
      </c>
      <c r="B2548" s="83" t="str">
        <f t="shared" si="275"/>
        <v/>
      </c>
      <c r="S2548" s="83" t="str">
        <f t="shared" si="276"/>
        <v/>
      </c>
      <c r="T2548" s="83" t="str">
        <f t="shared" si="273"/>
        <v/>
      </c>
      <c r="Y2548" s="60">
        <f t="shared" si="277"/>
        <v>0</v>
      </c>
      <c r="Z2548" s="49">
        <f t="shared" si="278"/>
        <v>0</v>
      </c>
      <c r="AA2548" s="60">
        <f t="shared" si="279"/>
        <v>0</v>
      </c>
    </row>
    <row r="2549" spans="1:27">
      <c r="A2549" s="83" t="str">
        <f t="shared" si="274"/>
        <v/>
      </c>
      <c r="B2549" s="83" t="str">
        <f t="shared" si="275"/>
        <v/>
      </c>
      <c r="S2549" s="83" t="str">
        <f t="shared" si="276"/>
        <v/>
      </c>
      <c r="T2549" s="83" t="str">
        <f t="shared" si="273"/>
        <v/>
      </c>
      <c r="Y2549" s="60">
        <f t="shared" si="277"/>
        <v>0</v>
      </c>
      <c r="Z2549" s="49">
        <f t="shared" si="278"/>
        <v>0</v>
      </c>
      <c r="AA2549" s="60">
        <f t="shared" si="279"/>
        <v>0</v>
      </c>
    </row>
    <row r="2550" spans="1:27">
      <c r="A2550" s="83" t="str">
        <f t="shared" si="274"/>
        <v/>
      </c>
      <c r="B2550" s="83" t="str">
        <f t="shared" si="275"/>
        <v/>
      </c>
      <c r="S2550" s="83" t="str">
        <f t="shared" si="276"/>
        <v/>
      </c>
      <c r="T2550" s="83" t="str">
        <f t="shared" si="273"/>
        <v/>
      </c>
      <c r="Y2550" s="60">
        <f t="shared" si="277"/>
        <v>0</v>
      </c>
      <c r="Z2550" s="49">
        <f t="shared" si="278"/>
        <v>0</v>
      </c>
      <c r="AA2550" s="60">
        <f t="shared" si="279"/>
        <v>0</v>
      </c>
    </row>
    <row r="2551" spans="1:27">
      <c r="A2551" s="83" t="str">
        <f t="shared" si="274"/>
        <v/>
      </c>
      <c r="B2551" s="83" t="str">
        <f t="shared" si="275"/>
        <v/>
      </c>
      <c r="S2551" s="83" t="str">
        <f t="shared" si="276"/>
        <v/>
      </c>
      <c r="T2551" s="83" t="str">
        <f t="shared" si="273"/>
        <v/>
      </c>
      <c r="Y2551" s="60">
        <f t="shared" si="277"/>
        <v>0</v>
      </c>
      <c r="Z2551" s="49">
        <f t="shared" si="278"/>
        <v>0</v>
      </c>
      <c r="AA2551" s="60">
        <f t="shared" si="279"/>
        <v>0</v>
      </c>
    </row>
    <row r="2552" spans="1:27">
      <c r="A2552" s="83" t="str">
        <f t="shared" si="274"/>
        <v/>
      </c>
      <c r="B2552" s="83" t="str">
        <f t="shared" si="275"/>
        <v/>
      </c>
      <c r="S2552" s="83" t="str">
        <f t="shared" si="276"/>
        <v/>
      </c>
      <c r="T2552" s="83" t="str">
        <f t="shared" si="273"/>
        <v/>
      </c>
      <c r="Y2552" s="60">
        <f t="shared" si="277"/>
        <v>0</v>
      </c>
      <c r="Z2552" s="49">
        <f t="shared" si="278"/>
        <v>0</v>
      </c>
      <c r="AA2552" s="60">
        <f t="shared" si="279"/>
        <v>0</v>
      </c>
    </row>
    <row r="2553" spans="1:27">
      <c r="A2553" s="83" t="str">
        <f t="shared" si="274"/>
        <v/>
      </c>
      <c r="B2553" s="83" t="str">
        <f t="shared" si="275"/>
        <v/>
      </c>
      <c r="S2553" s="83" t="str">
        <f t="shared" si="276"/>
        <v/>
      </c>
      <c r="T2553" s="83" t="str">
        <f t="shared" si="273"/>
        <v/>
      </c>
      <c r="Y2553" s="60">
        <f t="shared" si="277"/>
        <v>0</v>
      </c>
      <c r="Z2553" s="49">
        <f t="shared" si="278"/>
        <v>0</v>
      </c>
      <c r="AA2553" s="60">
        <f t="shared" si="279"/>
        <v>0</v>
      </c>
    </row>
    <row r="2554" spans="1:27">
      <c r="A2554" s="83" t="str">
        <f t="shared" si="274"/>
        <v/>
      </c>
      <c r="B2554" s="83" t="str">
        <f t="shared" si="275"/>
        <v/>
      </c>
      <c r="S2554" s="83" t="str">
        <f t="shared" si="276"/>
        <v/>
      </c>
      <c r="T2554" s="83" t="str">
        <f t="shared" si="273"/>
        <v/>
      </c>
      <c r="Y2554" s="60">
        <f t="shared" si="277"/>
        <v>0</v>
      </c>
      <c r="Z2554" s="49">
        <f t="shared" si="278"/>
        <v>0</v>
      </c>
      <c r="AA2554" s="60">
        <f t="shared" si="279"/>
        <v>0</v>
      </c>
    </row>
    <row r="2555" spans="1:27">
      <c r="A2555" s="83" t="str">
        <f t="shared" si="274"/>
        <v/>
      </c>
      <c r="B2555" s="83" t="str">
        <f t="shared" si="275"/>
        <v/>
      </c>
      <c r="S2555" s="83" t="str">
        <f t="shared" si="276"/>
        <v/>
      </c>
      <c r="T2555" s="83" t="str">
        <f t="shared" si="273"/>
        <v/>
      </c>
      <c r="Y2555" s="60">
        <f t="shared" si="277"/>
        <v>0</v>
      </c>
      <c r="Z2555" s="49">
        <f t="shared" si="278"/>
        <v>0</v>
      </c>
      <c r="AA2555" s="60">
        <f t="shared" si="279"/>
        <v>0</v>
      </c>
    </row>
    <row r="2556" spans="1:27">
      <c r="A2556" s="83" t="str">
        <f t="shared" si="274"/>
        <v/>
      </c>
      <c r="B2556" s="83" t="str">
        <f t="shared" si="275"/>
        <v/>
      </c>
      <c r="S2556" s="83" t="str">
        <f t="shared" si="276"/>
        <v/>
      </c>
      <c r="T2556" s="83" t="str">
        <f t="shared" si="273"/>
        <v/>
      </c>
      <c r="Y2556" s="60">
        <f t="shared" si="277"/>
        <v>0</v>
      </c>
      <c r="Z2556" s="49">
        <f t="shared" si="278"/>
        <v>0</v>
      </c>
      <c r="AA2556" s="60">
        <f t="shared" si="279"/>
        <v>0</v>
      </c>
    </row>
    <row r="2557" spans="1:27">
      <c r="A2557" s="83" t="str">
        <f t="shared" si="274"/>
        <v/>
      </c>
      <c r="B2557" s="83" t="str">
        <f t="shared" si="275"/>
        <v/>
      </c>
      <c r="S2557" s="83" t="str">
        <f t="shared" si="276"/>
        <v/>
      </c>
      <c r="T2557" s="83" t="str">
        <f t="shared" si="273"/>
        <v/>
      </c>
      <c r="Y2557" s="60">
        <f t="shared" si="277"/>
        <v>0</v>
      </c>
      <c r="Z2557" s="49">
        <f t="shared" si="278"/>
        <v>0</v>
      </c>
      <c r="AA2557" s="60">
        <f t="shared" si="279"/>
        <v>0</v>
      </c>
    </row>
    <row r="2558" spans="1:27">
      <c r="A2558" s="83" t="str">
        <f t="shared" si="274"/>
        <v/>
      </c>
      <c r="B2558" s="83" t="str">
        <f t="shared" si="275"/>
        <v/>
      </c>
      <c r="S2558" s="83" t="str">
        <f t="shared" si="276"/>
        <v/>
      </c>
      <c r="T2558" s="83" t="str">
        <f t="shared" si="273"/>
        <v/>
      </c>
      <c r="Y2558" s="60">
        <f t="shared" si="277"/>
        <v>0</v>
      </c>
      <c r="Z2558" s="49">
        <f t="shared" si="278"/>
        <v>0</v>
      </c>
      <c r="AA2558" s="60">
        <f t="shared" si="279"/>
        <v>0</v>
      </c>
    </row>
    <row r="2559" spans="1:27">
      <c r="A2559" s="83" t="str">
        <f t="shared" si="274"/>
        <v/>
      </c>
      <c r="B2559" s="83" t="str">
        <f t="shared" si="275"/>
        <v/>
      </c>
      <c r="S2559" s="83" t="str">
        <f t="shared" si="276"/>
        <v/>
      </c>
      <c r="T2559" s="83" t="str">
        <f t="shared" si="273"/>
        <v/>
      </c>
      <c r="Y2559" s="60">
        <f t="shared" si="277"/>
        <v>0</v>
      </c>
      <c r="Z2559" s="49">
        <f t="shared" si="278"/>
        <v>0</v>
      </c>
      <c r="AA2559" s="60">
        <f t="shared" si="279"/>
        <v>0</v>
      </c>
    </row>
    <row r="2560" spans="1:27">
      <c r="A2560" s="83" t="str">
        <f t="shared" si="274"/>
        <v/>
      </c>
      <c r="B2560" s="83" t="str">
        <f t="shared" si="275"/>
        <v/>
      </c>
      <c r="S2560" s="83" t="str">
        <f t="shared" si="276"/>
        <v/>
      </c>
      <c r="T2560" s="83" t="str">
        <f t="shared" si="273"/>
        <v/>
      </c>
      <c r="Y2560" s="60">
        <f t="shared" si="277"/>
        <v>0</v>
      </c>
      <c r="Z2560" s="49">
        <f t="shared" si="278"/>
        <v>0</v>
      </c>
      <c r="AA2560" s="60">
        <f t="shared" si="279"/>
        <v>0</v>
      </c>
    </row>
    <row r="2561" spans="1:27">
      <c r="A2561" s="83" t="str">
        <f t="shared" si="274"/>
        <v/>
      </c>
      <c r="B2561" s="83" t="str">
        <f t="shared" si="275"/>
        <v/>
      </c>
      <c r="S2561" s="83" t="str">
        <f t="shared" si="276"/>
        <v/>
      </c>
      <c r="T2561" s="83" t="str">
        <f t="shared" si="273"/>
        <v/>
      </c>
      <c r="Y2561" s="60">
        <f t="shared" si="277"/>
        <v>0</v>
      </c>
      <c r="Z2561" s="49">
        <f t="shared" si="278"/>
        <v>0</v>
      </c>
      <c r="AA2561" s="60">
        <f t="shared" si="279"/>
        <v>0</v>
      </c>
    </row>
    <row r="2562" spans="1:27">
      <c r="A2562" s="83" t="str">
        <f t="shared" si="274"/>
        <v/>
      </c>
      <c r="B2562" s="83" t="str">
        <f t="shared" si="275"/>
        <v/>
      </c>
      <c r="S2562" s="83" t="str">
        <f t="shared" si="276"/>
        <v/>
      </c>
      <c r="T2562" s="83" t="str">
        <f t="shared" ref="T2562:T2625" si="280">IF(A2562&lt;&gt;"",IF(FIND(" ",G2562)&gt;=1,MID(G2562,FIND(" ",G2562)+1,LEN(G2562)),""),"")</f>
        <v/>
      </c>
      <c r="Y2562" s="60">
        <f t="shared" si="277"/>
        <v>0</v>
      </c>
      <c r="Z2562" s="49">
        <f t="shared" si="278"/>
        <v>0</v>
      </c>
      <c r="AA2562" s="60">
        <f t="shared" si="279"/>
        <v>0</v>
      </c>
    </row>
    <row r="2563" spans="1:27">
      <c r="A2563" s="83" t="str">
        <f t="shared" ref="A2563:A2626" si="281">IF(G2563&amp;Q2563&lt;&gt;"",S2563&amp;Q2563,"")</f>
        <v/>
      </c>
      <c r="B2563" s="83" t="str">
        <f t="shared" ref="B2563:B2626" si="282">IF(C2563&lt;&gt;"",LEFT(C2563,9),"")</f>
        <v/>
      </c>
      <c r="S2563" s="83" t="str">
        <f t="shared" ref="S2563:S2626" si="283">IF(G2563&lt;&gt;"",IF(FIND(" ",G2563)&gt;=1,MID(G2563,1,FIND(" ",G2563)-1),G2563),"")</f>
        <v/>
      </c>
      <c r="T2563" s="83" t="str">
        <f t="shared" si="280"/>
        <v/>
      </c>
      <c r="Y2563" s="60">
        <f t="shared" ref="Y2563:Y2626" si="284">IFERROR(VALUE(MID($C2563,1,2)),0)</f>
        <v>0</v>
      </c>
      <c r="Z2563" s="49">
        <f t="shared" ref="Z2563:Z2626" si="285">IFERROR(VALUE(MID($C2563,4,3)),0)</f>
        <v>0</v>
      </c>
      <c r="AA2563" s="60">
        <f t="shared" ref="AA2563:AA2626" si="286">VALUE(RIGHT("00"&amp;Y2563,2)&amp;RIGHT("000"&amp;Z2563,3))</f>
        <v>0</v>
      </c>
    </row>
    <row r="2564" spans="1:27">
      <c r="A2564" s="83" t="str">
        <f t="shared" si="281"/>
        <v/>
      </c>
      <c r="B2564" s="83" t="str">
        <f t="shared" si="282"/>
        <v/>
      </c>
      <c r="S2564" s="83" t="str">
        <f t="shared" si="283"/>
        <v/>
      </c>
      <c r="T2564" s="83" t="str">
        <f t="shared" si="280"/>
        <v/>
      </c>
      <c r="Y2564" s="60">
        <f t="shared" si="284"/>
        <v>0</v>
      </c>
      <c r="Z2564" s="49">
        <f t="shared" si="285"/>
        <v>0</v>
      </c>
      <c r="AA2564" s="60">
        <f t="shared" si="286"/>
        <v>0</v>
      </c>
    </row>
    <row r="2565" spans="1:27">
      <c r="A2565" s="83" t="str">
        <f t="shared" si="281"/>
        <v/>
      </c>
      <c r="B2565" s="83" t="str">
        <f t="shared" si="282"/>
        <v/>
      </c>
      <c r="S2565" s="83" t="str">
        <f t="shared" si="283"/>
        <v/>
      </c>
      <c r="T2565" s="83" t="str">
        <f t="shared" si="280"/>
        <v/>
      </c>
      <c r="Y2565" s="60">
        <f t="shared" si="284"/>
        <v>0</v>
      </c>
      <c r="Z2565" s="49">
        <f t="shared" si="285"/>
        <v>0</v>
      </c>
      <c r="AA2565" s="60">
        <f t="shared" si="286"/>
        <v>0</v>
      </c>
    </row>
    <row r="2566" spans="1:27">
      <c r="A2566" s="83" t="str">
        <f t="shared" si="281"/>
        <v/>
      </c>
      <c r="B2566" s="83" t="str">
        <f t="shared" si="282"/>
        <v/>
      </c>
      <c r="S2566" s="83" t="str">
        <f t="shared" si="283"/>
        <v/>
      </c>
      <c r="T2566" s="83" t="str">
        <f t="shared" si="280"/>
        <v/>
      </c>
      <c r="Y2566" s="60">
        <f t="shared" si="284"/>
        <v>0</v>
      </c>
      <c r="Z2566" s="49">
        <f t="shared" si="285"/>
        <v>0</v>
      </c>
      <c r="AA2566" s="60">
        <f t="shared" si="286"/>
        <v>0</v>
      </c>
    </row>
    <row r="2567" spans="1:27">
      <c r="A2567" s="83" t="str">
        <f t="shared" si="281"/>
        <v/>
      </c>
      <c r="B2567" s="83" t="str">
        <f t="shared" si="282"/>
        <v/>
      </c>
      <c r="S2567" s="83" t="str">
        <f t="shared" si="283"/>
        <v/>
      </c>
      <c r="T2567" s="83" t="str">
        <f t="shared" si="280"/>
        <v/>
      </c>
      <c r="Y2567" s="60">
        <f t="shared" si="284"/>
        <v>0</v>
      </c>
      <c r="Z2567" s="49">
        <f t="shared" si="285"/>
        <v>0</v>
      </c>
      <c r="AA2567" s="60">
        <f t="shared" si="286"/>
        <v>0</v>
      </c>
    </row>
    <row r="2568" spans="1:27">
      <c r="A2568" s="83" t="str">
        <f t="shared" si="281"/>
        <v/>
      </c>
      <c r="B2568" s="83" t="str">
        <f t="shared" si="282"/>
        <v/>
      </c>
      <c r="S2568" s="83" t="str">
        <f t="shared" si="283"/>
        <v/>
      </c>
      <c r="T2568" s="83" t="str">
        <f t="shared" si="280"/>
        <v/>
      </c>
      <c r="Y2568" s="60">
        <f t="shared" si="284"/>
        <v>0</v>
      </c>
      <c r="Z2568" s="49">
        <f t="shared" si="285"/>
        <v>0</v>
      </c>
      <c r="AA2568" s="60">
        <f t="shared" si="286"/>
        <v>0</v>
      </c>
    </row>
    <row r="2569" spans="1:27">
      <c r="A2569" s="83" t="str">
        <f t="shared" si="281"/>
        <v/>
      </c>
      <c r="B2569" s="83" t="str">
        <f t="shared" si="282"/>
        <v/>
      </c>
      <c r="S2569" s="83" t="str">
        <f t="shared" si="283"/>
        <v/>
      </c>
      <c r="T2569" s="83" t="str">
        <f t="shared" si="280"/>
        <v/>
      </c>
      <c r="Y2569" s="60">
        <f t="shared" si="284"/>
        <v>0</v>
      </c>
      <c r="Z2569" s="49">
        <f t="shared" si="285"/>
        <v>0</v>
      </c>
      <c r="AA2569" s="60">
        <f t="shared" si="286"/>
        <v>0</v>
      </c>
    </row>
    <row r="2570" spans="1:27">
      <c r="A2570" s="83" t="str">
        <f t="shared" si="281"/>
        <v/>
      </c>
      <c r="B2570" s="83" t="str">
        <f t="shared" si="282"/>
        <v/>
      </c>
      <c r="S2570" s="83" t="str">
        <f t="shared" si="283"/>
        <v/>
      </c>
      <c r="T2570" s="83" t="str">
        <f t="shared" si="280"/>
        <v/>
      </c>
      <c r="Y2570" s="60">
        <f t="shared" si="284"/>
        <v>0</v>
      </c>
      <c r="Z2570" s="49">
        <f t="shared" si="285"/>
        <v>0</v>
      </c>
      <c r="AA2570" s="60">
        <f t="shared" si="286"/>
        <v>0</v>
      </c>
    </row>
    <row r="2571" spans="1:27">
      <c r="A2571" s="83" t="str">
        <f t="shared" si="281"/>
        <v/>
      </c>
      <c r="B2571" s="83" t="str">
        <f t="shared" si="282"/>
        <v/>
      </c>
      <c r="S2571" s="83" t="str">
        <f t="shared" si="283"/>
        <v/>
      </c>
      <c r="T2571" s="83" t="str">
        <f t="shared" si="280"/>
        <v/>
      </c>
      <c r="Y2571" s="60">
        <f t="shared" si="284"/>
        <v>0</v>
      </c>
      <c r="Z2571" s="49">
        <f t="shared" si="285"/>
        <v>0</v>
      </c>
      <c r="AA2571" s="60">
        <f t="shared" si="286"/>
        <v>0</v>
      </c>
    </row>
    <row r="2572" spans="1:27">
      <c r="A2572" s="83" t="str">
        <f t="shared" si="281"/>
        <v/>
      </c>
      <c r="B2572" s="83" t="str">
        <f t="shared" si="282"/>
        <v/>
      </c>
      <c r="S2572" s="83" t="str">
        <f t="shared" si="283"/>
        <v/>
      </c>
      <c r="T2572" s="83" t="str">
        <f t="shared" si="280"/>
        <v/>
      </c>
      <c r="Y2572" s="60">
        <f t="shared" si="284"/>
        <v>0</v>
      </c>
      <c r="Z2572" s="49">
        <f t="shared" si="285"/>
        <v>0</v>
      </c>
      <c r="AA2572" s="60">
        <f t="shared" si="286"/>
        <v>0</v>
      </c>
    </row>
    <row r="2573" spans="1:27">
      <c r="A2573" s="83" t="str">
        <f t="shared" si="281"/>
        <v/>
      </c>
      <c r="B2573" s="83" t="str">
        <f t="shared" si="282"/>
        <v/>
      </c>
      <c r="S2573" s="83" t="str">
        <f t="shared" si="283"/>
        <v/>
      </c>
      <c r="T2573" s="83" t="str">
        <f t="shared" si="280"/>
        <v/>
      </c>
      <c r="Y2573" s="60">
        <f t="shared" si="284"/>
        <v>0</v>
      </c>
      <c r="Z2573" s="49">
        <f t="shared" si="285"/>
        <v>0</v>
      </c>
      <c r="AA2573" s="60">
        <f t="shared" si="286"/>
        <v>0</v>
      </c>
    </row>
    <row r="2574" spans="1:27">
      <c r="A2574" s="83" t="str">
        <f t="shared" si="281"/>
        <v/>
      </c>
      <c r="B2574" s="83" t="str">
        <f t="shared" si="282"/>
        <v/>
      </c>
      <c r="S2574" s="83" t="str">
        <f t="shared" si="283"/>
        <v/>
      </c>
      <c r="T2574" s="83" t="str">
        <f t="shared" si="280"/>
        <v/>
      </c>
      <c r="Y2574" s="60">
        <f t="shared" si="284"/>
        <v>0</v>
      </c>
      <c r="Z2574" s="49">
        <f t="shared" si="285"/>
        <v>0</v>
      </c>
      <c r="AA2574" s="60">
        <f t="shared" si="286"/>
        <v>0</v>
      </c>
    </row>
    <row r="2575" spans="1:27">
      <c r="A2575" s="83" t="str">
        <f t="shared" si="281"/>
        <v/>
      </c>
      <c r="B2575" s="83" t="str">
        <f t="shared" si="282"/>
        <v/>
      </c>
      <c r="S2575" s="83" t="str">
        <f t="shared" si="283"/>
        <v/>
      </c>
      <c r="T2575" s="83" t="str">
        <f t="shared" si="280"/>
        <v/>
      </c>
      <c r="Y2575" s="60">
        <f t="shared" si="284"/>
        <v>0</v>
      </c>
      <c r="Z2575" s="49">
        <f t="shared" si="285"/>
        <v>0</v>
      </c>
      <c r="AA2575" s="60">
        <f t="shared" si="286"/>
        <v>0</v>
      </c>
    </row>
    <row r="2576" spans="1:27">
      <c r="A2576" s="83" t="str">
        <f t="shared" si="281"/>
        <v/>
      </c>
      <c r="B2576" s="83" t="str">
        <f t="shared" si="282"/>
        <v/>
      </c>
      <c r="S2576" s="83" t="str">
        <f t="shared" si="283"/>
        <v/>
      </c>
      <c r="T2576" s="83" t="str">
        <f t="shared" si="280"/>
        <v/>
      </c>
      <c r="Y2576" s="60">
        <f t="shared" si="284"/>
        <v>0</v>
      </c>
      <c r="Z2576" s="49">
        <f t="shared" si="285"/>
        <v>0</v>
      </c>
      <c r="AA2576" s="60">
        <f t="shared" si="286"/>
        <v>0</v>
      </c>
    </row>
    <row r="2577" spans="1:27">
      <c r="A2577" s="83" t="str">
        <f t="shared" si="281"/>
        <v/>
      </c>
      <c r="B2577" s="83" t="str">
        <f t="shared" si="282"/>
        <v/>
      </c>
      <c r="S2577" s="83" t="str">
        <f t="shared" si="283"/>
        <v/>
      </c>
      <c r="T2577" s="83" t="str">
        <f t="shared" si="280"/>
        <v/>
      </c>
      <c r="Y2577" s="60">
        <f t="shared" si="284"/>
        <v>0</v>
      </c>
      <c r="Z2577" s="49">
        <f t="shared" si="285"/>
        <v>0</v>
      </c>
      <c r="AA2577" s="60">
        <f t="shared" si="286"/>
        <v>0</v>
      </c>
    </row>
    <row r="2578" spans="1:27">
      <c r="A2578" s="83" t="str">
        <f t="shared" si="281"/>
        <v/>
      </c>
      <c r="B2578" s="83" t="str">
        <f t="shared" si="282"/>
        <v/>
      </c>
      <c r="S2578" s="83" t="str">
        <f t="shared" si="283"/>
        <v/>
      </c>
      <c r="T2578" s="83" t="str">
        <f t="shared" si="280"/>
        <v/>
      </c>
      <c r="Y2578" s="60">
        <f t="shared" si="284"/>
        <v>0</v>
      </c>
      <c r="Z2578" s="49">
        <f t="shared" si="285"/>
        <v>0</v>
      </c>
      <c r="AA2578" s="60">
        <f t="shared" si="286"/>
        <v>0</v>
      </c>
    </row>
    <row r="2579" spans="1:27">
      <c r="A2579" s="83" t="str">
        <f t="shared" si="281"/>
        <v/>
      </c>
      <c r="B2579" s="83" t="str">
        <f t="shared" si="282"/>
        <v/>
      </c>
      <c r="S2579" s="83" t="str">
        <f t="shared" si="283"/>
        <v/>
      </c>
      <c r="T2579" s="83" t="str">
        <f t="shared" si="280"/>
        <v/>
      </c>
      <c r="Y2579" s="60">
        <f t="shared" si="284"/>
        <v>0</v>
      </c>
      <c r="Z2579" s="49">
        <f t="shared" si="285"/>
        <v>0</v>
      </c>
      <c r="AA2579" s="60">
        <f t="shared" si="286"/>
        <v>0</v>
      </c>
    </row>
    <row r="2580" spans="1:27">
      <c r="A2580" s="83" t="str">
        <f t="shared" si="281"/>
        <v/>
      </c>
      <c r="B2580" s="83" t="str">
        <f t="shared" si="282"/>
        <v/>
      </c>
      <c r="S2580" s="83" t="str">
        <f t="shared" si="283"/>
        <v/>
      </c>
      <c r="T2580" s="83" t="str">
        <f t="shared" si="280"/>
        <v/>
      </c>
      <c r="Y2580" s="60">
        <f t="shared" si="284"/>
        <v>0</v>
      </c>
      <c r="Z2580" s="49">
        <f t="shared" si="285"/>
        <v>0</v>
      </c>
      <c r="AA2580" s="60">
        <f t="shared" si="286"/>
        <v>0</v>
      </c>
    </row>
    <row r="2581" spans="1:27">
      <c r="A2581" s="83" t="str">
        <f t="shared" si="281"/>
        <v/>
      </c>
      <c r="B2581" s="83" t="str">
        <f t="shared" si="282"/>
        <v/>
      </c>
      <c r="S2581" s="83" t="str">
        <f t="shared" si="283"/>
        <v/>
      </c>
      <c r="T2581" s="83" t="str">
        <f t="shared" si="280"/>
        <v/>
      </c>
      <c r="Y2581" s="60">
        <f t="shared" si="284"/>
        <v>0</v>
      </c>
      <c r="Z2581" s="49">
        <f t="shared" si="285"/>
        <v>0</v>
      </c>
      <c r="AA2581" s="60">
        <f t="shared" si="286"/>
        <v>0</v>
      </c>
    </row>
    <row r="2582" spans="1:27">
      <c r="A2582" s="83" t="str">
        <f t="shared" si="281"/>
        <v/>
      </c>
      <c r="B2582" s="83" t="str">
        <f t="shared" si="282"/>
        <v/>
      </c>
      <c r="S2582" s="83" t="str">
        <f t="shared" si="283"/>
        <v/>
      </c>
      <c r="T2582" s="83" t="str">
        <f t="shared" si="280"/>
        <v/>
      </c>
      <c r="Y2582" s="60">
        <f t="shared" si="284"/>
        <v>0</v>
      </c>
      <c r="Z2582" s="49">
        <f t="shared" si="285"/>
        <v>0</v>
      </c>
      <c r="AA2582" s="60">
        <f t="shared" si="286"/>
        <v>0</v>
      </c>
    </row>
    <row r="2583" spans="1:27">
      <c r="A2583" s="83" t="str">
        <f t="shared" si="281"/>
        <v/>
      </c>
      <c r="B2583" s="83" t="str">
        <f t="shared" si="282"/>
        <v/>
      </c>
      <c r="S2583" s="83" t="str">
        <f t="shared" si="283"/>
        <v/>
      </c>
      <c r="T2583" s="83" t="str">
        <f t="shared" si="280"/>
        <v/>
      </c>
      <c r="Y2583" s="60">
        <f t="shared" si="284"/>
        <v>0</v>
      </c>
      <c r="Z2583" s="49">
        <f t="shared" si="285"/>
        <v>0</v>
      </c>
      <c r="AA2583" s="60">
        <f t="shared" si="286"/>
        <v>0</v>
      </c>
    </row>
    <row r="2584" spans="1:27">
      <c r="A2584" s="83" t="str">
        <f t="shared" si="281"/>
        <v/>
      </c>
      <c r="B2584" s="83" t="str">
        <f t="shared" si="282"/>
        <v/>
      </c>
      <c r="S2584" s="83" t="str">
        <f t="shared" si="283"/>
        <v/>
      </c>
      <c r="T2584" s="83" t="str">
        <f t="shared" si="280"/>
        <v/>
      </c>
      <c r="Y2584" s="60">
        <f t="shared" si="284"/>
        <v>0</v>
      </c>
      <c r="Z2584" s="49">
        <f t="shared" si="285"/>
        <v>0</v>
      </c>
      <c r="AA2584" s="60">
        <f t="shared" si="286"/>
        <v>0</v>
      </c>
    </row>
    <row r="2585" spans="1:27">
      <c r="A2585" s="83" t="str">
        <f t="shared" si="281"/>
        <v/>
      </c>
      <c r="B2585" s="83" t="str">
        <f t="shared" si="282"/>
        <v/>
      </c>
      <c r="S2585" s="83" t="str">
        <f t="shared" si="283"/>
        <v/>
      </c>
      <c r="T2585" s="83" t="str">
        <f t="shared" si="280"/>
        <v/>
      </c>
      <c r="Y2585" s="60">
        <f t="shared" si="284"/>
        <v>0</v>
      </c>
      <c r="Z2585" s="49">
        <f t="shared" si="285"/>
        <v>0</v>
      </c>
      <c r="AA2585" s="60">
        <f t="shared" si="286"/>
        <v>0</v>
      </c>
    </row>
    <row r="2586" spans="1:27">
      <c r="A2586" s="83" t="str">
        <f t="shared" si="281"/>
        <v/>
      </c>
      <c r="B2586" s="83" t="str">
        <f t="shared" si="282"/>
        <v/>
      </c>
      <c r="S2586" s="83" t="str">
        <f t="shared" si="283"/>
        <v/>
      </c>
      <c r="T2586" s="83" t="str">
        <f t="shared" si="280"/>
        <v/>
      </c>
      <c r="Y2586" s="60">
        <f t="shared" si="284"/>
        <v>0</v>
      </c>
      <c r="Z2586" s="49">
        <f t="shared" si="285"/>
        <v>0</v>
      </c>
      <c r="AA2586" s="60">
        <f t="shared" si="286"/>
        <v>0</v>
      </c>
    </row>
    <row r="2587" spans="1:27">
      <c r="A2587" s="83" t="str">
        <f t="shared" si="281"/>
        <v/>
      </c>
      <c r="B2587" s="83" t="str">
        <f t="shared" si="282"/>
        <v/>
      </c>
      <c r="S2587" s="83" t="str">
        <f t="shared" si="283"/>
        <v/>
      </c>
      <c r="T2587" s="83" t="str">
        <f t="shared" si="280"/>
        <v/>
      </c>
      <c r="Y2587" s="60">
        <f t="shared" si="284"/>
        <v>0</v>
      </c>
      <c r="Z2587" s="49">
        <f t="shared" si="285"/>
        <v>0</v>
      </c>
      <c r="AA2587" s="60">
        <f t="shared" si="286"/>
        <v>0</v>
      </c>
    </row>
    <row r="2588" spans="1:27">
      <c r="A2588" s="83" t="str">
        <f t="shared" si="281"/>
        <v/>
      </c>
      <c r="B2588" s="83" t="str">
        <f t="shared" si="282"/>
        <v/>
      </c>
      <c r="S2588" s="83" t="str">
        <f t="shared" si="283"/>
        <v/>
      </c>
      <c r="T2588" s="83" t="str">
        <f t="shared" si="280"/>
        <v/>
      </c>
      <c r="Y2588" s="60">
        <f t="shared" si="284"/>
        <v>0</v>
      </c>
      <c r="Z2588" s="49">
        <f t="shared" si="285"/>
        <v>0</v>
      </c>
      <c r="AA2588" s="60">
        <f t="shared" si="286"/>
        <v>0</v>
      </c>
    </row>
    <row r="2589" spans="1:27">
      <c r="A2589" s="83" t="str">
        <f t="shared" si="281"/>
        <v/>
      </c>
      <c r="B2589" s="83" t="str">
        <f t="shared" si="282"/>
        <v/>
      </c>
      <c r="S2589" s="83" t="str">
        <f t="shared" si="283"/>
        <v/>
      </c>
      <c r="T2589" s="83" t="str">
        <f t="shared" si="280"/>
        <v/>
      </c>
      <c r="Y2589" s="60">
        <f t="shared" si="284"/>
        <v>0</v>
      </c>
      <c r="Z2589" s="49">
        <f t="shared" si="285"/>
        <v>0</v>
      </c>
      <c r="AA2589" s="60">
        <f t="shared" si="286"/>
        <v>0</v>
      </c>
    </row>
    <row r="2590" spans="1:27">
      <c r="A2590" s="83" t="str">
        <f t="shared" si="281"/>
        <v/>
      </c>
      <c r="B2590" s="83" t="str">
        <f t="shared" si="282"/>
        <v/>
      </c>
      <c r="S2590" s="83" t="str">
        <f t="shared" si="283"/>
        <v/>
      </c>
      <c r="T2590" s="83" t="str">
        <f t="shared" si="280"/>
        <v/>
      </c>
      <c r="Y2590" s="60">
        <f t="shared" si="284"/>
        <v>0</v>
      </c>
      <c r="Z2590" s="49">
        <f t="shared" si="285"/>
        <v>0</v>
      </c>
      <c r="AA2590" s="60">
        <f t="shared" si="286"/>
        <v>0</v>
      </c>
    </row>
    <row r="2591" spans="1:27">
      <c r="A2591" s="83" t="str">
        <f t="shared" si="281"/>
        <v/>
      </c>
      <c r="B2591" s="83" t="str">
        <f t="shared" si="282"/>
        <v/>
      </c>
      <c r="S2591" s="83" t="str">
        <f t="shared" si="283"/>
        <v/>
      </c>
      <c r="T2591" s="83" t="str">
        <f t="shared" si="280"/>
        <v/>
      </c>
      <c r="Y2591" s="60">
        <f t="shared" si="284"/>
        <v>0</v>
      </c>
      <c r="Z2591" s="49">
        <f t="shared" si="285"/>
        <v>0</v>
      </c>
      <c r="AA2591" s="60">
        <f t="shared" si="286"/>
        <v>0</v>
      </c>
    </row>
    <row r="2592" spans="1:27">
      <c r="A2592" s="83" t="str">
        <f t="shared" si="281"/>
        <v/>
      </c>
      <c r="B2592" s="83" t="str">
        <f t="shared" si="282"/>
        <v/>
      </c>
      <c r="S2592" s="83" t="str">
        <f t="shared" si="283"/>
        <v/>
      </c>
      <c r="T2592" s="83" t="str">
        <f t="shared" si="280"/>
        <v/>
      </c>
      <c r="Y2592" s="60">
        <f t="shared" si="284"/>
        <v>0</v>
      </c>
      <c r="Z2592" s="49">
        <f t="shared" si="285"/>
        <v>0</v>
      </c>
      <c r="AA2592" s="60">
        <f t="shared" si="286"/>
        <v>0</v>
      </c>
    </row>
    <row r="2593" spans="1:27">
      <c r="A2593" s="83" t="str">
        <f t="shared" si="281"/>
        <v/>
      </c>
      <c r="B2593" s="83" t="str">
        <f t="shared" si="282"/>
        <v/>
      </c>
      <c r="S2593" s="83" t="str">
        <f t="shared" si="283"/>
        <v/>
      </c>
      <c r="T2593" s="83" t="str">
        <f t="shared" si="280"/>
        <v/>
      </c>
      <c r="Y2593" s="60">
        <f t="shared" si="284"/>
        <v>0</v>
      </c>
      <c r="Z2593" s="49">
        <f t="shared" si="285"/>
        <v>0</v>
      </c>
      <c r="AA2593" s="60">
        <f t="shared" si="286"/>
        <v>0</v>
      </c>
    </row>
    <row r="2594" spans="1:27">
      <c r="A2594" s="83" t="str">
        <f t="shared" si="281"/>
        <v/>
      </c>
      <c r="B2594" s="83" t="str">
        <f t="shared" si="282"/>
        <v/>
      </c>
      <c r="S2594" s="83" t="str">
        <f t="shared" si="283"/>
        <v/>
      </c>
      <c r="T2594" s="83" t="str">
        <f t="shared" si="280"/>
        <v/>
      </c>
      <c r="Y2594" s="60">
        <f t="shared" si="284"/>
        <v>0</v>
      </c>
      <c r="Z2594" s="49">
        <f t="shared" si="285"/>
        <v>0</v>
      </c>
      <c r="AA2594" s="60">
        <f t="shared" si="286"/>
        <v>0</v>
      </c>
    </row>
    <row r="2595" spans="1:27">
      <c r="A2595" s="83" t="str">
        <f t="shared" si="281"/>
        <v/>
      </c>
      <c r="B2595" s="83" t="str">
        <f t="shared" si="282"/>
        <v/>
      </c>
      <c r="S2595" s="83" t="str">
        <f t="shared" si="283"/>
        <v/>
      </c>
      <c r="T2595" s="83" t="str">
        <f t="shared" si="280"/>
        <v/>
      </c>
      <c r="Y2595" s="60">
        <f t="shared" si="284"/>
        <v>0</v>
      </c>
      <c r="Z2595" s="49">
        <f t="shared" si="285"/>
        <v>0</v>
      </c>
      <c r="AA2595" s="60">
        <f t="shared" si="286"/>
        <v>0</v>
      </c>
    </row>
    <row r="2596" spans="1:27">
      <c r="A2596" s="83" t="str">
        <f t="shared" si="281"/>
        <v/>
      </c>
      <c r="B2596" s="83" t="str">
        <f t="shared" si="282"/>
        <v/>
      </c>
      <c r="S2596" s="83" t="str">
        <f t="shared" si="283"/>
        <v/>
      </c>
      <c r="T2596" s="83" t="str">
        <f t="shared" si="280"/>
        <v/>
      </c>
      <c r="Y2596" s="60">
        <f t="shared" si="284"/>
        <v>0</v>
      </c>
      <c r="Z2596" s="49">
        <f t="shared" si="285"/>
        <v>0</v>
      </c>
      <c r="AA2596" s="60">
        <f t="shared" si="286"/>
        <v>0</v>
      </c>
    </row>
    <row r="2597" spans="1:27">
      <c r="A2597" s="83" t="str">
        <f t="shared" si="281"/>
        <v/>
      </c>
      <c r="B2597" s="83" t="str">
        <f t="shared" si="282"/>
        <v/>
      </c>
      <c r="S2597" s="83" t="str">
        <f t="shared" si="283"/>
        <v/>
      </c>
      <c r="T2597" s="83" t="str">
        <f t="shared" si="280"/>
        <v/>
      </c>
      <c r="Y2597" s="60">
        <f t="shared" si="284"/>
        <v>0</v>
      </c>
      <c r="Z2597" s="49">
        <f t="shared" si="285"/>
        <v>0</v>
      </c>
      <c r="AA2597" s="60">
        <f t="shared" si="286"/>
        <v>0</v>
      </c>
    </row>
    <row r="2598" spans="1:27">
      <c r="A2598" s="83" t="str">
        <f t="shared" si="281"/>
        <v/>
      </c>
      <c r="B2598" s="83" t="str">
        <f t="shared" si="282"/>
        <v/>
      </c>
      <c r="S2598" s="83" t="str">
        <f t="shared" si="283"/>
        <v/>
      </c>
      <c r="T2598" s="83" t="str">
        <f t="shared" si="280"/>
        <v/>
      </c>
      <c r="Y2598" s="60">
        <f t="shared" si="284"/>
        <v>0</v>
      </c>
      <c r="Z2598" s="49">
        <f t="shared" si="285"/>
        <v>0</v>
      </c>
      <c r="AA2598" s="60">
        <f t="shared" si="286"/>
        <v>0</v>
      </c>
    </row>
    <row r="2599" spans="1:27">
      <c r="A2599" s="83" t="str">
        <f t="shared" si="281"/>
        <v/>
      </c>
      <c r="B2599" s="83" t="str">
        <f t="shared" si="282"/>
        <v/>
      </c>
      <c r="S2599" s="83" t="str">
        <f t="shared" si="283"/>
        <v/>
      </c>
      <c r="T2599" s="83" t="str">
        <f t="shared" si="280"/>
        <v/>
      </c>
      <c r="Y2599" s="60">
        <f t="shared" si="284"/>
        <v>0</v>
      </c>
      <c r="Z2599" s="49">
        <f t="shared" si="285"/>
        <v>0</v>
      </c>
      <c r="AA2599" s="60">
        <f t="shared" si="286"/>
        <v>0</v>
      </c>
    </row>
    <row r="2600" spans="1:27">
      <c r="A2600" s="83" t="str">
        <f t="shared" si="281"/>
        <v/>
      </c>
      <c r="B2600" s="83" t="str">
        <f t="shared" si="282"/>
        <v/>
      </c>
      <c r="S2600" s="83" t="str">
        <f t="shared" si="283"/>
        <v/>
      </c>
      <c r="T2600" s="83" t="str">
        <f t="shared" si="280"/>
        <v/>
      </c>
      <c r="Y2600" s="60">
        <f t="shared" si="284"/>
        <v>0</v>
      </c>
      <c r="Z2600" s="49">
        <f t="shared" si="285"/>
        <v>0</v>
      </c>
      <c r="AA2600" s="60">
        <f t="shared" si="286"/>
        <v>0</v>
      </c>
    </row>
    <row r="2601" spans="1:27">
      <c r="A2601" s="83" t="str">
        <f t="shared" si="281"/>
        <v/>
      </c>
      <c r="B2601" s="83" t="str">
        <f t="shared" si="282"/>
        <v/>
      </c>
      <c r="S2601" s="83" t="str">
        <f t="shared" si="283"/>
        <v/>
      </c>
      <c r="T2601" s="83" t="str">
        <f t="shared" si="280"/>
        <v/>
      </c>
      <c r="Y2601" s="60">
        <f t="shared" si="284"/>
        <v>0</v>
      </c>
      <c r="Z2601" s="49">
        <f t="shared" si="285"/>
        <v>0</v>
      </c>
      <c r="AA2601" s="60">
        <f t="shared" si="286"/>
        <v>0</v>
      </c>
    </row>
    <row r="2602" spans="1:27">
      <c r="A2602" s="83" t="str">
        <f t="shared" si="281"/>
        <v/>
      </c>
      <c r="B2602" s="83" t="str">
        <f t="shared" si="282"/>
        <v/>
      </c>
      <c r="S2602" s="83" t="str">
        <f t="shared" si="283"/>
        <v/>
      </c>
      <c r="T2602" s="83" t="str">
        <f t="shared" si="280"/>
        <v/>
      </c>
      <c r="Y2602" s="60">
        <f t="shared" si="284"/>
        <v>0</v>
      </c>
      <c r="Z2602" s="49">
        <f t="shared" si="285"/>
        <v>0</v>
      </c>
      <c r="AA2602" s="60">
        <f t="shared" si="286"/>
        <v>0</v>
      </c>
    </row>
    <row r="2603" spans="1:27">
      <c r="A2603" s="83" t="str">
        <f t="shared" si="281"/>
        <v/>
      </c>
      <c r="B2603" s="83" t="str">
        <f t="shared" si="282"/>
        <v/>
      </c>
      <c r="S2603" s="83" t="str">
        <f t="shared" si="283"/>
        <v/>
      </c>
      <c r="T2603" s="83" t="str">
        <f t="shared" si="280"/>
        <v/>
      </c>
      <c r="Y2603" s="60">
        <f t="shared" si="284"/>
        <v>0</v>
      </c>
      <c r="Z2603" s="49">
        <f t="shared" si="285"/>
        <v>0</v>
      </c>
      <c r="AA2603" s="60">
        <f t="shared" si="286"/>
        <v>0</v>
      </c>
    </row>
    <row r="2604" spans="1:27">
      <c r="A2604" s="83" t="str">
        <f t="shared" si="281"/>
        <v/>
      </c>
      <c r="B2604" s="83" t="str">
        <f t="shared" si="282"/>
        <v/>
      </c>
      <c r="S2604" s="83" t="str">
        <f t="shared" si="283"/>
        <v/>
      </c>
      <c r="T2604" s="83" t="str">
        <f t="shared" si="280"/>
        <v/>
      </c>
      <c r="Y2604" s="60">
        <f t="shared" si="284"/>
        <v>0</v>
      </c>
      <c r="Z2604" s="49">
        <f t="shared" si="285"/>
        <v>0</v>
      </c>
      <c r="AA2604" s="60">
        <f t="shared" si="286"/>
        <v>0</v>
      </c>
    </row>
    <row r="2605" spans="1:27">
      <c r="A2605" s="83" t="str">
        <f t="shared" si="281"/>
        <v/>
      </c>
      <c r="B2605" s="83" t="str">
        <f t="shared" si="282"/>
        <v/>
      </c>
      <c r="S2605" s="83" t="str">
        <f t="shared" si="283"/>
        <v/>
      </c>
      <c r="T2605" s="83" t="str">
        <f t="shared" si="280"/>
        <v/>
      </c>
      <c r="Y2605" s="60">
        <f t="shared" si="284"/>
        <v>0</v>
      </c>
      <c r="Z2605" s="49">
        <f t="shared" si="285"/>
        <v>0</v>
      </c>
      <c r="AA2605" s="60">
        <f t="shared" si="286"/>
        <v>0</v>
      </c>
    </row>
    <row r="2606" spans="1:27">
      <c r="A2606" s="83" t="str">
        <f t="shared" si="281"/>
        <v/>
      </c>
      <c r="B2606" s="83" t="str">
        <f t="shared" si="282"/>
        <v/>
      </c>
      <c r="S2606" s="83" t="str">
        <f t="shared" si="283"/>
        <v/>
      </c>
      <c r="T2606" s="83" t="str">
        <f t="shared" si="280"/>
        <v/>
      </c>
      <c r="Y2606" s="60">
        <f t="shared" si="284"/>
        <v>0</v>
      </c>
      <c r="Z2606" s="49">
        <f t="shared" si="285"/>
        <v>0</v>
      </c>
      <c r="AA2606" s="60">
        <f t="shared" si="286"/>
        <v>0</v>
      </c>
    </row>
    <row r="2607" spans="1:27">
      <c r="A2607" s="83" t="str">
        <f t="shared" si="281"/>
        <v/>
      </c>
      <c r="B2607" s="83" t="str">
        <f t="shared" si="282"/>
        <v/>
      </c>
      <c r="S2607" s="83" t="str">
        <f t="shared" si="283"/>
        <v/>
      </c>
      <c r="T2607" s="83" t="str">
        <f t="shared" si="280"/>
        <v/>
      </c>
      <c r="Y2607" s="60">
        <f t="shared" si="284"/>
        <v>0</v>
      </c>
      <c r="Z2607" s="49">
        <f t="shared" si="285"/>
        <v>0</v>
      </c>
      <c r="AA2607" s="60">
        <f t="shared" si="286"/>
        <v>0</v>
      </c>
    </row>
    <row r="2608" spans="1:27">
      <c r="A2608" s="83" t="str">
        <f t="shared" si="281"/>
        <v/>
      </c>
      <c r="B2608" s="83" t="str">
        <f t="shared" si="282"/>
        <v/>
      </c>
      <c r="S2608" s="83" t="str">
        <f t="shared" si="283"/>
        <v/>
      </c>
      <c r="T2608" s="83" t="str">
        <f t="shared" si="280"/>
        <v/>
      </c>
      <c r="Y2608" s="60">
        <f t="shared" si="284"/>
        <v>0</v>
      </c>
      <c r="Z2608" s="49">
        <f t="shared" si="285"/>
        <v>0</v>
      </c>
      <c r="AA2608" s="60">
        <f t="shared" si="286"/>
        <v>0</v>
      </c>
    </row>
    <row r="2609" spans="1:27">
      <c r="A2609" s="83" t="str">
        <f t="shared" si="281"/>
        <v/>
      </c>
      <c r="B2609" s="83" t="str">
        <f t="shared" si="282"/>
        <v/>
      </c>
      <c r="S2609" s="83" t="str">
        <f t="shared" si="283"/>
        <v/>
      </c>
      <c r="T2609" s="83" t="str">
        <f t="shared" si="280"/>
        <v/>
      </c>
      <c r="Y2609" s="60">
        <f t="shared" si="284"/>
        <v>0</v>
      </c>
      <c r="Z2609" s="49">
        <f t="shared" si="285"/>
        <v>0</v>
      </c>
      <c r="AA2609" s="60">
        <f t="shared" si="286"/>
        <v>0</v>
      </c>
    </row>
    <row r="2610" spans="1:27">
      <c r="A2610" s="83" t="str">
        <f t="shared" si="281"/>
        <v/>
      </c>
      <c r="B2610" s="83" t="str">
        <f t="shared" si="282"/>
        <v/>
      </c>
      <c r="S2610" s="83" t="str">
        <f t="shared" si="283"/>
        <v/>
      </c>
      <c r="T2610" s="83" t="str">
        <f t="shared" si="280"/>
        <v/>
      </c>
      <c r="Y2610" s="60">
        <f t="shared" si="284"/>
        <v>0</v>
      </c>
      <c r="Z2610" s="49">
        <f t="shared" si="285"/>
        <v>0</v>
      </c>
      <c r="AA2610" s="60">
        <f t="shared" si="286"/>
        <v>0</v>
      </c>
    </row>
    <row r="2611" spans="1:27">
      <c r="A2611" s="83" t="str">
        <f t="shared" si="281"/>
        <v/>
      </c>
      <c r="B2611" s="83" t="str">
        <f t="shared" si="282"/>
        <v/>
      </c>
      <c r="S2611" s="83" t="str">
        <f t="shared" si="283"/>
        <v/>
      </c>
      <c r="T2611" s="83" t="str">
        <f t="shared" si="280"/>
        <v/>
      </c>
      <c r="Y2611" s="60">
        <f t="shared" si="284"/>
        <v>0</v>
      </c>
      <c r="Z2611" s="49">
        <f t="shared" si="285"/>
        <v>0</v>
      </c>
      <c r="AA2611" s="60">
        <f t="shared" si="286"/>
        <v>0</v>
      </c>
    </row>
    <row r="2612" spans="1:27">
      <c r="A2612" s="83" t="str">
        <f t="shared" si="281"/>
        <v/>
      </c>
      <c r="B2612" s="83" t="str">
        <f t="shared" si="282"/>
        <v/>
      </c>
      <c r="S2612" s="83" t="str">
        <f t="shared" si="283"/>
        <v/>
      </c>
      <c r="T2612" s="83" t="str">
        <f t="shared" si="280"/>
        <v/>
      </c>
      <c r="Y2612" s="60">
        <f t="shared" si="284"/>
        <v>0</v>
      </c>
      <c r="Z2612" s="49">
        <f t="shared" si="285"/>
        <v>0</v>
      </c>
      <c r="AA2612" s="60">
        <f t="shared" si="286"/>
        <v>0</v>
      </c>
    </row>
    <row r="2613" spans="1:27">
      <c r="A2613" s="83" t="str">
        <f t="shared" si="281"/>
        <v/>
      </c>
      <c r="B2613" s="83" t="str">
        <f t="shared" si="282"/>
        <v/>
      </c>
      <c r="S2613" s="83" t="str">
        <f t="shared" si="283"/>
        <v/>
      </c>
      <c r="T2613" s="83" t="str">
        <f t="shared" si="280"/>
        <v/>
      </c>
      <c r="Y2613" s="60">
        <f t="shared" si="284"/>
        <v>0</v>
      </c>
      <c r="Z2613" s="49">
        <f t="shared" si="285"/>
        <v>0</v>
      </c>
      <c r="AA2613" s="60">
        <f t="shared" si="286"/>
        <v>0</v>
      </c>
    </row>
    <row r="2614" spans="1:27">
      <c r="A2614" s="83" t="str">
        <f t="shared" si="281"/>
        <v/>
      </c>
      <c r="B2614" s="83" t="str">
        <f t="shared" si="282"/>
        <v/>
      </c>
      <c r="S2614" s="83" t="str">
        <f t="shared" si="283"/>
        <v/>
      </c>
      <c r="T2614" s="83" t="str">
        <f t="shared" si="280"/>
        <v/>
      </c>
      <c r="Y2614" s="60">
        <f t="shared" si="284"/>
        <v>0</v>
      </c>
      <c r="Z2614" s="49">
        <f t="shared" si="285"/>
        <v>0</v>
      </c>
      <c r="AA2614" s="60">
        <f t="shared" si="286"/>
        <v>0</v>
      </c>
    </row>
    <row r="2615" spans="1:27">
      <c r="A2615" s="83" t="str">
        <f t="shared" si="281"/>
        <v/>
      </c>
      <c r="B2615" s="83" t="str">
        <f t="shared" si="282"/>
        <v/>
      </c>
      <c r="S2615" s="83" t="str">
        <f t="shared" si="283"/>
        <v/>
      </c>
      <c r="T2615" s="83" t="str">
        <f t="shared" si="280"/>
        <v/>
      </c>
      <c r="Y2615" s="60">
        <f t="shared" si="284"/>
        <v>0</v>
      </c>
      <c r="Z2615" s="49">
        <f t="shared" si="285"/>
        <v>0</v>
      </c>
      <c r="AA2615" s="60">
        <f t="shared" si="286"/>
        <v>0</v>
      </c>
    </row>
    <row r="2616" spans="1:27">
      <c r="A2616" s="83" t="str">
        <f t="shared" si="281"/>
        <v/>
      </c>
      <c r="B2616" s="83" t="str">
        <f t="shared" si="282"/>
        <v/>
      </c>
      <c r="S2616" s="83" t="str">
        <f t="shared" si="283"/>
        <v/>
      </c>
      <c r="T2616" s="83" t="str">
        <f t="shared" si="280"/>
        <v/>
      </c>
      <c r="Y2616" s="60">
        <f t="shared" si="284"/>
        <v>0</v>
      </c>
      <c r="Z2616" s="49">
        <f t="shared" si="285"/>
        <v>0</v>
      </c>
      <c r="AA2616" s="60">
        <f t="shared" si="286"/>
        <v>0</v>
      </c>
    </row>
    <row r="2617" spans="1:27">
      <c r="A2617" s="83" t="str">
        <f t="shared" si="281"/>
        <v/>
      </c>
      <c r="B2617" s="83" t="str">
        <f t="shared" si="282"/>
        <v/>
      </c>
      <c r="S2617" s="83" t="str">
        <f t="shared" si="283"/>
        <v/>
      </c>
      <c r="T2617" s="83" t="str">
        <f t="shared" si="280"/>
        <v/>
      </c>
      <c r="Y2617" s="60">
        <f t="shared" si="284"/>
        <v>0</v>
      </c>
      <c r="Z2617" s="49">
        <f t="shared" si="285"/>
        <v>0</v>
      </c>
      <c r="AA2617" s="60">
        <f t="shared" si="286"/>
        <v>0</v>
      </c>
    </row>
    <row r="2618" spans="1:27">
      <c r="A2618" s="83" t="str">
        <f t="shared" si="281"/>
        <v/>
      </c>
      <c r="B2618" s="83" t="str">
        <f t="shared" si="282"/>
        <v/>
      </c>
      <c r="S2618" s="83" t="str">
        <f t="shared" si="283"/>
        <v/>
      </c>
      <c r="T2618" s="83" t="str">
        <f t="shared" si="280"/>
        <v/>
      </c>
      <c r="Y2618" s="60">
        <f t="shared" si="284"/>
        <v>0</v>
      </c>
      <c r="Z2618" s="49">
        <f t="shared" si="285"/>
        <v>0</v>
      </c>
      <c r="AA2618" s="60">
        <f t="shared" si="286"/>
        <v>0</v>
      </c>
    </row>
    <row r="2619" spans="1:27">
      <c r="A2619" s="83" t="str">
        <f t="shared" si="281"/>
        <v/>
      </c>
      <c r="B2619" s="83" t="str">
        <f t="shared" si="282"/>
        <v/>
      </c>
      <c r="S2619" s="83" t="str">
        <f t="shared" si="283"/>
        <v/>
      </c>
      <c r="T2619" s="83" t="str">
        <f t="shared" si="280"/>
        <v/>
      </c>
      <c r="Y2619" s="60">
        <f t="shared" si="284"/>
        <v>0</v>
      </c>
      <c r="Z2619" s="49">
        <f t="shared" si="285"/>
        <v>0</v>
      </c>
      <c r="AA2619" s="60">
        <f t="shared" si="286"/>
        <v>0</v>
      </c>
    </row>
    <row r="2620" spans="1:27">
      <c r="A2620" s="83" t="str">
        <f t="shared" si="281"/>
        <v/>
      </c>
      <c r="B2620" s="83" t="str">
        <f t="shared" si="282"/>
        <v/>
      </c>
      <c r="S2620" s="83" t="str">
        <f t="shared" si="283"/>
        <v/>
      </c>
      <c r="T2620" s="83" t="str">
        <f t="shared" si="280"/>
        <v/>
      </c>
      <c r="Y2620" s="60">
        <f t="shared" si="284"/>
        <v>0</v>
      </c>
      <c r="Z2620" s="49">
        <f t="shared" si="285"/>
        <v>0</v>
      </c>
      <c r="AA2620" s="60">
        <f t="shared" si="286"/>
        <v>0</v>
      </c>
    </row>
    <row r="2621" spans="1:27">
      <c r="A2621" s="83" t="str">
        <f t="shared" si="281"/>
        <v/>
      </c>
      <c r="B2621" s="83" t="str">
        <f t="shared" si="282"/>
        <v/>
      </c>
      <c r="S2621" s="83" t="str">
        <f t="shared" si="283"/>
        <v/>
      </c>
      <c r="T2621" s="83" t="str">
        <f t="shared" si="280"/>
        <v/>
      </c>
      <c r="Y2621" s="60">
        <f t="shared" si="284"/>
        <v>0</v>
      </c>
      <c r="Z2621" s="49">
        <f t="shared" si="285"/>
        <v>0</v>
      </c>
      <c r="AA2621" s="60">
        <f t="shared" si="286"/>
        <v>0</v>
      </c>
    </row>
    <row r="2622" spans="1:27">
      <c r="A2622" s="83" t="str">
        <f t="shared" si="281"/>
        <v/>
      </c>
      <c r="B2622" s="83" t="str">
        <f t="shared" si="282"/>
        <v/>
      </c>
      <c r="S2622" s="83" t="str">
        <f t="shared" si="283"/>
        <v/>
      </c>
      <c r="T2622" s="83" t="str">
        <f t="shared" si="280"/>
        <v/>
      </c>
      <c r="Y2622" s="60">
        <f t="shared" si="284"/>
        <v>0</v>
      </c>
      <c r="Z2622" s="49">
        <f t="shared" si="285"/>
        <v>0</v>
      </c>
      <c r="AA2622" s="60">
        <f t="shared" si="286"/>
        <v>0</v>
      </c>
    </row>
    <row r="2623" spans="1:27">
      <c r="A2623" s="83" t="str">
        <f t="shared" si="281"/>
        <v/>
      </c>
      <c r="B2623" s="83" t="str">
        <f t="shared" si="282"/>
        <v/>
      </c>
      <c r="S2623" s="83" t="str">
        <f t="shared" si="283"/>
        <v/>
      </c>
      <c r="T2623" s="83" t="str">
        <f t="shared" si="280"/>
        <v/>
      </c>
      <c r="Y2623" s="60">
        <f t="shared" si="284"/>
        <v>0</v>
      </c>
      <c r="Z2623" s="49">
        <f t="shared" si="285"/>
        <v>0</v>
      </c>
      <c r="AA2623" s="60">
        <f t="shared" si="286"/>
        <v>0</v>
      </c>
    </row>
    <row r="2624" spans="1:27">
      <c r="A2624" s="83" t="str">
        <f t="shared" si="281"/>
        <v/>
      </c>
      <c r="B2624" s="83" t="str">
        <f t="shared" si="282"/>
        <v/>
      </c>
      <c r="S2624" s="83" t="str">
        <f t="shared" si="283"/>
        <v/>
      </c>
      <c r="T2624" s="83" t="str">
        <f t="shared" si="280"/>
        <v/>
      </c>
      <c r="Y2624" s="60">
        <f t="shared" si="284"/>
        <v>0</v>
      </c>
      <c r="Z2624" s="49">
        <f t="shared" si="285"/>
        <v>0</v>
      </c>
      <c r="AA2624" s="60">
        <f t="shared" si="286"/>
        <v>0</v>
      </c>
    </row>
    <row r="2625" spans="1:27">
      <c r="A2625" s="83" t="str">
        <f t="shared" si="281"/>
        <v/>
      </c>
      <c r="B2625" s="83" t="str">
        <f t="shared" si="282"/>
        <v/>
      </c>
      <c r="S2625" s="83" t="str">
        <f t="shared" si="283"/>
        <v/>
      </c>
      <c r="T2625" s="83" t="str">
        <f t="shared" si="280"/>
        <v/>
      </c>
      <c r="Y2625" s="60">
        <f t="shared" si="284"/>
        <v>0</v>
      </c>
      <c r="Z2625" s="49">
        <f t="shared" si="285"/>
        <v>0</v>
      </c>
      <c r="AA2625" s="60">
        <f t="shared" si="286"/>
        <v>0</v>
      </c>
    </row>
    <row r="2626" spans="1:27">
      <c r="A2626" s="83" t="str">
        <f t="shared" si="281"/>
        <v/>
      </c>
      <c r="B2626" s="83" t="str">
        <f t="shared" si="282"/>
        <v/>
      </c>
      <c r="S2626" s="83" t="str">
        <f t="shared" si="283"/>
        <v/>
      </c>
      <c r="T2626" s="83" t="str">
        <f t="shared" ref="T2626:T2689" si="287">IF(A2626&lt;&gt;"",IF(FIND(" ",G2626)&gt;=1,MID(G2626,FIND(" ",G2626)+1,LEN(G2626)),""),"")</f>
        <v/>
      </c>
      <c r="Y2626" s="60">
        <f t="shared" si="284"/>
        <v>0</v>
      </c>
      <c r="Z2626" s="49">
        <f t="shared" si="285"/>
        <v>0</v>
      </c>
      <c r="AA2626" s="60">
        <f t="shared" si="286"/>
        <v>0</v>
      </c>
    </row>
    <row r="2627" spans="1:27">
      <c r="A2627" s="83" t="str">
        <f t="shared" ref="A2627:A2690" si="288">IF(G2627&amp;Q2627&lt;&gt;"",S2627&amp;Q2627,"")</f>
        <v/>
      </c>
      <c r="B2627" s="83" t="str">
        <f t="shared" ref="B2627:B2690" si="289">IF(C2627&lt;&gt;"",LEFT(C2627,9),"")</f>
        <v/>
      </c>
      <c r="S2627" s="83" t="str">
        <f t="shared" ref="S2627:S2690" si="290">IF(G2627&lt;&gt;"",IF(FIND(" ",G2627)&gt;=1,MID(G2627,1,FIND(" ",G2627)-1),G2627),"")</f>
        <v/>
      </c>
      <c r="T2627" s="83" t="str">
        <f t="shared" si="287"/>
        <v/>
      </c>
      <c r="Y2627" s="60">
        <f t="shared" ref="Y2627:Y2690" si="291">IFERROR(VALUE(MID($C2627,1,2)),0)</f>
        <v>0</v>
      </c>
      <c r="Z2627" s="49">
        <f t="shared" ref="Z2627:Z2690" si="292">IFERROR(VALUE(MID($C2627,4,3)),0)</f>
        <v>0</v>
      </c>
      <c r="AA2627" s="60">
        <f t="shared" ref="AA2627:AA2690" si="293">VALUE(RIGHT("00"&amp;Y2627,2)&amp;RIGHT("000"&amp;Z2627,3))</f>
        <v>0</v>
      </c>
    </row>
    <row r="2628" spans="1:27">
      <c r="A2628" s="83" t="str">
        <f t="shared" si="288"/>
        <v/>
      </c>
      <c r="B2628" s="83" t="str">
        <f t="shared" si="289"/>
        <v/>
      </c>
      <c r="S2628" s="83" t="str">
        <f t="shared" si="290"/>
        <v/>
      </c>
      <c r="T2628" s="83" t="str">
        <f t="shared" si="287"/>
        <v/>
      </c>
      <c r="Y2628" s="60">
        <f t="shared" si="291"/>
        <v>0</v>
      </c>
      <c r="Z2628" s="49">
        <f t="shared" si="292"/>
        <v>0</v>
      </c>
      <c r="AA2628" s="60">
        <f t="shared" si="293"/>
        <v>0</v>
      </c>
    </row>
    <row r="2629" spans="1:27">
      <c r="A2629" s="83" t="str">
        <f t="shared" si="288"/>
        <v/>
      </c>
      <c r="B2629" s="83" t="str">
        <f t="shared" si="289"/>
        <v/>
      </c>
      <c r="S2629" s="83" t="str">
        <f t="shared" si="290"/>
        <v/>
      </c>
      <c r="T2629" s="83" t="str">
        <f t="shared" si="287"/>
        <v/>
      </c>
      <c r="Y2629" s="60">
        <f t="shared" si="291"/>
        <v>0</v>
      </c>
      <c r="Z2629" s="49">
        <f t="shared" si="292"/>
        <v>0</v>
      </c>
      <c r="AA2629" s="60">
        <f t="shared" si="293"/>
        <v>0</v>
      </c>
    </row>
    <row r="2630" spans="1:27">
      <c r="A2630" s="83" t="str">
        <f t="shared" si="288"/>
        <v/>
      </c>
      <c r="B2630" s="83" t="str">
        <f t="shared" si="289"/>
        <v/>
      </c>
      <c r="S2630" s="83" t="str">
        <f t="shared" si="290"/>
        <v/>
      </c>
      <c r="T2630" s="83" t="str">
        <f t="shared" si="287"/>
        <v/>
      </c>
      <c r="Y2630" s="60">
        <f t="shared" si="291"/>
        <v>0</v>
      </c>
      <c r="Z2630" s="49">
        <f t="shared" si="292"/>
        <v>0</v>
      </c>
      <c r="AA2630" s="60">
        <f t="shared" si="293"/>
        <v>0</v>
      </c>
    </row>
    <row r="2631" spans="1:27">
      <c r="A2631" s="83" t="str">
        <f t="shared" si="288"/>
        <v/>
      </c>
      <c r="B2631" s="83" t="str">
        <f t="shared" si="289"/>
        <v/>
      </c>
      <c r="S2631" s="83" t="str">
        <f t="shared" si="290"/>
        <v/>
      </c>
      <c r="T2631" s="83" t="str">
        <f t="shared" si="287"/>
        <v/>
      </c>
      <c r="Y2631" s="60">
        <f t="shared" si="291"/>
        <v>0</v>
      </c>
      <c r="Z2631" s="49">
        <f t="shared" si="292"/>
        <v>0</v>
      </c>
      <c r="AA2631" s="60">
        <f t="shared" si="293"/>
        <v>0</v>
      </c>
    </row>
    <row r="2632" spans="1:27">
      <c r="A2632" s="83" t="str">
        <f t="shared" si="288"/>
        <v/>
      </c>
      <c r="B2632" s="83" t="str">
        <f t="shared" si="289"/>
        <v/>
      </c>
      <c r="S2632" s="83" t="str">
        <f t="shared" si="290"/>
        <v/>
      </c>
      <c r="T2632" s="83" t="str">
        <f t="shared" si="287"/>
        <v/>
      </c>
      <c r="Y2632" s="60">
        <f t="shared" si="291"/>
        <v>0</v>
      </c>
      <c r="Z2632" s="49">
        <f t="shared" si="292"/>
        <v>0</v>
      </c>
      <c r="AA2632" s="60">
        <f t="shared" si="293"/>
        <v>0</v>
      </c>
    </row>
    <row r="2633" spans="1:27">
      <c r="A2633" s="83" t="str">
        <f t="shared" si="288"/>
        <v/>
      </c>
      <c r="B2633" s="83" t="str">
        <f t="shared" si="289"/>
        <v/>
      </c>
      <c r="S2633" s="83" t="str">
        <f t="shared" si="290"/>
        <v/>
      </c>
      <c r="T2633" s="83" t="str">
        <f t="shared" si="287"/>
        <v/>
      </c>
      <c r="Y2633" s="60">
        <f t="shared" si="291"/>
        <v>0</v>
      </c>
      <c r="Z2633" s="49">
        <f t="shared" si="292"/>
        <v>0</v>
      </c>
      <c r="AA2633" s="60">
        <f t="shared" si="293"/>
        <v>0</v>
      </c>
    </row>
    <row r="2634" spans="1:27">
      <c r="A2634" s="83" t="str">
        <f t="shared" si="288"/>
        <v/>
      </c>
      <c r="B2634" s="83" t="str">
        <f t="shared" si="289"/>
        <v/>
      </c>
      <c r="S2634" s="83" t="str">
        <f t="shared" si="290"/>
        <v/>
      </c>
      <c r="T2634" s="83" t="str">
        <f t="shared" si="287"/>
        <v/>
      </c>
      <c r="Y2634" s="60">
        <f t="shared" si="291"/>
        <v>0</v>
      </c>
      <c r="Z2634" s="49">
        <f t="shared" si="292"/>
        <v>0</v>
      </c>
      <c r="AA2634" s="60">
        <f t="shared" si="293"/>
        <v>0</v>
      </c>
    </row>
    <row r="2635" spans="1:27">
      <c r="A2635" s="83" t="str">
        <f t="shared" si="288"/>
        <v/>
      </c>
      <c r="B2635" s="83" t="str">
        <f t="shared" si="289"/>
        <v/>
      </c>
      <c r="S2635" s="83" t="str">
        <f t="shared" si="290"/>
        <v/>
      </c>
      <c r="T2635" s="83" t="str">
        <f t="shared" si="287"/>
        <v/>
      </c>
      <c r="Y2635" s="60">
        <f t="shared" si="291"/>
        <v>0</v>
      </c>
      <c r="Z2635" s="49">
        <f t="shared" si="292"/>
        <v>0</v>
      </c>
      <c r="AA2635" s="60">
        <f t="shared" si="293"/>
        <v>0</v>
      </c>
    </row>
    <row r="2636" spans="1:27">
      <c r="A2636" s="83" t="str">
        <f t="shared" si="288"/>
        <v/>
      </c>
      <c r="B2636" s="83" t="str">
        <f t="shared" si="289"/>
        <v/>
      </c>
      <c r="S2636" s="83" t="str">
        <f t="shared" si="290"/>
        <v/>
      </c>
      <c r="T2636" s="83" t="str">
        <f t="shared" si="287"/>
        <v/>
      </c>
      <c r="Y2636" s="60">
        <f t="shared" si="291"/>
        <v>0</v>
      </c>
      <c r="Z2636" s="49">
        <f t="shared" si="292"/>
        <v>0</v>
      </c>
      <c r="AA2636" s="60">
        <f t="shared" si="293"/>
        <v>0</v>
      </c>
    </row>
    <row r="2637" spans="1:27">
      <c r="A2637" s="83" t="str">
        <f t="shared" si="288"/>
        <v/>
      </c>
      <c r="B2637" s="83" t="str">
        <f t="shared" si="289"/>
        <v/>
      </c>
      <c r="S2637" s="83" t="str">
        <f t="shared" si="290"/>
        <v/>
      </c>
      <c r="T2637" s="83" t="str">
        <f t="shared" si="287"/>
        <v/>
      </c>
      <c r="Y2637" s="60">
        <f t="shared" si="291"/>
        <v>0</v>
      </c>
      <c r="Z2637" s="49">
        <f t="shared" si="292"/>
        <v>0</v>
      </c>
      <c r="AA2637" s="60">
        <f t="shared" si="293"/>
        <v>0</v>
      </c>
    </row>
    <row r="2638" spans="1:27">
      <c r="A2638" s="83" t="str">
        <f t="shared" si="288"/>
        <v/>
      </c>
      <c r="B2638" s="83" t="str">
        <f t="shared" si="289"/>
        <v/>
      </c>
      <c r="S2638" s="83" t="str">
        <f t="shared" si="290"/>
        <v/>
      </c>
      <c r="T2638" s="83" t="str">
        <f t="shared" si="287"/>
        <v/>
      </c>
      <c r="Y2638" s="60">
        <f t="shared" si="291"/>
        <v>0</v>
      </c>
      <c r="Z2638" s="49">
        <f t="shared" si="292"/>
        <v>0</v>
      </c>
      <c r="AA2638" s="60">
        <f t="shared" si="293"/>
        <v>0</v>
      </c>
    </row>
    <row r="2639" spans="1:27">
      <c r="A2639" s="83" t="str">
        <f t="shared" si="288"/>
        <v/>
      </c>
      <c r="B2639" s="83" t="str">
        <f t="shared" si="289"/>
        <v/>
      </c>
      <c r="S2639" s="83" t="str">
        <f t="shared" si="290"/>
        <v/>
      </c>
      <c r="T2639" s="83" t="str">
        <f t="shared" si="287"/>
        <v/>
      </c>
      <c r="Y2639" s="60">
        <f t="shared" si="291"/>
        <v>0</v>
      </c>
      <c r="Z2639" s="49">
        <f t="shared" si="292"/>
        <v>0</v>
      </c>
      <c r="AA2639" s="60">
        <f t="shared" si="293"/>
        <v>0</v>
      </c>
    </row>
    <row r="2640" spans="1:27">
      <c r="A2640" s="83" t="str">
        <f t="shared" si="288"/>
        <v/>
      </c>
      <c r="B2640" s="83" t="str">
        <f t="shared" si="289"/>
        <v/>
      </c>
      <c r="S2640" s="83" t="str">
        <f t="shared" si="290"/>
        <v/>
      </c>
      <c r="T2640" s="83" t="str">
        <f t="shared" si="287"/>
        <v/>
      </c>
      <c r="Y2640" s="60">
        <f t="shared" si="291"/>
        <v>0</v>
      </c>
      <c r="Z2640" s="49">
        <f t="shared" si="292"/>
        <v>0</v>
      </c>
      <c r="AA2640" s="60">
        <f t="shared" si="293"/>
        <v>0</v>
      </c>
    </row>
    <row r="2641" spans="1:27">
      <c r="A2641" s="83" t="str">
        <f t="shared" si="288"/>
        <v/>
      </c>
      <c r="B2641" s="83" t="str">
        <f t="shared" si="289"/>
        <v/>
      </c>
      <c r="S2641" s="83" t="str">
        <f t="shared" si="290"/>
        <v/>
      </c>
      <c r="T2641" s="83" t="str">
        <f t="shared" si="287"/>
        <v/>
      </c>
      <c r="Y2641" s="60">
        <f t="shared" si="291"/>
        <v>0</v>
      </c>
      <c r="Z2641" s="49">
        <f t="shared" si="292"/>
        <v>0</v>
      </c>
      <c r="AA2641" s="60">
        <f t="shared" si="293"/>
        <v>0</v>
      </c>
    </row>
    <row r="2642" spans="1:27">
      <c r="A2642" s="83" t="str">
        <f t="shared" si="288"/>
        <v/>
      </c>
      <c r="B2642" s="83" t="str">
        <f t="shared" si="289"/>
        <v/>
      </c>
      <c r="S2642" s="83" t="str">
        <f t="shared" si="290"/>
        <v/>
      </c>
      <c r="T2642" s="83" t="str">
        <f t="shared" si="287"/>
        <v/>
      </c>
      <c r="Y2642" s="60">
        <f t="shared" si="291"/>
        <v>0</v>
      </c>
      <c r="Z2642" s="49">
        <f t="shared" si="292"/>
        <v>0</v>
      </c>
      <c r="AA2642" s="60">
        <f t="shared" si="293"/>
        <v>0</v>
      </c>
    </row>
    <row r="2643" spans="1:27">
      <c r="A2643" s="83" t="str">
        <f t="shared" si="288"/>
        <v/>
      </c>
      <c r="B2643" s="83" t="str">
        <f t="shared" si="289"/>
        <v/>
      </c>
      <c r="S2643" s="83" t="str">
        <f t="shared" si="290"/>
        <v/>
      </c>
      <c r="T2643" s="83" t="str">
        <f t="shared" si="287"/>
        <v/>
      </c>
      <c r="Y2643" s="60">
        <f t="shared" si="291"/>
        <v>0</v>
      </c>
      <c r="Z2643" s="49">
        <f t="shared" si="292"/>
        <v>0</v>
      </c>
      <c r="AA2643" s="60">
        <f t="shared" si="293"/>
        <v>0</v>
      </c>
    </row>
    <row r="2644" spans="1:27">
      <c r="A2644" s="83" t="str">
        <f t="shared" si="288"/>
        <v/>
      </c>
      <c r="B2644" s="83" t="str">
        <f t="shared" si="289"/>
        <v/>
      </c>
      <c r="S2644" s="83" t="str">
        <f t="shared" si="290"/>
        <v/>
      </c>
      <c r="T2644" s="83" t="str">
        <f t="shared" si="287"/>
        <v/>
      </c>
      <c r="Y2644" s="60">
        <f t="shared" si="291"/>
        <v>0</v>
      </c>
      <c r="Z2644" s="49">
        <f t="shared" si="292"/>
        <v>0</v>
      </c>
      <c r="AA2644" s="60">
        <f t="shared" si="293"/>
        <v>0</v>
      </c>
    </row>
    <row r="2645" spans="1:27">
      <c r="A2645" s="83" t="str">
        <f t="shared" si="288"/>
        <v/>
      </c>
      <c r="B2645" s="83" t="str">
        <f t="shared" si="289"/>
        <v/>
      </c>
      <c r="S2645" s="83" t="str">
        <f t="shared" si="290"/>
        <v/>
      </c>
      <c r="T2645" s="83" t="str">
        <f t="shared" si="287"/>
        <v/>
      </c>
      <c r="Y2645" s="60">
        <f t="shared" si="291"/>
        <v>0</v>
      </c>
      <c r="Z2645" s="49">
        <f t="shared" si="292"/>
        <v>0</v>
      </c>
      <c r="AA2645" s="60">
        <f t="shared" si="293"/>
        <v>0</v>
      </c>
    </row>
    <row r="2646" spans="1:27">
      <c r="A2646" s="83" t="str">
        <f t="shared" si="288"/>
        <v/>
      </c>
      <c r="B2646" s="83" t="str">
        <f t="shared" si="289"/>
        <v/>
      </c>
      <c r="S2646" s="83" t="str">
        <f t="shared" si="290"/>
        <v/>
      </c>
      <c r="T2646" s="83" t="str">
        <f t="shared" si="287"/>
        <v/>
      </c>
      <c r="Y2646" s="60">
        <f t="shared" si="291"/>
        <v>0</v>
      </c>
      <c r="Z2646" s="49">
        <f t="shared" si="292"/>
        <v>0</v>
      </c>
      <c r="AA2646" s="60">
        <f t="shared" si="293"/>
        <v>0</v>
      </c>
    </row>
    <row r="2647" spans="1:27">
      <c r="A2647" s="83" t="str">
        <f t="shared" si="288"/>
        <v/>
      </c>
      <c r="B2647" s="83" t="str">
        <f t="shared" si="289"/>
        <v/>
      </c>
      <c r="S2647" s="83" t="str">
        <f t="shared" si="290"/>
        <v/>
      </c>
      <c r="T2647" s="83" t="str">
        <f t="shared" si="287"/>
        <v/>
      </c>
      <c r="Y2647" s="60">
        <f t="shared" si="291"/>
        <v>0</v>
      </c>
      <c r="Z2647" s="49">
        <f t="shared" si="292"/>
        <v>0</v>
      </c>
      <c r="AA2647" s="60">
        <f t="shared" si="293"/>
        <v>0</v>
      </c>
    </row>
    <row r="2648" spans="1:27">
      <c r="A2648" s="83" t="str">
        <f t="shared" si="288"/>
        <v/>
      </c>
      <c r="B2648" s="83" t="str">
        <f t="shared" si="289"/>
        <v/>
      </c>
      <c r="S2648" s="83" t="str">
        <f t="shared" si="290"/>
        <v/>
      </c>
      <c r="T2648" s="83" t="str">
        <f t="shared" si="287"/>
        <v/>
      </c>
      <c r="Y2648" s="60">
        <f t="shared" si="291"/>
        <v>0</v>
      </c>
      <c r="Z2648" s="49">
        <f t="shared" si="292"/>
        <v>0</v>
      </c>
      <c r="AA2648" s="60">
        <f t="shared" si="293"/>
        <v>0</v>
      </c>
    </row>
    <row r="2649" spans="1:27">
      <c r="A2649" s="83" t="str">
        <f t="shared" si="288"/>
        <v/>
      </c>
      <c r="B2649" s="83" t="str">
        <f t="shared" si="289"/>
        <v/>
      </c>
      <c r="S2649" s="83" t="str">
        <f t="shared" si="290"/>
        <v/>
      </c>
      <c r="T2649" s="83" t="str">
        <f t="shared" si="287"/>
        <v/>
      </c>
      <c r="Y2649" s="60">
        <f t="shared" si="291"/>
        <v>0</v>
      </c>
      <c r="Z2649" s="49">
        <f t="shared" si="292"/>
        <v>0</v>
      </c>
      <c r="AA2649" s="60">
        <f t="shared" si="293"/>
        <v>0</v>
      </c>
    </row>
    <row r="2650" spans="1:27">
      <c r="A2650" s="83" t="str">
        <f t="shared" si="288"/>
        <v/>
      </c>
      <c r="B2650" s="83" t="str">
        <f t="shared" si="289"/>
        <v/>
      </c>
      <c r="S2650" s="83" t="str">
        <f t="shared" si="290"/>
        <v/>
      </c>
      <c r="T2650" s="83" t="str">
        <f t="shared" si="287"/>
        <v/>
      </c>
      <c r="Y2650" s="60">
        <f t="shared" si="291"/>
        <v>0</v>
      </c>
      <c r="Z2650" s="49">
        <f t="shared" si="292"/>
        <v>0</v>
      </c>
      <c r="AA2650" s="60">
        <f t="shared" si="293"/>
        <v>0</v>
      </c>
    </row>
    <row r="2651" spans="1:27">
      <c r="A2651" s="83" t="str">
        <f t="shared" si="288"/>
        <v/>
      </c>
      <c r="B2651" s="83" t="str">
        <f t="shared" si="289"/>
        <v/>
      </c>
      <c r="S2651" s="83" t="str">
        <f t="shared" si="290"/>
        <v/>
      </c>
      <c r="T2651" s="83" t="str">
        <f t="shared" si="287"/>
        <v/>
      </c>
      <c r="Y2651" s="60">
        <f t="shared" si="291"/>
        <v>0</v>
      </c>
      <c r="Z2651" s="49">
        <f t="shared" si="292"/>
        <v>0</v>
      </c>
      <c r="AA2651" s="60">
        <f t="shared" si="293"/>
        <v>0</v>
      </c>
    </row>
    <row r="2652" spans="1:27">
      <c r="A2652" s="83" t="str">
        <f t="shared" si="288"/>
        <v/>
      </c>
      <c r="B2652" s="83" t="str">
        <f t="shared" si="289"/>
        <v/>
      </c>
      <c r="S2652" s="83" t="str">
        <f t="shared" si="290"/>
        <v/>
      </c>
      <c r="T2652" s="83" t="str">
        <f t="shared" si="287"/>
        <v/>
      </c>
      <c r="Y2652" s="60">
        <f t="shared" si="291"/>
        <v>0</v>
      </c>
      <c r="Z2652" s="49">
        <f t="shared" si="292"/>
        <v>0</v>
      </c>
      <c r="AA2652" s="60">
        <f t="shared" si="293"/>
        <v>0</v>
      </c>
    </row>
    <row r="2653" spans="1:27">
      <c r="A2653" s="83" t="str">
        <f t="shared" si="288"/>
        <v/>
      </c>
      <c r="B2653" s="83" t="str">
        <f t="shared" si="289"/>
        <v/>
      </c>
      <c r="S2653" s="83" t="str">
        <f t="shared" si="290"/>
        <v/>
      </c>
      <c r="T2653" s="83" t="str">
        <f t="shared" si="287"/>
        <v/>
      </c>
      <c r="Y2653" s="60">
        <f t="shared" si="291"/>
        <v>0</v>
      </c>
      <c r="Z2653" s="49">
        <f t="shared" si="292"/>
        <v>0</v>
      </c>
      <c r="AA2653" s="60">
        <f t="shared" si="293"/>
        <v>0</v>
      </c>
    </row>
    <row r="2654" spans="1:27">
      <c r="A2654" s="83" t="str">
        <f t="shared" si="288"/>
        <v/>
      </c>
      <c r="B2654" s="83" t="str">
        <f t="shared" si="289"/>
        <v/>
      </c>
      <c r="S2654" s="83" t="str">
        <f t="shared" si="290"/>
        <v/>
      </c>
      <c r="T2654" s="83" t="str">
        <f t="shared" si="287"/>
        <v/>
      </c>
      <c r="Y2654" s="60">
        <f t="shared" si="291"/>
        <v>0</v>
      </c>
      <c r="Z2654" s="49">
        <f t="shared" si="292"/>
        <v>0</v>
      </c>
      <c r="AA2654" s="60">
        <f t="shared" si="293"/>
        <v>0</v>
      </c>
    </row>
    <row r="2655" spans="1:27">
      <c r="A2655" s="83" t="str">
        <f t="shared" si="288"/>
        <v/>
      </c>
      <c r="B2655" s="83" t="str">
        <f t="shared" si="289"/>
        <v/>
      </c>
      <c r="S2655" s="83" t="str">
        <f t="shared" si="290"/>
        <v/>
      </c>
      <c r="T2655" s="83" t="str">
        <f t="shared" si="287"/>
        <v/>
      </c>
      <c r="Y2655" s="60">
        <f t="shared" si="291"/>
        <v>0</v>
      </c>
      <c r="Z2655" s="49">
        <f t="shared" si="292"/>
        <v>0</v>
      </c>
      <c r="AA2655" s="60">
        <f t="shared" si="293"/>
        <v>0</v>
      </c>
    </row>
    <row r="2656" spans="1:27">
      <c r="A2656" s="83" t="str">
        <f t="shared" si="288"/>
        <v/>
      </c>
      <c r="B2656" s="83" t="str">
        <f t="shared" si="289"/>
        <v/>
      </c>
      <c r="S2656" s="83" t="str">
        <f t="shared" si="290"/>
        <v/>
      </c>
      <c r="T2656" s="83" t="str">
        <f t="shared" si="287"/>
        <v/>
      </c>
      <c r="Y2656" s="60">
        <f t="shared" si="291"/>
        <v>0</v>
      </c>
      <c r="Z2656" s="49">
        <f t="shared" si="292"/>
        <v>0</v>
      </c>
      <c r="AA2656" s="60">
        <f t="shared" si="293"/>
        <v>0</v>
      </c>
    </row>
    <row r="2657" spans="1:27">
      <c r="A2657" s="83" t="str">
        <f t="shared" si="288"/>
        <v/>
      </c>
      <c r="B2657" s="83" t="str">
        <f t="shared" si="289"/>
        <v/>
      </c>
      <c r="S2657" s="83" t="str">
        <f t="shared" si="290"/>
        <v/>
      </c>
      <c r="T2657" s="83" t="str">
        <f t="shared" si="287"/>
        <v/>
      </c>
      <c r="Y2657" s="60">
        <f t="shared" si="291"/>
        <v>0</v>
      </c>
      <c r="Z2657" s="49">
        <f t="shared" si="292"/>
        <v>0</v>
      </c>
      <c r="AA2657" s="60">
        <f t="shared" si="293"/>
        <v>0</v>
      </c>
    </row>
    <row r="2658" spans="1:27">
      <c r="A2658" s="83" t="str">
        <f t="shared" si="288"/>
        <v/>
      </c>
      <c r="B2658" s="83" t="str">
        <f t="shared" si="289"/>
        <v/>
      </c>
      <c r="S2658" s="83" t="str">
        <f t="shared" si="290"/>
        <v/>
      </c>
      <c r="T2658" s="83" t="str">
        <f t="shared" si="287"/>
        <v/>
      </c>
      <c r="Y2658" s="60">
        <f t="shared" si="291"/>
        <v>0</v>
      </c>
      <c r="Z2658" s="49">
        <f t="shared" si="292"/>
        <v>0</v>
      </c>
      <c r="AA2658" s="60">
        <f t="shared" si="293"/>
        <v>0</v>
      </c>
    </row>
    <row r="2659" spans="1:27">
      <c r="A2659" s="83" t="str">
        <f t="shared" si="288"/>
        <v/>
      </c>
      <c r="B2659" s="83" t="str">
        <f t="shared" si="289"/>
        <v/>
      </c>
      <c r="S2659" s="83" t="str">
        <f t="shared" si="290"/>
        <v/>
      </c>
      <c r="T2659" s="83" t="str">
        <f t="shared" si="287"/>
        <v/>
      </c>
      <c r="Y2659" s="60">
        <f t="shared" si="291"/>
        <v>0</v>
      </c>
      <c r="Z2659" s="49">
        <f t="shared" si="292"/>
        <v>0</v>
      </c>
      <c r="AA2659" s="60">
        <f t="shared" si="293"/>
        <v>0</v>
      </c>
    </row>
    <row r="2660" spans="1:27">
      <c r="A2660" s="83" t="str">
        <f t="shared" si="288"/>
        <v/>
      </c>
      <c r="B2660" s="83" t="str">
        <f t="shared" si="289"/>
        <v/>
      </c>
      <c r="S2660" s="83" t="str">
        <f t="shared" si="290"/>
        <v/>
      </c>
      <c r="T2660" s="83" t="str">
        <f t="shared" si="287"/>
        <v/>
      </c>
      <c r="Y2660" s="60">
        <f t="shared" si="291"/>
        <v>0</v>
      </c>
      <c r="Z2660" s="49">
        <f t="shared" si="292"/>
        <v>0</v>
      </c>
      <c r="AA2660" s="60">
        <f t="shared" si="293"/>
        <v>0</v>
      </c>
    </row>
    <row r="2661" spans="1:27">
      <c r="A2661" s="83" t="str">
        <f t="shared" si="288"/>
        <v/>
      </c>
      <c r="B2661" s="83" t="str">
        <f t="shared" si="289"/>
        <v/>
      </c>
      <c r="S2661" s="83" t="str">
        <f t="shared" si="290"/>
        <v/>
      </c>
      <c r="T2661" s="83" t="str">
        <f t="shared" si="287"/>
        <v/>
      </c>
      <c r="Y2661" s="60">
        <f t="shared" si="291"/>
        <v>0</v>
      </c>
      <c r="Z2661" s="49">
        <f t="shared" si="292"/>
        <v>0</v>
      </c>
      <c r="AA2661" s="60">
        <f t="shared" si="293"/>
        <v>0</v>
      </c>
    </row>
    <row r="2662" spans="1:27">
      <c r="A2662" s="83" t="str">
        <f t="shared" si="288"/>
        <v/>
      </c>
      <c r="B2662" s="83" t="str">
        <f t="shared" si="289"/>
        <v/>
      </c>
      <c r="S2662" s="83" t="str">
        <f t="shared" si="290"/>
        <v/>
      </c>
      <c r="T2662" s="83" t="str">
        <f t="shared" si="287"/>
        <v/>
      </c>
      <c r="Y2662" s="60">
        <f t="shared" si="291"/>
        <v>0</v>
      </c>
      <c r="Z2662" s="49">
        <f t="shared" si="292"/>
        <v>0</v>
      </c>
      <c r="AA2662" s="60">
        <f t="shared" si="293"/>
        <v>0</v>
      </c>
    </row>
    <row r="2663" spans="1:27">
      <c r="A2663" s="83" t="str">
        <f t="shared" si="288"/>
        <v/>
      </c>
      <c r="B2663" s="83" t="str">
        <f t="shared" si="289"/>
        <v/>
      </c>
      <c r="S2663" s="83" t="str">
        <f t="shared" si="290"/>
        <v/>
      </c>
      <c r="T2663" s="83" t="str">
        <f t="shared" si="287"/>
        <v/>
      </c>
      <c r="Y2663" s="60">
        <f t="shared" si="291"/>
        <v>0</v>
      </c>
      <c r="Z2663" s="49">
        <f t="shared" si="292"/>
        <v>0</v>
      </c>
      <c r="AA2663" s="60">
        <f t="shared" si="293"/>
        <v>0</v>
      </c>
    </row>
    <row r="2664" spans="1:27">
      <c r="A2664" s="83" t="str">
        <f t="shared" si="288"/>
        <v/>
      </c>
      <c r="B2664" s="83" t="str">
        <f t="shared" si="289"/>
        <v/>
      </c>
      <c r="S2664" s="83" t="str">
        <f t="shared" si="290"/>
        <v/>
      </c>
      <c r="T2664" s="83" t="str">
        <f t="shared" si="287"/>
        <v/>
      </c>
      <c r="Y2664" s="60">
        <f t="shared" si="291"/>
        <v>0</v>
      </c>
      <c r="Z2664" s="49">
        <f t="shared" si="292"/>
        <v>0</v>
      </c>
      <c r="AA2664" s="60">
        <f t="shared" si="293"/>
        <v>0</v>
      </c>
    </row>
    <row r="2665" spans="1:27">
      <c r="A2665" s="83" t="str">
        <f t="shared" si="288"/>
        <v/>
      </c>
      <c r="B2665" s="83" t="str">
        <f t="shared" si="289"/>
        <v/>
      </c>
      <c r="S2665" s="83" t="str">
        <f t="shared" si="290"/>
        <v/>
      </c>
      <c r="T2665" s="83" t="str">
        <f t="shared" si="287"/>
        <v/>
      </c>
      <c r="Y2665" s="60">
        <f t="shared" si="291"/>
        <v>0</v>
      </c>
      <c r="Z2665" s="49">
        <f t="shared" si="292"/>
        <v>0</v>
      </c>
      <c r="AA2665" s="60">
        <f t="shared" si="293"/>
        <v>0</v>
      </c>
    </row>
    <row r="2666" spans="1:27">
      <c r="A2666" s="83" t="str">
        <f t="shared" si="288"/>
        <v/>
      </c>
      <c r="B2666" s="83" t="str">
        <f t="shared" si="289"/>
        <v/>
      </c>
      <c r="S2666" s="83" t="str">
        <f t="shared" si="290"/>
        <v/>
      </c>
      <c r="T2666" s="83" t="str">
        <f t="shared" si="287"/>
        <v/>
      </c>
      <c r="Y2666" s="60">
        <f t="shared" si="291"/>
        <v>0</v>
      </c>
      <c r="Z2666" s="49">
        <f t="shared" si="292"/>
        <v>0</v>
      </c>
      <c r="AA2666" s="60">
        <f t="shared" si="293"/>
        <v>0</v>
      </c>
    </row>
    <row r="2667" spans="1:27">
      <c r="A2667" s="83" t="str">
        <f t="shared" si="288"/>
        <v/>
      </c>
      <c r="B2667" s="83" t="str">
        <f t="shared" si="289"/>
        <v/>
      </c>
      <c r="S2667" s="83" t="str">
        <f t="shared" si="290"/>
        <v/>
      </c>
      <c r="T2667" s="83" t="str">
        <f t="shared" si="287"/>
        <v/>
      </c>
      <c r="Y2667" s="60">
        <f t="shared" si="291"/>
        <v>0</v>
      </c>
      <c r="Z2667" s="49">
        <f t="shared" si="292"/>
        <v>0</v>
      </c>
      <c r="AA2667" s="60">
        <f t="shared" si="293"/>
        <v>0</v>
      </c>
    </row>
    <row r="2668" spans="1:27">
      <c r="A2668" s="83" t="str">
        <f t="shared" si="288"/>
        <v/>
      </c>
      <c r="B2668" s="83" t="str">
        <f t="shared" si="289"/>
        <v/>
      </c>
      <c r="S2668" s="83" t="str">
        <f t="shared" si="290"/>
        <v/>
      </c>
      <c r="T2668" s="83" t="str">
        <f t="shared" si="287"/>
        <v/>
      </c>
      <c r="Y2668" s="60">
        <f t="shared" si="291"/>
        <v>0</v>
      </c>
      <c r="Z2668" s="49">
        <f t="shared" si="292"/>
        <v>0</v>
      </c>
      <c r="AA2668" s="60">
        <f t="shared" si="293"/>
        <v>0</v>
      </c>
    </row>
    <row r="2669" spans="1:27">
      <c r="A2669" s="83" t="str">
        <f t="shared" si="288"/>
        <v/>
      </c>
      <c r="B2669" s="83" t="str">
        <f t="shared" si="289"/>
        <v/>
      </c>
      <c r="S2669" s="83" t="str">
        <f t="shared" si="290"/>
        <v/>
      </c>
      <c r="T2669" s="83" t="str">
        <f t="shared" si="287"/>
        <v/>
      </c>
      <c r="Y2669" s="60">
        <f t="shared" si="291"/>
        <v>0</v>
      </c>
      <c r="Z2669" s="49">
        <f t="shared" si="292"/>
        <v>0</v>
      </c>
      <c r="AA2669" s="60">
        <f t="shared" si="293"/>
        <v>0</v>
      </c>
    </row>
    <row r="2670" spans="1:27">
      <c r="A2670" s="83" t="str">
        <f t="shared" si="288"/>
        <v/>
      </c>
      <c r="B2670" s="83" t="str">
        <f t="shared" si="289"/>
        <v/>
      </c>
      <c r="S2670" s="83" t="str">
        <f t="shared" si="290"/>
        <v/>
      </c>
      <c r="T2670" s="83" t="str">
        <f t="shared" si="287"/>
        <v/>
      </c>
      <c r="Y2670" s="60">
        <f t="shared" si="291"/>
        <v>0</v>
      </c>
      <c r="Z2670" s="49">
        <f t="shared" si="292"/>
        <v>0</v>
      </c>
      <c r="AA2670" s="60">
        <f t="shared" si="293"/>
        <v>0</v>
      </c>
    </row>
    <row r="2671" spans="1:27">
      <c r="A2671" s="83" t="str">
        <f t="shared" si="288"/>
        <v/>
      </c>
      <c r="B2671" s="83" t="str">
        <f t="shared" si="289"/>
        <v/>
      </c>
      <c r="S2671" s="83" t="str">
        <f t="shared" si="290"/>
        <v/>
      </c>
      <c r="T2671" s="83" t="str">
        <f t="shared" si="287"/>
        <v/>
      </c>
      <c r="Y2671" s="60">
        <f t="shared" si="291"/>
        <v>0</v>
      </c>
      <c r="Z2671" s="49">
        <f t="shared" si="292"/>
        <v>0</v>
      </c>
      <c r="AA2671" s="60">
        <f t="shared" si="293"/>
        <v>0</v>
      </c>
    </row>
    <row r="2672" spans="1:27">
      <c r="A2672" s="83" t="str">
        <f t="shared" si="288"/>
        <v/>
      </c>
      <c r="B2672" s="83" t="str">
        <f t="shared" si="289"/>
        <v/>
      </c>
      <c r="S2672" s="83" t="str">
        <f t="shared" si="290"/>
        <v/>
      </c>
      <c r="T2672" s="83" t="str">
        <f t="shared" si="287"/>
        <v/>
      </c>
      <c r="Y2672" s="60">
        <f t="shared" si="291"/>
        <v>0</v>
      </c>
      <c r="Z2672" s="49">
        <f t="shared" si="292"/>
        <v>0</v>
      </c>
      <c r="AA2672" s="60">
        <f t="shared" si="293"/>
        <v>0</v>
      </c>
    </row>
    <row r="2673" spans="1:27">
      <c r="A2673" s="83" t="str">
        <f t="shared" si="288"/>
        <v/>
      </c>
      <c r="B2673" s="83" t="str">
        <f t="shared" si="289"/>
        <v/>
      </c>
      <c r="S2673" s="83" t="str">
        <f t="shared" si="290"/>
        <v/>
      </c>
      <c r="T2673" s="83" t="str">
        <f t="shared" si="287"/>
        <v/>
      </c>
      <c r="Y2673" s="60">
        <f t="shared" si="291"/>
        <v>0</v>
      </c>
      <c r="Z2673" s="49">
        <f t="shared" si="292"/>
        <v>0</v>
      </c>
      <c r="AA2673" s="60">
        <f t="shared" si="293"/>
        <v>0</v>
      </c>
    </row>
    <row r="2674" spans="1:27">
      <c r="A2674" s="83" t="str">
        <f t="shared" si="288"/>
        <v/>
      </c>
      <c r="B2674" s="83" t="str">
        <f t="shared" si="289"/>
        <v/>
      </c>
      <c r="S2674" s="83" t="str">
        <f t="shared" si="290"/>
        <v/>
      </c>
      <c r="T2674" s="83" t="str">
        <f t="shared" si="287"/>
        <v/>
      </c>
      <c r="Y2674" s="60">
        <f t="shared" si="291"/>
        <v>0</v>
      </c>
      <c r="Z2674" s="49">
        <f t="shared" si="292"/>
        <v>0</v>
      </c>
      <c r="AA2674" s="60">
        <f t="shared" si="293"/>
        <v>0</v>
      </c>
    </row>
    <row r="2675" spans="1:27">
      <c r="A2675" s="83" t="str">
        <f t="shared" si="288"/>
        <v/>
      </c>
      <c r="B2675" s="83" t="str">
        <f t="shared" si="289"/>
        <v/>
      </c>
      <c r="S2675" s="83" t="str">
        <f t="shared" si="290"/>
        <v/>
      </c>
      <c r="T2675" s="83" t="str">
        <f t="shared" si="287"/>
        <v/>
      </c>
      <c r="Y2675" s="60">
        <f t="shared" si="291"/>
        <v>0</v>
      </c>
      <c r="Z2675" s="49">
        <f t="shared" si="292"/>
        <v>0</v>
      </c>
      <c r="AA2675" s="60">
        <f t="shared" si="293"/>
        <v>0</v>
      </c>
    </row>
    <row r="2676" spans="1:27">
      <c r="A2676" s="83" t="str">
        <f t="shared" si="288"/>
        <v/>
      </c>
      <c r="B2676" s="83" t="str">
        <f t="shared" si="289"/>
        <v/>
      </c>
      <c r="S2676" s="83" t="str">
        <f t="shared" si="290"/>
        <v/>
      </c>
      <c r="T2676" s="83" t="str">
        <f t="shared" si="287"/>
        <v/>
      </c>
      <c r="Y2676" s="60">
        <f t="shared" si="291"/>
        <v>0</v>
      </c>
      <c r="Z2676" s="49">
        <f t="shared" si="292"/>
        <v>0</v>
      </c>
      <c r="AA2676" s="60">
        <f t="shared" si="293"/>
        <v>0</v>
      </c>
    </row>
    <row r="2677" spans="1:27">
      <c r="A2677" s="83" t="str">
        <f t="shared" si="288"/>
        <v/>
      </c>
      <c r="B2677" s="83" t="str">
        <f t="shared" si="289"/>
        <v/>
      </c>
      <c r="S2677" s="83" t="str">
        <f t="shared" si="290"/>
        <v/>
      </c>
      <c r="T2677" s="83" t="str">
        <f t="shared" si="287"/>
        <v/>
      </c>
      <c r="Y2677" s="60">
        <f t="shared" si="291"/>
        <v>0</v>
      </c>
      <c r="Z2677" s="49">
        <f t="shared" si="292"/>
        <v>0</v>
      </c>
      <c r="AA2677" s="60">
        <f t="shared" si="293"/>
        <v>0</v>
      </c>
    </row>
    <row r="2678" spans="1:27">
      <c r="A2678" s="83" t="str">
        <f t="shared" si="288"/>
        <v/>
      </c>
      <c r="B2678" s="83" t="str">
        <f t="shared" si="289"/>
        <v/>
      </c>
      <c r="S2678" s="83" t="str">
        <f t="shared" si="290"/>
        <v/>
      </c>
      <c r="T2678" s="83" t="str">
        <f t="shared" si="287"/>
        <v/>
      </c>
      <c r="Y2678" s="60">
        <f t="shared" si="291"/>
        <v>0</v>
      </c>
      <c r="Z2678" s="49">
        <f t="shared" si="292"/>
        <v>0</v>
      </c>
      <c r="AA2678" s="60">
        <f t="shared" si="293"/>
        <v>0</v>
      </c>
    </row>
    <row r="2679" spans="1:27">
      <c r="A2679" s="83" t="str">
        <f t="shared" si="288"/>
        <v/>
      </c>
      <c r="B2679" s="83" t="str">
        <f t="shared" si="289"/>
        <v/>
      </c>
      <c r="S2679" s="83" t="str">
        <f t="shared" si="290"/>
        <v/>
      </c>
      <c r="T2679" s="83" t="str">
        <f t="shared" si="287"/>
        <v/>
      </c>
      <c r="Y2679" s="60">
        <f t="shared" si="291"/>
        <v>0</v>
      </c>
      <c r="Z2679" s="49">
        <f t="shared" si="292"/>
        <v>0</v>
      </c>
      <c r="AA2679" s="60">
        <f t="shared" si="293"/>
        <v>0</v>
      </c>
    </row>
    <row r="2680" spans="1:27">
      <c r="A2680" s="83" t="str">
        <f t="shared" si="288"/>
        <v/>
      </c>
      <c r="B2680" s="83" t="str">
        <f t="shared" si="289"/>
        <v/>
      </c>
      <c r="S2680" s="83" t="str">
        <f t="shared" si="290"/>
        <v/>
      </c>
      <c r="T2680" s="83" t="str">
        <f t="shared" si="287"/>
        <v/>
      </c>
      <c r="Y2680" s="60">
        <f t="shared" si="291"/>
        <v>0</v>
      </c>
      <c r="Z2680" s="49">
        <f t="shared" si="292"/>
        <v>0</v>
      </c>
      <c r="AA2680" s="60">
        <f t="shared" si="293"/>
        <v>0</v>
      </c>
    </row>
    <row r="2681" spans="1:27">
      <c r="A2681" s="83" t="str">
        <f t="shared" si="288"/>
        <v/>
      </c>
      <c r="B2681" s="83" t="str">
        <f t="shared" si="289"/>
        <v/>
      </c>
      <c r="S2681" s="83" t="str">
        <f t="shared" si="290"/>
        <v/>
      </c>
      <c r="T2681" s="83" t="str">
        <f t="shared" si="287"/>
        <v/>
      </c>
      <c r="Y2681" s="60">
        <f t="shared" si="291"/>
        <v>0</v>
      </c>
      <c r="Z2681" s="49">
        <f t="shared" si="292"/>
        <v>0</v>
      </c>
      <c r="AA2681" s="60">
        <f t="shared" si="293"/>
        <v>0</v>
      </c>
    </row>
    <row r="2682" spans="1:27">
      <c r="A2682" s="83" t="str">
        <f t="shared" si="288"/>
        <v/>
      </c>
      <c r="B2682" s="83" t="str">
        <f t="shared" si="289"/>
        <v/>
      </c>
      <c r="S2682" s="83" t="str">
        <f t="shared" si="290"/>
        <v/>
      </c>
      <c r="T2682" s="83" t="str">
        <f t="shared" si="287"/>
        <v/>
      </c>
      <c r="Y2682" s="60">
        <f t="shared" si="291"/>
        <v>0</v>
      </c>
      <c r="Z2682" s="49">
        <f t="shared" si="292"/>
        <v>0</v>
      </c>
      <c r="AA2682" s="60">
        <f t="shared" si="293"/>
        <v>0</v>
      </c>
    </row>
    <row r="2683" spans="1:27">
      <c r="A2683" s="83" t="str">
        <f t="shared" si="288"/>
        <v/>
      </c>
      <c r="B2683" s="83" t="str">
        <f t="shared" si="289"/>
        <v/>
      </c>
      <c r="S2683" s="83" t="str">
        <f t="shared" si="290"/>
        <v/>
      </c>
      <c r="T2683" s="83" t="str">
        <f t="shared" si="287"/>
        <v/>
      </c>
      <c r="Y2683" s="60">
        <f t="shared" si="291"/>
        <v>0</v>
      </c>
      <c r="Z2683" s="49">
        <f t="shared" si="292"/>
        <v>0</v>
      </c>
      <c r="AA2683" s="60">
        <f t="shared" si="293"/>
        <v>0</v>
      </c>
    </row>
    <row r="2684" spans="1:27">
      <c r="A2684" s="83" t="str">
        <f t="shared" si="288"/>
        <v/>
      </c>
      <c r="B2684" s="83" t="str">
        <f t="shared" si="289"/>
        <v/>
      </c>
      <c r="S2684" s="83" t="str">
        <f t="shared" si="290"/>
        <v/>
      </c>
      <c r="T2684" s="83" t="str">
        <f t="shared" si="287"/>
        <v/>
      </c>
      <c r="Y2684" s="60">
        <f t="shared" si="291"/>
        <v>0</v>
      </c>
      <c r="Z2684" s="49">
        <f t="shared" si="292"/>
        <v>0</v>
      </c>
      <c r="AA2684" s="60">
        <f t="shared" si="293"/>
        <v>0</v>
      </c>
    </row>
    <row r="2685" spans="1:27">
      <c r="A2685" s="83" t="str">
        <f t="shared" si="288"/>
        <v/>
      </c>
      <c r="B2685" s="83" t="str">
        <f t="shared" si="289"/>
        <v/>
      </c>
      <c r="S2685" s="83" t="str">
        <f t="shared" si="290"/>
        <v/>
      </c>
      <c r="T2685" s="83" t="str">
        <f t="shared" si="287"/>
        <v/>
      </c>
      <c r="Y2685" s="60">
        <f t="shared" si="291"/>
        <v>0</v>
      </c>
      <c r="Z2685" s="49">
        <f t="shared" si="292"/>
        <v>0</v>
      </c>
      <c r="AA2685" s="60">
        <f t="shared" si="293"/>
        <v>0</v>
      </c>
    </row>
    <row r="2686" spans="1:27">
      <c r="A2686" s="83" t="str">
        <f t="shared" si="288"/>
        <v/>
      </c>
      <c r="B2686" s="83" t="str">
        <f t="shared" si="289"/>
        <v/>
      </c>
      <c r="S2686" s="83" t="str">
        <f t="shared" si="290"/>
        <v/>
      </c>
      <c r="T2686" s="83" t="str">
        <f t="shared" si="287"/>
        <v/>
      </c>
      <c r="Y2686" s="60">
        <f t="shared" si="291"/>
        <v>0</v>
      </c>
      <c r="Z2686" s="49">
        <f t="shared" si="292"/>
        <v>0</v>
      </c>
      <c r="AA2686" s="60">
        <f t="shared" si="293"/>
        <v>0</v>
      </c>
    </row>
    <row r="2687" spans="1:27">
      <c r="A2687" s="83" t="str">
        <f t="shared" si="288"/>
        <v/>
      </c>
      <c r="B2687" s="83" t="str">
        <f t="shared" si="289"/>
        <v/>
      </c>
      <c r="S2687" s="83" t="str">
        <f t="shared" si="290"/>
        <v/>
      </c>
      <c r="T2687" s="83" t="str">
        <f t="shared" si="287"/>
        <v/>
      </c>
      <c r="Y2687" s="60">
        <f t="shared" si="291"/>
        <v>0</v>
      </c>
      <c r="Z2687" s="49">
        <f t="shared" si="292"/>
        <v>0</v>
      </c>
      <c r="AA2687" s="60">
        <f t="shared" si="293"/>
        <v>0</v>
      </c>
    </row>
    <row r="2688" spans="1:27">
      <c r="A2688" s="83" t="str">
        <f t="shared" si="288"/>
        <v/>
      </c>
      <c r="B2688" s="83" t="str">
        <f t="shared" si="289"/>
        <v/>
      </c>
      <c r="S2688" s="83" t="str">
        <f t="shared" si="290"/>
        <v/>
      </c>
      <c r="T2688" s="83" t="str">
        <f t="shared" si="287"/>
        <v/>
      </c>
      <c r="Y2688" s="60">
        <f t="shared" si="291"/>
        <v>0</v>
      </c>
      <c r="Z2688" s="49">
        <f t="shared" si="292"/>
        <v>0</v>
      </c>
      <c r="AA2688" s="60">
        <f t="shared" si="293"/>
        <v>0</v>
      </c>
    </row>
    <row r="2689" spans="1:27">
      <c r="A2689" s="83" t="str">
        <f t="shared" si="288"/>
        <v/>
      </c>
      <c r="B2689" s="83" t="str">
        <f t="shared" si="289"/>
        <v/>
      </c>
      <c r="S2689" s="83" t="str">
        <f t="shared" si="290"/>
        <v/>
      </c>
      <c r="T2689" s="83" t="str">
        <f t="shared" si="287"/>
        <v/>
      </c>
      <c r="Y2689" s="60">
        <f t="shared" si="291"/>
        <v>0</v>
      </c>
      <c r="Z2689" s="49">
        <f t="shared" si="292"/>
        <v>0</v>
      </c>
      <c r="AA2689" s="60">
        <f t="shared" si="293"/>
        <v>0</v>
      </c>
    </row>
    <row r="2690" spans="1:27">
      <c r="A2690" s="83" t="str">
        <f t="shared" si="288"/>
        <v/>
      </c>
      <c r="B2690" s="83" t="str">
        <f t="shared" si="289"/>
        <v/>
      </c>
      <c r="S2690" s="83" t="str">
        <f t="shared" si="290"/>
        <v/>
      </c>
      <c r="T2690" s="83" t="str">
        <f t="shared" ref="T2690:T2753" si="294">IF(A2690&lt;&gt;"",IF(FIND(" ",G2690)&gt;=1,MID(G2690,FIND(" ",G2690)+1,LEN(G2690)),""),"")</f>
        <v/>
      </c>
      <c r="Y2690" s="60">
        <f t="shared" si="291"/>
        <v>0</v>
      </c>
      <c r="Z2690" s="49">
        <f t="shared" si="292"/>
        <v>0</v>
      </c>
      <c r="AA2690" s="60">
        <f t="shared" si="293"/>
        <v>0</v>
      </c>
    </row>
    <row r="2691" spans="1:27">
      <c r="A2691" s="83" t="str">
        <f t="shared" ref="A2691:A2754" si="295">IF(G2691&amp;Q2691&lt;&gt;"",S2691&amp;Q2691,"")</f>
        <v/>
      </c>
      <c r="B2691" s="83" t="str">
        <f t="shared" ref="B2691:B2754" si="296">IF(C2691&lt;&gt;"",LEFT(C2691,9),"")</f>
        <v/>
      </c>
      <c r="S2691" s="83" t="str">
        <f t="shared" ref="S2691:S2754" si="297">IF(G2691&lt;&gt;"",IF(FIND(" ",G2691)&gt;=1,MID(G2691,1,FIND(" ",G2691)-1),G2691),"")</f>
        <v/>
      </c>
      <c r="T2691" s="83" t="str">
        <f t="shared" si="294"/>
        <v/>
      </c>
      <c r="Y2691" s="60">
        <f t="shared" ref="Y2691:Y2754" si="298">IFERROR(VALUE(MID($C2691,1,2)),0)</f>
        <v>0</v>
      </c>
      <c r="Z2691" s="49">
        <f t="shared" ref="Z2691:Z2754" si="299">IFERROR(VALUE(MID($C2691,4,3)),0)</f>
        <v>0</v>
      </c>
      <c r="AA2691" s="60">
        <f t="shared" ref="AA2691:AA2754" si="300">VALUE(RIGHT("00"&amp;Y2691,2)&amp;RIGHT("000"&amp;Z2691,3))</f>
        <v>0</v>
      </c>
    </row>
    <row r="2692" spans="1:27">
      <c r="A2692" s="83" t="str">
        <f t="shared" si="295"/>
        <v/>
      </c>
      <c r="B2692" s="83" t="str">
        <f t="shared" si="296"/>
        <v/>
      </c>
      <c r="S2692" s="83" t="str">
        <f t="shared" si="297"/>
        <v/>
      </c>
      <c r="T2692" s="83" t="str">
        <f t="shared" si="294"/>
        <v/>
      </c>
      <c r="Y2692" s="60">
        <f t="shared" si="298"/>
        <v>0</v>
      </c>
      <c r="Z2692" s="49">
        <f t="shared" si="299"/>
        <v>0</v>
      </c>
      <c r="AA2692" s="60">
        <f t="shared" si="300"/>
        <v>0</v>
      </c>
    </row>
    <row r="2693" spans="1:27">
      <c r="A2693" s="83" t="str">
        <f t="shared" si="295"/>
        <v/>
      </c>
      <c r="B2693" s="83" t="str">
        <f t="shared" si="296"/>
        <v/>
      </c>
      <c r="S2693" s="83" t="str">
        <f t="shared" si="297"/>
        <v/>
      </c>
      <c r="T2693" s="83" t="str">
        <f t="shared" si="294"/>
        <v/>
      </c>
      <c r="Y2693" s="60">
        <f t="shared" si="298"/>
        <v>0</v>
      </c>
      <c r="Z2693" s="49">
        <f t="shared" si="299"/>
        <v>0</v>
      </c>
      <c r="AA2693" s="60">
        <f t="shared" si="300"/>
        <v>0</v>
      </c>
    </row>
    <row r="2694" spans="1:27">
      <c r="A2694" s="83" t="str">
        <f t="shared" si="295"/>
        <v/>
      </c>
      <c r="B2694" s="83" t="str">
        <f t="shared" si="296"/>
        <v/>
      </c>
      <c r="S2694" s="83" t="str">
        <f t="shared" si="297"/>
        <v/>
      </c>
      <c r="T2694" s="83" t="str">
        <f t="shared" si="294"/>
        <v/>
      </c>
      <c r="Y2694" s="60">
        <f t="shared" si="298"/>
        <v>0</v>
      </c>
      <c r="Z2694" s="49">
        <f t="shared" si="299"/>
        <v>0</v>
      </c>
      <c r="AA2694" s="60">
        <f t="shared" si="300"/>
        <v>0</v>
      </c>
    </row>
    <row r="2695" spans="1:27">
      <c r="A2695" s="83" t="str">
        <f t="shared" si="295"/>
        <v/>
      </c>
      <c r="B2695" s="83" t="str">
        <f t="shared" si="296"/>
        <v/>
      </c>
      <c r="S2695" s="83" t="str">
        <f t="shared" si="297"/>
        <v/>
      </c>
      <c r="T2695" s="83" t="str">
        <f t="shared" si="294"/>
        <v/>
      </c>
      <c r="Y2695" s="60">
        <f t="shared" si="298"/>
        <v>0</v>
      </c>
      <c r="Z2695" s="49">
        <f t="shared" si="299"/>
        <v>0</v>
      </c>
      <c r="AA2695" s="60">
        <f t="shared" si="300"/>
        <v>0</v>
      </c>
    </row>
    <row r="2696" spans="1:27">
      <c r="A2696" s="83" t="str">
        <f t="shared" si="295"/>
        <v/>
      </c>
      <c r="B2696" s="83" t="str">
        <f t="shared" si="296"/>
        <v/>
      </c>
      <c r="S2696" s="83" t="str">
        <f t="shared" si="297"/>
        <v/>
      </c>
      <c r="T2696" s="83" t="str">
        <f t="shared" si="294"/>
        <v/>
      </c>
      <c r="Y2696" s="60">
        <f t="shared" si="298"/>
        <v>0</v>
      </c>
      <c r="Z2696" s="49">
        <f t="shared" si="299"/>
        <v>0</v>
      </c>
      <c r="AA2696" s="60">
        <f t="shared" si="300"/>
        <v>0</v>
      </c>
    </row>
    <row r="2697" spans="1:27">
      <c r="A2697" s="83" t="str">
        <f t="shared" si="295"/>
        <v/>
      </c>
      <c r="B2697" s="83" t="str">
        <f t="shared" si="296"/>
        <v/>
      </c>
      <c r="S2697" s="83" t="str">
        <f t="shared" si="297"/>
        <v/>
      </c>
      <c r="T2697" s="83" t="str">
        <f t="shared" si="294"/>
        <v/>
      </c>
      <c r="Y2697" s="60">
        <f t="shared" si="298"/>
        <v>0</v>
      </c>
      <c r="Z2697" s="49">
        <f t="shared" si="299"/>
        <v>0</v>
      </c>
      <c r="AA2697" s="60">
        <f t="shared" si="300"/>
        <v>0</v>
      </c>
    </row>
    <row r="2698" spans="1:27">
      <c r="A2698" s="83" t="str">
        <f t="shared" si="295"/>
        <v/>
      </c>
      <c r="B2698" s="83" t="str">
        <f t="shared" si="296"/>
        <v/>
      </c>
      <c r="S2698" s="83" t="str">
        <f t="shared" si="297"/>
        <v/>
      </c>
      <c r="T2698" s="83" t="str">
        <f t="shared" si="294"/>
        <v/>
      </c>
      <c r="Y2698" s="60">
        <f t="shared" si="298"/>
        <v>0</v>
      </c>
      <c r="Z2698" s="49">
        <f t="shared" si="299"/>
        <v>0</v>
      </c>
      <c r="AA2698" s="60">
        <f t="shared" si="300"/>
        <v>0</v>
      </c>
    </row>
    <row r="2699" spans="1:27">
      <c r="A2699" s="83" t="str">
        <f t="shared" si="295"/>
        <v/>
      </c>
      <c r="B2699" s="83" t="str">
        <f t="shared" si="296"/>
        <v/>
      </c>
      <c r="S2699" s="83" t="str">
        <f t="shared" si="297"/>
        <v/>
      </c>
      <c r="T2699" s="83" t="str">
        <f t="shared" si="294"/>
        <v/>
      </c>
      <c r="Y2699" s="60">
        <f t="shared" si="298"/>
        <v>0</v>
      </c>
      <c r="Z2699" s="49">
        <f t="shared" si="299"/>
        <v>0</v>
      </c>
      <c r="AA2699" s="60">
        <f t="shared" si="300"/>
        <v>0</v>
      </c>
    </row>
    <row r="2700" spans="1:27">
      <c r="A2700" s="83" t="str">
        <f t="shared" si="295"/>
        <v/>
      </c>
      <c r="B2700" s="83" t="str">
        <f t="shared" si="296"/>
        <v/>
      </c>
      <c r="S2700" s="83" t="str">
        <f t="shared" si="297"/>
        <v/>
      </c>
      <c r="T2700" s="83" t="str">
        <f t="shared" si="294"/>
        <v/>
      </c>
      <c r="Y2700" s="60">
        <f t="shared" si="298"/>
        <v>0</v>
      </c>
      <c r="Z2700" s="49">
        <f t="shared" si="299"/>
        <v>0</v>
      </c>
      <c r="AA2700" s="60">
        <f t="shared" si="300"/>
        <v>0</v>
      </c>
    </row>
    <row r="2701" spans="1:27">
      <c r="A2701" s="83" t="str">
        <f t="shared" si="295"/>
        <v/>
      </c>
      <c r="B2701" s="83" t="str">
        <f t="shared" si="296"/>
        <v/>
      </c>
      <c r="S2701" s="83" t="str">
        <f t="shared" si="297"/>
        <v/>
      </c>
      <c r="T2701" s="83" t="str">
        <f t="shared" si="294"/>
        <v/>
      </c>
      <c r="Y2701" s="60">
        <f t="shared" si="298"/>
        <v>0</v>
      </c>
      <c r="Z2701" s="49">
        <f t="shared" si="299"/>
        <v>0</v>
      </c>
      <c r="AA2701" s="60">
        <f t="shared" si="300"/>
        <v>0</v>
      </c>
    </row>
    <row r="2702" spans="1:27">
      <c r="A2702" s="83" t="str">
        <f t="shared" si="295"/>
        <v/>
      </c>
      <c r="B2702" s="83" t="str">
        <f t="shared" si="296"/>
        <v/>
      </c>
      <c r="S2702" s="83" t="str">
        <f t="shared" si="297"/>
        <v/>
      </c>
      <c r="T2702" s="83" t="str">
        <f t="shared" si="294"/>
        <v/>
      </c>
      <c r="Y2702" s="60">
        <f t="shared" si="298"/>
        <v>0</v>
      </c>
      <c r="Z2702" s="49">
        <f t="shared" si="299"/>
        <v>0</v>
      </c>
      <c r="AA2702" s="60">
        <f t="shared" si="300"/>
        <v>0</v>
      </c>
    </row>
    <row r="2703" spans="1:27">
      <c r="A2703" s="83" t="str">
        <f t="shared" si="295"/>
        <v/>
      </c>
      <c r="B2703" s="83" t="str">
        <f t="shared" si="296"/>
        <v/>
      </c>
      <c r="S2703" s="83" t="str">
        <f t="shared" si="297"/>
        <v/>
      </c>
      <c r="T2703" s="83" t="str">
        <f t="shared" si="294"/>
        <v/>
      </c>
      <c r="Y2703" s="60">
        <f t="shared" si="298"/>
        <v>0</v>
      </c>
      <c r="Z2703" s="49">
        <f t="shared" si="299"/>
        <v>0</v>
      </c>
      <c r="AA2703" s="60">
        <f t="shared" si="300"/>
        <v>0</v>
      </c>
    </row>
    <row r="2704" spans="1:27">
      <c r="A2704" s="83" t="str">
        <f t="shared" si="295"/>
        <v/>
      </c>
      <c r="B2704" s="83" t="str">
        <f t="shared" si="296"/>
        <v/>
      </c>
      <c r="S2704" s="83" t="str">
        <f t="shared" si="297"/>
        <v/>
      </c>
      <c r="T2704" s="83" t="str">
        <f t="shared" si="294"/>
        <v/>
      </c>
      <c r="Y2704" s="60">
        <f t="shared" si="298"/>
        <v>0</v>
      </c>
      <c r="Z2704" s="49">
        <f t="shared" si="299"/>
        <v>0</v>
      </c>
      <c r="AA2704" s="60">
        <f t="shared" si="300"/>
        <v>0</v>
      </c>
    </row>
    <row r="2705" spans="1:27">
      <c r="A2705" s="83" t="str">
        <f t="shared" si="295"/>
        <v/>
      </c>
      <c r="B2705" s="83" t="str">
        <f t="shared" si="296"/>
        <v/>
      </c>
      <c r="S2705" s="83" t="str">
        <f t="shared" si="297"/>
        <v/>
      </c>
      <c r="T2705" s="83" t="str">
        <f t="shared" si="294"/>
        <v/>
      </c>
      <c r="Y2705" s="60">
        <f t="shared" si="298"/>
        <v>0</v>
      </c>
      <c r="Z2705" s="49">
        <f t="shared" si="299"/>
        <v>0</v>
      </c>
      <c r="AA2705" s="60">
        <f t="shared" si="300"/>
        <v>0</v>
      </c>
    </row>
    <row r="2706" spans="1:27">
      <c r="A2706" s="83" t="str">
        <f t="shared" si="295"/>
        <v/>
      </c>
      <c r="B2706" s="83" t="str">
        <f t="shared" si="296"/>
        <v/>
      </c>
      <c r="S2706" s="83" t="str">
        <f t="shared" si="297"/>
        <v/>
      </c>
      <c r="T2706" s="83" t="str">
        <f t="shared" si="294"/>
        <v/>
      </c>
      <c r="Y2706" s="60">
        <f t="shared" si="298"/>
        <v>0</v>
      </c>
      <c r="Z2706" s="49">
        <f t="shared" si="299"/>
        <v>0</v>
      </c>
      <c r="AA2706" s="60">
        <f t="shared" si="300"/>
        <v>0</v>
      </c>
    </row>
    <row r="2707" spans="1:27">
      <c r="A2707" s="83" t="str">
        <f t="shared" si="295"/>
        <v/>
      </c>
      <c r="B2707" s="83" t="str">
        <f t="shared" si="296"/>
        <v/>
      </c>
      <c r="S2707" s="83" t="str">
        <f t="shared" si="297"/>
        <v/>
      </c>
      <c r="T2707" s="83" t="str">
        <f t="shared" si="294"/>
        <v/>
      </c>
      <c r="Y2707" s="60">
        <f t="shared" si="298"/>
        <v>0</v>
      </c>
      <c r="Z2707" s="49">
        <f t="shared" si="299"/>
        <v>0</v>
      </c>
      <c r="AA2707" s="60">
        <f t="shared" si="300"/>
        <v>0</v>
      </c>
    </row>
    <row r="2708" spans="1:27">
      <c r="A2708" s="83" t="str">
        <f t="shared" si="295"/>
        <v/>
      </c>
      <c r="B2708" s="83" t="str">
        <f t="shared" si="296"/>
        <v/>
      </c>
      <c r="S2708" s="83" t="str">
        <f t="shared" si="297"/>
        <v/>
      </c>
      <c r="T2708" s="83" t="str">
        <f t="shared" si="294"/>
        <v/>
      </c>
      <c r="Y2708" s="60">
        <f t="shared" si="298"/>
        <v>0</v>
      </c>
      <c r="Z2708" s="49">
        <f t="shared" si="299"/>
        <v>0</v>
      </c>
      <c r="AA2708" s="60">
        <f t="shared" si="300"/>
        <v>0</v>
      </c>
    </row>
    <row r="2709" spans="1:27">
      <c r="A2709" s="83" t="str">
        <f t="shared" si="295"/>
        <v/>
      </c>
      <c r="B2709" s="83" t="str">
        <f t="shared" si="296"/>
        <v/>
      </c>
      <c r="S2709" s="83" t="str">
        <f t="shared" si="297"/>
        <v/>
      </c>
      <c r="T2709" s="83" t="str">
        <f t="shared" si="294"/>
        <v/>
      </c>
      <c r="Y2709" s="60">
        <f t="shared" si="298"/>
        <v>0</v>
      </c>
      <c r="Z2709" s="49">
        <f t="shared" si="299"/>
        <v>0</v>
      </c>
      <c r="AA2709" s="60">
        <f t="shared" si="300"/>
        <v>0</v>
      </c>
    </row>
    <row r="2710" spans="1:27">
      <c r="A2710" s="83" t="str">
        <f t="shared" si="295"/>
        <v/>
      </c>
      <c r="B2710" s="83" t="str">
        <f t="shared" si="296"/>
        <v/>
      </c>
      <c r="S2710" s="83" t="str">
        <f t="shared" si="297"/>
        <v/>
      </c>
      <c r="T2710" s="83" t="str">
        <f t="shared" si="294"/>
        <v/>
      </c>
      <c r="Y2710" s="60">
        <f t="shared" si="298"/>
        <v>0</v>
      </c>
      <c r="Z2710" s="49">
        <f t="shared" si="299"/>
        <v>0</v>
      </c>
      <c r="AA2710" s="60">
        <f t="shared" si="300"/>
        <v>0</v>
      </c>
    </row>
    <row r="2711" spans="1:27">
      <c r="A2711" s="83" t="str">
        <f t="shared" si="295"/>
        <v/>
      </c>
      <c r="B2711" s="83" t="str">
        <f t="shared" si="296"/>
        <v/>
      </c>
      <c r="S2711" s="83" t="str">
        <f t="shared" si="297"/>
        <v/>
      </c>
      <c r="T2711" s="83" t="str">
        <f t="shared" si="294"/>
        <v/>
      </c>
      <c r="Y2711" s="60">
        <f t="shared" si="298"/>
        <v>0</v>
      </c>
      <c r="Z2711" s="49">
        <f t="shared" si="299"/>
        <v>0</v>
      </c>
      <c r="AA2711" s="60">
        <f t="shared" si="300"/>
        <v>0</v>
      </c>
    </row>
    <row r="2712" spans="1:27">
      <c r="A2712" s="83" t="str">
        <f t="shared" si="295"/>
        <v/>
      </c>
      <c r="B2712" s="83" t="str">
        <f t="shared" si="296"/>
        <v/>
      </c>
      <c r="S2712" s="83" t="str">
        <f t="shared" si="297"/>
        <v/>
      </c>
      <c r="T2712" s="83" t="str">
        <f t="shared" si="294"/>
        <v/>
      </c>
      <c r="Y2712" s="60">
        <f t="shared" si="298"/>
        <v>0</v>
      </c>
      <c r="Z2712" s="49">
        <f t="shared" si="299"/>
        <v>0</v>
      </c>
      <c r="AA2712" s="60">
        <f t="shared" si="300"/>
        <v>0</v>
      </c>
    </row>
    <row r="2713" spans="1:27">
      <c r="A2713" s="83" t="str">
        <f t="shared" si="295"/>
        <v/>
      </c>
      <c r="B2713" s="83" t="str">
        <f t="shared" si="296"/>
        <v/>
      </c>
      <c r="S2713" s="83" t="str">
        <f t="shared" si="297"/>
        <v/>
      </c>
      <c r="T2713" s="83" t="str">
        <f t="shared" si="294"/>
        <v/>
      </c>
      <c r="Y2713" s="60">
        <f t="shared" si="298"/>
        <v>0</v>
      </c>
      <c r="Z2713" s="49">
        <f t="shared" si="299"/>
        <v>0</v>
      </c>
      <c r="AA2713" s="60">
        <f t="shared" si="300"/>
        <v>0</v>
      </c>
    </row>
    <row r="2714" spans="1:27">
      <c r="A2714" s="83" t="str">
        <f t="shared" si="295"/>
        <v/>
      </c>
      <c r="B2714" s="83" t="str">
        <f t="shared" si="296"/>
        <v/>
      </c>
      <c r="S2714" s="83" t="str">
        <f t="shared" si="297"/>
        <v/>
      </c>
      <c r="T2714" s="83" t="str">
        <f t="shared" si="294"/>
        <v/>
      </c>
      <c r="Y2714" s="60">
        <f t="shared" si="298"/>
        <v>0</v>
      </c>
      <c r="Z2714" s="49">
        <f t="shared" si="299"/>
        <v>0</v>
      </c>
      <c r="AA2714" s="60">
        <f t="shared" si="300"/>
        <v>0</v>
      </c>
    </row>
    <row r="2715" spans="1:27">
      <c r="A2715" s="83" t="str">
        <f t="shared" si="295"/>
        <v/>
      </c>
      <c r="B2715" s="83" t="str">
        <f t="shared" si="296"/>
        <v/>
      </c>
      <c r="S2715" s="83" t="str">
        <f t="shared" si="297"/>
        <v/>
      </c>
      <c r="T2715" s="83" t="str">
        <f t="shared" si="294"/>
        <v/>
      </c>
      <c r="Y2715" s="60">
        <f t="shared" si="298"/>
        <v>0</v>
      </c>
      <c r="Z2715" s="49">
        <f t="shared" si="299"/>
        <v>0</v>
      </c>
      <c r="AA2715" s="60">
        <f t="shared" si="300"/>
        <v>0</v>
      </c>
    </row>
    <row r="2716" spans="1:27">
      <c r="A2716" s="83" t="str">
        <f t="shared" si="295"/>
        <v/>
      </c>
      <c r="B2716" s="83" t="str">
        <f t="shared" si="296"/>
        <v/>
      </c>
      <c r="S2716" s="83" t="str">
        <f t="shared" si="297"/>
        <v/>
      </c>
      <c r="T2716" s="83" t="str">
        <f t="shared" si="294"/>
        <v/>
      </c>
      <c r="Y2716" s="60">
        <f t="shared" si="298"/>
        <v>0</v>
      </c>
      <c r="Z2716" s="49">
        <f t="shared" si="299"/>
        <v>0</v>
      </c>
      <c r="AA2716" s="60">
        <f t="shared" si="300"/>
        <v>0</v>
      </c>
    </row>
    <row r="2717" spans="1:27">
      <c r="A2717" s="83" t="str">
        <f t="shared" si="295"/>
        <v/>
      </c>
      <c r="B2717" s="83" t="str">
        <f t="shared" si="296"/>
        <v/>
      </c>
      <c r="S2717" s="83" t="str">
        <f t="shared" si="297"/>
        <v/>
      </c>
      <c r="T2717" s="83" t="str">
        <f t="shared" si="294"/>
        <v/>
      </c>
      <c r="Y2717" s="60">
        <f t="shared" si="298"/>
        <v>0</v>
      </c>
      <c r="Z2717" s="49">
        <f t="shared" si="299"/>
        <v>0</v>
      </c>
      <c r="AA2717" s="60">
        <f t="shared" si="300"/>
        <v>0</v>
      </c>
    </row>
    <row r="2718" spans="1:27">
      <c r="A2718" s="83" t="str">
        <f t="shared" si="295"/>
        <v/>
      </c>
      <c r="B2718" s="83" t="str">
        <f t="shared" si="296"/>
        <v/>
      </c>
      <c r="S2718" s="83" t="str">
        <f t="shared" si="297"/>
        <v/>
      </c>
      <c r="T2718" s="83" t="str">
        <f t="shared" si="294"/>
        <v/>
      </c>
      <c r="Y2718" s="60">
        <f t="shared" si="298"/>
        <v>0</v>
      </c>
      <c r="Z2718" s="49">
        <f t="shared" si="299"/>
        <v>0</v>
      </c>
      <c r="AA2718" s="60">
        <f t="shared" si="300"/>
        <v>0</v>
      </c>
    </row>
    <row r="2719" spans="1:27">
      <c r="A2719" s="83" t="str">
        <f t="shared" si="295"/>
        <v/>
      </c>
      <c r="B2719" s="83" t="str">
        <f t="shared" si="296"/>
        <v/>
      </c>
      <c r="S2719" s="83" t="str">
        <f t="shared" si="297"/>
        <v/>
      </c>
      <c r="T2719" s="83" t="str">
        <f t="shared" si="294"/>
        <v/>
      </c>
      <c r="Y2719" s="60">
        <f t="shared" si="298"/>
        <v>0</v>
      </c>
      <c r="Z2719" s="49">
        <f t="shared" si="299"/>
        <v>0</v>
      </c>
      <c r="AA2719" s="60">
        <f t="shared" si="300"/>
        <v>0</v>
      </c>
    </row>
    <row r="2720" spans="1:27">
      <c r="A2720" s="83" t="str">
        <f t="shared" si="295"/>
        <v/>
      </c>
      <c r="B2720" s="83" t="str">
        <f t="shared" si="296"/>
        <v/>
      </c>
      <c r="S2720" s="83" t="str">
        <f t="shared" si="297"/>
        <v/>
      </c>
      <c r="T2720" s="83" t="str">
        <f t="shared" si="294"/>
        <v/>
      </c>
      <c r="Y2720" s="60">
        <f t="shared" si="298"/>
        <v>0</v>
      </c>
      <c r="Z2720" s="49">
        <f t="shared" si="299"/>
        <v>0</v>
      </c>
      <c r="AA2720" s="60">
        <f t="shared" si="300"/>
        <v>0</v>
      </c>
    </row>
    <row r="2721" spans="1:27">
      <c r="A2721" s="83" t="str">
        <f t="shared" si="295"/>
        <v/>
      </c>
      <c r="B2721" s="83" t="str">
        <f t="shared" si="296"/>
        <v/>
      </c>
      <c r="S2721" s="83" t="str">
        <f t="shared" si="297"/>
        <v/>
      </c>
      <c r="T2721" s="83" t="str">
        <f t="shared" si="294"/>
        <v/>
      </c>
      <c r="Y2721" s="60">
        <f t="shared" si="298"/>
        <v>0</v>
      </c>
      <c r="Z2721" s="49">
        <f t="shared" si="299"/>
        <v>0</v>
      </c>
      <c r="AA2721" s="60">
        <f t="shared" si="300"/>
        <v>0</v>
      </c>
    </row>
    <row r="2722" spans="1:27">
      <c r="A2722" s="83" t="str">
        <f t="shared" si="295"/>
        <v/>
      </c>
      <c r="B2722" s="83" t="str">
        <f t="shared" si="296"/>
        <v/>
      </c>
      <c r="S2722" s="83" t="str">
        <f t="shared" si="297"/>
        <v/>
      </c>
      <c r="T2722" s="83" t="str">
        <f t="shared" si="294"/>
        <v/>
      </c>
      <c r="Y2722" s="60">
        <f t="shared" si="298"/>
        <v>0</v>
      </c>
      <c r="Z2722" s="49">
        <f t="shared" si="299"/>
        <v>0</v>
      </c>
      <c r="AA2722" s="60">
        <f t="shared" si="300"/>
        <v>0</v>
      </c>
    </row>
    <row r="2723" spans="1:27">
      <c r="A2723" s="83" t="str">
        <f t="shared" si="295"/>
        <v/>
      </c>
      <c r="B2723" s="83" t="str">
        <f t="shared" si="296"/>
        <v/>
      </c>
      <c r="S2723" s="83" t="str">
        <f t="shared" si="297"/>
        <v/>
      </c>
      <c r="T2723" s="83" t="str">
        <f t="shared" si="294"/>
        <v/>
      </c>
      <c r="Y2723" s="60">
        <f t="shared" si="298"/>
        <v>0</v>
      </c>
      <c r="Z2723" s="49">
        <f t="shared" si="299"/>
        <v>0</v>
      </c>
      <c r="AA2723" s="60">
        <f t="shared" si="300"/>
        <v>0</v>
      </c>
    </row>
    <row r="2724" spans="1:27">
      <c r="A2724" s="83" t="str">
        <f t="shared" si="295"/>
        <v/>
      </c>
      <c r="B2724" s="83" t="str">
        <f t="shared" si="296"/>
        <v/>
      </c>
      <c r="S2724" s="83" t="str">
        <f t="shared" si="297"/>
        <v/>
      </c>
      <c r="T2724" s="83" t="str">
        <f t="shared" si="294"/>
        <v/>
      </c>
      <c r="Y2724" s="60">
        <f t="shared" si="298"/>
        <v>0</v>
      </c>
      <c r="Z2724" s="49">
        <f t="shared" si="299"/>
        <v>0</v>
      </c>
      <c r="AA2724" s="60">
        <f t="shared" si="300"/>
        <v>0</v>
      </c>
    </row>
    <row r="2725" spans="1:27">
      <c r="A2725" s="83" t="str">
        <f t="shared" si="295"/>
        <v/>
      </c>
      <c r="B2725" s="83" t="str">
        <f t="shared" si="296"/>
        <v/>
      </c>
      <c r="S2725" s="83" t="str">
        <f t="shared" si="297"/>
        <v/>
      </c>
      <c r="T2725" s="83" t="str">
        <f t="shared" si="294"/>
        <v/>
      </c>
      <c r="Y2725" s="60">
        <f t="shared" si="298"/>
        <v>0</v>
      </c>
      <c r="Z2725" s="49">
        <f t="shared" si="299"/>
        <v>0</v>
      </c>
      <c r="AA2725" s="60">
        <f t="shared" si="300"/>
        <v>0</v>
      </c>
    </row>
    <row r="2726" spans="1:27">
      <c r="A2726" s="83" t="str">
        <f t="shared" si="295"/>
        <v/>
      </c>
      <c r="B2726" s="83" t="str">
        <f t="shared" si="296"/>
        <v/>
      </c>
      <c r="S2726" s="83" t="str">
        <f t="shared" si="297"/>
        <v/>
      </c>
      <c r="T2726" s="83" t="str">
        <f t="shared" si="294"/>
        <v/>
      </c>
      <c r="Y2726" s="60">
        <f t="shared" si="298"/>
        <v>0</v>
      </c>
      <c r="Z2726" s="49">
        <f t="shared" si="299"/>
        <v>0</v>
      </c>
      <c r="AA2726" s="60">
        <f t="shared" si="300"/>
        <v>0</v>
      </c>
    </row>
    <row r="2727" spans="1:27">
      <c r="A2727" s="83" t="str">
        <f t="shared" si="295"/>
        <v/>
      </c>
      <c r="B2727" s="83" t="str">
        <f t="shared" si="296"/>
        <v/>
      </c>
      <c r="S2727" s="83" t="str">
        <f t="shared" si="297"/>
        <v/>
      </c>
      <c r="T2727" s="83" t="str">
        <f t="shared" si="294"/>
        <v/>
      </c>
      <c r="Y2727" s="60">
        <f t="shared" si="298"/>
        <v>0</v>
      </c>
      <c r="Z2727" s="49">
        <f t="shared" si="299"/>
        <v>0</v>
      </c>
      <c r="AA2727" s="60">
        <f t="shared" si="300"/>
        <v>0</v>
      </c>
    </row>
    <row r="2728" spans="1:27">
      <c r="A2728" s="83" t="str">
        <f t="shared" si="295"/>
        <v/>
      </c>
      <c r="B2728" s="83" t="str">
        <f t="shared" si="296"/>
        <v/>
      </c>
      <c r="S2728" s="83" t="str">
        <f t="shared" si="297"/>
        <v/>
      </c>
      <c r="T2728" s="83" t="str">
        <f t="shared" si="294"/>
        <v/>
      </c>
      <c r="Y2728" s="60">
        <f t="shared" si="298"/>
        <v>0</v>
      </c>
      <c r="Z2728" s="49">
        <f t="shared" si="299"/>
        <v>0</v>
      </c>
      <c r="AA2728" s="60">
        <f t="shared" si="300"/>
        <v>0</v>
      </c>
    </row>
    <row r="2729" spans="1:27">
      <c r="A2729" s="83" t="str">
        <f t="shared" si="295"/>
        <v/>
      </c>
      <c r="B2729" s="83" t="str">
        <f t="shared" si="296"/>
        <v/>
      </c>
      <c r="S2729" s="83" t="str">
        <f t="shared" si="297"/>
        <v/>
      </c>
      <c r="T2729" s="83" t="str">
        <f t="shared" si="294"/>
        <v/>
      </c>
      <c r="Y2729" s="60">
        <f t="shared" si="298"/>
        <v>0</v>
      </c>
      <c r="Z2729" s="49">
        <f t="shared" si="299"/>
        <v>0</v>
      </c>
      <c r="AA2729" s="60">
        <f t="shared" si="300"/>
        <v>0</v>
      </c>
    </row>
    <row r="2730" spans="1:27">
      <c r="A2730" s="83" t="str">
        <f t="shared" si="295"/>
        <v/>
      </c>
      <c r="B2730" s="83" t="str">
        <f t="shared" si="296"/>
        <v/>
      </c>
      <c r="S2730" s="83" t="str">
        <f t="shared" si="297"/>
        <v/>
      </c>
      <c r="T2730" s="83" t="str">
        <f t="shared" si="294"/>
        <v/>
      </c>
      <c r="Y2730" s="60">
        <f t="shared" si="298"/>
        <v>0</v>
      </c>
      <c r="Z2730" s="49">
        <f t="shared" si="299"/>
        <v>0</v>
      </c>
      <c r="AA2730" s="60">
        <f t="shared" si="300"/>
        <v>0</v>
      </c>
    </row>
    <row r="2731" spans="1:27">
      <c r="A2731" s="83" t="str">
        <f t="shared" si="295"/>
        <v/>
      </c>
      <c r="B2731" s="83" t="str">
        <f t="shared" si="296"/>
        <v/>
      </c>
      <c r="S2731" s="83" t="str">
        <f t="shared" si="297"/>
        <v/>
      </c>
      <c r="T2731" s="83" t="str">
        <f t="shared" si="294"/>
        <v/>
      </c>
      <c r="Y2731" s="60">
        <f t="shared" si="298"/>
        <v>0</v>
      </c>
      <c r="Z2731" s="49">
        <f t="shared" si="299"/>
        <v>0</v>
      </c>
      <c r="AA2731" s="60">
        <f t="shared" si="300"/>
        <v>0</v>
      </c>
    </row>
    <row r="2732" spans="1:27">
      <c r="A2732" s="83" t="str">
        <f t="shared" si="295"/>
        <v/>
      </c>
      <c r="B2732" s="83" t="str">
        <f t="shared" si="296"/>
        <v/>
      </c>
      <c r="S2732" s="83" t="str">
        <f t="shared" si="297"/>
        <v/>
      </c>
      <c r="T2732" s="83" t="str">
        <f t="shared" si="294"/>
        <v/>
      </c>
      <c r="Y2732" s="60">
        <f t="shared" si="298"/>
        <v>0</v>
      </c>
      <c r="Z2732" s="49">
        <f t="shared" si="299"/>
        <v>0</v>
      </c>
      <c r="AA2732" s="60">
        <f t="shared" si="300"/>
        <v>0</v>
      </c>
    </row>
    <row r="2733" spans="1:27">
      <c r="A2733" s="83" t="str">
        <f t="shared" si="295"/>
        <v/>
      </c>
      <c r="B2733" s="83" t="str">
        <f t="shared" si="296"/>
        <v/>
      </c>
      <c r="S2733" s="83" t="str">
        <f t="shared" si="297"/>
        <v/>
      </c>
      <c r="T2733" s="83" t="str">
        <f t="shared" si="294"/>
        <v/>
      </c>
      <c r="Y2733" s="60">
        <f t="shared" si="298"/>
        <v>0</v>
      </c>
      <c r="Z2733" s="49">
        <f t="shared" si="299"/>
        <v>0</v>
      </c>
      <c r="AA2733" s="60">
        <f t="shared" si="300"/>
        <v>0</v>
      </c>
    </row>
    <row r="2734" spans="1:27">
      <c r="A2734" s="83" t="str">
        <f t="shared" si="295"/>
        <v/>
      </c>
      <c r="B2734" s="83" t="str">
        <f t="shared" si="296"/>
        <v/>
      </c>
      <c r="S2734" s="83" t="str">
        <f t="shared" si="297"/>
        <v/>
      </c>
      <c r="T2734" s="83" t="str">
        <f t="shared" si="294"/>
        <v/>
      </c>
      <c r="Y2734" s="60">
        <f t="shared" si="298"/>
        <v>0</v>
      </c>
      <c r="Z2734" s="49">
        <f t="shared" si="299"/>
        <v>0</v>
      </c>
      <c r="AA2734" s="60">
        <f t="shared" si="300"/>
        <v>0</v>
      </c>
    </row>
    <row r="2735" spans="1:27">
      <c r="A2735" s="83" t="str">
        <f t="shared" si="295"/>
        <v/>
      </c>
      <c r="B2735" s="83" t="str">
        <f t="shared" si="296"/>
        <v/>
      </c>
      <c r="S2735" s="83" t="str">
        <f t="shared" si="297"/>
        <v/>
      </c>
      <c r="T2735" s="83" t="str">
        <f t="shared" si="294"/>
        <v/>
      </c>
      <c r="Y2735" s="60">
        <f t="shared" si="298"/>
        <v>0</v>
      </c>
      <c r="Z2735" s="49">
        <f t="shared" si="299"/>
        <v>0</v>
      </c>
      <c r="AA2735" s="60">
        <f t="shared" si="300"/>
        <v>0</v>
      </c>
    </row>
    <row r="2736" spans="1:27">
      <c r="A2736" s="83" t="str">
        <f t="shared" si="295"/>
        <v/>
      </c>
      <c r="B2736" s="83" t="str">
        <f t="shared" si="296"/>
        <v/>
      </c>
      <c r="S2736" s="83" t="str">
        <f t="shared" si="297"/>
        <v/>
      </c>
      <c r="T2736" s="83" t="str">
        <f t="shared" si="294"/>
        <v/>
      </c>
      <c r="Y2736" s="60">
        <f t="shared" si="298"/>
        <v>0</v>
      </c>
      <c r="Z2736" s="49">
        <f t="shared" si="299"/>
        <v>0</v>
      </c>
      <c r="AA2736" s="60">
        <f t="shared" si="300"/>
        <v>0</v>
      </c>
    </row>
    <row r="2737" spans="1:27">
      <c r="A2737" s="83" t="str">
        <f t="shared" si="295"/>
        <v/>
      </c>
      <c r="B2737" s="83" t="str">
        <f t="shared" si="296"/>
        <v/>
      </c>
      <c r="S2737" s="83" t="str">
        <f t="shared" si="297"/>
        <v/>
      </c>
      <c r="T2737" s="83" t="str">
        <f t="shared" si="294"/>
        <v/>
      </c>
      <c r="Y2737" s="60">
        <f t="shared" si="298"/>
        <v>0</v>
      </c>
      <c r="Z2737" s="49">
        <f t="shared" si="299"/>
        <v>0</v>
      </c>
      <c r="AA2737" s="60">
        <f t="shared" si="300"/>
        <v>0</v>
      </c>
    </row>
    <row r="2738" spans="1:27">
      <c r="A2738" s="83" t="str">
        <f t="shared" si="295"/>
        <v/>
      </c>
      <c r="B2738" s="83" t="str">
        <f t="shared" si="296"/>
        <v/>
      </c>
      <c r="S2738" s="83" t="str">
        <f t="shared" si="297"/>
        <v/>
      </c>
      <c r="T2738" s="83" t="str">
        <f t="shared" si="294"/>
        <v/>
      </c>
      <c r="Y2738" s="60">
        <f t="shared" si="298"/>
        <v>0</v>
      </c>
      <c r="Z2738" s="49">
        <f t="shared" si="299"/>
        <v>0</v>
      </c>
      <c r="AA2738" s="60">
        <f t="shared" si="300"/>
        <v>0</v>
      </c>
    </row>
    <row r="2739" spans="1:27">
      <c r="A2739" s="83" t="str">
        <f t="shared" si="295"/>
        <v/>
      </c>
      <c r="B2739" s="83" t="str">
        <f t="shared" si="296"/>
        <v/>
      </c>
      <c r="S2739" s="83" t="str">
        <f t="shared" si="297"/>
        <v/>
      </c>
      <c r="T2739" s="83" t="str">
        <f t="shared" si="294"/>
        <v/>
      </c>
      <c r="Y2739" s="60">
        <f t="shared" si="298"/>
        <v>0</v>
      </c>
      <c r="Z2739" s="49">
        <f t="shared" si="299"/>
        <v>0</v>
      </c>
      <c r="AA2739" s="60">
        <f t="shared" si="300"/>
        <v>0</v>
      </c>
    </row>
    <row r="2740" spans="1:27">
      <c r="A2740" s="83" t="str">
        <f t="shared" si="295"/>
        <v/>
      </c>
      <c r="B2740" s="83" t="str">
        <f t="shared" si="296"/>
        <v/>
      </c>
      <c r="S2740" s="83" t="str">
        <f t="shared" si="297"/>
        <v/>
      </c>
      <c r="T2740" s="83" t="str">
        <f t="shared" si="294"/>
        <v/>
      </c>
      <c r="Y2740" s="60">
        <f t="shared" si="298"/>
        <v>0</v>
      </c>
      <c r="Z2740" s="49">
        <f t="shared" si="299"/>
        <v>0</v>
      </c>
      <c r="AA2740" s="60">
        <f t="shared" si="300"/>
        <v>0</v>
      </c>
    </row>
    <row r="2741" spans="1:27">
      <c r="A2741" s="83" t="str">
        <f t="shared" si="295"/>
        <v/>
      </c>
      <c r="B2741" s="83" t="str">
        <f t="shared" si="296"/>
        <v/>
      </c>
      <c r="S2741" s="83" t="str">
        <f t="shared" si="297"/>
        <v/>
      </c>
      <c r="T2741" s="83" t="str">
        <f t="shared" si="294"/>
        <v/>
      </c>
      <c r="Y2741" s="60">
        <f t="shared" si="298"/>
        <v>0</v>
      </c>
      <c r="Z2741" s="49">
        <f t="shared" si="299"/>
        <v>0</v>
      </c>
      <c r="AA2741" s="60">
        <f t="shared" si="300"/>
        <v>0</v>
      </c>
    </row>
    <row r="2742" spans="1:27">
      <c r="A2742" s="83" t="str">
        <f t="shared" si="295"/>
        <v/>
      </c>
      <c r="B2742" s="83" t="str">
        <f t="shared" si="296"/>
        <v/>
      </c>
      <c r="S2742" s="83" t="str">
        <f t="shared" si="297"/>
        <v/>
      </c>
      <c r="T2742" s="83" t="str">
        <f t="shared" si="294"/>
        <v/>
      </c>
      <c r="Y2742" s="60">
        <f t="shared" si="298"/>
        <v>0</v>
      </c>
      <c r="Z2742" s="49">
        <f t="shared" si="299"/>
        <v>0</v>
      </c>
      <c r="AA2742" s="60">
        <f t="shared" si="300"/>
        <v>0</v>
      </c>
    </row>
    <row r="2743" spans="1:27">
      <c r="A2743" s="83" t="str">
        <f t="shared" si="295"/>
        <v/>
      </c>
      <c r="B2743" s="83" t="str">
        <f t="shared" si="296"/>
        <v/>
      </c>
      <c r="S2743" s="83" t="str">
        <f t="shared" si="297"/>
        <v/>
      </c>
      <c r="T2743" s="83" t="str">
        <f t="shared" si="294"/>
        <v/>
      </c>
      <c r="Y2743" s="60">
        <f t="shared" si="298"/>
        <v>0</v>
      </c>
      <c r="Z2743" s="49">
        <f t="shared" si="299"/>
        <v>0</v>
      </c>
      <c r="AA2743" s="60">
        <f t="shared" si="300"/>
        <v>0</v>
      </c>
    </row>
    <row r="2744" spans="1:27">
      <c r="A2744" s="83" t="str">
        <f t="shared" si="295"/>
        <v/>
      </c>
      <c r="B2744" s="83" t="str">
        <f t="shared" si="296"/>
        <v/>
      </c>
      <c r="S2744" s="83" t="str">
        <f t="shared" si="297"/>
        <v/>
      </c>
      <c r="T2744" s="83" t="str">
        <f t="shared" si="294"/>
        <v/>
      </c>
      <c r="Y2744" s="60">
        <f t="shared" si="298"/>
        <v>0</v>
      </c>
      <c r="Z2744" s="49">
        <f t="shared" si="299"/>
        <v>0</v>
      </c>
      <c r="AA2744" s="60">
        <f t="shared" si="300"/>
        <v>0</v>
      </c>
    </row>
    <row r="2745" spans="1:27">
      <c r="A2745" s="83" t="str">
        <f t="shared" si="295"/>
        <v/>
      </c>
      <c r="B2745" s="83" t="str">
        <f t="shared" si="296"/>
        <v/>
      </c>
      <c r="S2745" s="83" t="str">
        <f t="shared" si="297"/>
        <v/>
      </c>
      <c r="T2745" s="83" t="str">
        <f t="shared" si="294"/>
        <v/>
      </c>
      <c r="Y2745" s="60">
        <f t="shared" si="298"/>
        <v>0</v>
      </c>
      <c r="Z2745" s="49">
        <f t="shared" si="299"/>
        <v>0</v>
      </c>
      <c r="AA2745" s="60">
        <f t="shared" si="300"/>
        <v>0</v>
      </c>
    </row>
    <row r="2746" spans="1:27">
      <c r="A2746" s="83" t="str">
        <f t="shared" si="295"/>
        <v/>
      </c>
      <c r="B2746" s="83" t="str">
        <f t="shared" si="296"/>
        <v/>
      </c>
      <c r="S2746" s="83" t="str">
        <f t="shared" si="297"/>
        <v/>
      </c>
      <c r="T2746" s="83" t="str">
        <f t="shared" si="294"/>
        <v/>
      </c>
      <c r="Y2746" s="60">
        <f t="shared" si="298"/>
        <v>0</v>
      </c>
      <c r="Z2746" s="49">
        <f t="shared" si="299"/>
        <v>0</v>
      </c>
      <c r="AA2746" s="60">
        <f t="shared" si="300"/>
        <v>0</v>
      </c>
    </row>
    <row r="2747" spans="1:27">
      <c r="A2747" s="83" t="str">
        <f t="shared" si="295"/>
        <v/>
      </c>
      <c r="B2747" s="83" t="str">
        <f t="shared" si="296"/>
        <v/>
      </c>
      <c r="S2747" s="83" t="str">
        <f t="shared" si="297"/>
        <v/>
      </c>
      <c r="T2747" s="83" t="str">
        <f t="shared" si="294"/>
        <v/>
      </c>
      <c r="Y2747" s="60">
        <f t="shared" si="298"/>
        <v>0</v>
      </c>
      <c r="Z2747" s="49">
        <f t="shared" si="299"/>
        <v>0</v>
      </c>
      <c r="AA2747" s="60">
        <f t="shared" si="300"/>
        <v>0</v>
      </c>
    </row>
    <row r="2748" spans="1:27">
      <c r="A2748" s="83" t="str">
        <f t="shared" si="295"/>
        <v/>
      </c>
      <c r="B2748" s="83" t="str">
        <f t="shared" si="296"/>
        <v/>
      </c>
      <c r="S2748" s="83" t="str">
        <f t="shared" si="297"/>
        <v/>
      </c>
      <c r="T2748" s="83" t="str">
        <f t="shared" si="294"/>
        <v/>
      </c>
      <c r="Y2748" s="60">
        <f t="shared" si="298"/>
        <v>0</v>
      </c>
      <c r="Z2748" s="49">
        <f t="shared" si="299"/>
        <v>0</v>
      </c>
      <c r="AA2748" s="60">
        <f t="shared" si="300"/>
        <v>0</v>
      </c>
    </row>
    <row r="2749" spans="1:27">
      <c r="A2749" s="83" t="str">
        <f t="shared" si="295"/>
        <v/>
      </c>
      <c r="B2749" s="83" t="str">
        <f t="shared" si="296"/>
        <v/>
      </c>
      <c r="S2749" s="83" t="str">
        <f t="shared" si="297"/>
        <v/>
      </c>
      <c r="T2749" s="83" t="str">
        <f t="shared" si="294"/>
        <v/>
      </c>
      <c r="Y2749" s="60">
        <f t="shared" si="298"/>
        <v>0</v>
      </c>
      <c r="Z2749" s="49">
        <f t="shared" si="299"/>
        <v>0</v>
      </c>
      <c r="AA2749" s="60">
        <f t="shared" si="300"/>
        <v>0</v>
      </c>
    </row>
    <row r="2750" spans="1:27">
      <c r="A2750" s="83" t="str">
        <f t="shared" si="295"/>
        <v/>
      </c>
      <c r="B2750" s="83" t="str">
        <f t="shared" si="296"/>
        <v/>
      </c>
      <c r="S2750" s="83" t="str">
        <f t="shared" si="297"/>
        <v/>
      </c>
      <c r="T2750" s="83" t="str">
        <f t="shared" si="294"/>
        <v/>
      </c>
      <c r="Y2750" s="60">
        <f t="shared" si="298"/>
        <v>0</v>
      </c>
      <c r="Z2750" s="49">
        <f t="shared" si="299"/>
        <v>0</v>
      </c>
      <c r="AA2750" s="60">
        <f t="shared" si="300"/>
        <v>0</v>
      </c>
    </row>
    <row r="2751" spans="1:27">
      <c r="A2751" s="83" t="str">
        <f t="shared" si="295"/>
        <v/>
      </c>
      <c r="B2751" s="83" t="str">
        <f t="shared" si="296"/>
        <v/>
      </c>
      <c r="S2751" s="83" t="str">
        <f t="shared" si="297"/>
        <v/>
      </c>
      <c r="T2751" s="83" t="str">
        <f t="shared" si="294"/>
        <v/>
      </c>
      <c r="Y2751" s="60">
        <f t="shared" si="298"/>
        <v>0</v>
      </c>
      <c r="Z2751" s="49">
        <f t="shared" si="299"/>
        <v>0</v>
      </c>
      <c r="AA2751" s="60">
        <f t="shared" si="300"/>
        <v>0</v>
      </c>
    </row>
    <row r="2752" spans="1:27">
      <c r="A2752" s="83" t="str">
        <f t="shared" si="295"/>
        <v/>
      </c>
      <c r="B2752" s="83" t="str">
        <f t="shared" si="296"/>
        <v/>
      </c>
      <c r="S2752" s="83" t="str">
        <f t="shared" si="297"/>
        <v/>
      </c>
      <c r="T2752" s="83" t="str">
        <f t="shared" si="294"/>
        <v/>
      </c>
      <c r="Y2752" s="60">
        <f t="shared" si="298"/>
        <v>0</v>
      </c>
      <c r="Z2752" s="49">
        <f t="shared" si="299"/>
        <v>0</v>
      </c>
      <c r="AA2752" s="60">
        <f t="shared" si="300"/>
        <v>0</v>
      </c>
    </row>
    <row r="2753" spans="1:27">
      <c r="A2753" s="83" t="str">
        <f t="shared" si="295"/>
        <v/>
      </c>
      <c r="B2753" s="83" t="str">
        <f t="shared" si="296"/>
        <v/>
      </c>
      <c r="S2753" s="83" t="str">
        <f t="shared" si="297"/>
        <v/>
      </c>
      <c r="T2753" s="83" t="str">
        <f t="shared" si="294"/>
        <v/>
      </c>
      <c r="Y2753" s="60">
        <f t="shared" si="298"/>
        <v>0</v>
      </c>
      <c r="Z2753" s="49">
        <f t="shared" si="299"/>
        <v>0</v>
      </c>
      <c r="AA2753" s="60">
        <f t="shared" si="300"/>
        <v>0</v>
      </c>
    </row>
    <row r="2754" spans="1:27">
      <c r="A2754" s="83" t="str">
        <f t="shared" si="295"/>
        <v/>
      </c>
      <c r="B2754" s="83" t="str">
        <f t="shared" si="296"/>
        <v/>
      </c>
      <c r="S2754" s="83" t="str">
        <f t="shared" si="297"/>
        <v/>
      </c>
      <c r="T2754" s="83" t="str">
        <f t="shared" ref="T2754:T2817" si="301">IF(A2754&lt;&gt;"",IF(FIND(" ",G2754)&gt;=1,MID(G2754,FIND(" ",G2754)+1,LEN(G2754)),""),"")</f>
        <v/>
      </c>
      <c r="Y2754" s="60">
        <f t="shared" si="298"/>
        <v>0</v>
      </c>
      <c r="Z2754" s="49">
        <f t="shared" si="299"/>
        <v>0</v>
      </c>
      <c r="AA2754" s="60">
        <f t="shared" si="300"/>
        <v>0</v>
      </c>
    </row>
    <row r="2755" spans="1:27">
      <c r="A2755" s="83" t="str">
        <f t="shared" ref="A2755:A2818" si="302">IF(G2755&amp;Q2755&lt;&gt;"",S2755&amp;Q2755,"")</f>
        <v/>
      </c>
      <c r="B2755" s="83" t="str">
        <f t="shared" ref="B2755:B2818" si="303">IF(C2755&lt;&gt;"",LEFT(C2755,9),"")</f>
        <v/>
      </c>
      <c r="S2755" s="83" t="str">
        <f t="shared" ref="S2755:S2818" si="304">IF(G2755&lt;&gt;"",IF(FIND(" ",G2755)&gt;=1,MID(G2755,1,FIND(" ",G2755)-1),G2755),"")</f>
        <v/>
      </c>
      <c r="T2755" s="83" t="str">
        <f t="shared" si="301"/>
        <v/>
      </c>
      <c r="Y2755" s="60">
        <f t="shared" ref="Y2755:Y2818" si="305">IFERROR(VALUE(MID($C2755,1,2)),0)</f>
        <v>0</v>
      </c>
      <c r="Z2755" s="49">
        <f t="shared" ref="Z2755:Z2818" si="306">IFERROR(VALUE(MID($C2755,4,3)),0)</f>
        <v>0</v>
      </c>
      <c r="AA2755" s="60">
        <f t="shared" ref="AA2755:AA2818" si="307">VALUE(RIGHT("00"&amp;Y2755,2)&amp;RIGHT("000"&amp;Z2755,3))</f>
        <v>0</v>
      </c>
    </row>
    <row r="2756" spans="1:27">
      <c r="A2756" s="83" t="str">
        <f t="shared" si="302"/>
        <v/>
      </c>
      <c r="B2756" s="83" t="str">
        <f t="shared" si="303"/>
        <v/>
      </c>
      <c r="S2756" s="83" t="str">
        <f t="shared" si="304"/>
        <v/>
      </c>
      <c r="T2756" s="83" t="str">
        <f t="shared" si="301"/>
        <v/>
      </c>
      <c r="Y2756" s="60">
        <f t="shared" si="305"/>
        <v>0</v>
      </c>
      <c r="Z2756" s="49">
        <f t="shared" si="306"/>
        <v>0</v>
      </c>
      <c r="AA2756" s="60">
        <f t="shared" si="307"/>
        <v>0</v>
      </c>
    </row>
    <row r="2757" spans="1:27">
      <c r="A2757" s="83" t="str">
        <f t="shared" si="302"/>
        <v/>
      </c>
      <c r="B2757" s="83" t="str">
        <f t="shared" si="303"/>
        <v/>
      </c>
      <c r="S2757" s="83" t="str">
        <f t="shared" si="304"/>
        <v/>
      </c>
      <c r="T2757" s="83" t="str">
        <f t="shared" si="301"/>
        <v/>
      </c>
      <c r="Y2757" s="60">
        <f t="shared" si="305"/>
        <v>0</v>
      </c>
      <c r="Z2757" s="49">
        <f t="shared" si="306"/>
        <v>0</v>
      </c>
      <c r="AA2757" s="60">
        <f t="shared" si="307"/>
        <v>0</v>
      </c>
    </row>
    <row r="2758" spans="1:27">
      <c r="A2758" s="83" t="str">
        <f t="shared" si="302"/>
        <v/>
      </c>
      <c r="B2758" s="83" t="str">
        <f t="shared" si="303"/>
        <v/>
      </c>
      <c r="S2758" s="83" t="str">
        <f t="shared" si="304"/>
        <v/>
      </c>
      <c r="T2758" s="83" t="str">
        <f t="shared" si="301"/>
        <v/>
      </c>
      <c r="Y2758" s="60">
        <f t="shared" si="305"/>
        <v>0</v>
      </c>
      <c r="Z2758" s="49">
        <f t="shared" si="306"/>
        <v>0</v>
      </c>
      <c r="AA2758" s="60">
        <f t="shared" si="307"/>
        <v>0</v>
      </c>
    </row>
    <row r="2759" spans="1:27">
      <c r="A2759" s="83" t="str">
        <f t="shared" si="302"/>
        <v/>
      </c>
      <c r="B2759" s="83" t="str">
        <f t="shared" si="303"/>
        <v/>
      </c>
      <c r="S2759" s="83" t="str">
        <f t="shared" si="304"/>
        <v/>
      </c>
      <c r="T2759" s="83" t="str">
        <f t="shared" si="301"/>
        <v/>
      </c>
      <c r="Y2759" s="60">
        <f t="shared" si="305"/>
        <v>0</v>
      </c>
      <c r="Z2759" s="49">
        <f t="shared" si="306"/>
        <v>0</v>
      </c>
      <c r="AA2759" s="60">
        <f t="shared" si="307"/>
        <v>0</v>
      </c>
    </row>
    <row r="2760" spans="1:27">
      <c r="A2760" s="83" t="str">
        <f t="shared" si="302"/>
        <v/>
      </c>
      <c r="B2760" s="83" t="str">
        <f t="shared" si="303"/>
        <v/>
      </c>
      <c r="S2760" s="83" t="str">
        <f t="shared" si="304"/>
        <v/>
      </c>
      <c r="T2760" s="83" t="str">
        <f t="shared" si="301"/>
        <v/>
      </c>
      <c r="Y2760" s="60">
        <f t="shared" si="305"/>
        <v>0</v>
      </c>
      <c r="Z2760" s="49">
        <f t="shared" si="306"/>
        <v>0</v>
      </c>
      <c r="AA2760" s="60">
        <f t="shared" si="307"/>
        <v>0</v>
      </c>
    </row>
    <row r="2761" spans="1:27">
      <c r="A2761" s="83" t="str">
        <f t="shared" si="302"/>
        <v/>
      </c>
      <c r="B2761" s="83" t="str">
        <f t="shared" si="303"/>
        <v/>
      </c>
      <c r="S2761" s="83" t="str">
        <f t="shared" si="304"/>
        <v/>
      </c>
      <c r="T2761" s="83" t="str">
        <f t="shared" si="301"/>
        <v/>
      </c>
      <c r="Y2761" s="60">
        <f t="shared" si="305"/>
        <v>0</v>
      </c>
      <c r="Z2761" s="49">
        <f t="shared" si="306"/>
        <v>0</v>
      </c>
      <c r="AA2761" s="60">
        <f t="shared" si="307"/>
        <v>0</v>
      </c>
    </row>
    <row r="2762" spans="1:27">
      <c r="A2762" s="83" t="str">
        <f t="shared" si="302"/>
        <v/>
      </c>
      <c r="B2762" s="83" t="str">
        <f t="shared" si="303"/>
        <v/>
      </c>
      <c r="S2762" s="83" t="str">
        <f t="shared" si="304"/>
        <v/>
      </c>
      <c r="T2762" s="83" t="str">
        <f t="shared" si="301"/>
        <v/>
      </c>
      <c r="Y2762" s="60">
        <f t="shared" si="305"/>
        <v>0</v>
      </c>
      <c r="Z2762" s="49">
        <f t="shared" si="306"/>
        <v>0</v>
      </c>
      <c r="AA2762" s="60">
        <f t="shared" si="307"/>
        <v>0</v>
      </c>
    </row>
    <row r="2763" spans="1:27">
      <c r="A2763" s="83" t="str">
        <f t="shared" si="302"/>
        <v/>
      </c>
      <c r="B2763" s="83" t="str">
        <f t="shared" si="303"/>
        <v/>
      </c>
      <c r="S2763" s="83" t="str">
        <f t="shared" si="304"/>
        <v/>
      </c>
      <c r="T2763" s="83" t="str">
        <f t="shared" si="301"/>
        <v/>
      </c>
      <c r="Y2763" s="60">
        <f t="shared" si="305"/>
        <v>0</v>
      </c>
      <c r="Z2763" s="49">
        <f t="shared" si="306"/>
        <v>0</v>
      </c>
      <c r="AA2763" s="60">
        <f t="shared" si="307"/>
        <v>0</v>
      </c>
    </row>
    <row r="2764" spans="1:27">
      <c r="A2764" s="83" t="str">
        <f t="shared" si="302"/>
        <v/>
      </c>
      <c r="B2764" s="83" t="str">
        <f t="shared" si="303"/>
        <v/>
      </c>
      <c r="S2764" s="83" t="str">
        <f t="shared" si="304"/>
        <v/>
      </c>
      <c r="T2764" s="83" t="str">
        <f t="shared" si="301"/>
        <v/>
      </c>
      <c r="Y2764" s="60">
        <f t="shared" si="305"/>
        <v>0</v>
      </c>
      <c r="Z2764" s="49">
        <f t="shared" si="306"/>
        <v>0</v>
      </c>
      <c r="AA2764" s="60">
        <f t="shared" si="307"/>
        <v>0</v>
      </c>
    </row>
    <row r="2765" spans="1:27">
      <c r="A2765" s="83" t="str">
        <f t="shared" si="302"/>
        <v/>
      </c>
      <c r="B2765" s="83" t="str">
        <f t="shared" si="303"/>
        <v/>
      </c>
      <c r="S2765" s="83" t="str">
        <f t="shared" si="304"/>
        <v/>
      </c>
      <c r="T2765" s="83" t="str">
        <f t="shared" si="301"/>
        <v/>
      </c>
      <c r="Y2765" s="60">
        <f t="shared" si="305"/>
        <v>0</v>
      </c>
      <c r="Z2765" s="49">
        <f t="shared" si="306"/>
        <v>0</v>
      </c>
      <c r="AA2765" s="60">
        <f t="shared" si="307"/>
        <v>0</v>
      </c>
    </row>
    <row r="2766" spans="1:27">
      <c r="A2766" s="83" t="str">
        <f t="shared" si="302"/>
        <v/>
      </c>
      <c r="B2766" s="83" t="str">
        <f t="shared" si="303"/>
        <v/>
      </c>
      <c r="S2766" s="83" t="str">
        <f t="shared" si="304"/>
        <v/>
      </c>
      <c r="T2766" s="83" t="str">
        <f t="shared" si="301"/>
        <v/>
      </c>
      <c r="Y2766" s="60">
        <f t="shared" si="305"/>
        <v>0</v>
      </c>
      <c r="Z2766" s="49">
        <f t="shared" si="306"/>
        <v>0</v>
      </c>
      <c r="AA2766" s="60">
        <f t="shared" si="307"/>
        <v>0</v>
      </c>
    </row>
    <row r="2767" spans="1:27">
      <c r="A2767" s="83" t="str">
        <f t="shared" si="302"/>
        <v/>
      </c>
      <c r="B2767" s="83" t="str">
        <f t="shared" si="303"/>
        <v/>
      </c>
      <c r="S2767" s="83" t="str">
        <f t="shared" si="304"/>
        <v/>
      </c>
      <c r="T2767" s="83" t="str">
        <f t="shared" si="301"/>
        <v/>
      </c>
      <c r="Y2767" s="60">
        <f t="shared" si="305"/>
        <v>0</v>
      </c>
      <c r="Z2767" s="49">
        <f t="shared" si="306"/>
        <v>0</v>
      </c>
      <c r="AA2767" s="60">
        <f t="shared" si="307"/>
        <v>0</v>
      </c>
    </row>
    <row r="2768" spans="1:27">
      <c r="A2768" s="83" t="str">
        <f t="shared" si="302"/>
        <v/>
      </c>
      <c r="B2768" s="83" t="str">
        <f t="shared" si="303"/>
        <v/>
      </c>
      <c r="S2768" s="83" t="str">
        <f t="shared" si="304"/>
        <v/>
      </c>
      <c r="T2768" s="83" t="str">
        <f t="shared" si="301"/>
        <v/>
      </c>
      <c r="Y2768" s="60">
        <f t="shared" si="305"/>
        <v>0</v>
      </c>
      <c r="Z2768" s="49">
        <f t="shared" si="306"/>
        <v>0</v>
      </c>
      <c r="AA2768" s="60">
        <f t="shared" si="307"/>
        <v>0</v>
      </c>
    </row>
    <row r="2769" spans="1:27">
      <c r="A2769" s="83" t="str">
        <f t="shared" si="302"/>
        <v/>
      </c>
      <c r="B2769" s="83" t="str">
        <f t="shared" si="303"/>
        <v/>
      </c>
      <c r="S2769" s="83" t="str">
        <f t="shared" si="304"/>
        <v/>
      </c>
      <c r="T2769" s="83" t="str">
        <f t="shared" si="301"/>
        <v/>
      </c>
      <c r="Y2769" s="60">
        <f t="shared" si="305"/>
        <v>0</v>
      </c>
      <c r="Z2769" s="49">
        <f t="shared" si="306"/>
        <v>0</v>
      </c>
      <c r="AA2769" s="60">
        <f t="shared" si="307"/>
        <v>0</v>
      </c>
    </row>
    <row r="2770" spans="1:27">
      <c r="A2770" s="83" t="str">
        <f t="shared" si="302"/>
        <v/>
      </c>
      <c r="B2770" s="83" t="str">
        <f t="shared" si="303"/>
        <v/>
      </c>
      <c r="S2770" s="83" t="str">
        <f t="shared" si="304"/>
        <v/>
      </c>
      <c r="T2770" s="83" t="str">
        <f t="shared" si="301"/>
        <v/>
      </c>
      <c r="Y2770" s="60">
        <f t="shared" si="305"/>
        <v>0</v>
      </c>
      <c r="Z2770" s="49">
        <f t="shared" si="306"/>
        <v>0</v>
      </c>
      <c r="AA2770" s="60">
        <f t="shared" si="307"/>
        <v>0</v>
      </c>
    </row>
    <row r="2771" spans="1:27">
      <c r="A2771" s="83" t="str">
        <f t="shared" si="302"/>
        <v/>
      </c>
      <c r="B2771" s="83" t="str">
        <f t="shared" si="303"/>
        <v/>
      </c>
      <c r="S2771" s="83" t="str">
        <f t="shared" si="304"/>
        <v/>
      </c>
      <c r="T2771" s="83" t="str">
        <f t="shared" si="301"/>
        <v/>
      </c>
      <c r="Y2771" s="60">
        <f t="shared" si="305"/>
        <v>0</v>
      </c>
      <c r="Z2771" s="49">
        <f t="shared" si="306"/>
        <v>0</v>
      </c>
      <c r="AA2771" s="60">
        <f t="shared" si="307"/>
        <v>0</v>
      </c>
    </row>
    <row r="2772" spans="1:27">
      <c r="A2772" s="83" t="str">
        <f t="shared" si="302"/>
        <v/>
      </c>
      <c r="B2772" s="83" t="str">
        <f t="shared" si="303"/>
        <v/>
      </c>
      <c r="S2772" s="83" t="str">
        <f t="shared" si="304"/>
        <v/>
      </c>
      <c r="T2772" s="83" t="str">
        <f t="shared" si="301"/>
        <v/>
      </c>
      <c r="Y2772" s="60">
        <f t="shared" si="305"/>
        <v>0</v>
      </c>
      <c r="Z2772" s="49">
        <f t="shared" si="306"/>
        <v>0</v>
      </c>
      <c r="AA2772" s="60">
        <f t="shared" si="307"/>
        <v>0</v>
      </c>
    </row>
    <row r="2773" spans="1:27">
      <c r="A2773" s="83" t="str">
        <f t="shared" si="302"/>
        <v/>
      </c>
      <c r="B2773" s="83" t="str">
        <f t="shared" si="303"/>
        <v/>
      </c>
      <c r="S2773" s="83" t="str">
        <f t="shared" si="304"/>
        <v/>
      </c>
      <c r="T2773" s="83" t="str">
        <f t="shared" si="301"/>
        <v/>
      </c>
      <c r="Y2773" s="60">
        <f t="shared" si="305"/>
        <v>0</v>
      </c>
      <c r="Z2773" s="49">
        <f t="shared" si="306"/>
        <v>0</v>
      </c>
      <c r="AA2773" s="60">
        <f t="shared" si="307"/>
        <v>0</v>
      </c>
    </row>
    <row r="2774" spans="1:27">
      <c r="A2774" s="83" t="str">
        <f t="shared" si="302"/>
        <v/>
      </c>
      <c r="B2774" s="83" t="str">
        <f t="shared" si="303"/>
        <v/>
      </c>
      <c r="S2774" s="83" t="str">
        <f t="shared" si="304"/>
        <v/>
      </c>
      <c r="T2774" s="83" t="str">
        <f t="shared" si="301"/>
        <v/>
      </c>
      <c r="Y2774" s="60">
        <f t="shared" si="305"/>
        <v>0</v>
      </c>
      <c r="Z2774" s="49">
        <f t="shared" si="306"/>
        <v>0</v>
      </c>
      <c r="AA2774" s="60">
        <f t="shared" si="307"/>
        <v>0</v>
      </c>
    </row>
    <row r="2775" spans="1:27">
      <c r="A2775" s="83" t="str">
        <f t="shared" si="302"/>
        <v/>
      </c>
      <c r="B2775" s="83" t="str">
        <f t="shared" si="303"/>
        <v/>
      </c>
      <c r="S2775" s="83" t="str">
        <f t="shared" si="304"/>
        <v/>
      </c>
      <c r="T2775" s="83" t="str">
        <f t="shared" si="301"/>
        <v/>
      </c>
      <c r="Y2775" s="60">
        <f t="shared" si="305"/>
        <v>0</v>
      </c>
      <c r="Z2775" s="49">
        <f t="shared" si="306"/>
        <v>0</v>
      </c>
      <c r="AA2775" s="60">
        <f t="shared" si="307"/>
        <v>0</v>
      </c>
    </row>
    <row r="2776" spans="1:27">
      <c r="A2776" s="83" t="str">
        <f t="shared" si="302"/>
        <v/>
      </c>
      <c r="B2776" s="83" t="str">
        <f t="shared" si="303"/>
        <v/>
      </c>
      <c r="S2776" s="83" t="str">
        <f t="shared" si="304"/>
        <v/>
      </c>
      <c r="T2776" s="83" t="str">
        <f t="shared" si="301"/>
        <v/>
      </c>
      <c r="Y2776" s="60">
        <f t="shared" si="305"/>
        <v>0</v>
      </c>
      <c r="Z2776" s="49">
        <f t="shared" si="306"/>
        <v>0</v>
      </c>
      <c r="AA2776" s="60">
        <f t="shared" si="307"/>
        <v>0</v>
      </c>
    </row>
    <row r="2777" spans="1:27">
      <c r="A2777" s="83" t="str">
        <f t="shared" si="302"/>
        <v/>
      </c>
      <c r="B2777" s="83" t="str">
        <f t="shared" si="303"/>
        <v/>
      </c>
      <c r="S2777" s="83" t="str">
        <f t="shared" si="304"/>
        <v/>
      </c>
      <c r="T2777" s="83" t="str">
        <f t="shared" si="301"/>
        <v/>
      </c>
      <c r="Y2777" s="60">
        <f t="shared" si="305"/>
        <v>0</v>
      </c>
      <c r="Z2777" s="49">
        <f t="shared" si="306"/>
        <v>0</v>
      </c>
      <c r="AA2777" s="60">
        <f t="shared" si="307"/>
        <v>0</v>
      </c>
    </row>
    <row r="2778" spans="1:27">
      <c r="A2778" s="83" t="str">
        <f t="shared" si="302"/>
        <v/>
      </c>
      <c r="B2778" s="83" t="str">
        <f t="shared" si="303"/>
        <v/>
      </c>
      <c r="S2778" s="83" t="str">
        <f t="shared" si="304"/>
        <v/>
      </c>
      <c r="T2778" s="83" t="str">
        <f t="shared" si="301"/>
        <v/>
      </c>
      <c r="Y2778" s="60">
        <f t="shared" si="305"/>
        <v>0</v>
      </c>
      <c r="Z2778" s="49">
        <f t="shared" si="306"/>
        <v>0</v>
      </c>
      <c r="AA2778" s="60">
        <f t="shared" si="307"/>
        <v>0</v>
      </c>
    </row>
    <row r="2779" spans="1:27">
      <c r="A2779" s="83" t="str">
        <f t="shared" si="302"/>
        <v/>
      </c>
      <c r="B2779" s="83" t="str">
        <f t="shared" si="303"/>
        <v/>
      </c>
      <c r="S2779" s="83" t="str">
        <f t="shared" si="304"/>
        <v/>
      </c>
      <c r="T2779" s="83" t="str">
        <f t="shared" si="301"/>
        <v/>
      </c>
      <c r="Y2779" s="60">
        <f t="shared" si="305"/>
        <v>0</v>
      </c>
      <c r="Z2779" s="49">
        <f t="shared" si="306"/>
        <v>0</v>
      </c>
      <c r="AA2779" s="60">
        <f t="shared" si="307"/>
        <v>0</v>
      </c>
    </row>
    <row r="2780" spans="1:27">
      <c r="A2780" s="83" t="str">
        <f t="shared" si="302"/>
        <v/>
      </c>
      <c r="B2780" s="83" t="str">
        <f t="shared" si="303"/>
        <v/>
      </c>
      <c r="S2780" s="83" t="str">
        <f t="shared" si="304"/>
        <v/>
      </c>
      <c r="T2780" s="83" t="str">
        <f t="shared" si="301"/>
        <v/>
      </c>
      <c r="Y2780" s="60">
        <f t="shared" si="305"/>
        <v>0</v>
      </c>
      <c r="Z2780" s="49">
        <f t="shared" si="306"/>
        <v>0</v>
      </c>
      <c r="AA2780" s="60">
        <f t="shared" si="307"/>
        <v>0</v>
      </c>
    </row>
    <row r="2781" spans="1:27">
      <c r="A2781" s="83" t="str">
        <f t="shared" si="302"/>
        <v/>
      </c>
      <c r="B2781" s="83" t="str">
        <f t="shared" si="303"/>
        <v/>
      </c>
      <c r="S2781" s="83" t="str">
        <f t="shared" si="304"/>
        <v/>
      </c>
      <c r="T2781" s="83" t="str">
        <f t="shared" si="301"/>
        <v/>
      </c>
      <c r="Y2781" s="60">
        <f t="shared" si="305"/>
        <v>0</v>
      </c>
      <c r="Z2781" s="49">
        <f t="shared" si="306"/>
        <v>0</v>
      </c>
      <c r="AA2781" s="60">
        <f t="shared" si="307"/>
        <v>0</v>
      </c>
    </row>
    <row r="2782" spans="1:27">
      <c r="A2782" s="83" t="str">
        <f t="shared" si="302"/>
        <v/>
      </c>
      <c r="B2782" s="83" t="str">
        <f t="shared" si="303"/>
        <v/>
      </c>
      <c r="S2782" s="83" t="str">
        <f t="shared" si="304"/>
        <v/>
      </c>
      <c r="T2782" s="83" t="str">
        <f t="shared" si="301"/>
        <v/>
      </c>
      <c r="Y2782" s="60">
        <f t="shared" si="305"/>
        <v>0</v>
      </c>
      <c r="Z2782" s="49">
        <f t="shared" si="306"/>
        <v>0</v>
      </c>
      <c r="AA2782" s="60">
        <f t="shared" si="307"/>
        <v>0</v>
      </c>
    </row>
    <row r="2783" spans="1:27">
      <c r="A2783" s="83" t="str">
        <f t="shared" si="302"/>
        <v/>
      </c>
      <c r="B2783" s="83" t="str">
        <f t="shared" si="303"/>
        <v/>
      </c>
      <c r="S2783" s="83" t="str">
        <f t="shared" si="304"/>
        <v/>
      </c>
      <c r="T2783" s="83" t="str">
        <f t="shared" si="301"/>
        <v/>
      </c>
      <c r="Y2783" s="60">
        <f t="shared" si="305"/>
        <v>0</v>
      </c>
      <c r="Z2783" s="49">
        <f t="shared" si="306"/>
        <v>0</v>
      </c>
      <c r="AA2783" s="60">
        <f t="shared" si="307"/>
        <v>0</v>
      </c>
    </row>
    <row r="2784" spans="1:27">
      <c r="A2784" s="83" t="str">
        <f t="shared" si="302"/>
        <v/>
      </c>
      <c r="B2784" s="83" t="str">
        <f t="shared" si="303"/>
        <v/>
      </c>
      <c r="S2784" s="83" t="str">
        <f t="shared" si="304"/>
        <v/>
      </c>
      <c r="T2784" s="83" t="str">
        <f t="shared" si="301"/>
        <v/>
      </c>
      <c r="Y2784" s="60">
        <f t="shared" si="305"/>
        <v>0</v>
      </c>
      <c r="Z2784" s="49">
        <f t="shared" si="306"/>
        <v>0</v>
      </c>
      <c r="AA2784" s="60">
        <f t="shared" si="307"/>
        <v>0</v>
      </c>
    </row>
    <row r="2785" spans="1:27">
      <c r="A2785" s="83" t="str">
        <f t="shared" si="302"/>
        <v/>
      </c>
      <c r="B2785" s="83" t="str">
        <f t="shared" si="303"/>
        <v/>
      </c>
      <c r="S2785" s="83" t="str">
        <f t="shared" si="304"/>
        <v/>
      </c>
      <c r="T2785" s="83" t="str">
        <f t="shared" si="301"/>
        <v/>
      </c>
      <c r="Y2785" s="60">
        <f t="shared" si="305"/>
        <v>0</v>
      </c>
      <c r="Z2785" s="49">
        <f t="shared" si="306"/>
        <v>0</v>
      </c>
      <c r="AA2785" s="60">
        <f t="shared" si="307"/>
        <v>0</v>
      </c>
    </row>
    <row r="2786" spans="1:27">
      <c r="A2786" s="83" t="str">
        <f t="shared" si="302"/>
        <v/>
      </c>
      <c r="B2786" s="83" t="str">
        <f t="shared" si="303"/>
        <v/>
      </c>
      <c r="S2786" s="83" t="str">
        <f t="shared" si="304"/>
        <v/>
      </c>
      <c r="T2786" s="83" t="str">
        <f t="shared" si="301"/>
        <v/>
      </c>
      <c r="Y2786" s="60">
        <f t="shared" si="305"/>
        <v>0</v>
      </c>
      <c r="Z2786" s="49">
        <f t="shared" si="306"/>
        <v>0</v>
      </c>
      <c r="AA2786" s="60">
        <f t="shared" si="307"/>
        <v>0</v>
      </c>
    </row>
    <row r="2787" spans="1:27">
      <c r="A2787" s="83" t="str">
        <f t="shared" si="302"/>
        <v/>
      </c>
      <c r="B2787" s="83" t="str">
        <f t="shared" si="303"/>
        <v/>
      </c>
      <c r="S2787" s="83" t="str">
        <f t="shared" si="304"/>
        <v/>
      </c>
      <c r="T2787" s="83" t="str">
        <f t="shared" si="301"/>
        <v/>
      </c>
      <c r="Y2787" s="60">
        <f t="shared" si="305"/>
        <v>0</v>
      </c>
      <c r="Z2787" s="49">
        <f t="shared" si="306"/>
        <v>0</v>
      </c>
      <c r="AA2787" s="60">
        <f t="shared" si="307"/>
        <v>0</v>
      </c>
    </row>
    <row r="2788" spans="1:27">
      <c r="A2788" s="83" t="str">
        <f t="shared" si="302"/>
        <v/>
      </c>
      <c r="B2788" s="83" t="str">
        <f t="shared" si="303"/>
        <v/>
      </c>
      <c r="S2788" s="83" t="str">
        <f t="shared" si="304"/>
        <v/>
      </c>
      <c r="T2788" s="83" t="str">
        <f t="shared" si="301"/>
        <v/>
      </c>
      <c r="Y2788" s="60">
        <f t="shared" si="305"/>
        <v>0</v>
      </c>
      <c r="Z2788" s="49">
        <f t="shared" si="306"/>
        <v>0</v>
      </c>
      <c r="AA2788" s="60">
        <f t="shared" si="307"/>
        <v>0</v>
      </c>
    </row>
    <row r="2789" spans="1:27">
      <c r="A2789" s="83" t="str">
        <f t="shared" si="302"/>
        <v/>
      </c>
      <c r="B2789" s="83" t="str">
        <f t="shared" si="303"/>
        <v/>
      </c>
      <c r="S2789" s="83" t="str">
        <f t="shared" si="304"/>
        <v/>
      </c>
      <c r="T2789" s="83" t="str">
        <f t="shared" si="301"/>
        <v/>
      </c>
      <c r="Y2789" s="60">
        <f t="shared" si="305"/>
        <v>0</v>
      </c>
      <c r="Z2789" s="49">
        <f t="shared" si="306"/>
        <v>0</v>
      </c>
      <c r="AA2789" s="60">
        <f t="shared" si="307"/>
        <v>0</v>
      </c>
    </row>
    <row r="2790" spans="1:27">
      <c r="A2790" s="83" t="str">
        <f t="shared" si="302"/>
        <v/>
      </c>
      <c r="B2790" s="83" t="str">
        <f t="shared" si="303"/>
        <v/>
      </c>
      <c r="S2790" s="83" t="str">
        <f t="shared" si="304"/>
        <v/>
      </c>
      <c r="T2790" s="83" t="str">
        <f t="shared" si="301"/>
        <v/>
      </c>
      <c r="Y2790" s="60">
        <f t="shared" si="305"/>
        <v>0</v>
      </c>
      <c r="Z2790" s="49">
        <f t="shared" si="306"/>
        <v>0</v>
      </c>
      <c r="AA2790" s="60">
        <f t="shared" si="307"/>
        <v>0</v>
      </c>
    </row>
    <row r="2791" spans="1:27">
      <c r="A2791" s="83" t="str">
        <f t="shared" si="302"/>
        <v/>
      </c>
      <c r="B2791" s="83" t="str">
        <f t="shared" si="303"/>
        <v/>
      </c>
      <c r="S2791" s="83" t="str">
        <f t="shared" si="304"/>
        <v/>
      </c>
      <c r="T2791" s="83" t="str">
        <f t="shared" si="301"/>
        <v/>
      </c>
      <c r="Y2791" s="60">
        <f t="shared" si="305"/>
        <v>0</v>
      </c>
      <c r="Z2791" s="49">
        <f t="shared" si="306"/>
        <v>0</v>
      </c>
      <c r="AA2791" s="60">
        <f t="shared" si="307"/>
        <v>0</v>
      </c>
    </row>
    <row r="2792" spans="1:27">
      <c r="A2792" s="83" t="str">
        <f t="shared" si="302"/>
        <v/>
      </c>
      <c r="B2792" s="83" t="str">
        <f t="shared" si="303"/>
        <v/>
      </c>
      <c r="S2792" s="83" t="str">
        <f t="shared" si="304"/>
        <v/>
      </c>
      <c r="T2792" s="83" t="str">
        <f t="shared" si="301"/>
        <v/>
      </c>
      <c r="Y2792" s="60">
        <f t="shared" si="305"/>
        <v>0</v>
      </c>
      <c r="Z2792" s="49">
        <f t="shared" si="306"/>
        <v>0</v>
      </c>
      <c r="AA2792" s="60">
        <f t="shared" si="307"/>
        <v>0</v>
      </c>
    </row>
    <row r="2793" spans="1:27">
      <c r="A2793" s="83" t="str">
        <f t="shared" si="302"/>
        <v/>
      </c>
      <c r="B2793" s="83" t="str">
        <f t="shared" si="303"/>
        <v/>
      </c>
      <c r="S2793" s="83" t="str">
        <f t="shared" si="304"/>
        <v/>
      </c>
      <c r="T2793" s="83" t="str">
        <f t="shared" si="301"/>
        <v/>
      </c>
      <c r="Y2793" s="60">
        <f t="shared" si="305"/>
        <v>0</v>
      </c>
      <c r="Z2793" s="49">
        <f t="shared" si="306"/>
        <v>0</v>
      </c>
      <c r="AA2793" s="60">
        <f t="shared" si="307"/>
        <v>0</v>
      </c>
    </row>
    <row r="2794" spans="1:27">
      <c r="A2794" s="83" t="str">
        <f t="shared" si="302"/>
        <v/>
      </c>
      <c r="B2794" s="83" t="str">
        <f t="shared" si="303"/>
        <v/>
      </c>
      <c r="S2794" s="83" t="str">
        <f t="shared" si="304"/>
        <v/>
      </c>
      <c r="T2794" s="83" t="str">
        <f t="shared" si="301"/>
        <v/>
      </c>
      <c r="Y2794" s="60">
        <f t="shared" si="305"/>
        <v>0</v>
      </c>
      <c r="Z2794" s="49">
        <f t="shared" si="306"/>
        <v>0</v>
      </c>
      <c r="AA2794" s="60">
        <f t="shared" si="307"/>
        <v>0</v>
      </c>
    </row>
    <row r="2795" spans="1:27">
      <c r="A2795" s="83" t="str">
        <f t="shared" si="302"/>
        <v/>
      </c>
      <c r="B2795" s="83" t="str">
        <f t="shared" si="303"/>
        <v/>
      </c>
      <c r="S2795" s="83" t="str">
        <f t="shared" si="304"/>
        <v/>
      </c>
      <c r="T2795" s="83" t="str">
        <f t="shared" si="301"/>
        <v/>
      </c>
      <c r="Y2795" s="60">
        <f t="shared" si="305"/>
        <v>0</v>
      </c>
      <c r="Z2795" s="49">
        <f t="shared" si="306"/>
        <v>0</v>
      </c>
      <c r="AA2795" s="60">
        <f t="shared" si="307"/>
        <v>0</v>
      </c>
    </row>
    <row r="2796" spans="1:27">
      <c r="A2796" s="83" t="str">
        <f t="shared" si="302"/>
        <v/>
      </c>
      <c r="B2796" s="83" t="str">
        <f t="shared" si="303"/>
        <v/>
      </c>
      <c r="S2796" s="83" t="str">
        <f t="shared" si="304"/>
        <v/>
      </c>
      <c r="T2796" s="83" t="str">
        <f t="shared" si="301"/>
        <v/>
      </c>
      <c r="Y2796" s="60">
        <f t="shared" si="305"/>
        <v>0</v>
      </c>
      <c r="Z2796" s="49">
        <f t="shared" si="306"/>
        <v>0</v>
      </c>
      <c r="AA2796" s="60">
        <f t="shared" si="307"/>
        <v>0</v>
      </c>
    </row>
    <row r="2797" spans="1:27">
      <c r="A2797" s="83" t="str">
        <f t="shared" si="302"/>
        <v/>
      </c>
      <c r="B2797" s="83" t="str">
        <f t="shared" si="303"/>
        <v/>
      </c>
      <c r="S2797" s="83" t="str">
        <f t="shared" si="304"/>
        <v/>
      </c>
      <c r="T2797" s="83" t="str">
        <f t="shared" si="301"/>
        <v/>
      </c>
      <c r="Y2797" s="60">
        <f t="shared" si="305"/>
        <v>0</v>
      </c>
      <c r="Z2797" s="49">
        <f t="shared" si="306"/>
        <v>0</v>
      </c>
      <c r="AA2797" s="60">
        <f t="shared" si="307"/>
        <v>0</v>
      </c>
    </row>
    <row r="2798" spans="1:27">
      <c r="A2798" s="83" t="str">
        <f t="shared" si="302"/>
        <v/>
      </c>
      <c r="B2798" s="83" t="str">
        <f t="shared" si="303"/>
        <v/>
      </c>
      <c r="S2798" s="83" t="str">
        <f t="shared" si="304"/>
        <v/>
      </c>
      <c r="T2798" s="83" t="str">
        <f t="shared" si="301"/>
        <v/>
      </c>
      <c r="Y2798" s="60">
        <f t="shared" si="305"/>
        <v>0</v>
      </c>
      <c r="Z2798" s="49">
        <f t="shared" si="306"/>
        <v>0</v>
      </c>
      <c r="AA2798" s="60">
        <f t="shared" si="307"/>
        <v>0</v>
      </c>
    </row>
    <row r="2799" spans="1:27">
      <c r="A2799" s="83" t="str">
        <f t="shared" si="302"/>
        <v/>
      </c>
      <c r="B2799" s="83" t="str">
        <f t="shared" si="303"/>
        <v/>
      </c>
      <c r="S2799" s="83" t="str">
        <f t="shared" si="304"/>
        <v/>
      </c>
      <c r="T2799" s="83" t="str">
        <f t="shared" si="301"/>
        <v/>
      </c>
      <c r="Y2799" s="60">
        <f t="shared" si="305"/>
        <v>0</v>
      </c>
      <c r="Z2799" s="49">
        <f t="shared" si="306"/>
        <v>0</v>
      </c>
      <c r="AA2799" s="60">
        <f t="shared" si="307"/>
        <v>0</v>
      </c>
    </row>
    <row r="2800" spans="1:27">
      <c r="A2800" s="83" t="str">
        <f t="shared" si="302"/>
        <v/>
      </c>
      <c r="B2800" s="83" t="str">
        <f t="shared" si="303"/>
        <v/>
      </c>
      <c r="S2800" s="83" t="str">
        <f t="shared" si="304"/>
        <v/>
      </c>
      <c r="T2800" s="83" t="str">
        <f t="shared" si="301"/>
        <v/>
      </c>
      <c r="Y2800" s="60">
        <f t="shared" si="305"/>
        <v>0</v>
      </c>
      <c r="Z2800" s="49">
        <f t="shared" si="306"/>
        <v>0</v>
      </c>
      <c r="AA2800" s="60">
        <f t="shared" si="307"/>
        <v>0</v>
      </c>
    </row>
    <row r="2801" spans="1:27">
      <c r="A2801" s="83" t="str">
        <f t="shared" si="302"/>
        <v/>
      </c>
      <c r="B2801" s="83" t="str">
        <f t="shared" si="303"/>
        <v/>
      </c>
      <c r="S2801" s="83" t="str">
        <f t="shared" si="304"/>
        <v/>
      </c>
      <c r="T2801" s="83" t="str">
        <f t="shared" si="301"/>
        <v/>
      </c>
      <c r="Y2801" s="60">
        <f t="shared" si="305"/>
        <v>0</v>
      </c>
      <c r="Z2801" s="49">
        <f t="shared" si="306"/>
        <v>0</v>
      </c>
      <c r="AA2801" s="60">
        <f t="shared" si="307"/>
        <v>0</v>
      </c>
    </row>
    <row r="2802" spans="1:27">
      <c r="A2802" s="83" t="str">
        <f t="shared" si="302"/>
        <v/>
      </c>
      <c r="B2802" s="83" t="str">
        <f t="shared" si="303"/>
        <v/>
      </c>
      <c r="S2802" s="83" t="str">
        <f t="shared" si="304"/>
        <v/>
      </c>
      <c r="T2802" s="83" t="str">
        <f t="shared" si="301"/>
        <v/>
      </c>
      <c r="Y2802" s="60">
        <f t="shared" si="305"/>
        <v>0</v>
      </c>
      <c r="Z2802" s="49">
        <f t="shared" si="306"/>
        <v>0</v>
      </c>
      <c r="AA2802" s="60">
        <f t="shared" si="307"/>
        <v>0</v>
      </c>
    </row>
    <row r="2803" spans="1:27">
      <c r="A2803" s="83" t="str">
        <f t="shared" si="302"/>
        <v/>
      </c>
      <c r="B2803" s="83" t="str">
        <f t="shared" si="303"/>
        <v/>
      </c>
      <c r="S2803" s="83" t="str">
        <f t="shared" si="304"/>
        <v/>
      </c>
      <c r="T2803" s="83" t="str">
        <f t="shared" si="301"/>
        <v/>
      </c>
      <c r="Y2803" s="60">
        <f t="shared" si="305"/>
        <v>0</v>
      </c>
      <c r="Z2803" s="49">
        <f t="shared" si="306"/>
        <v>0</v>
      </c>
      <c r="AA2803" s="60">
        <f t="shared" si="307"/>
        <v>0</v>
      </c>
    </row>
    <row r="2804" spans="1:27">
      <c r="A2804" s="83" t="str">
        <f t="shared" si="302"/>
        <v/>
      </c>
      <c r="B2804" s="83" t="str">
        <f t="shared" si="303"/>
        <v/>
      </c>
      <c r="S2804" s="83" t="str">
        <f t="shared" si="304"/>
        <v/>
      </c>
      <c r="T2804" s="83" t="str">
        <f t="shared" si="301"/>
        <v/>
      </c>
      <c r="Y2804" s="60">
        <f t="shared" si="305"/>
        <v>0</v>
      </c>
      <c r="Z2804" s="49">
        <f t="shared" si="306"/>
        <v>0</v>
      </c>
      <c r="AA2804" s="60">
        <f t="shared" si="307"/>
        <v>0</v>
      </c>
    </row>
    <row r="2805" spans="1:27">
      <c r="A2805" s="83" t="str">
        <f t="shared" si="302"/>
        <v/>
      </c>
      <c r="B2805" s="83" t="str">
        <f t="shared" si="303"/>
        <v/>
      </c>
      <c r="S2805" s="83" t="str">
        <f t="shared" si="304"/>
        <v/>
      </c>
      <c r="T2805" s="83" t="str">
        <f t="shared" si="301"/>
        <v/>
      </c>
      <c r="Y2805" s="60">
        <f t="shared" si="305"/>
        <v>0</v>
      </c>
      <c r="Z2805" s="49">
        <f t="shared" si="306"/>
        <v>0</v>
      </c>
      <c r="AA2805" s="60">
        <f t="shared" si="307"/>
        <v>0</v>
      </c>
    </row>
    <row r="2806" spans="1:27">
      <c r="A2806" s="83" t="str">
        <f t="shared" si="302"/>
        <v/>
      </c>
      <c r="B2806" s="83" t="str">
        <f t="shared" si="303"/>
        <v/>
      </c>
      <c r="S2806" s="83" t="str">
        <f t="shared" si="304"/>
        <v/>
      </c>
      <c r="T2806" s="83" t="str">
        <f t="shared" si="301"/>
        <v/>
      </c>
      <c r="Y2806" s="60">
        <f t="shared" si="305"/>
        <v>0</v>
      </c>
      <c r="Z2806" s="49">
        <f t="shared" si="306"/>
        <v>0</v>
      </c>
      <c r="AA2806" s="60">
        <f t="shared" si="307"/>
        <v>0</v>
      </c>
    </row>
    <row r="2807" spans="1:27">
      <c r="A2807" s="83" t="str">
        <f t="shared" si="302"/>
        <v/>
      </c>
      <c r="B2807" s="83" t="str">
        <f t="shared" si="303"/>
        <v/>
      </c>
      <c r="S2807" s="83" t="str">
        <f t="shared" si="304"/>
        <v/>
      </c>
      <c r="T2807" s="83" t="str">
        <f t="shared" si="301"/>
        <v/>
      </c>
      <c r="Y2807" s="60">
        <f t="shared" si="305"/>
        <v>0</v>
      </c>
      <c r="Z2807" s="49">
        <f t="shared" si="306"/>
        <v>0</v>
      </c>
      <c r="AA2807" s="60">
        <f t="shared" si="307"/>
        <v>0</v>
      </c>
    </row>
    <row r="2808" spans="1:27">
      <c r="A2808" s="83" t="str">
        <f t="shared" si="302"/>
        <v/>
      </c>
      <c r="B2808" s="83" t="str">
        <f t="shared" si="303"/>
        <v/>
      </c>
      <c r="S2808" s="83" t="str">
        <f t="shared" si="304"/>
        <v/>
      </c>
      <c r="T2808" s="83" t="str">
        <f t="shared" si="301"/>
        <v/>
      </c>
      <c r="Y2808" s="60">
        <f t="shared" si="305"/>
        <v>0</v>
      </c>
      <c r="Z2808" s="49">
        <f t="shared" si="306"/>
        <v>0</v>
      </c>
      <c r="AA2808" s="60">
        <f t="shared" si="307"/>
        <v>0</v>
      </c>
    </row>
    <row r="2809" spans="1:27">
      <c r="A2809" s="83" t="str">
        <f t="shared" si="302"/>
        <v/>
      </c>
      <c r="B2809" s="83" t="str">
        <f t="shared" si="303"/>
        <v/>
      </c>
      <c r="S2809" s="83" t="str">
        <f t="shared" si="304"/>
        <v/>
      </c>
      <c r="T2809" s="83" t="str">
        <f t="shared" si="301"/>
        <v/>
      </c>
      <c r="Y2809" s="60">
        <f t="shared" si="305"/>
        <v>0</v>
      </c>
      <c r="Z2809" s="49">
        <f t="shared" si="306"/>
        <v>0</v>
      </c>
      <c r="AA2809" s="60">
        <f t="shared" si="307"/>
        <v>0</v>
      </c>
    </row>
    <row r="2810" spans="1:27">
      <c r="A2810" s="83" t="str">
        <f t="shared" si="302"/>
        <v/>
      </c>
      <c r="B2810" s="83" t="str">
        <f t="shared" si="303"/>
        <v/>
      </c>
      <c r="S2810" s="83" t="str">
        <f t="shared" si="304"/>
        <v/>
      </c>
      <c r="T2810" s="83" t="str">
        <f t="shared" si="301"/>
        <v/>
      </c>
      <c r="Y2810" s="60">
        <f t="shared" si="305"/>
        <v>0</v>
      </c>
      <c r="Z2810" s="49">
        <f t="shared" si="306"/>
        <v>0</v>
      </c>
      <c r="AA2810" s="60">
        <f t="shared" si="307"/>
        <v>0</v>
      </c>
    </row>
    <row r="2811" spans="1:27">
      <c r="A2811" s="83" t="str">
        <f t="shared" si="302"/>
        <v/>
      </c>
      <c r="B2811" s="83" t="str">
        <f t="shared" si="303"/>
        <v/>
      </c>
      <c r="S2811" s="83" t="str">
        <f t="shared" si="304"/>
        <v/>
      </c>
      <c r="T2811" s="83" t="str">
        <f t="shared" si="301"/>
        <v/>
      </c>
      <c r="Y2811" s="60">
        <f t="shared" si="305"/>
        <v>0</v>
      </c>
      <c r="Z2811" s="49">
        <f t="shared" si="306"/>
        <v>0</v>
      </c>
      <c r="AA2811" s="60">
        <f t="shared" si="307"/>
        <v>0</v>
      </c>
    </row>
    <row r="2812" spans="1:27">
      <c r="A2812" s="83" t="str">
        <f t="shared" si="302"/>
        <v/>
      </c>
      <c r="B2812" s="83" t="str">
        <f t="shared" si="303"/>
        <v/>
      </c>
      <c r="S2812" s="83" t="str">
        <f t="shared" si="304"/>
        <v/>
      </c>
      <c r="T2812" s="83" t="str">
        <f t="shared" si="301"/>
        <v/>
      </c>
      <c r="Y2812" s="60">
        <f t="shared" si="305"/>
        <v>0</v>
      </c>
      <c r="Z2812" s="49">
        <f t="shared" si="306"/>
        <v>0</v>
      </c>
      <c r="AA2812" s="60">
        <f t="shared" si="307"/>
        <v>0</v>
      </c>
    </row>
    <row r="2813" spans="1:27">
      <c r="A2813" s="83" t="str">
        <f t="shared" si="302"/>
        <v/>
      </c>
      <c r="B2813" s="83" t="str">
        <f t="shared" si="303"/>
        <v/>
      </c>
      <c r="S2813" s="83" t="str">
        <f t="shared" si="304"/>
        <v/>
      </c>
      <c r="T2813" s="83" t="str">
        <f t="shared" si="301"/>
        <v/>
      </c>
      <c r="Y2813" s="60">
        <f t="shared" si="305"/>
        <v>0</v>
      </c>
      <c r="Z2813" s="49">
        <f t="shared" si="306"/>
        <v>0</v>
      </c>
      <c r="AA2813" s="60">
        <f t="shared" si="307"/>
        <v>0</v>
      </c>
    </row>
    <row r="2814" spans="1:27">
      <c r="A2814" s="83" t="str">
        <f t="shared" si="302"/>
        <v/>
      </c>
      <c r="B2814" s="83" t="str">
        <f t="shared" si="303"/>
        <v/>
      </c>
      <c r="S2814" s="83" t="str">
        <f t="shared" si="304"/>
        <v/>
      </c>
      <c r="T2814" s="83" t="str">
        <f t="shared" si="301"/>
        <v/>
      </c>
      <c r="Y2814" s="60">
        <f t="shared" si="305"/>
        <v>0</v>
      </c>
      <c r="Z2814" s="49">
        <f t="shared" si="306"/>
        <v>0</v>
      </c>
      <c r="AA2814" s="60">
        <f t="shared" si="307"/>
        <v>0</v>
      </c>
    </row>
    <row r="2815" spans="1:27">
      <c r="A2815" s="83" t="str">
        <f t="shared" si="302"/>
        <v/>
      </c>
      <c r="B2815" s="83" t="str">
        <f t="shared" si="303"/>
        <v/>
      </c>
      <c r="S2815" s="83" t="str">
        <f t="shared" si="304"/>
        <v/>
      </c>
      <c r="T2815" s="83" t="str">
        <f t="shared" si="301"/>
        <v/>
      </c>
      <c r="Y2815" s="60">
        <f t="shared" si="305"/>
        <v>0</v>
      </c>
      <c r="Z2815" s="49">
        <f t="shared" si="306"/>
        <v>0</v>
      </c>
      <c r="AA2815" s="60">
        <f t="shared" si="307"/>
        <v>0</v>
      </c>
    </row>
    <row r="2816" spans="1:27">
      <c r="A2816" s="83" t="str">
        <f t="shared" si="302"/>
        <v/>
      </c>
      <c r="B2816" s="83" t="str">
        <f t="shared" si="303"/>
        <v/>
      </c>
      <c r="S2816" s="83" t="str">
        <f t="shared" si="304"/>
        <v/>
      </c>
      <c r="T2816" s="83" t="str">
        <f t="shared" si="301"/>
        <v/>
      </c>
      <c r="Y2816" s="60">
        <f t="shared" si="305"/>
        <v>0</v>
      </c>
      <c r="Z2816" s="49">
        <f t="shared" si="306"/>
        <v>0</v>
      </c>
      <c r="AA2816" s="60">
        <f t="shared" si="307"/>
        <v>0</v>
      </c>
    </row>
    <row r="2817" spans="1:27">
      <c r="A2817" s="83" t="str">
        <f t="shared" si="302"/>
        <v/>
      </c>
      <c r="B2817" s="83" t="str">
        <f t="shared" si="303"/>
        <v/>
      </c>
      <c r="S2817" s="83" t="str">
        <f t="shared" si="304"/>
        <v/>
      </c>
      <c r="T2817" s="83" t="str">
        <f t="shared" si="301"/>
        <v/>
      </c>
      <c r="Y2817" s="60">
        <f t="shared" si="305"/>
        <v>0</v>
      </c>
      <c r="Z2817" s="49">
        <f t="shared" si="306"/>
        <v>0</v>
      </c>
      <c r="AA2817" s="60">
        <f t="shared" si="307"/>
        <v>0</v>
      </c>
    </row>
    <row r="2818" spans="1:27">
      <c r="A2818" s="83" t="str">
        <f t="shared" si="302"/>
        <v/>
      </c>
      <c r="B2818" s="83" t="str">
        <f t="shared" si="303"/>
        <v/>
      </c>
      <c r="S2818" s="83" t="str">
        <f t="shared" si="304"/>
        <v/>
      </c>
      <c r="T2818" s="83" t="str">
        <f t="shared" ref="T2818:T2881" si="308">IF(A2818&lt;&gt;"",IF(FIND(" ",G2818)&gt;=1,MID(G2818,FIND(" ",G2818)+1,LEN(G2818)),""),"")</f>
        <v/>
      </c>
      <c r="Y2818" s="60">
        <f t="shared" si="305"/>
        <v>0</v>
      </c>
      <c r="Z2818" s="49">
        <f t="shared" si="306"/>
        <v>0</v>
      </c>
      <c r="AA2818" s="60">
        <f t="shared" si="307"/>
        <v>0</v>
      </c>
    </row>
    <row r="2819" spans="1:27">
      <c r="A2819" s="83" t="str">
        <f t="shared" ref="A2819:A2882" si="309">IF(G2819&amp;Q2819&lt;&gt;"",S2819&amp;Q2819,"")</f>
        <v/>
      </c>
      <c r="B2819" s="83" t="str">
        <f t="shared" ref="B2819:B2882" si="310">IF(C2819&lt;&gt;"",LEFT(C2819,9),"")</f>
        <v/>
      </c>
      <c r="S2819" s="83" t="str">
        <f t="shared" ref="S2819:S2882" si="311">IF(G2819&lt;&gt;"",IF(FIND(" ",G2819)&gt;=1,MID(G2819,1,FIND(" ",G2819)-1),G2819),"")</f>
        <v/>
      </c>
      <c r="T2819" s="83" t="str">
        <f t="shared" si="308"/>
        <v/>
      </c>
      <c r="Y2819" s="60">
        <f t="shared" ref="Y2819:Y2882" si="312">IFERROR(VALUE(MID($C2819,1,2)),0)</f>
        <v>0</v>
      </c>
      <c r="Z2819" s="49">
        <f t="shared" ref="Z2819:Z2882" si="313">IFERROR(VALUE(MID($C2819,4,3)),0)</f>
        <v>0</v>
      </c>
      <c r="AA2819" s="60">
        <f t="shared" ref="AA2819:AA2882" si="314">VALUE(RIGHT("00"&amp;Y2819,2)&amp;RIGHT("000"&amp;Z2819,3))</f>
        <v>0</v>
      </c>
    </row>
    <row r="2820" spans="1:27">
      <c r="A2820" s="83" t="str">
        <f t="shared" si="309"/>
        <v/>
      </c>
      <c r="B2820" s="83" t="str">
        <f t="shared" si="310"/>
        <v/>
      </c>
      <c r="S2820" s="83" t="str">
        <f t="shared" si="311"/>
        <v/>
      </c>
      <c r="T2820" s="83" t="str">
        <f t="shared" si="308"/>
        <v/>
      </c>
      <c r="Y2820" s="60">
        <f t="shared" si="312"/>
        <v>0</v>
      </c>
      <c r="Z2820" s="49">
        <f t="shared" si="313"/>
        <v>0</v>
      </c>
      <c r="AA2820" s="60">
        <f t="shared" si="314"/>
        <v>0</v>
      </c>
    </row>
    <row r="2821" spans="1:27">
      <c r="A2821" s="83" t="str">
        <f t="shared" si="309"/>
        <v/>
      </c>
      <c r="B2821" s="83" t="str">
        <f t="shared" si="310"/>
        <v/>
      </c>
      <c r="S2821" s="83" t="str">
        <f t="shared" si="311"/>
        <v/>
      </c>
      <c r="T2821" s="83" t="str">
        <f t="shared" si="308"/>
        <v/>
      </c>
      <c r="Y2821" s="60">
        <f t="shared" si="312"/>
        <v>0</v>
      </c>
      <c r="Z2821" s="49">
        <f t="shared" si="313"/>
        <v>0</v>
      </c>
      <c r="AA2821" s="60">
        <f t="shared" si="314"/>
        <v>0</v>
      </c>
    </row>
    <row r="2822" spans="1:27">
      <c r="A2822" s="83" t="str">
        <f t="shared" si="309"/>
        <v/>
      </c>
      <c r="B2822" s="83" t="str">
        <f t="shared" si="310"/>
        <v/>
      </c>
      <c r="S2822" s="83" t="str">
        <f t="shared" si="311"/>
        <v/>
      </c>
      <c r="T2822" s="83" t="str">
        <f t="shared" si="308"/>
        <v/>
      </c>
      <c r="Y2822" s="60">
        <f t="shared" si="312"/>
        <v>0</v>
      </c>
      <c r="Z2822" s="49">
        <f t="shared" si="313"/>
        <v>0</v>
      </c>
      <c r="AA2822" s="60">
        <f t="shared" si="314"/>
        <v>0</v>
      </c>
    </row>
    <row r="2823" spans="1:27">
      <c r="A2823" s="83" t="str">
        <f t="shared" si="309"/>
        <v/>
      </c>
      <c r="B2823" s="83" t="str">
        <f t="shared" si="310"/>
        <v/>
      </c>
      <c r="S2823" s="83" t="str">
        <f t="shared" si="311"/>
        <v/>
      </c>
      <c r="T2823" s="83" t="str">
        <f t="shared" si="308"/>
        <v/>
      </c>
      <c r="Y2823" s="60">
        <f t="shared" si="312"/>
        <v>0</v>
      </c>
      <c r="Z2823" s="49">
        <f t="shared" si="313"/>
        <v>0</v>
      </c>
      <c r="AA2823" s="60">
        <f t="shared" si="314"/>
        <v>0</v>
      </c>
    </row>
    <row r="2824" spans="1:27">
      <c r="A2824" s="83" t="str">
        <f t="shared" si="309"/>
        <v/>
      </c>
      <c r="B2824" s="83" t="str">
        <f t="shared" si="310"/>
        <v/>
      </c>
      <c r="S2824" s="83" t="str">
        <f t="shared" si="311"/>
        <v/>
      </c>
      <c r="T2824" s="83" t="str">
        <f t="shared" si="308"/>
        <v/>
      </c>
      <c r="Y2824" s="60">
        <f t="shared" si="312"/>
        <v>0</v>
      </c>
      <c r="Z2824" s="49">
        <f t="shared" si="313"/>
        <v>0</v>
      </c>
      <c r="AA2824" s="60">
        <f t="shared" si="314"/>
        <v>0</v>
      </c>
    </row>
    <row r="2825" spans="1:27">
      <c r="A2825" s="83" t="str">
        <f t="shared" si="309"/>
        <v/>
      </c>
      <c r="B2825" s="83" t="str">
        <f t="shared" si="310"/>
        <v/>
      </c>
      <c r="S2825" s="83" t="str">
        <f t="shared" si="311"/>
        <v/>
      </c>
      <c r="T2825" s="83" t="str">
        <f t="shared" si="308"/>
        <v/>
      </c>
      <c r="Y2825" s="60">
        <f t="shared" si="312"/>
        <v>0</v>
      </c>
      <c r="Z2825" s="49">
        <f t="shared" si="313"/>
        <v>0</v>
      </c>
      <c r="AA2825" s="60">
        <f t="shared" si="314"/>
        <v>0</v>
      </c>
    </row>
    <row r="2826" spans="1:27">
      <c r="A2826" s="83" t="str">
        <f t="shared" si="309"/>
        <v/>
      </c>
      <c r="B2826" s="83" t="str">
        <f t="shared" si="310"/>
        <v/>
      </c>
      <c r="S2826" s="83" t="str">
        <f t="shared" si="311"/>
        <v/>
      </c>
      <c r="T2826" s="83" t="str">
        <f t="shared" si="308"/>
        <v/>
      </c>
      <c r="Y2826" s="60">
        <f t="shared" si="312"/>
        <v>0</v>
      </c>
      <c r="Z2826" s="49">
        <f t="shared" si="313"/>
        <v>0</v>
      </c>
      <c r="AA2826" s="60">
        <f t="shared" si="314"/>
        <v>0</v>
      </c>
    </row>
    <row r="2827" spans="1:27">
      <c r="A2827" s="83" t="str">
        <f t="shared" si="309"/>
        <v/>
      </c>
      <c r="B2827" s="83" t="str">
        <f t="shared" si="310"/>
        <v/>
      </c>
      <c r="S2827" s="83" t="str">
        <f t="shared" si="311"/>
        <v/>
      </c>
      <c r="T2827" s="83" t="str">
        <f t="shared" si="308"/>
        <v/>
      </c>
      <c r="Y2827" s="60">
        <f t="shared" si="312"/>
        <v>0</v>
      </c>
      <c r="Z2827" s="49">
        <f t="shared" si="313"/>
        <v>0</v>
      </c>
      <c r="AA2827" s="60">
        <f t="shared" si="314"/>
        <v>0</v>
      </c>
    </row>
    <row r="2828" spans="1:27">
      <c r="A2828" s="83" t="str">
        <f t="shared" si="309"/>
        <v/>
      </c>
      <c r="B2828" s="83" t="str">
        <f t="shared" si="310"/>
        <v/>
      </c>
      <c r="S2828" s="83" t="str">
        <f t="shared" si="311"/>
        <v/>
      </c>
      <c r="T2828" s="83" t="str">
        <f t="shared" si="308"/>
        <v/>
      </c>
      <c r="Y2828" s="60">
        <f t="shared" si="312"/>
        <v>0</v>
      </c>
      <c r="Z2828" s="49">
        <f t="shared" si="313"/>
        <v>0</v>
      </c>
      <c r="AA2828" s="60">
        <f t="shared" si="314"/>
        <v>0</v>
      </c>
    </row>
    <row r="2829" spans="1:27">
      <c r="A2829" s="83" t="str">
        <f t="shared" si="309"/>
        <v/>
      </c>
      <c r="B2829" s="83" t="str">
        <f t="shared" si="310"/>
        <v/>
      </c>
      <c r="S2829" s="83" t="str">
        <f t="shared" si="311"/>
        <v/>
      </c>
      <c r="T2829" s="83" t="str">
        <f t="shared" si="308"/>
        <v/>
      </c>
      <c r="Y2829" s="60">
        <f t="shared" si="312"/>
        <v>0</v>
      </c>
      <c r="Z2829" s="49">
        <f t="shared" si="313"/>
        <v>0</v>
      </c>
      <c r="AA2829" s="60">
        <f t="shared" si="314"/>
        <v>0</v>
      </c>
    </row>
    <row r="2830" spans="1:27">
      <c r="A2830" s="83" t="str">
        <f t="shared" si="309"/>
        <v/>
      </c>
      <c r="B2830" s="83" t="str">
        <f t="shared" si="310"/>
        <v/>
      </c>
      <c r="S2830" s="83" t="str">
        <f t="shared" si="311"/>
        <v/>
      </c>
      <c r="T2830" s="83" t="str">
        <f t="shared" si="308"/>
        <v/>
      </c>
      <c r="Y2830" s="60">
        <f t="shared" si="312"/>
        <v>0</v>
      </c>
      <c r="Z2830" s="49">
        <f t="shared" si="313"/>
        <v>0</v>
      </c>
      <c r="AA2830" s="60">
        <f t="shared" si="314"/>
        <v>0</v>
      </c>
    </row>
    <row r="2831" spans="1:27">
      <c r="A2831" s="83" t="str">
        <f t="shared" si="309"/>
        <v/>
      </c>
      <c r="B2831" s="83" t="str">
        <f t="shared" si="310"/>
        <v/>
      </c>
      <c r="S2831" s="83" t="str">
        <f t="shared" si="311"/>
        <v/>
      </c>
      <c r="T2831" s="83" t="str">
        <f t="shared" si="308"/>
        <v/>
      </c>
      <c r="Y2831" s="60">
        <f t="shared" si="312"/>
        <v>0</v>
      </c>
      <c r="Z2831" s="49">
        <f t="shared" si="313"/>
        <v>0</v>
      </c>
      <c r="AA2831" s="60">
        <f t="shared" si="314"/>
        <v>0</v>
      </c>
    </row>
    <row r="2832" spans="1:27">
      <c r="A2832" s="83" t="str">
        <f t="shared" si="309"/>
        <v/>
      </c>
      <c r="B2832" s="83" t="str">
        <f t="shared" si="310"/>
        <v/>
      </c>
      <c r="S2832" s="83" t="str">
        <f t="shared" si="311"/>
        <v/>
      </c>
      <c r="T2832" s="83" t="str">
        <f t="shared" si="308"/>
        <v/>
      </c>
      <c r="Y2832" s="60">
        <f t="shared" si="312"/>
        <v>0</v>
      </c>
      <c r="Z2832" s="49">
        <f t="shared" si="313"/>
        <v>0</v>
      </c>
      <c r="AA2832" s="60">
        <f t="shared" si="314"/>
        <v>0</v>
      </c>
    </row>
    <row r="2833" spans="1:27">
      <c r="A2833" s="83" t="str">
        <f t="shared" si="309"/>
        <v/>
      </c>
      <c r="B2833" s="83" t="str">
        <f t="shared" si="310"/>
        <v/>
      </c>
      <c r="S2833" s="83" t="str">
        <f t="shared" si="311"/>
        <v/>
      </c>
      <c r="T2833" s="83" t="str">
        <f t="shared" si="308"/>
        <v/>
      </c>
      <c r="Y2833" s="60">
        <f t="shared" si="312"/>
        <v>0</v>
      </c>
      <c r="Z2833" s="49">
        <f t="shared" si="313"/>
        <v>0</v>
      </c>
      <c r="AA2833" s="60">
        <f t="shared" si="314"/>
        <v>0</v>
      </c>
    </row>
    <row r="2834" spans="1:27">
      <c r="A2834" s="83" t="str">
        <f t="shared" si="309"/>
        <v/>
      </c>
      <c r="B2834" s="83" t="str">
        <f t="shared" si="310"/>
        <v/>
      </c>
      <c r="S2834" s="83" t="str">
        <f t="shared" si="311"/>
        <v/>
      </c>
      <c r="T2834" s="83" t="str">
        <f t="shared" si="308"/>
        <v/>
      </c>
      <c r="Y2834" s="60">
        <f t="shared" si="312"/>
        <v>0</v>
      </c>
      <c r="Z2834" s="49">
        <f t="shared" si="313"/>
        <v>0</v>
      </c>
      <c r="AA2834" s="60">
        <f t="shared" si="314"/>
        <v>0</v>
      </c>
    </row>
    <row r="2835" spans="1:27">
      <c r="A2835" s="83" t="str">
        <f t="shared" si="309"/>
        <v/>
      </c>
      <c r="B2835" s="83" t="str">
        <f t="shared" si="310"/>
        <v/>
      </c>
      <c r="S2835" s="83" t="str">
        <f t="shared" si="311"/>
        <v/>
      </c>
      <c r="T2835" s="83" t="str">
        <f t="shared" si="308"/>
        <v/>
      </c>
      <c r="Y2835" s="60">
        <f t="shared" si="312"/>
        <v>0</v>
      </c>
      <c r="Z2835" s="49">
        <f t="shared" si="313"/>
        <v>0</v>
      </c>
      <c r="AA2835" s="60">
        <f t="shared" si="314"/>
        <v>0</v>
      </c>
    </row>
    <row r="2836" spans="1:27">
      <c r="A2836" s="83" t="str">
        <f t="shared" si="309"/>
        <v/>
      </c>
      <c r="B2836" s="83" t="str">
        <f t="shared" si="310"/>
        <v/>
      </c>
      <c r="S2836" s="83" t="str">
        <f t="shared" si="311"/>
        <v/>
      </c>
      <c r="T2836" s="83" t="str">
        <f t="shared" si="308"/>
        <v/>
      </c>
      <c r="Y2836" s="60">
        <f t="shared" si="312"/>
        <v>0</v>
      </c>
      <c r="Z2836" s="49">
        <f t="shared" si="313"/>
        <v>0</v>
      </c>
      <c r="AA2836" s="60">
        <f t="shared" si="314"/>
        <v>0</v>
      </c>
    </row>
    <row r="2837" spans="1:27">
      <c r="A2837" s="83" t="str">
        <f t="shared" si="309"/>
        <v/>
      </c>
      <c r="B2837" s="83" t="str">
        <f t="shared" si="310"/>
        <v/>
      </c>
      <c r="S2837" s="83" t="str">
        <f t="shared" si="311"/>
        <v/>
      </c>
      <c r="T2837" s="83" t="str">
        <f t="shared" si="308"/>
        <v/>
      </c>
      <c r="Y2837" s="60">
        <f t="shared" si="312"/>
        <v>0</v>
      </c>
      <c r="Z2837" s="49">
        <f t="shared" si="313"/>
        <v>0</v>
      </c>
      <c r="AA2837" s="60">
        <f t="shared" si="314"/>
        <v>0</v>
      </c>
    </row>
    <row r="2838" spans="1:27">
      <c r="A2838" s="83" t="str">
        <f t="shared" si="309"/>
        <v/>
      </c>
      <c r="B2838" s="83" t="str">
        <f t="shared" si="310"/>
        <v/>
      </c>
      <c r="S2838" s="83" t="str">
        <f t="shared" si="311"/>
        <v/>
      </c>
      <c r="T2838" s="83" t="str">
        <f t="shared" si="308"/>
        <v/>
      </c>
      <c r="Y2838" s="60">
        <f t="shared" si="312"/>
        <v>0</v>
      </c>
      <c r="Z2838" s="49">
        <f t="shared" si="313"/>
        <v>0</v>
      </c>
      <c r="AA2838" s="60">
        <f t="shared" si="314"/>
        <v>0</v>
      </c>
    </row>
    <row r="2839" spans="1:27">
      <c r="A2839" s="83" t="str">
        <f t="shared" si="309"/>
        <v/>
      </c>
      <c r="B2839" s="83" t="str">
        <f t="shared" si="310"/>
        <v/>
      </c>
      <c r="S2839" s="83" t="str">
        <f t="shared" si="311"/>
        <v/>
      </c>
      <c r="T2839" s="83" t="str">
        <f t="shared" si="308"/>
        <v/>
      </c>
      <c r="Y2839" s="60">
        <f t="shared" si="312"/>
        <v>0</v>
      </c>
      <c r="Z2839" s="49">
        <f t="shared" si="313"/>
        <v>0</v>
      </c>
      <c r="AA2839" s="60">
        <f t="shared" si="314"/>
        <v>0</v>
      </c>
    </row>
    <row r="2840" spans="1:27">
      <c r="A2840" s="83" t="str">
        <f t="shared" si="309"/>
        <v/>
      </c>
      <c r="B2840" s="83" t="str">
        <f t="shared" si="310"/>
        <v/>
      </c>
      <c r="S2840" s="83" t="str">
        <f t="shared" si="311"/>
        <v/>
      </c>
      <c r="T2840" s="83" t="str">
        <f t="shared" si="308"/>
        <v/>
      </c>
      <c r="Y2840" s="60">
        <f t="shared" si="312"/>
        <v>0</v>
      </c>
      <c r="Z2840" s="49">
        <f t="shared" si="313"/>
        <v>0</v>
      </c>
      <c r="AA2840" s="60">
        <f t="shared" si="314"/>
        <v>0</v>
      </c>
    </row>
    <row r="2841" spans="1:27">
      <c r="A2841" s="83" t="str">
        <f t="shared" si="309"/>
        <v/>
      </c>
      <c r="B2841" s="83" t="str">
        <f t="shared" si="310"/>
        <v/>
      </c>
      <c r="S2841" s="83" t="str">
        <f t="shared" si="311"/>
        <v/>
      </c>
      <c r="T2841" s="83" t="str">
        <f t="shared" si="308"/>
        <v/>
      </c>
      <c r="Y2841" s="60">
        <f t="shared" si="312"/>
        <v>0</v>
      </c>
      <c r="Z2841" s="49">
        <f t="shared" si="313"/>
        <v>0</v>
      </c>
      <c r="AA2841" s="60">
        <f t="shared" si="314"/>
        <v>0</v>
      </c>
    </row>
    <row r="2842" spans="1:27">
      <c r="A2842" s="83" t="str">
        <f t="shared" si="309"/>
        <v/>
      </c>
      <c r="B2842" s="83" t="str">
        <f t="shared" si="310"/>
        <v/>
      </c>
      <c r="S2842" s="83" t="str">
        <f t="shared" si="311"/>
        <v/>
      </c>
      <c r="T2842" s="83" t="str">
        <f t="shared" si="308"/>
        <v/>
      </c>
      <c r="Y2842" s="60">
        <f t="shared" si="312"/>
        <v>0</v>
      </c>
      <c r="Z2842" s="49">
        <f t="shared" si="313"/>
        <v>0</v>
      </c>
      <c r="AA2842" s="60">
        <f t="shared" si="314"/>
        <v>0</v>
      </c>
    </row>
    <row r="2843" spans="1:27">
      <c r="A2843" s="83" t="str">
        <f t="shared" si="309"/>
        <v/>
      </c>
      <c r="B2843" s="83" t="str">
        <f t="shared" si="310"/>
        <v/>
      </c>
      <c r="S2843" s="83" t="str">
        <f t="shared" si="311"/>
        <v/>
      </c>
      <c r="T2843" s="83" t="str">
        <f t="shared" si="308"/>
        <v/>
      </c>
      <c r="Y2843" s="60">
        <f t="shared" si="312"/>
        <v>0</v>
      </c>
      <c r="Z2843" s="49">
        <f t="shared" si="313"/>
        <v>0</v>
      </c>
      <c r="AA2843" s="60">
        <f t="shared" si="314"/>
        <v>0</v>
      </c>
    </row>
    <row r="2844" spans="1:27">
      <c r="A2844" s="83" t="str">
        <f t="shared" si="309"/>
        <v/>
      </c>
      <c r="B2844" s="83" t="str">
        <f t="shared" si="310"/>
        <v/>
      </c>
      <c r="S2844" s="83" t="str">
        <f t="shared" si="311"/>
        <v/>
      </c>
      <c r="T2844" s="83" t="str">
        <f t="shared" si="308"/>
        <v/>
      </c>
      <c r="Y2844" s="60">
        <f t="shared" si="312"/>
        <v>0</v>
      </c>
      <c r="Z2844" s="49">
        <f t="shared" si="313"/>
        <v>0</v>
      </c>
      <c r="AA2844" s="60">
        <f t="shared" si="314"/>
        <v>0</v>
      </c>
    </row>
    <row r="2845" spans="1:27">
      <c r="A2845" s="83" t="str">
        <f t="shared" si="309"/>
        <v/>
      </c>
      <c r="B2845" s="83" t="str">
        <f t="shared" si="310"/>
        <v/>
      </c>
      <c r="S2845" s="83" t="str">
        <f t="shared" si="311"/>
        <v/>
      </c>
      <c r="T2845" s="83" t="str">
        <f t="shared" si="308"/>
        <v/>
      </c>
      <c r="Y2845" s="60">
        <f t="shared" si="312"/>
        <v>0</v>
      </c>
      <c r="Z2845" s="49">
        <f t="shared" si="313"/>
        <v>0</v>
      </c>
      <c r="AA2845" s="60">
        <f t="shared" si="314"/>
        <v>0</v>
      </c>
    </row>
    <row r="2846" spans="1:27">
      <c r="A2846" s="83" t="str">
        <f t="shared" si="309"/>
        <v/>
      </c>
      <c r="B2846" s="83" t="str">
        <f t="shared" si="310"/>
        <v/>
      </c>
      <c r="S2846" s="83" t="str">
        <f t="shared" si="311"/>
        <v/>
      </c>
      <c r="T2846" s="83" t="str">
        <f t="shared" si="308"/>
        <v/>
      </c>
      <c r="Y2846" s="60">
        <f t="shared" si="312"/>
        <v>0</v>
      </c>
      <c r="Z2846" s="49">
        <f t="shared" si="313"/>
        <v>0</v>
      </c>
      <c r="AA2846" s="60">
        <f t="shared" si="314"/>
        <v>0</v>
      </c>
    </row>
    <row r="2847" spans="1:27">
      <c r="A2847" s="83" t="str">
        <f t="shared" si="309"/>
        <v/>
      </c>
      <c r="B2847" s="83" t="str">
        <f t="shared" si="310"/>
        <v/>
      </c>
      <c r="S2847" s="83" t="str">
        <f t="shared" si="311"/>
        <v/>
      </c>
      <c r="T2847" s="83" t="str">
        <f t="shared" si="308"/>
        <v/>
      </c>
      <c r="Y2847" s="60">
        <f t="shared" si="312"/>
        <v>0</v>
      </c>
      <c r="Z2847" s="49">
        <f t="shared" si="313"/>
        <v>0</v>
      </c>
      <c r="AA2847" s="60">
        <f t="shared" si="314"/>
        <v>0</v>
      </c>
    </row>
    <row r="2848" spans="1:27">
      <c r="A2848" s="83" t="str">
        <f t="shared" si="309"/>
        <v/>
      </c>
      <c r="B2848" s="83" t="str">
        <f t="shared" si="310"/>
        <v/>
      </c>
      <c r="S2848" s="83" t="str">
        <f t="shared" si="311"/>
        <v/>
      </c>
      <c r="T2848" s="83" t="str">
        <f t="shared" si="308"/>
        <v/>
      </c>
      <c r="Y2848" s="60">
        <f t="shared" si="312"/>
        <v>0</v>
      </c>
      <c r="Z2848" s="49">
        <f t="shared" si="313"/>
        <v>0</v>
      </c>
      <c r="AA2848" s="60">
        <f t="shared" si="314"/>
        <v>0</v>
      </c>
    </row>
    <row r="2849" spans="1:27">
      <c r="A2849" s="83" t="str">
        <f t="shared" si="309"/>
        <v/>
      </c>
      <c r="B2849" s="83" t="str">
        <f t="shared" si="310"/>
        <v/>
      </c>
      <c r="S2849" s="83" t="str">
        <f t="shared" si="311"/>
        <v/>
      </c>
      <c r="T2849" s="83" t="str">
        <f t="shared" si="308"/>
        <v/>
      </c>
      <c r="Y2849" s="60">
        <f t="shared" si="312"/>
        <v>0</v>
      </c>
      <c r="Z2849" s="49">
        <f t="shared" si="313"/>
        <v>0</v>
      </c>
      <c r="AA2849" s="60">
        <f t="shared" si="314"/>
        <v>0</v>
      </c>
    </row>
    <row r="2850" spans="1:27">
      <c r="A2850" s="83" t="str">
        <f t="shared" si="309"/>
        <v/>
      </c>
      <c r="B2850" s="83" t="str">
        <f t="shared" si="310"/>
        <v/>
      </c>
      <c r="S2850" s="83" t="str">
        <f t="shared" si="311"/>
        <v/>
      </c>
      <c r="T2850" s="83" t="str">
        <f t="shared" si="308"/>
        <v/>
      </c>
      <c r="Y2850" s="60">
        <f t="shared" si="312"/>
        <v>0</v>
      </c>
      <c r="Z2850" s="49">
        <f t="shared" si="313"/>
        <v>0</v>
      </c>
      <c r="AA2850" s="60">
        <f t="shared" si="314"/>
        <v>0</v>
      </c>
    </row>
    <row r="2851" spans="1:27">
      <c r="A2851" s="83" t="str">
        <f t="shared" si="309"/>
        <v/>
      </c>
      <c r="B2851" s="83" t="str">
        <f t="shared" si="310"/>
        <v/>
      </c>
      <c r="S2851" s="83" t="str">
        <f t="shared" si="311"/>
        <v/>
      </c>
      <c r="T2851" s="83" t="str">
        <f t="shared" si="308"/>
        <v/>
      </c>
      <c r="Y2851" s="60">
        <f t="shared" si="312"/>
        <v>0</v>
      </c>
      <c r="Z2851" s="49">
        <f t="shared" si="313"/>
        <v>0</v>
      </c>
      <c r="AA2851" s="60">
        <f t="shared" si="314"/>
        <v>0</v>
      </c>
    </row>
    <row r="2852" spans="1:27">
      <c r="A2852" s="83" t="str">
        <f t="shared" si="309"/>
        <v/>
      </c>
      <c r="B2852" s="83" t="str">
        <f t="shared" si="310"/>
        <v/>
      </c>
      <c r="S2852" s="83" t="str">
        <f t="shared" si="311"/>
        <v/>
      </c>
      <c r="T2852" s="83" t="str">
        <f t="shared" si="308"/>
        <v/>
      </c>
      <c r="Y2852" s="60">
        <f t="shared" si="312"/>
        <v>0</v>
      </c>
      <c r="Z2852" s="49">
        <f t="shared" si="313"/>
        <v>0</v>
      </c>
      <c r="AA2852" s="60">
        <f t="shared" si="314"/>
        <v>0</v>
      </c>
    </row>
    <row r="2853" spans="1:27">
      <c r="A2853" s="83" t="str">
        <f t="shared" si="309"/>
        <v/>
      </c>
      <c r="B2853" s="83" t="str">
        <f t="shared" si="310"/>
        <v/>
      </c>
      <c r="S2853" s="83" t="str">
        <f t="shared" si="311"/>
        <v/>
      </c>
      <c r="T2853" s="83" t="str">
        <f t="shared" si="308"/>
        <v/>
      </c>
      <c r="Y2853" s="60">
        <f t="shared" si="312"/>
        <v>0</v>
      </c>
      <c r="Z2853" s="49">
        <f t="shared" si="313"/>
        <v>0</v>
      </c>
      <c r="AA2853" s="60">
        <f t="shared" si="314"/>
        <v>0</v>
      </c>
    </row>
    <row r="2854" spans="1:27">
      <c r="A2854" s="83" t="str">
        <f t="shared" si="309"/>
        <v/>
      </c>
      <c r="B2854" s="83" t="str">
        <f t="shared" si="310"/>
        <v/>
      </c>
      <c r="S2854" s="83" t="str">
        <f t="shared" si="311"/>
        <v/>
      </c>
      <c r="T2854" s="83" t="str">
        <f t="shared" si="308"/>
        <v/>
      </c>
      <c r="Y2854" s="60">
        <f t="shared" si="312"/>
        <v>0</v>
      </c>
      <c r="Z2854" s="49">
        <f t="shared" si="313"/>
        <v>0</v>
      </c>
      <c r="AA2854" s="60">
        <f t="shared" si="314"/>
        <v>0</v>
      </c>
    </row>
    <row r="2855" spans="1:27">
      <c r="A2855" s="83" t="str">
        <f t="shared" si="309"/>
        <v/>
      </c>
      <c r="B2855" s="83" t="str">
        <f t="shared" si="310"/>
        <v/>
      </c>
      <c r="S2855" s="83" t="str">
        <f t="shared" si="311"/>
        <v/>
      </c>
      <c r="T2855" s="83" t="str">
        <f t="shared" si="308"/>
        <v/>
      </c>
      <c r="Y2855" s="60">
        <f t="shared" si="312"/>
        <v>0</v>
      </c>
      <c r="Z2855" s="49">
        <f t="shared" si="313"/>
        <v>0</v>
      </c>
      <c r="AA2855" s="60">
        <f t="shared" si="314"/>
        <v>0</v>
      </c>
    </row>
    <row r="2856" spans="1:27">
      <c r="A2856" s="83" t="str">
        <f t="shared" si="309"/>
        <v/>
      </c>
      <c r="B2856" s="83" t="str">
        <f t="shared" si="310"/>
        <v/>
      </c>
      <c r="S2856" s="83" t="str">
        <f t="shared" si="311"/>
        <v/>
      </c>
      <c r="T2856" s="83" t="str">
        <f t="shared" si="308"/>
        <v/>
      </c>
      <c r="Y2856" s="60">
        <f t="shared" si="312"/>
        <v>0</v>
      </c>
      <c r="Z2856" s="49">
        <f t="shared" si="313"/>
        <v>0</v>
      </c>
      <c r="AA2856" s="60">
        <f t="shared" si="314"/>
        <v>0</v>
      </c>
    </row>
    <row r="2857" spans="1:27">
      <c r="A2857" s="83" t="str">
        <f t="shared" si="309"/>
        <v/>
      </c>
      <c r="B2857" s="83" t="str">
        <f t="shared" si="310"/>
        <v/>
      </c>
      <c r="S2857" s="83" t="str">
        <f t="shared" si="311"/>
        <v/>
      </c>
      <c r="T2857" s="83" t="str">
        <f t="shared" si="308"/>
        <v/>
      </c>
      <c r="Y2857" s="60">
        <f t="shared" si="312"/>
        <v>0</v>
      </c>
      <c r="Z2857" s="49">
        <f t="shared" si="313"/>
        <v>0</v>
      </c>
      <c r="AA2857" s="60">
        <f t="shared" si="314"/>
        <v>0</v>
      </c>
    </row>
    <row r="2858" spans="1:27">
      <c r="A2858" s="83" t="str">
        <f t="shared" si="309"/>
        <v/>
      </c>
      <c r="B2858" s="83" t="str">
        <f t="shared" si="310"/>
        <v/>
      </c>
      <c r="S2858" s="83" t="str">
        <f t="shared" si="311"/>
        <v/>
      </c>
      <c r="T2858" s="83" t="str">
        <f t="shared" si="308"/>
        <v/>
      </c>
      <c r="Y2858" s="60">
        <f t="shared" si="312"/>
        <v>0</v>
      </c>
      <c r="Z2858" s="49">
        <f t="shared" si="313"/>
        <v>0</v>
      </c>
      <c r="AA2858" s="60">
        <f t="shared" si="314"/>
        <v>0</v>
      </c>
    </row>
    <row r="2859" spans="1:27">
      <c r="A2859" s="83" t="str">
        <f t="shared" si="309"/>
        <v/>
      </c>
      <c r="B2859" s="83" t="str">
        <f t="shared" si="310"/>
        <v/>
      </c>
      <c r="S2859" s="83" t="str">
        <f t="shared" si="311"/>
        <v/>
      </c>
      <c r="T2859" s="83" t="str">
        <f t="shared" si="308"/>
        <v/>
      </c>
      <c r="Y2859" s="60">
        <f t="shared" si="312"/>
        <v>0</v>
      </c>
      <c r="Z2859" s="49">
        <f t="shared" si="313"/>
        <v>0</v>
      </c>
      <c r="AA2859" s="60">
        <f t="shared" si="314"/>
        <v>0</v>
      </c>
    </row>
    <row r="2860" spans="1:27">
      <c r="A2860" s="83" t="str">
        <f t="shared" si="309"/>
        <v/>
      </c>
      <c r="B2860" s="83" t="str">
        <f t="shared" si="310"/>
        <v/>
      </c>
      <c r="S2860" s="83" t="str">
        <f t="shared" si="311"/>
        <v/>
      </c>
      <c r="T2860" s="83" t="str">
        <f t="shared" si="308"/>
        <v/>
      </c>
      <c r="Y2860" s="60">
        <f t="shared" si="312"/>
        <v>0</v>
      </c>
      <c r="Z2860" s="49">
        <f t="shared" si="313"/>
        <v>0</v>
      </c>
      <c r="AA2860" s="60">
        <f t="shared" si="314"/>
        <v>0</v>
      </c>
    </row>
    <row r="2861" spans="1:27">
      <c r="A2861" s="83" t="str">
        <f t="shared" si="309"/>
        <v/>
      </c>
      <c r="B2861" s="83" t="str">
        <f t="shared" si="310"/>
        <v/>
      </c>
      <c r="S2861" s="83" t="str">
        <f t="shared" si="311"/>
        <v/>
      </c>
      <c r="T2861" s="83" t="str">
        <f t="shared" si="308"/>
        <v/>
      </c>
      <c r="Y2861" s="60">
        <f t="shared" si="312"/>
        <v>0</v>
      </c>
      <c r="Z2861" s="49">
        <f t="shared" si="313"/>
        <v>0</v>
      </c>
      <c r="AA2861" s="60">
        <f t="shared" si="314"/>
        <v>0</v>
      </c>
    </row>
    <row r="2862" spans="1:27">
      <c r="A2862" s="83" t="str">
        <f t="shared" si="309"/>
        <v/>
      </c>
      <c r="B2862" s="83" t="str">
        <f t="shared" si="310"/>
        <v/>
      </c>
      <c r="S2862" s="83" t="str">
        <f t="shared" si="311"/>
        <v/>
      </c>
      <c r="T2862" s="83" t="str">
        <f t="shared" si="308"/>
        <v/>
      </c>
      <c r="Y2862" s="60">
        <f t="shared" si="312"/>
        <v>0</v>
      </c>
      <c r="Z2862" s="49">
        <f t="shared" si="313"/>
        <v>0</v>
      </c>
      <c r="AA2862" s="60">
        <f t="shared" si="314"/>
        <v>0</v>
      </c>
    </row>
    <row r="2863" spans="1:27">
      <c r="A2863" s="83" t="str">
        <f t="shared" si="309"/>
        <v/>
      </c>
      <c r="B2863" s="83" t="str">
        <f t="shared" si="310"/>
        <v/>
      </c>
      <c r="S2863" s="83" t="str">
        <f t="shared" si="311"/>
        <v/>
      </c>
      <c r="T2863" s="83" t="str">
        <f t="shared" si="308"/>
        <v/>
      </c>
      <c r="Y2863" s="60">
        <f t="shared" si="312"/>
        <v>0</v>
      </c>
      <c r="Z2863" s="49">
        <f t="shared" si="313"/>
        <v>0</v>
      </c>
      <c r="AA2863" s="60">
        <f t="shared" si="314"/>
        <v>0</v>
      </c>
    </row>
    <row r="2864" spans="1:27">
      <c r="A2864" s="83" t="str">
        <f t="shared" si="309"/>
        <v/>
      </c>
      <c r="B2864" s="83" t="str">
        <f t="shared" si="310"/>
        <v/>
      </c>
      <c r="S2864" s="83" t="str">
        <f t="shared" si="311"/>
        <v/>
      </c>
      <c r="T2864" s="83" t="str">
        <f t="shared" si="308"/>
        <v/>
      </c>
      <c r="Y2864" s="60">
        <f t="shared" si="312"/>
        <v>0</v>
      </c>
      <c r="Z2864" s="49">
        <f t="shared" si="313"/>
        <v>0</v>
      </c>
      <c r="AA2864" s="60">
        <f t="shared" si="314"/>
        <v>0</v>
      </c>
    </row>
    <row r="2865" spans="1:27">
      <c r="A2865" s="83" t="str">
        <f t="shared" si="309"/>
        <v/>
      </c>
      <c r="B2865" s="83" t="str">
        <f t="shared" si="310"/>
        <v/>
      </c>
      <c r="S2865" s="83" t="str">
        <f t="shared" si="311"/>
        <v/>
      </c>
      <c r="T2865" s="83" t="str">
        <f t="shared" si="308"/>
        <v/>
      </c>
      <c r="Y2865" s="60">
        <f t="shared" si="312"/>
        <v>0</v>
      </c>
      <c r="Z2865" s="49">
        <f t="shared" si="313"/>
        <v>0</v>
      </c>
      <c r="AA2865" s="60">
        <f t="shared" si="314"/>
        <v>0</v>
      </c>
    </row>
    <row r="2866" spans="1:27">
      <c r="A2866" s="83" t="str">
        <f t="shared" si="309"/>
        <v/>
      </c>
      <c r="B2866" s="83" t="str">
        <f t="shared" si="310"/>
        <v/>
      </c>
      <c r="S2866" s="83" t="str">
        <f t="shared" si="311"/>
        <v/>
      </c>
      <c r="T2866" s="83" t="str">
        <f t="shared" si="308"/>
        <v/>
      </c>
      <c r="Y2866" s="60">
        <f t="shared" si="312"/>
        <v>0</v>
      </c>
      <c r="Z2866" s="49">
        <f t="shared" si="313"/>
        <v>0</v>
      </c>
      <c r="AA2866" s="60">
        <f t="shared" si="314"/>
        <v>0</v>
      </c>
    </row>
    <row r="2867" spans="1:27">
      <c r="A2867" s="83" t="str">
        <f t="shared" si="309"/>
        <v/>
      </c>
      <c r="B2867" s="83" t="str">
        <f t="shared" si="310"/>
        <v/>
      </c>
      <c r="S2867" s="83" t="str">
        <f t="shared" si="311"/>
        <v/>
      </c>
      <c r="T2867" s="83" t="str">
        <f t="shared" si="308"/>
        <v/>
      </c>
      <c r="Y2867" s="60">
        <f t="shared" si="312"/>
        <v>0</v>
      </c>
      <c r="Z2867" s="49">
        <f t="shared" si="313"/>
        <v>0</v>
      </c>
      <c r="AA2867" s="60">
        <f t="shared" si="314"/>
        <v>0</v>
      </c>
    </row>
    <row r="2868" spans="1:27">
      <c r="A2868" s="83" t="str">
        <f t="shared" si="309"/>
        <v/>
      </c>
      <c r="B2868" s="83" t="str">
        <f t="shared" si="310"/>
        <v/>
      </c>
      <c r="S2868" s="83" t="str">
        <f t="shared" si="311"/>
        <v/>
      </c>
      <c r="T2868" s="83" t="str">
        <f t="shared" si="308"/>
        <v/>
      </c>
      <c r="Y2868" s="60">
        <f t="shared" si="312"/>
        <v>0</v>
      </c>
      <c r="Z2868" s="49">
        <f t="shared" si="313"/>
        <v>0</v>
      </c>
      <c r="AA2868" s="60">
        <f t="shared" si="314"/>
        <v>0</v>
      </c>
    </row>
    <row r="2869" spans="1:27">
      <c r="A2869" s="83" t="str">
        <f t="shared" si="309"/>
        <v/>
      </c>
      <c r="B2869" s="83" t="str">
        <f t="shared" si="310"/>
        <v/>
      </c>
      <c r="S2869" s="83" t="str">
        <f t="shared" si="311"/>
        <v/>
      </c>
      <c r="T2869" s="83" t="str">
        <f t="shared" si="308"/>
        <v/>
      </c>
      <c r="Y2869" s="60">
        <f t="shared" si="312"/>
        <v>0</v>
      </c>
      <c r="Z2869" s="49">
        <f t="shared" si="313"/>
        <v>0</v>
      </c>
      <c r="AA2869" s="60">
        <f t="shared" si="314"/>
        <v>0</v>
      </c>
    </row>
    <row r="2870" spans="1:27">
      <c r="A2870" s="83" t="str">
        <f t="shared" si="309"/>
        <v/>
      </c>
      <c r="B2870" s="83" t="str">
        <f t="shared" si="310"/>
        <v/>
      </c>
      <c r="S2870" s="83" t="str">
        <f t="shared" si="311"/>
        <v/>
      </c>
      <c r="T2870" s="83" t="str">
        <f t="shared" si="308"/>
        <v/>
      </c>
      <c r="Y2870" s="60">
        <f t="shared" si="312"/>
        <v>0</v>
      </c>
      <c r="Z2870" s="49">
        <f t="shared" si="313"/>
        <v>0</v>
      </c>
      <c r="AA2870" s="60">
        <f t="shared" si="314"/>
        <v>0</v>
      </c>
    </row>
    <row r="2871" spans="1:27">
      <c r="A2871" s="83" t="str">
        <f t="shared" si="309"/>
        <v/>
      </c>
      <c r="B2871" s="83" t="str">
        <f t="shared" si="310"/>
        <v/>
      </c>
      <c r="S2871" s="83" t="str">
        <f t="shared" si="311"/>
        <v/>
      </c>
      <c r="T2871" s="83" t="str">
        <f t="shared" si="308"/>
        <v/>
      </c>
      <c r="Y2871" s="60">
        <f t="shared" si="312"/>
        <v>0</v>
      </c>
      <c r="Z2871" s="49">
        <f t="shared" si="313"/>
        <v>0</v>
      </c>
      <c r="AA2871" s="60">
        <f t="shared" si="314"/>
        <v>0</v>
      </c>
    </row>
    <row r="2872" spans="1:27">
      <c r="A2872" s="83" t="str">
        <f t="shared" si="309"/>
        <v/>
      </c>
      <c r="B2872" s="83" t="str">
        <f t="shared" si="310"/>
        <v/>
      </c>
      <c r="S2872" s="83" t="str">
        <f t="shared" si="311"/>
        <v/>
      </c>
      <c r="T2872" s="83" t="str">
        <f t="shared" si="308"/>
        <v/>
      </c>
      <c r="Y2872" s="60">
        <f t="shared" si="312"/>
        <v>0</v>
      </c>
      <c r="Z2872" s="49">
        <f t="shared" si="313"/>
        <v>0</v>
      </c>
      <c r="AA2872" s="60">
        <f t="shared" si="314"/>
        <v>0</v>
      </c>
    </row>
    <row r="2873" spans="1:27">
      <c r="A2873" s="83" t="str">
        <f t="shared" si="309"/>
        <v/>
      </c>
      <c r="B2873" s="83" t="str">
        <f t="shared" si="310"/>
        <v/>
      </c>
      <c r="S2873" s="83" t="str">
        <f t="shared" si="311"/>
        <v/>
      </c>
      <c r="T2873" s="83" t="str">
        <f t="shared" si="308"/>
        <v/>
      </c>
      <c r="Y2873" s="60">
        <f t="shared" si="312"/>
        <v>0</v>
      </c>
      <c r="Z2873" s="49">
        <f t="shared" si="313"/>
        <v>0</v>
      </c>
      <c r="AA2873" s="60">
        <f t="shared" si="314"/>
        <v>0</v>
      </c>
    </row>
    <row r="2874" spans="1:27">
      <c r="A2874" s="83" t="str">
        <f t="shared" si="309"/>
        <v/>
      </c>
      <c r="B2874" s="83" t="str">
        <f t="shared" si="310"/>
        <v/>
      </c>
      <c r="S2874" s="83" t="str">
        <f t="shared" si="311"/>
        <v/>
      </c>
      <c r="T2874" s="83" t="str">
        <f t="shared" si="308"/>
        <v/>
      </c>
      <c r="Y2874" s="60">
        <f t="shared" si="312"/>
        <v>0</v>
      </c>
      <c r="Z2874" s="49">
        <f t="shared" si="313"/>
        <v>0</v>
      </c>
      <c r="AA2874" s="60">
        <f t="shared" si="314"/>
        <v>0</v>
      </c>
    </row>
    <row r="2875" spans="1:27">
      <c r="A2875" s="83" t="str">
        <f t="shared" si="309"/>
        <v/>
      </c>
      <c r="B2875" s="83" t="str">
        <f t="shared" si="310"/>
        <v/>
      </c>
      <c r="S2875" s="83" t="str">
        <f t="shared" si="311"/>
        <v/>
      </c>
      <c r="T2875" s="83" t="str">
        <f t="shared" si="308"/>
        <v/>
      </c>
      <c r="Y2875" s="60">
        <f t="shared" si="312"/>
        <v>0</v>
      </c>
      <c r="Z2875" s="49">
        <f t="shared" si="313"/>
        <v>0</v>
      </c>
      <c r="AA2875" s="60">
        <f t="shared" si="314"/>
        <v>0</v>
      </c>
    </row>
    <row r="2876" spans="1:27">
      <c r="A2876" s="83" t="str">
        <f t="shared" si="309"/>
        <v/>
      </c>
      <c r="B2876" s="83" t="str">
        <f t="shared" si="310"/>
        <v/>
      </c>
      <c r="S2876" s="83" t="str">
        <f t="shared" si="311"/>
        <v/>
      </c>
      <c r="T2876" s="83" t="str">
        <f t="shared" si="308"/>
        <v/>
      </c>
      <c r="Y2876" s="60">
        <f t="shared" si="312"/>
        <v>0</v>
      </c>
      <c r="Z2876" s="49">
        <f t="shared" si="313"/>
        <v>0</v>
      </c>
      <c r="AA2876" s="60">
        <f t="shared" si="314"/>
        <v>0</v>
      </c>
    </row>
    <row r="2877" spans="1:27">
      <c r="A2877" s="83" t="str">
        <f t="shared" si="309"/>
        <v/>
      </c>
      <c r="B2877" s="83" t="str">
        <f t="shared" si="310"/>
        <v/>
      </c>
      <c r="S2877" s="83" t="str">
        <f t="shared" si="311"/>
        <v/>
      </c>
      <c r="T2877" s="83" t="str">
        <f t="shared" si="308"/>
        <v/>
      </c>
      <c r="Y2877" s="60">
        <f t="shared" si="312"/>
        <v>0</v>
      </c>
      <c r="Z2877" s="49">
        <f t="shared" si="313"/>
        <v>0</v>
      </c>
      <c r="AA2877" s="60">
        <f t="shared" si="314"/>
        <v>0</v>
      </c>
    </row>
    <row r="2878" spans="1:27">
      <c r="A2878" s="83" t="str">
        <f t="shared" si="309"/>
        <v/>
      </c>
      <c r="B2878" s="83" t="str">
        <f t="shared" si="310"/>
        <v/>
      </c>
      <c r="S2878" s="83" t="str">
        <f t="shared" si="311"/>
        <v/>
      </c>
      <c r="T2878" s="83" t="str">
        <f t="shared" si="308"/>
        <v/>
      </c>
      <c r="Y2878" s="60">
        <f t="shared" si="312"/>
        <v>0</v>
      </c>
      <c r="Z2878" s="49">
        <f t="shared" si="313"/>
        <v>0</v>
      </c>
      <c r="AA2878" s="60">
        <f t="shared" si="314"/>
        <v>0</v>
      </c>
    </row>
    <row r="2879" spans="1:27">
      <c r="A2879" s="83" t="str">
        <f t="shared" si="309"/>
        <v/>
      </c>
      <c r="B2879" s="83" t="str">
        <f t="shared" si="310"/>
        <v/>
      </c>
      <c r="S2879" s="83" t="str">
        <f t="shared" si="311"/>
        <v/>
      </c>
      <c r="T2879" s="83" t="str">
        <f t="shared" si="308"/>
        <v/>
      </c>
      <c r="Y2879" s="60">
        <f t="shared" si="312"/>
        <v>0</v>
      </c>
      <c r="Z2879" s="49">
        <f t="shared" si="313"/>
        <v>0</v>
      </c>
      <c r="AA2879" s="60">
        <f t="shared" si="314"/>
        <v>0</v>
      </c>
    </row>
    <row r="2880" spans="1:27">
      <c r="A2880" s="83" t="str">
        <f t="shared" si="309"/>
        <v/>
      </c>
      <c r="B2880" s="83" t="str">
        <f t="shared" si="310"/>
        <v/>
      </c>
      <c r="S2880" s="83" t="str">
        <f t="shared" si="311"/>
        <v/>
      </c>
      <c r="T2880" s="83" t="str">
        <f t="shared" si="308"/>
        <v/>
      </c>
      <c r="Y2880" s="60">
        <f t="shared" si="312"/>
        <v>0</v>
      </c>
      <c r="Z2880" s="49">
        <f t="shared" si="313"/>
        <v>0</v>
      </c>
      <c r="AA2880" s="60">
        <f t="shared" si="314"/>
        <v>0</v>
      </c>
    </row>
    <row r="2881" spans="1:27">
      <c r="A2881" s="83" t="str">
        <f t="shared" si="309"/>
        <v/>
      </c>
      <c r="B2881" s="83" t="str">
        <f t="shared" si="310"/>
        <v/>
      </c>
      <c r="S2881" s="83" t="str">
        <f t="shared" si="311"/>
        <v/>
      </c>
      <c r="T2881" s="83" t="str">
        <f t="shared" si="308"/>
        <v/>
      </c>
      <c r="Y2881" s="60">
        <f t="shared" si="312"/>
        <v>0</v>
      </c>
      <c r="Z2881" s="49">
        <f t="shared" si="313"/>
        <v>0</v>
      </c>
      <c r="AA2881" s="60">
        <f t="shared" si="314"/>
        <v>0</v>
      </c>
    </row>
    <row r="2882" spans="1:27">
      <c r="A2882" s="83" t="str">
        <f t="shared" si="309"/>
        <v/>
      </c>
      <c r="B2882" s="83" t="str">
        <f t="shared" si="310"/>
        <v/>
      </c>
      <c r="S2882" s="83" t="str">
        <f t="shared" si="311"/>
        <v/>
      </c>
      <c r="T2882" s="83" t="str">
        <f t="shared" ref="T2882:T2945" si="315">IF(A2882&lt;&gt;"",IF(FIND(" ",G2882)&gt;=1,MID(G2882,FIND(" ",G2882)+1,LEN(G2882)),""),"")</f>
        <v/>
      </c>
      <c r="Y2882" s="60">
        <f t="shared" si="312"/>
        <v>0</v>
      </c>
      <c r="Z2882" s="49">
        <f t="shared" si="313"/>
        <v>0</v>
      </c>
      <c r="AA2882" s="60">
        <f t="shared" si="314"/>
        <v>0</v>
      </c>
    </row>
    <row r="2883" spans="1:27">
      <c r="A2883" s="83" t="str">
        <f t="shared" ref="A2883:A2946" si="316">IF(G2883&amp;Q2883&lt;&gt;"",S2883&amp;Q2883,"")</f>
        <v/>
      </c>
      <c r="B2883" s="83" t="str">
        <f t="shared" ref="B2883:B2946" si="317">IF(C2883&lt;&gt;"",LEFT(C2883,9),"")</f>
        <v/>
      </c>
      <c r="S2883" s="83" t="str">
        <f t="shared" ref="S2883:S2946" si="318">IF(G2883&lt;&gt;"",IF(FIND(" ",G2883)&gt;=1,MID(G2883,1,FIND(" ",G2883)-1),G2883),"")</f>
        <v/>
      </c>
      <c r="T2883" s="83" t="str">
        <f t="shared" si="315"/>
        <v/>
      </c>
      <c r="Y2883" s="60">
        <f t="shared" ref="Y2883:Y2946" si="319">IFERROR(VALUE(MID($C2883,1,2)),0)</f>
        <v>0</v>
      </c>
      <c r="Z2883" s="49">
        <f t="shared" ref="Z2883:Z2946" si="320">IFERROR(VALUE(MID($C2883,4,3)),0)</f>
        <v>0</v>
      </c>
      <c r="AA2883" s="60">
        <f t="shared" ref="AA2883:AA2946" si="321">VALUE(RIGHT("00"&amp;Y2883,2)&amp;RIGHT("000"&amp;Z2883,3))</f>
        <v>0</v>
      </c>
    </row>
    <row r="2884" spans="1:27">
      <c r="A2884" s="83" t="str">
        <f t="shared" si="316"/>
        <v/>
      </c>
      <c r="B2884" s="83" t="str">
        <f t="shared" si="317"/>
        <v/>
      </c>
      <c r="S2884" s="83" t="str">
        <f t="shared" si="318"/>
        <v/>
      </c>
      <c r="T2884" s="83" t="str">
        <f t="shared" si="315"/>
        <v/>
      </c>
      <c r="Y2884" s="60">
        <f t="shared" si="319"/>
        <v>0</v>
      </c>
      <c r="Z2884" s="49">
        <f t="shared" si="320"/>
        <v>0</v>
      </c>
      <c r="AA2884" s="60">
        <f t="shared" si="321"/>
        <v>0</v>
      </c>
    </row>
    <row r="2885" spans="1:27">
      <c r="A2885" s="83" t="str">
        <f t="shared" si="316"/>
        <v/>
      </c>
      <c r="B2885" s="83" t="str">
        <f t="shared" si="317"/>
        <v/>
      </c>
      <c r="S2885" s="83" t="str">
        <f t="shared" si="318"/>
        <v/>
      </c>
      <c r="T2885" s="83" t="str">
        <f t="shared" si="315"/>
        <v/>
      </c>
      <c r="Y2885" s="60">
        <f t="shared" si="319"/>
        <v>0</v>
      </c>
      <c r="Z2885" s="49">
        <f t="shared" si="320"/>
        <v>0</v>
      </c>
      <c r="AA2885" s="60">
        <f t="shared" si="321"/>
        <v>0</v>
      </c>
    </row>
    <row r="2886" spans="1:27">
      <c r="A2886" s="83" t="str">
        <f t="shared" si="316"/>
        <v/>
      </c>
      <c r="B2886" s="83" t="str">
        <f t="shared" si="317"/>
        <v/>
      </c>
      <c r="S2886" s="83" t="str">
        <f t="shared" si="318"/>
        <v/>
      </c>
      <c r="T2886" s="83" t="str">
        <f t="shared" si="315"/>
        <v/>
      </c>
      <c r="Y2886" s="60">
        <f t="shared" si="319"/>
        <v>0</v>
      </c>
      <c r="Z2886" s="49">
        <f t="shared" si="320"/>
        <v>0</v>
      </c>
      <c r="AA2886" s="60">
        <f t="shared" si="321"/>
        <v>0</v>
      </c>
    </row>
    <row r="2887" spans="1:27">
      <c r="A2887" s="83" t="str">
        <f t="shared" si="316"/>
        <v/>
      </c>
      <c r="B2887" s="83" t="str">
        <f t="shared" si="317"/>
        <v/>
      </c>
      <c r="S2887" s="83" t="str">
        <f t="shared" si="318"/>
        <v/>
      </c>
      <c r="T2887" s="83" t="str">
        <f t="shared" si="315"/>
        <v/>
      </c>
      <c r="Y2887" s="60">
        <f t="shared" si="319"/>
        <v>0</v>
      </c>
      <c r="Z2887" s="49">
        <f t="shared" si="320"/>
        <v>0</v>
      </c>
      <c r="AA2887" s="60">
        <f t="shared" si="321"/>
        <v>0</v>
      </c>
    </row>
    <row r="2888" spans="1:27">
      <c r="A2888" s="83" t="str">
        <f t="shared" si="316"/>
        <v/>
      </c>
      <c r="B2888" s="83" t="str">
        <f t="shared" si="317"/>
        <v/>
      </c>
      <c r="S2888" s="83" t="str">
        <f t="shared" si="318"/>
        <v/>
      </c>
      <c r="T2888" s="83" t="str">
        <f t="shared" si="315"/>
        <v/>
      </c>
      <c r="Y2888" s="60">
        <f t="shared" si="319"/>
        <v>0</v>
      </c>
      <c r="Z2888" s="49">
        <f t="shared" si="320"/>
        <v>0</v>
      </c>
      <c r="AA2888" s="60">
        <f t="shared" si="321"/>
        <v>0</v>
      </c>
    </row>
    <row r="2889" spans="1:27">
      <c r="A2889" s="83" t="str">
        <f t="shared" si="316"/>
        <v/>
      </c>
      <c r="B2889" s="83" t="str">
        <f t="shared" si="317"/>
        <v/>
      </c>
      <c r="S2889" s="83" t="str">
        <f t="shared" si="318"/>
        <v/>
      </c>
      <c r="T2889" s="83" t="str">
        <f t="shared" si="315"/>
        <v/>
      </c>
      <c r="Y2889" s="60">
        <f t="shared" si="319"/>
        <v>0</v>
      </c>
      <c r="Z2889" s="49">
        <f t="shared" si="320"/>
        <v>0</v>
      </c>
      <c r="AA2889" s="60">
        <f t="shared" si="321"/>
        <v>0</v>
      </c>
    </row>
    <row r="2890" spans="1:27">
      <c r="A2890" s="83" t="str">
        <f t="shared" si="316"/>
        <v/>
      </c>
      <c r="B2890" s="83" t="str">
        <f t="shared" si="317"/>
        <v/>
      </c>
      <c r="S2890" s="83" t="str">
        <f t="shared" si="318"/>
        <v/>
      </c>
      <c r="T2890" s="83" t="str">
        <f t="shared" si="315"/>
        <v/>
      </c>
      <c r="Y2890" s="60">
        <f t="shared" si="319"/>
        <v>0</v>
      </c>
      <c r="Z2890" s="49">
        <f t="shared" si="320"/>
        <v>0</v>
      </c>
      <c r="AA2890" s="60">
        <f t="shared" si="321"/>
        <v>0</v>
      </c>
    </row>
    <row r="2891" spans="1:27">
      <c r="A2891" s="83" t="str">
        <f t="shared" si="316"/>
        <v/>
      </c>
      <c r="B2891" s="83" t="str">
        <f t="shared" si="317"/>
        <v/>
      </c>
      <c r="S2891" s="83" t="str">
        <f t="shared" si="318"/>
        <v/>
      </c>
      <c r="T2891" s="83" t="str">
        <f t="shared" si="315"/>
        <v/>
      </c>
      <c r="Y2891" s="60">
        <f t="shared" si="319"/>
        <v>0</v>
      </c>
      <c r="Z2891" s="49">
        <f t="shared" si="320"/>
        <v>0</v>
      </c>
      <c r="AA2891" s="60">
        <f t="shared" si="321"/>
        <v>0</v>
      </c>
    </row>
    <row r="2892" spans="1:27">
      <c r="A2892" s="83" t="str">
        <f t="shared" si="316"/>
        <v/>
      </c>
      <c r="B2892" s="83" t="str">
        <f t="shared" si="317"/>
        <v/>
      </c>
      <c r="S2892" s="83" t="str">
        <f t="shared" si="318"/>
        <v/>
      </c>
      <c r="T2892" s="83" t="str">
        <f t="shared" si="315"/>
        <v/>
      </c>
      <c r="Y2892" s="60">
        <f t="shared" si="319"/>
        <v>0</v>
      </c>
      <c r="Z2892" s="49">
        <f t="shared" si="320"/>
        <v>0</v>
      </c>
      <c r="AA2892" s="60">
        <f t="shared" si="321"/>
        <v>0</v>
      </c>
    </row>
    <row r="2893" spans="1:27">
      <c r="A2893" s="83" t="str">
        <f t="shared" si="316"/>
        <v/>
      </c>
      <c r="B2893" s="83" t="str">
        <f t="shared" si="317"/>
        <v/>
      </c>
      <c r="S2893" s="83" t="str">
        <f t="shared" si="318"/>
        <v/>
      </c>
      <c r="T2893" s="83" t="str">
        <f t="shared" si="315"/>
        <v/>
      </c>
      <c r="Y2893" s="60">
        <f t="shared" si="319"/>
        <v>0</v>
      </c>
      <c r="Z2893" s="49">
        <f t="shared" si="320"/>
        <v>0</v>
      </c>
      <c r="AA2893" s="60">
        <f t="shared" si="321"/>
        <v>0</v>
      </c>
    </row>
    <row r="2894" spans="1:27">
      <c r="A2894" s="83" t="str">
        <f t="shared" si="316"/>
        <v/>
      </c>
      <c r="B2894" s="83" t="str">
        <f t="shared" si="317"/>
        <v/>
      </c>
      <c r="S2894" s="83" t="str">
        <f t="shared" si="318"/>
        <v/>
      </c>
      <c r="T2894" s="83" t="str">
        <f t="shared" si="315"/>
        <v/>
      </c>
      <c r="Y2894" s="60">
        <f t="shared" si="319"/>
        <v>0</v>
      </c>
      <c r="Z2894" s="49">
        <f t="shared" si="320"/>
        <v>0</v>
      </c>
      <c r="AA2894" s="60">
        <f t="shared" si="321"/>
        <v>0</v>
      </c>
    </row>
    <row r="2895" spans="1:27">
      <c r="A2895" s="83" t="str">
        <f t="shared" si="316"/>
        <v/>
      </c>
      <c r="B2895" s="83" t="str">
        <f t="shared" si="317"/>
        <v/>
      </c>
      <c r="S2895" s="83" t="str">
        <f t="shared" si="318"/>
        <v/>
      </c>
      <c r="T2895" s="83" t="str">
        <f t="shared" si="315"/>
        <v/>
      </c>
      <c r="Y2895" s="60">
        <f t="shared" si="319"/>
        <v>0</v>
      </c>
      <c r="Z2895" s="49">
        <f t="shared" si="320"/>
        <v>0</v>
      </c>
      <c r="AA2895" s="60">
        <f t="shared" si="321"/>
        <v>0</v>
      </c>
    </row>
    <row r="2896" spans="1:27">
      <c r="A2896" s="83" t="str">
        <f t="shared" si="316"/>
        <v/>
      </c>
      <c r="B2896" s="83" t="str">
        <f t="shared" si="317"/>
        <v/>
      </c>
      <c r="S2896" s="83" t="str">
        <f t="shared" si="318"/>
        <v/>
      </c>
      <c r="T2896" s="83" t="str">
        <f t="shared" si="315"/>
        <v/>
      </c>
      <c r="Y2896" s="60">
        <f t="shared" si="319"/>
        <v>0</v>
      </c>
      <c r="Z2896" s="49">
        <f t="shared" si="320"/>
        <v>0</v>
      </c>
      <c r="AA2896" s="60">
        <f t="shared" si="321"/>
        <v>0</v>
      </c>
    </row>
    <row r="2897" spans="1:27">
      <c r="A2897" s="83" t="str">
        <f t="shared" si="316"/>
        <v/>
      </c>
      <c r="B2897" s="83" t="str">
        <f t="shared" si="317"/>
        <v/>
      </c>
      <c r="S2897" s="83" t="str">
        <f t="shared" si="318"/>
        <v/>
      </c>
      <c r="T2897" s="83" t="str">
        <f t="shared" si="315"/>
        <v/>
      </c>
      <c r="Y2897" s="60">
        <f t="shared" si="319"/>
        <v>0</v>
      </c>
      <c r="Z2897" s="49">
        <f t="shared" si="320"/>
        <v>0</v>
      </c>
      <c r="AA2897" s="60">
        <f t="shared" si="321"/>
        <v>0</v>
      </c>
    </row>
    <row r="2898" spans="1:27">
      <c r="A2898" s="83" t="str">
        <f t="shared" si="316"/>
        <v/>
      </c>
      <c r="B2898" s="83" t="str">
        <f t="shared" si="317"/>
        <v/>
      </c>
      <c r="S2898" s="83" t="str">
        <f t="shared" si="318"/>
        <v/>
      </c>
      <c r="T2898" s="83" t="str">
        <f t="shared" si="315"/>
        <v/>
      </c>
      <c r="Y2898" s="60">
        <f t="shared" si="319"/>
        <v>0</v>
      </c>
      <c r="Z2898" s="49">
        <f t="shared" si="320"/>
        <v>0</v>
      </c>
      <c r="AA2898" s="60">
        <f t="shared" si="321"/>
        <v>0</v>
      </c>
    </row>
    <row r="2899" spans="1:27">
      <c r="A2899" s="83" t="str">
        <f t="shared" si="316"/>
        <v/>
      </c>
      <c r="B2899" s="83" t="str">
        <f t="shared" si="317"/>
        <v/>
      </c>
      <c r="S2899" s="83" t="str">
        <f t="shared" si="318"/>
        <v/>
      </c>
      <c r="T2899" s="83" t="str">
        <f t="shared" si="315"/>
        <v/>
      </c>
      <c r="Y2899" s="60">
        <f t="shared" si="319"/>
        <v>0</v>
      </c>
      <c r="Z2899" s="49">
        <f t="shared" si="320"/>
        <v>0</v>
      </c>
      <c r="AA2899" s="60">
        <f t="shared" si="321"/>
        <v>0</v>
      </c>
    </row>
    <row r="2900" spans="1:27">
      <c r="A2900" s="83" t="str">
        <f t="shared" si="316"/>
        <v/>
      </c>
      <c r="B2900" s="83" t="str">
        <f t="shared" si="317"/>
        <v/>
      </c>
      <c r="S2900" s="83" t="str">
        <f t="shared" si="318"/>
        <v/>
      </c>
      <c r="T2900" s="83" t="str">
        <f t="shared" si="315"/>
        <v/>
      </c>
      <c r="Y2900" s="60">
        <f t="shared" si="319"/>
        <v>0</v>
      </c>
      <c r="Z2900" s="49">
        <f t="shared" si="320"/>
        <v>0</v>
      </c>
      <c r="AA2900" s="60">
        <f t="shared" si="321"/>
        <v>0</v>
      </c>
    </row>
    <row r="2901" spans="1:27">
      <c r="A2901" s="83" t="str">
        <f t="shared" si="316"/>
        <v/>
      </c>
      <c r="B2901" s="83" t="str">
        <f t="shared" si="317"/>
        <v/>
      </c>
      <c r="S2901" s="83" t="str">
        <f t="shared" si="318"/>
        <v/>
      </c>
      <c r="T2901" s="83" t="str">
        <f t="shared" si="315"/>
        <v/>
      </c>
      <c r="Y2901" s="60">
        <f t="shared" si="319"/>
        <v>0</v>
      </c>
      <c r="Z2901" s="49">
        <f t="shared" si="320"/>
        <v>0</v>
      </c>
      <c r="AA2901" s="60">
        <f t="shared" si="321"/>
        <v>0</v>
      </c>
    </row>
    <row r="2902" spans="1:27">
      <c r="A2902" s="83" t="str">
        <f t="shared" si="316"/>
        <v/>
      </c>
      <c r="B2902" s="83" t="str">
        <f t="shared" si="317"/>
        <v/>
      </c>
      <c r="S2902" s="83" t="str">
        <f t="shared" si="318"/>
        <v/>
      </c>
      <c r="T2902" s="83" t="str">
        <f t="shared" si="315"/>
        <v/>
      </c>
      <c r="Y2902" s="60">
        <f t="shared" si="319"/>
        <v>0</v>
      </c>
      <c r="Z2902" s="49">
        <f t="shared" si="320"/>
        <v>0</v>
      </c>
      <c r="AA2902" s="60">
        <f t="shared" si="321"/>
        <v>0</v>
      </c>
    </row>
    <row r="2903" spans="1:27">
      <c r="A2903" s="83" t="str">
        <f t="shared" si="316"/>
        <v/>
      </c>
      <c r="B2903" s="83" t="str">
        <f t="shared" si="317"/>
        <v/>
      </c>
      <c r="S2903" s="83" t="str">
        <f t="shared" si="318"/>
        <v/>
      </c>
      <c r="T2903" s="83" t="str">
        <f t="shared" si="315"/>
        <v/>
      </c>
      <c r="Y2903" s="60">
        <f t="shared" si="319"/>
        <v>0</v>
      </c>
      <c r="Z2903" s="49">
        <f t="shared" si="320"/>
        <v>0</v>
      </c>
      <c r="AA2903" s="60">
        <f t="shared" si="321"/>
        <v>0</v>
      </c>
    </row>
    <row r="2904" spans="1:27">
      <c r="A2904" s="83" t="str">
        <f t="shared" si="316"/>
        <v/>
      </c>
      <c r="B2904" s="83" t="str">
        <f t="shared" si="317"/>
        <v/>
      </c>
      <c r="S2904" s="83" t="str">
        <f t="shared" si="318"/>
        <v/>
      </c>
      <c r="T2904" s="83" t="str">
        <f t="shared" si="315"/>
        <v/>
      </c>
      <c r="Y2904" s="60">
        <f t="shared" si="319"/>
        <v>0</v>
      </c>
      <c r="Z2904" s="49">
        <f t="shared" si="320"/>
        <v>0</v>
      </c>
      <c r="AA2904" s="60">
        <f t="shared" si="321"/>
        <v>0</v>
      </c>
    </row>
    <row r="2905" spans="1:27">
      <c r="A2905" s="83" t="str">
        <f t="shared" si="316"/>
        <v/>
      </c>
      <c r="B2905" s="83" t="str">
        <f t="shared" si="317"/>
        <v/>
      </c>
      <c r="S2905" s="83" t="str">
        <f t="shared" si="318"/>
        <v/>
      </c>
      <c r="T2905" s="83" t="str">
        <f t="shared" si="315"/>
        <v/>
      </c>
      <c r="Y2905" s="60">
        <f t="shared" si="319"/>
        <v>0</v>
      </c>
      <c r="Z2905" s="49">
        <f t="shared" si="320"/>
        <v>0</v>
      </c>
      <c r="AA2905" s="60">
        <f t="shared" si="321"/>
        <v>0</v>
      </c>
    </row>
    <row r="2906" spans="1:27">
      <c r="A2906" s="83" t="str">
        <f t="shared" si="316"/>
        <v/>
      </c>
      <c r="B2906" s="83" t="str">
        <f t="shared" si="317"/>
        <v/>
      </c>
      <c r="S2906" s="83" t="str">
        <f t="shared" si="318"/>
        <v/>
      </c>
      <c r="T2906" s="83" t="str">
        <f t="shared" si="315"/>
        <v/>
      </c>
      <c r="Y2906" s="60">
        <f t="shared" si="319"/>
        <v>0</v>
      </c>
      <c r="Z2906" s="49">
        <f t="shared" si="320"/>
        <v>0</v>
      </c>
      <c r="AA2906" s="60">
        <f t="shared" si="321"/>
        <v>0</v>
      </c>
    </row>
    <row r="2907" spans="1:27">
      <c r="A2907" s="83" t="str">
        <f t="shared" si="316"/>
        <v/>
      </c>
      <c r="B2907" s="83" t="str">
        <f t="shared" si="317"/>
        <v/>
      </c>
      <c r="S2907" s="83" t="str">
        <f t="shared" si="318"/>
        <v/>
      </c>
      <c r="T2907" s="83" t="str">
        <f t="shared" si="315"/>
        <v/>
      </c>
      <c r="Y2907" s="60">
        <f t="shared" si="319"/>
        <v>0</v>
      </c>
      <c r="Z2907" s="49">
        <f t="shared" si="320"/>
        <v>0</v>
      </c>
      <c r="AA2907" s="60">
        <f t="shared" si="321"/>
        <v>0</v>
      </c>
    </row>
    <row r="2908" spans="1:27">
      <c r="A2908" s="83" t="str">
        <f t="shared" si="316"/>
        <v/>
      </c>
      <c r="B2908" s="83" t="str">
        <f t="shared" si="317"/>
        <v/>
      </c>
      <c r="S2908" s="83" t="str">
        <f t="shared" si="318"/>
        <v/>
      </c>
      <c r="T2908" s="83" t="str">
        <f t="shared" si="315"/>
        <v/>
      </c>
      <c r="Y2908" s="60">
        <f t="shared" si="319"/>
        <v>0</v>
      </c>
      <c r="Z2908" s="49">
        <f t="shared" si="320"/>
        <v>0</v>
      </c>
      <c r="AA2908" s="60">
        <f t="shared" si="321"/>
        <v>0</v>
      </c>
    </row>
    <row r="2909" spans="1:27">
      <c r="A2909" s="83" t="str">
        <f t="shared" si="316"/>
        <v/>
      </c>
      <c r="B2909" s="83" t="str">
        <f t="shared" si="317"/>
        <v/>
      </c>
      <c r="S2909" s="83" t="str">
        <f t="shared" si="318"/>
        <v/>
      </c>
      <c r="T2909" s="83" t="str">
        <f t="shared" si="315"/>
        <v/>
      </c>
      <c r="Y2909" s="60">
        <f t="shared" si="319"/>
        <v>0</v>
      </c>
      <c r="Z2909" s="49">
        <f t="shared" si="320"/>
        <v>0</v>
      </c>
      <c r="AA2909" s="60">
        <f t="shared" si="321"/>
        <v>0</v>
      </c>
    </row>
    <row r="2910" spans="1:27">
      <c r="A2910" s="83" t="str">
        <f t="shared" si="316"/>
        <v/>
      </c>
      <c r="B2910" s="83" t="str">
        <f t="shared" si="317"/>
        <v/>
      </c>
      <c r="S2910" s="83" t="str">
        <f t="shared" si="318"/>
        <v/>
      </c>
      <c r="T2910" s="83" t="str">
        <f t="shared" si="315"/>
        <v/>
      </c>
      <c r="Y2910" s="60">
        <f t="shared" si="319"/>
        <v>0</v>
      </c>
      <c r="Z2910" s="49">
        <f t="shared" si="320"/>
        <v>0</v>
      </c>
      <c r="AA2910" s="60">
        <f t="shared" si="321"/>
        <v>0</v>
      </c>
    </row>
    <row r="2911" spans="1:27">
      <c r="A2911" s="83" t="str">
        <f t="shared" si="316"/>
        <v/>
      </c>
      <c r="B2911" s="83" t="str">
        <f t="shared" si="317"/>
        <v/>
      </c>
      <c r="S2911" s="83" t="str">
        <f t="shared" si="318"/>
        <v/>
      </c>
      <c r="T2911" s="83" t="str">
        <f t="shared" si="315"/>
        <v/>
      </c>
      <c r="Y2911" s="60">
        <f t="shared" si="319"/>
        <v>0</v>
      </c>
      <c r="Z2911" s="49">
        <f t="shared" si="320"/>
        <v>0</v>
      </c>
      <c r="AA2911" s="60">
        <f t="shared" si="321"/>
        <v>0</v>
      </c>
    </row>
    <row r="2912" spans="1:27">
      <c r="A2912" s="83" t="str">
        <f t="shared" si="316"/>
        <v/>
      </c>
      <c r="B2912" s="83" t="str">
        <f t="shared" si="317"/>
        <v/>
      </c>
      <c r="S2912" s="83" t="str">
        <f t="shared" si="318"/>
        <v/>
      </c>
      <c r="T2912" s="83" t="str">
        <f t="shared" si="315"/>
        <v/>
      </c>
      <c r="Y2912" s="60">
        <f t="shared" si="319"/>
        <v>0</v>
      </c>
      <c r="Z2912" s="49">
        <f t="shared" si="320"/>
        <v>0</v>
      </c>
      <c r="AA2912" s="60">
        <f t="shared" si="321"/>
        <v>0</v>
      </c>
    </row>
    <row r="2913" spans="1:27">
      <c r="A2913" s="83" t="str">
        <f t="shared" si="316"/>
        <v/>
      </c>
      <c r="B2913" s="83" t="str">
        <f t="shared" si="317"/>
        <v/>
      </c>
      <c r="S2913" s="83" t="str">
        <f t="shared" si="318"/>
        <v/>
      </c>
      <c r="T2913" s="83" t="str">
        <f t="shared" si="315"/>
        <v/>
      </c>
      <c r="Y2913" s="60">
        <f t="shared" si="319"/>
        <v>0</v>
      </c>
      <c r="Z2913" s="49">
        <f t="shared" si="320"/>
        <v>0</v>
      </c>
      <c r="AA2913" s="60">
        <f t="shared" si="321"/>
        <v>0</v>
      </c>
    </row>
    <row r="2914" spans="1:27">
      <c r="A2914" s="83" t="str">
        <f t="shared" si="316"/>
        <v/>
      </c>
      <c r="B2914" s="83" t="str">
        <f t="shared" si="317"/>
        <v/>
      </c>
      <c r="S2914" s="83" t="str">
        <f t="shared" si="318"/>
        <v/>
      </c>
      <c r="T2914" s="83" t="str">
        <f t="shared" si="315"/>
        <v/>
      </c>
      <c r="Y2914" s="60">
        <f t="shared" si="319"/>
        <v>0</v>
      </c>
      <c r="Z2914" s="49">
        <f t="shared" si="320"/>
        <v>0</v>
      </c>
      <c r="AA2914" s="60">
        <f t="shared" si="321"/>
        <v>0</v>
      </c>
    </row>
    <row r="2915" spans="1:27">
      <c r="A2915" s="83" t="str">
        <f t="shared" si="316"/>
        <v/>
      </c>
      <c r="B2915" s="83" t="str">
        <f t="shared" si="317"/>
        <v/>
      </c>
      <c r="S2915" s="83" t="str">
        <f t="shared" si="318"/>
        <v/>
      </c>
      <c r="T2915" s="83" t="str">
        <f t="shared" si="315"/>
        <v/>
      </c>
      <c r="Y2915" s="60">
        <f t="shared" si="319"/>
        <v>0</v>
      </c>
      <c r="Z2915" s="49">
        <f t="shared" si="320"/>
        <v>0</v>
      </c>
      <c r="AA2915" s="60">
        <f t="shared" si="321"/>
        <v>0</v>
      </c>
    </row>
    <row r="2916" spans="1:27">
      <c r="A2916" s="83" t="str">
        <f t="shared" si="316"/>
        <v/>
      </c>
      <c r="B2916" s="83" t="str">
        <f t="shared" si="317"/>
        <v/>
      </c>
      <c r="S2916" s="83" t="str">
        <f t="shared" si="318"/>
        <v/>
      </c>
      <c r="T2916" s="83" t="str">
        <f t="shared" si="315"/>
        <v/>
      </c>
      <c r="Y2916" s="60">
        <f t="shared" si="319"/>
        <v>0</v>
      </c>
      <c r="Z2916" s="49">
        <f t="shared" si="320"/>
        <v>0</v>
      </c>
      <c r="AA2916" s="60">
        <f t="shared" si="321"/>
        <v>0</v>
      </c>
    </row>
    <row r="2917" spans="1:27">
      <c r="A2917" s="83" t="str">
        <f t="shared" si="316"/>
        <v/>
      </c>
      <c r="B2917" s="83" t="str">
        <f t="shared" si="317"/>
        <v/>
      </c>
      <c r="S2917" s="83" t="str">
        <f t="shared" si="318"/>
        <v/>
      </c>
      <c r="T2917" s="83" t="str">
        <f t="shared" si="315"/>
        <v/>
      </c>
      <c r="Y2917" s="60">
        <f t="shared" si="319"/>
        <v>0</v>
      </c>
      <c r="Z2917" s="49">
        <f t="shared" si="320"/>
        <v>0</v>
      </c>
      <c r="AA2917" s="60">
        <f t="shared" si="321"/>
        <v>0</v>
      </c>
    </row>
    <row r="2918" spans="1:27">
      <c r="A2918" s="83" t="str">
        <f t="shared" si="316"/>
        <v/>
      </c>
      <c r="B2918" s="83" t="str">
        <f t="shared" si="317"/>
        <v/>
      </c>
      <c r="S2918" s="83" t="str">
        <f t="shared" si="318"/>
        <v/>
      </c>
      <c r="T2918" s="83" t="str">
        <f t="shared" si="315"/>
        <v/>
      </c>
      <c r="Y2918" s="60">
        <f t="shared" si="319"/>
        <v>0</v>
      </c>
      <c r="Z2918" s="49">
        <f t="shared" si="320"/>
        <v>0</v>
      </c>
      <c r="AA2918" s="60">
        <f t="shared" si="321"/>
        <v>0</v>
      </c>
    </row>
    <row r="2919" spans="1:27">
      <c r="A2919" s="83" t="str">
        <f t="shared" si="316"/>
        <v/>
      </c>
      <c r="B2919" s="83" t="str">
        <f t="shared" si="317"/>
        <v/>
      </c>
      <c r="S2919" s="83" t="str">
        <f t="shared" si="318"/>
        <v/>
      </c>
      <c r="T2919" s="83" t="str">
        <f t="shared" si="315"/>
        <v/>
      </c>
      <c r="Y2919" s="60">
        <f t="shared" si="319"/>
        <v>0</v>
      </c>
      <c r="Z2919" s="49">
        <f t="shared" si="320"/>
        <v>0</v>
      </c>
      <c r="AA2919" s="60">
        <f t="shared" si="321"/>
        <v>0</v>
      </c>
    </row>
    <row r="2920" spans="1:27">
      <c r="A2920" s="83" t="str">
        <f t="shared" si="316"/>
        <v/>
      </c>
      <c r="B2920" s="83" t="str">
        <f t="shared" si="317"/>
        <v/>
      </c>
      <c r="S2920" s="83" t="str">
        <f t="shared" si="318"/>
        <v/>
      </c>
      <c r="T2920" s="83" t="str">
        <f t="shared" si="315"/>
        <v/>
      </c>
      <c r="Y2920" s="60">
        <f t="shared" si="319"/>
        <v>0</v>
      </c>
      <c r="Z2920" s="49">
        <f t="shared" si="320"/>
        <v>0</v>
      </c>
      <c r="AA2920" s="60">
        <f t="shared" si="321"/>
        <v>0</v>
      </c>
    </row>
    <row r="2921" spans="1:27">
      <c r="A2921" s="83" t="str">
        <f t="shared" si="316"/>
        <v/>
      </c>
      <c r="B2921" s="83" t="str">
        <f t="shared" si="317"/>
        <v/>
      </c>
      <c r="S2921" s="83" t="str">
        <f t="shared" si="318"/>
        <v/>
      </c>
      <c r="T2921" s="83" t="str">
        <f t="shared" si="315"/>
        <v/>
      </c>
      <c r="Y2921" s="60">
        <f t="shared" si="319"/>
        <v>0</v>
      </c>
      <c r="Z2921" s="49">
        <f t="shared" si="320"/>
        <v>0</v>
      </c>
      <c r="AA2921" s="60">
        <f t="shared" si="321"/>
        <v>0</v>
      </c>
    </row>
    <row r="2922" spans="1:27">
      <c r="A2922" s="83" t="str">
        <f t="shared" si="316"/>
        <v/>
      </c>
      <c r="B2922" s="83" t="str">
        <f t="shared" si="317"/>
        <v/>
      </c>
      <c r="S2922" s="83" t="str">
        <f t="shared" si="318"/>
        <v/>
      </c>
      <c r="T2922" s="83" t="str">
        <f t="shared" si="315"/>
        <v/>
      </c>
      <c r="Y2922" s="60">
        <f t="shared" si="319"/>
        <v>0</v>
      </c>
      <c r="Z2922" s="49">
        <f t="shared" si="320"/>
        <v>0</v>
      </c>
      <c r="AA2922" s="60">
        <f t="shared" si="321"/>
        <v>0</v>
      </c>
    </row>
    <row r="2923" spans="1:27">
      <c r="A2923" s="83" t="str">
        <f t="shared" si="316"/>
        <v/>
      </c>
      <c r="B2923" s="83" t="str">
        <f t="shared" si="317"/>
        <v/>
      </c>
      <c r="S2923" s="83" t="str">
        <f t="shared" si="318"/>
        <v/>
      </c>
      <c r="T2923" s="83" t="str">
        <f t="shared" si="315"/>
        <v/>
      </c>
      <c r="Y2923" s="60">
        <f t="shared" si="319"/>
        <v>0</v>
      </c>
      <c r="Z2923" s="49">
        <f t="shared" si="320"/>
        <v>0</v>
      </c>
      <c r="AA2923" s="60">
        <f t="shared" si="321"/>
        <v>0</v>
      </c>
    </row>
    <row r="2924" spans="1:27">
      <c r="A2924" s="83" t="str">
        <f t="shared" si="316"/>
        <v/>
      </c>
      <c r="B2924" s="83" t="str">
        <f t="shared" si="317"/>
        <v/>
      </c>
      <c r="S2924" s="83" t="str">
        <f t="shared" si="318"/>
        <v/>
      </c>
      <c r="T2924" s="83" t="str">
        <f t="shared" si="315"/>
        <v/>
      </c>
      <c r="Y2924" s="60">
        <f t="shared" si="319"/>
        <v>0</v>
      </c>
      <c r="Z2924" s="49">
        <f t="shared" si="320"/>
        <v>0</v>
      </c>
      <c r="AA2924" s="60">
        <f t="shared" si="321"/>
        <v>0</v>
      </c>
    </row>
    <row r="2925" spans="1:27">
      <c r="A2925" s="83" t="str">
        <f t="shared" si="316"/>
        <v/>
      </c>
      <c r="B2925" s="83" t="str">
        <f t="shared" si="317"/>
        <v/>
      </c>
      <c r="S2925" s="83" t="str">
        <f t="shared" si="318"/>
        <v/>
      </c>
      <c r="T2925" s="83" t="str">
        <f t="shared" si="315"/>
        <v/>
      </c>
      <c r="Y2925" s="60">
        <f t="shared" si="319"/>
        <v>0</v>
      </c>
      <c r="Z2925" s="49">
        <f t="shared" si="320"/>
        <v>0</v>
      </c>
      <c r="AA2925" s="60">
        <f t="shared" si="321"/>
        <v>0</v>
      </c>
    </row>
    <row r="2926" spans="1:27">
      <c r="A2926" s="83" t="str">
        <f t="shared" si="316"/>
        <v/>
      </c>
      <c r="B2926" s="83" t="str">
        <f t="shared" si="317"/>
        <v/>
      </c>
      <c r="S2926" s="83" t="str">
        <f t="shared" si="318"/>
        <v/>
      </c>
      <c r="T2926" s="83" t="str">
        <f t="shared" si="315"/>
        <v/>
      </c>
      <c r="Y2926" s="60">
        <f t="shared" si="319"/>
        <v>0</v>
      </c>
      <c r="Z2926" s="49">
        <f t="shared" si="320"/>
        <v>0</v>
      </c>
      <c r="AA2926" s="60">
        <f t="shared" si="321"/>
        <v>0</v>
      </c>
    </row>
    <row r="2927" spans="1:27">
      <c r="A2927" s="83" t="str">
        <f t="shared" si="316"/>
        <v/>
      </c>
      <c r="B2927" s="83" t="str">
        <f t="shared" si="317"/>
        <v/>
      </c>
      <c r="S2927" s="83" t="str">
        <f t="shared" si="318"/>
        <v/>
      </c>
      <c r="T2927" s="83" t="str">
        <f t="shared" si="315"/>
        <v/>
      </c>
      <c r="Y2927" s="60">
        <f t="shared" si="319"/>
        <v>0</v>
      </c>
      <c r="Z2927" s="49">
        <f t="shared" si="320"/>
        <v>0</v>
      </c>
      <c r="AA2927" s="60">
        <f t="shared" si="321"/>
        <v>0</v>
      </c>
    </row>
    <row r="2928" spans="1:27">
      <c r="A2928" s="83" t="str">
        <f t="shared" si="316"/>
        <v/>
      </c>
      <c r="B2928" s="83" t="str">
        <f t="shared" si="317"/>
        <v/>
      </c>
      <c r="S2928" s="83" t="str">
        <f t="shared" si="318"/>
        <v/>
      </c>
      <c r="T2928" s="83" t="str">
        <f t="shared" si="315"/>
        <v/>
      </c>
      <c r="Y2928" s="60">
        <f t="shared" si="319"/>
        <v>0</v>
      </c>
      <c r="Z2928" s="49">
        <f t="shared" si="320"/>
        <v>0</v>
      </c>
      <c r="AA2928" s="60">
        <f t="shared" si="321"/>
        <v>0</v>
      </c>
    </row>
    <row r="2929" spans="1:27">
      <c r="A2929" s="83" t="str">
        <f t="shared" si="316"/>
        <v/>
      </c>
      <c r="B2929" s="83" t="str">
        <f t="shared" si="317"/>
        <v/>
      </c>
      <c r="S2929" s="83" t="str">
        <f t="shared" si="318"/>
        <v/>
      </c>
      <c r="T2929" s="83" t="str">
        <f t="shared" si="315"/>
        <v/>
      </c>
      <c r="Y2929" s="60">
        <f t="shared" si="319"/>
        <v>0</v>
      </c>
      <c r="Z2929" s="49">
        <f t="shared" si="320"/>
        <v>0</v>
      </c>
      <c r="AA2929" s="60">
        <f t="shared" si="321"/>
        <v>0</v>
      </c>
    </row>
    <row r="2930" spans="1:27">
      <c r="A2930" s="83" t="str">
        <f t="shared" si="316"/>
        <v/>
      </c>
      <c r="B2930" s="83" t="str">
        <f t="shared" si="317"/>
        <v/>
      </c>
      <c r="S2930" s="83" t="str">
        <f t="shared" si="318"/>
        <v/>
      </c>
      <c r="T2930" s="83" t="str">
        <f t="shared" si="315"/>
        <v/>
      </c>
      <c r="Y2930" s="60">
        <f t="shared" si="319"/>
        <v>0</v>
      </c>
      <c r="Z2930" s="49">
        <f t="shared" si="320"/>
        <v>0</v>
      </c>
      <c r="AA2930" s="60">
        <f t="shared" si="321"/>
        <v>0</v>
      </c>
    </row>
    <row r="2931" spans="1:27">
      <c r="A2931" s="83" t="str">
        <f t="shared" si="316"/>
        <v/>
      </c>
      <c r="B2931" s="83" t="str">
        <f t="shared" si="317"/>
        <v/>
      </c>
      <c r="S2931" s="83" t="str">
        <f t="shared" si="318"/>
        <v/>
      </c>
      <c r="T2931" s="83" t="str">
        <f t="shared" si="315"/>
        <v/>
      </c>
      <c r="Y2931" s="60">
        <f t="shared" si="319"/>
        <v>0</v>
      </c>
      <c r="Z2931" s="49">
        <f t="shared" si="320"/>
        <v>0</v>
      </c>
      <c r="AA2931" s="60">
        <f t="shared" si="321"/>
        <v>0</v>
      </c>
    </row>
    <row r="2932" spans="1:27">
      <c r="A2932" s="83" t="str">
        <f t="shared" si="316"/>
        <v/>
      </c>
      <c r="B2932" s="83" t="str">
        <f t="shared" si="317"/>
        <v/>
      </c>
      <c r="S2932" s="83" t="str">
        <f t="shared" si="318"/>
        <v/>
      </c>
      <c r="T2932" s="83" t="str">
        <f t="shared" si="315"/>
        <v/>
      </c>
      <c r="Y2932" s="60">
        <f t="shared" si="319"/>
        <v>0</v>
      </c>
      <c r="Z2932" s="49">
        <f t="shared" si="320"/>
        <v>0</v>
      </c>
      <c r="AA2932" s="60">
        <f t="shared" si="321"/>
        <v>0</v>
      </c>
    </row>
    <row r="2933" spans="1:27">
      <c r="A2933" s="83" t="str">
        <f t="shared" si="316"/>
        <v/>
      </c>
      <c r="B2933" s="83" t="str">
        <f t="shared" si="317"/>
        <v/>
      </c>
      <c r="S2933" s="83" t="str">
        <f t="shared" si="318"/>
        <v/>
      </c>
      <c r="T2933" s="83" t="str">
        <f t="shared" si="315"/>
        <v/>
      </c>
      <c r="Y2933" s="60">
        <f t="shared" si="319"/>
        <v>0</v>
      </c>
      <c r="Z2933" s="49">
        <f t="shared" si="320"/>
        <v>0</v>
      </c>
      <c r="AA2933" s="60">
        <f t="shared" si="321"/>
        <v>0</v>
      </c>
    </row>
    <row r="2934" spans="1:27">
      <c r="A2934" s="83" t="str">
        <f t="shared" si="316"/>
        <v/>
      </c>
      <c r="B2934" s="83" t="str">
        <f t="shared" si="317"/>
        <v/>
      </c>
      <c r="S2934" s="83" t="str">
        <f t="shared" si="318"/>
        <v/>
      </c>
      <c r="T2934" s="83" t="str">
        <f t="shared" si="315"/>
        <v/>
      </c>
      <c r="Y2934" s="60">
        <f t="shared" si="319"/>
        <v>0</v>
      </c>
      <c r="Z2934" s="49">
        <f t="shared" si="320"/>
        <v>0</v>
      </c>
      <c r="AA2934" s="60">
        <f t="shared" si="321"/>
        <v>0</v>
      </c>
    </row>
    <row r="2935" spans="1:27">
      <c r="A2935" s="83" t="str">
        <f t="shared" si="316"/>
        <v/>
      </c>
      <c r="B2935" s="83" t="str">
        <f t="shared" si="317"/>
        <v/>
      </c>
      <c r="S2935" s="83" t="str">
        <f t="shared" si="318"/>
        <v/>
      </c>
      <c r="T2935" s="83" t="str">
        <f t="shared" si="315"/>
        <v/>
      </c>
      <c r="Y2935" s="60">
        <f t="shared" si="319"/>
        <v>0</v>
      </c>
      <c r="Z2935" s="49">
        <f t="shared" si="320"/>
        <v>0</v>
      </c>
      <c r="AA2935" s="60">
        <f t="shared" si="321"/>
        <v>0</v>
      </c>
    </row>
    <row r="2936" spans="1:27">
      <c r="A2936" s="83" t="str">
        <f t="shared" si="316"/>
        <v/>
      </c>
      <c r="B2936" s="83" t="str">
        <f t="shared" si="317"/>
        <v/>
      </c>
      <c r="S2936" s="83" t="str">
        <f t="shared" si="318"/>
        <v/>
      </c>
      <c r="T2936" s="83" t="str">
        <f t="shared" si="315"/>
        <v/>
      </c>
      <c r="Y2936" s="60">
        <f t="shared" si="319"/>
        <v>0</v>
      </c>
      <c r="Z2936" s="49">
        <f t="shared" si="320"/>
        <v>0</v>
      </c>
      <c r="AA2936" s="60">
        <f t="shared" si="321"/>
        <v>0</v>
      </c>
    </row>
    <row r="2937" spans="1:27">
      <c r="A2937" s="83" t="str">
        <f t="shared" si="316"/>
        <v/>
      </c>
      <c r="B2937" s="83" t="str">
        <f t="shared" si="317"/>
        <v/>
      </c>
      <c r="S2937" s="83" t="str">
        <f t="shared" si="318"/>
        <v/>
      </c>
      <c r="T2937" s="83" t="str">
        <f t="shared" si="315"/>
        <v/>
      </c>
      <c r="Y2937" s="60">
        <f t="shared" si="319"/>
        <v>0</v>
      </c>
      <c r="Z2937" s="49">
        <f t="shared" si="320"/>
        <v>0</v>
      </c>
      <c r="AA2937" s="60">
        <f t="shared" si="321"/>
        <v>0</v>
      </c>
    </row>
    <row r="2938" spans="1:27">
      <c r="A2938" s="83" t="str">
        <f t="shared" si="316"/>
        <v/>
      </c>
      <c r="B2938" s="83" t="str">
        <f t="shared" si="317"/>
        <v/>
      </c>
      <c r="S2938" s="83" t="str">
        <f t="shared" si="318"/>
        <v/>
      </c>
      <c r="T2938" s="83" t="str">
        <f t="shared" si="315"/>
        <v/>
      </c>
      <c r="Y2938" s="60">
        <f t="shared" si="319"/>
        <v>0</v>
      </c>
      <c r="Z2938" s="49">
        <f t="shared" si="320"/>
        <v>0</v>
      </c>
      <c r="AA2938" s="60">
        <f t="shared" si="321"/>
        <v>0</v>
      </c>
    </row>
    <row r="2939" spans="1:27">
      <c r="A2939" s="83" t="str">
        <f t="shared" si="316"/>
        <v/>
      </c>
      <c r="B2939" s="83" t="str">
        <f t="shared" si="317"/>
        <v/>
      </c>
      <c r="S2939" s="83" t="str">
        <f t="shared" si="318"/>
        <v/>
      </c>
      <c r="T2939" s="83" t="str">
        <f t="shared" si="315"/>
        <v/>
      </c>
      <c r="Y2939" s="60">
        <f t="shared" si="319"/>
        <v>0</v>
      </c>
      <c r="Z2939" s="49">
        <f t="shared" si="320"/>
        <v>0</v>
      </c>
      <c r="AA2939" s="60">
        <f t="shared" si="321"/>
        <v>0</v>
      </c>
    </row>
    <row r="2940" spans="1:27">
      <c r="A2940" s="83" t="str">
        <f t="shared" si="316"/>
        <v/>
      </c>
      <c r="B2940" s="83" t="str">
        <f t="shared" si="317"/>
        <v/>
      </c>
      <c r="S2940" s="83" t="str">
        <f t="shared" si="318"/>
        <v/>
      </c>
      <c r="T2940" s="83" t="str">
        <f t="shared" si="315"/>
        <v/>
      </c>
      <c r="Y2940" s="60">
        <f t="shared" si="319"/>
        <v>0</v>
      </c>
      <c r="Z2940" s="49">
        <f t="shared" si="320"/>
        <v>0</v>
      </c>
      <c r="AA2940" s="60">
        <f t="shared" si="321"/>
        <v>0</v>
      </c>
    </row>
    <row r="2941" spans="1:27">
      <c r="A2941" s="83" t="str">
        <f t="shared" si="316"/>
        <v/>
      </c>
      <c r="B2941" s="83" t="str">
        <f t="shared" si="317"/>
        <v/>
      </c>
      <c r="S2941" s="83" t="str">
        <f t="shared" si="318"/>
        <v/>
      </c>
      <c r="T2941" s="83" t="str">
        <f t="shared" si="315"/>
        <v/>
      </c>
      <c r="Y2941" s="60">
        <f t="shared" si="319"/>
        <v>0</v>
      </c>
      <c r="Z2941" s="49">
        <f t="shared" si="320"/>
        <v>0</v>
      </c>
      <c r="AA2941" s="60">
        <f t="shared" si="321"/>
        <v>0</v>
      </c>
    </row>
    <row r="2942" spans="1:27">
      <c r="A2942" s="83" t="str">
        <f t="shared" si="316"/>
        <v/>
      </c>
      <c r="B2942" s="83" t="str">
        <f t="shared" si="317"/>
        <v/>
      </c>
      <c r="S2942" s="83" t="str">
        <f t="shared" si="318"/>
        <v/>
      </c>
      <c r="T2942" s="83" t="str">
        <f t="shared" si="315"/>
        <v/>
      </c>
      <c r="Y2942" s="60">
        <f t="shared" si="319"/>
        <v>0</v>
      </c>
      <c r="Z2942" s="49">
        <f t="shared" si="320"/>
        <v>0</v>
      </c>
      <c r="AA2942" s="60">
        <f t="shared" si="321"/>
        <v>0</v>
      </c>
    </row>
    <row r="2943" spans="1:27">
      <c r="A2943" s="83" t="str">
        <f t="shared" si="316"/>
        <v/>
      </c>
      <c r="B2943" s="83" t="str">
        <f t="shared" si="317"/>
        <v/>
      </c>
      <c r="S2943" s="83" t="str">
        <f t="shared" si="318"/>
        <v/>
      </c>
      <c r="T2943" s="83" t="str">
        <f t="shared" si="315"/>
        <v/>
      </c>
      <c r="Y2943" s="60">
        <f t="shared" si="319"/>
        <v>0</v>
      </c>
      <c r="Z2943" s="49">
        <f t="shared" si="320"/>
        <v>0</v>
      </c>
      <c r="AA2943" s="60">
        <f t="shared" si="321"/>
        <v>0</v>
      </c>
    </row>
    <row r="2944" spans="1:27">
      <c r="A2944" s="83" t="str">
        <f t="shared" si="316"/>
        <v/>
      </c>
      <c r="B2944" s="83" t="str">
        <f t="shared" si="317"/>
        <v/>
      </c>
      <c r="S2944" s="83" t="str">
        <f t="shared" si="318"/>
        <v/>
      </c>
      <c r="T2944" s="83" t="str">
        <f t="shared" si="315"/>
        <v/>
      </c>
      <c r="Y2944" s="60">
        <f t="shared" si="319"/>
        <v>0</v>
      </c>
      <c r="Z2944" s="49">
        <f t="shared" si="320"/>
        <v>0</v>
      </c>
      <c r="AA2944" s="60">
        <f t="shared" si="321"/>
        <v>0</v>
      </c>
    </row>
    <row r="2945" spans="1:27">
      <c r="A2945" s="83" t="str">
        <f t="shared" si="316"/>
        <v/>
      </c>
      <c r="B2945" s="83" t="str">
        <f t="shared" si="317"/>
        <v/>
      </c>
      <c r="S2945" s="83" t="str">
        <f t="shared" si="318"/>
        <v/>
      </c>
      <c r="T2945" s="83" t="str">
        <f t="shared" si="315"/>
        <v/>
      </c>
      <c r="Y2945" s="60">
        <f t="shared" si="319"/>
        <v>0</v>
      </c>
      <c r="Z2945" s="49">
        <f t="shared" si="320"/>
        <v>0</v>
      </c>
      <c r="AA2945" s="60">
        <f t="shared" si="321"/>
        <v>0</v>
      </c>
    </row>
    <row r="2946" spans="1:27">
      <c r="A2946" s="83" t="str">
        <f t="shared" si="316"/>
        <v/>
      </c>
      <c r="B2946" s="83" t="str">
        <f t="shared" si="317"/>
        <v/>
      </c>
      <c r="S2946" s="83" t="str">
        <f t="shared" si="318"/>
        <v/>
      </c>
      <c r="T2946" s="83" t="str">
        <f t="shared" ref="T2946:T3009" si="322">IF(A2946&lt;&gt;"",IF(FIND(" ",G2946)&gt;=1,MID(G2946,FIND(" ",G2946)+1,LEN(G2946)),""),"")</f>
        <v/>
      </c>
      <c r="Y2946" s="60">
        <f t="shared" si="319"/>
        <v>0</v>
      </c>
      <c r="Z2946" s="49">
        <f t="shared" si="320"/>
        <v>0</v>
      </c>
      <c r="AA2946" s="60">
        <f t="shared" si="321"/>
        <v>0</v>
      </c>
    </row>
    <row r="2947" spans="1:27">
      <c r="A2947" s="83" t="str">
        <f t="shared" ref="A2947:A3010" si="323">IF(G2947&amp;Q2947&lt;&gt;"",S2947&amp;Q2947,"")</f>
        <v/>
      </c>
      <c r="B2947" s="83" t="str">
        <f t="shared" ref="B2947:B3010" si="324">IF(C2947&lt;&gt;"",LEFT(C2947,9),"")</f>
        <v/>
      </c>
      <c r="S2947" s="83" t="str">
        <f t="shared" ref="S2947:S3010" si="325">IF(G2947&lt;&gt;"",IF(FIND(" ",G2947)&gt;=1,MID(G2947,1,FIND(" ",G2947)-1),G2947),"")</f>
        <v/>
      </c>
      <c r="T2947" s="83" t="str">
        <f t="shared" si="322"/>
        <v/>
      </c>
      <c r="Y2947" s="60">
        <f t="shared" ref="Y2947:Y3010" si="326">IFERROR(VALUE(MID($C2947,1,2)),0)</f>
        <v>0</v>
      </c>
      <c r="Z2947" s="49">
        <f t="shared" ref="Z2947:Z3010" si="327">IFERROR(VALUE(MID($C2947,4,3)),0)</f>
        <v>0</v>
      </c>
      <c r="AA2947" s="60">
        <f t="shared" ref="AA2947:AA3010" si="328">VALUE(RIGHT("00"&amp;Y2947,2)&amp;RIGHT("000"&amp;Z2947,3))</f>
        <v>0</v>
      </c>
    </row>
    <row r="2948" spans="1:27">
      <c r="A2948" s="83" t="str">
        <f t="shared" si="323"/>
        <v/>
      </c>
      <c r="B2948" s="83" t="str">
        <f t="shared" si="324"/>
        <v/>
      </c>
      <c r="S2948" s="83" t="str">
        <f t="shared" si="325"/>
        <v/>
      </c>
      <c r="T2948" s="83" t="str">
        <f t="shared" si="322"/>
        <v/>
      </c>
      <c r="Y2948" s="60">
        <f t="shared" si="326"/>
        <v>0</v>
      </c>
      <c r="Z2948" s="49">
        <f t="shared" si="327"/>
        <v>0</v>
      </c>
      <c r="AA2948" s="60">
        <f t="shared" si="328"/>
        <v>0</v>
      </c>
    </row>
    <row r="2949" spans="1:27">
      <c r="A2949" s="83" t="str">
        <f t="shared" si="323"/>
        <v/>
      </c>
      <c r="B2949" s="83" t="str">
        <f t="shared" si="324"/>
        <v/>
      </c>
      <c r="S2949" s="83" t="str">
        <f t="shared" si="325"/>
        <v/>
      </c>
      <c r="T2949" s="83" t="str">
        <f t="shared" si="322"/>
        <v/>
      </c>
      <c r="Y2949" s="60">
        <f t="shared" si="326"/>
        <v>0</v>
      </c>
      <c r="Z2949" s="49">
        <f t="shared" si="327"/>
        <v>0</v>
      </c>
      <c r="AA2949" s="60">
        <f t="shared" si="328"/>
        <v>0</v>
      </c>
    </row>
    <row r="2950" spans="1:27">
      <c r="A2950" s="83" t="str">
        <f t="shared" si="323"/>
        <v/>
      </c>
      <c r="B2950" s="83" t="str">
        <f t="shared" si="324"/>
        <v/>
      </c>
      <c r="S2950" s="83" t="str">
        <f t="shared" si="325"/>
        <v/>
      </c>
      <c r="T2950" s="83" t="str">
        <f t="shared" si="322"/>
        <v/>
      </c>
      <c r="Y2950" s="60">
        <f t="shared" si="326"/>
        <v>0</v>
      </c>
      <c r="Z2950" s="49">
        <f t="shared" si="327"/>
        <v>0</v>
      </c>
      <c r="AA2950" s="60">
        <f t="shared" si="328"/>
        <v>0</v>
      </c>
    </row>
    <row r="2951" spans="1:27">
      <c r="A2951" s="83" t="str">
        <f t="shared" si="323"/>
        <v/>
      </c>
      <c r="B2951" s="83" t="str">
        <f t="shared" si="324"/>
        <v/>
      </c>
      <c r="S2951" s="83" t="str">
        <f t="shared" si="325"/>
        <v/>
      </c>
      <c r="T2951" s="83" t="str">
        <f t="shared" si="322"/>
        <v/>
      </c>
      <c r="Y2951" s="60">
        <f t="shared" si="326"/>
        <v>0</v>
      </c>
      <c r="Z2951" s="49">
        <f t="shared" si="327"/>
        <v>0</v>
      </c>
      <c r="AA2951" s="60">
        <f t="shared" si="328"/>
        <v>0</v>
      </c>
    </row>
    <row r="2952" spans="1:27">
      <c r="A2952" s="83" t="str">
        <f t="shared" si="323"/>
        <v/>
      </c>
      <c r="B2952" s="83" t="str">
        <f t="shared" si="324"/>
        <v/>
      </c>
      <c r="S2952" s="83" t="str">
        <f t="shared" si="325"/>
        <v/>
      </c>
      <c r="T2952" s="83" t="str">
        <f t="shared" si="322"/>
        <v/>
      </c>
      <c r="Y2952" s="60">
        <f t="shared" si="326"/>
        <v>0</v>
      </c>
      <c r="Z2952" s="49">
        <f t="shared" si="327"/>
        <v>0</v>
      </c>
      <c r="AA2952" s="60">
        <f t="shared" si="328"/>
        <v>0</v>
      </c>
    </row>
    <row r="2953" spans="1:27">
      <c r="A2953" s="83" t="str">
        <f t="shared" si="323"/>
        <v/>
      </c>
      <c r="B2953" s="83" t="str">
        <f t="shared" si="324"/>
        <v/>
      </c>
      <c r="S2953" s="83" t="str">
        <f t="shared" si="325"/>
        <v/>
      </c>
      <c r="T2953" s="83" t="str">
        <f t="shared" si="322"/>
        <v/>
      </c>
      <c r="Y2953" s="60">
        <f t="shared" si="326"/>
        <v>0</v>
      </c>
      <c r="Z2953" s="49">
        <f t="shared" si="327"/>
        <v>0</v>
      </c>
      <c r="AA2953" s="60">
        <f t="shared" si="328"/>
        <v>0</v>
      </c>
    </row>
    <row r="2954" spans="1:27">
      <c r="A2954" s="83" t="str">
        <f t="shared" si="323"/>
        <v/>
      </c>
      <c r="B2954" s="83" t="str">
        <f t="shared" si="324"/>
        <v/>
      </c>
      <c r="S2954" s="83" t="str">
        <f t="shared" si="325"/>
        <v/>
      </c>
      <c r="T2954" s="83" t="str">
        <f t="shared" si="322"/>
        <v/>
      </c>
      <c r="Y2954" s="60">
        <f t="shared" si="326"/>
        <v>0</v>
      </c>
      <c r="Z2954" s="49">
        <f t="shared" si="327"/>
        <v>0</v>
      </c>
      <c r="AA2954" s="60">
        <f t="shared" si="328"/>
        <v>0</v>
      </c>
    </row>
    <row r="2955" spans="1:27">
      <c r="A2955" s="83" t="str">
        <f t="shared" si="323"/>
        <v/>
      </c>
      <c r="B2955" s="83" t="str">
        <f t="shared" si="324"/>
        <v/>
      </c>
      <c r="S2955" s="83" t="str">
        <f t="shared" si="325"/>
        <v/>
      </c>
      <c r="T2955" s="83" t="str">
        <f t="shared" si="322"/>
        <v/>
      </c>
      <c r="Y2955" s="60">
        <f t="shared" si="326"/>
        <v>0</v>
      </c>
      <c r="Z2955" s="49">
        <f t="shared" si="327"/>
        <v>0</v>
      </c>
      <c r="AA2955" s="60">
        <f t="shared" si="328"/>
        <v>0</v>
      </c>
    </row>
    <row r="2956" spans="1:27">
      <c r="A2956" s="83" t="str">
        <f t="shared" si="323"/>
        <v/>
      </c>
      <c r="B2956" s="83" t="str">
        <f t="shared" si="324"/>
        <v/>
      </c>
      <c r="S2956" s="83" t="str">
        <f t="shared" si="325"/>
        <v/>
      </c>
      <c r="T2956" s="83" t="str">
        <f t="shared" si="322"/>
        <v/>
      </c>
      <c r="Y2956" s="60">
        <f t="shared" si="326"/>
        <v>0</v>
      </c>
      <c r="Z2956" s="49">
        <f t="shared" si="327"/>
        <v>0</v>
      </c>
      <c r="AA2956" s="60">
        <f t="shared" si="328"/>
        <v>0</v>
      </c>
    </row>
    <row r="2957" spans="1:27">
      <c r="A2957" s="83" t="str">
        <f t="shared" si="323"/>
        <v/>
      </c>
      <c r="B2957" s="83" t="str">
        <f t="shared" si="324"/>
        <v/>
      </c>
      <c r="S2957" s="83" t="str">
        <f t="shared" si="325"/>
        <v/>
      </c>
      <c r="T2957" s="83" t="str">
        <f t="shared" si="322"/>
        <v/>
      </c>
      <c r="Y2957" s="60">
        <f t="shared" si="326"/>
        <v>0</v>
      </c>
      <c r="Z2957" s="49">
        <f t="shared" si="327"/>
        <v>0</v>
      </c>
      <c r="AA2957" s="60">
        <f t="shared" si="328"/>
        <v>0</v>
      </c>
    </row>
    <row r="2958" spans="1:27">
      <c r="A2958" s="83" t="str">
        <f t="shared" si="323"/>
        <v/>
      </c>
      <c r="B2958" s="83" t="str">
        <f t="shared" si="324"/>
        <v/>
      </c>
      <c r="S2958" s="83" t="str">
        <f t="shared" si="325"/>
        <v/>
      </c>
      <c r="T2958" s="83" t="str">
        <f t="shared" si="322"/>
        <v/>
      </c>
      <c r="Y2958" s="60">
        <f t="shared" si="326"/>
        <v>0</v>
      </c>
      <c r="Z2958" s="49">
        <f t="shared" si="327"/>
        <v>0</v>
      </c>
      <c r="AA2958" s="60">
        <f t="shared" si="328"/>
        <v>0</v>
      </c>
    </row>
    <row r="2959" spans="1:27">
      <c r="A2959" s="83" t="str">
        <f t="shared" si="323"/>
        <v/>
      </c>
      <c r="B2959" s="83" t="str">
        <f t="shared" si="324"/>
        <v/>
      </c>
      <c r="S2959" s="83" t="str">
        <f t="shared" si="325"/>
        <v/>
      </c>
      <c r="T2959" s="83" t="str">
        <f t="shared" si="322"/>
        <v/>
      </c>
      <c r="Y2959" s="60">
        <f t="shared" si="326"/>
        <v>0</v>
      </c>
      <c r="Z2959" s="49">
        <f t="shared" si="327"/>
        <v>0</v>
      </c>
      <c r="AA2959" s="60">
        <f t="shared" si="328"/>
        <v>0</v>
      </c>
    </row>
    <row r="2960" spans="1:27">
      <c r="A2960" s="83" t="str">
        <f t="shared" si="323"/>
        <v/>
      </c>
      <c r="B2960" s="83" t="str">
        <f t="shared" si="324"/>
        <v/>
      </c>
      <c r="S2960" s="83" t="str">
        <f t="shared" si="325"/>
        <v/>
      </c>
      <c r="T2960" s="83" t="str">
        <f t="shared" si="322"/>
        <v/>
      </c>
      <c r="Y2960" s="60">
        <f t="shared" si="326"/>
        <v>0</v>
      </c>
      <c r="Z2960" s="49">
        <f t="shared" si="327"/>
        <v>0</v>
      </c>
      <c r="AA2960" s="60">
        <f t="shared" si="328"/>
        <v>0</v>
      </c>
    </row>
    <row r="2961" spans="1:27">
      <c r="A2961" s="83" t="str">
        <f t="shared" si="323"/>
        <v/>
      </c>
      <c r="B2961" s="83" t="str">
        <f t="shared" si="324"/>
        <v/>
      </c>
      <c r="S2961" s="83" t="str">
        <f t="shared" si="325"/>
        <v/>
      </c>
      <c r="T2961" s="83" t="str">
        <f t="shared" si="322"/>
        <v/>
      </c>
      <c r="Y2961" s="60">
        <f t="shared" si="326"/>
        <v>0</v>
      </c>
      <c r="Z2961" s="49">
        <f t="shared" si="327"/>
        <v>0</v>
      </c>
      <c r="AA2961" s="60">
        <f t="shared" si="328"/>
        <v>0</v>
      </c>
    </row>
    <row r="2962" spans="1:27">
      <c r="A2962" s="83" t="str">
        <f t="shared" si="323"/>
        <v/>
      </c>
      <c r="B2962" s="83" t="str">
        <f t="shared" si="324"/>
        <v/>
      </c>
      <c r="S2962" s="83" t="str">
        <f t="shared" si="325"/>
        <v/>
      </c>
      <c r="T2962" s="83" t="str">
        <f t="shared" si="322"/>
        <v/>
      </c>
      <c r="Y2962" s="60">
        <f t="shared" si="326"/>
        <v>0</v>
      </c>
      <c r="Z2962" s="49">
        <f t="shared" si="327"/>
        <v>0</v>
      </c>
      <c r="AA2962" s="60">
        <f t="shared" si="328"/>
        <v>0</v>
      </c>
    </row>
    <row r="2963" spans="1:27">
      <c r="A2963" s="83" t="str">
        <f t="shared" si="323"/>
        <v/>
      </c>
      <c r="B2963" s="83" t="str">
        <f t="shared" si="324"/>
        <v/>
      </c>
      <c r="S2963" s="83" t="str">
        <f t="shared" si="325"/>
        <v/>
      </c>
      <c r="T2963" s="83" t="str">
        <f t="shared" si="322"/>
        <v/>
      </c>
      <c r="Y2963" s="60">
        <f t="shared" si="326"/>
        <v>0</v>
      </c>
      <c r="Z2963" s="49">
        <f t="shared" si="327"/>
        <v>0</v>
      </c>
      <c r="AA2963" s="60">
        <f t="shared" si="328"/>
        <v>0</v>
      </c>
    </row>
    <row r="2964" spans="1:27">
      <c r="A2964" s="83" t="str">
        <f t="shared" si="323"/>
        <v/>
      </c>
      <c r="B2964" s="83" t="str">
        <f t="shared" si="324"/>
        <v/>
      </c>
      <c r="S2964" s="83" t="str">
        <f t="shared" si="325"/>
        <v/>
      </c>
      <c r="T2964" s="83" t="str">
        <f t="shared" si="322"/>
        <v/>
      </c>
      <c r="Y2964" s="60">
        <f t="shared" si="326"/>
        <v>0</v>
      </c>
      <c r="Z2964" s="49">
        <f t="shared" si="327"/>
        <v>0</v>
      </c>
      <c r="AA2964" s="60">
        <f t="shared" si="328"/>
        <v>0</v>
      </c>
    </row>
    <row r="2965" spans="1:27">
      <c r="A2965" s="83" t="str">
        <f t="shared" si="323"/>
        <v/>
      </c>
      <c r="B2965" s="83" t="str">
        <f t="shared" si="324"/>
        <v/>
      </c>
      <c r="S2965" s="83" t="str">
        <f t="shared" si="325"/>
        <v/>
      </c>
      <c r="T2965" s="83" t="str">
        <f t="shared" si="322"/>
        <v/>
      </c>
      <c r="Y2965" s="60">
        <f t="shared" si="326"/>
        <v>0</v>
      </c>
      <c r="Z2965" s="49">
        <f t="shared" si="327"/>
        <v>0</v>
      </c>
      <c r="AA2965" s="60">
        <f t="shared" si="328"/>
        <v>0</v>
      </c>
    </row>
    <row r="2966" spans="1:27">
      <c r="A2966" s="83" t="str">
        <f t="shared" si="323"/>
        <v/>
      </c>
      <c r="B2966" s="83" t="str">
        <f t="shared" si="324"/>
        <v/>
      </c>
      <c r="S2966" s="83" t="str">
        <f t="shared" si="325"/>
        <v/>
      </c>
      <c r="T2966" s="83" t="str">
        <f t="shared" si="322"/>
        <v/>
      </c>
      <c r="Y2966" s="60">
        <f t="shared" si="326"/>
        <v>0</v>
      </c>
      <c r="Z2966" s="49">
        <f t="shared" si="327"/>
        <v>0</v>
      </c>
      <c r="AA2966" s="60">
        <f t="shared" si="328"/>
        <v>0</v>
      </c>
    </row>
    <row r="2967" spans="1:27">
      <c r="A2967" s="83" t="str">
        <f t="shared" si="323"/>
        <v/>
      </c>
      <c r="B2967" s="83" t="str">
        <f t="shared" si="324"/>
        <v/>
      </c>
      <c r="S2967" s="83" t="str">
        <f t="shared" si="325"/>
        <v/>
      </c>
      <c r="T2967" s="83" t="str">
        <f t="shared" si="322"/>
        <v/>
      </c>
      <c r="Y2967" s="60">
        <f t="shared" si="326"/>
        <v>0</v>
      </c>
      <c r="Z2967" s="49">
        <f t="shared" si="327"/>
        <v>0</v>
      </c>
      <c r="AA2967" s="60">
        <f t="shared" si="328"/>
        <v>0</v>
      </c>
    </row>
    <row r="2968" spans="1:27">
      <c r="A2968" s="83" t="str">
        <f t="shared" si="323"/>
        <v/>
      </c>
      <c r="B2968" s="83" t="str">
        <f t="shared" si="324"/>
        <v/>
      </c>
      <c r="S2968" s="83" t="str">
        <f t="shared" si="325"/>
        <v/>
      </c>
      <c r="T2968" s="83" t="str">
        <f t="shared" si="322"/>
        <v/>
      </c>
      <c r="Y2968" s="60">
        <f t="shared" si="326"/>
        <v>0</v>
      </c>
      <c r="Z2968" s="49">
        <f t="shared" si="327"/>
        <v>0</v>
      </c>
      <c r="AA2968" s="60">
        <f t="shared" si="328"/>
        <v>0</v>
      </c>
    </row>
    <row r="2969" spans="1:27">
      <c r="A2969" s="83" t="str">
        <f t="shared" si="323"/>
        <v/>
      </c>
      <c r="B2969" s="83" t="str">
        <f t="shared" si="324"/>
        <v/>
      </c>
      <c r="S2969" s="83" t="str">
        <f t="shared" si="325"/>
        <v/>
      </c>
      <c r="T2969" s="83" t="str">
        <f t="shared" si="322"/>
        <v/>
      </c>
      <c r="Y2969" s="60">
        <f t="shared" si="326"/>
        <v>0</v>
      </c>
      <c r="Z2969" s="49">
        <f t="shared" si="327"/>
        <v>0</v>
      </c>
      <c r="AA2969" s="60">
        <f t="shared" si="328"/>
        <v>0</v>
      </c>
    </row>
    <row r="2970" spans="1:27">
      <c r="A2970" s="83" t="str">
        <f t="shared" si="323"/>
        <v/>
      </c>
      <c r="B2970" s="83" t="str">
        <f t="shared" si="324"/>
        <v/>
      </c>
      <c r="S2970" s="83" t="str">
        <f t="shared" si="325"/>
        <v/>
      </c>
      <c r="T2970" s="83" t="str">
        <f t="shared" si="322"/>
        <v/>
      </c>
      <c r="Y2970" s="60">
        <f t="shared" si="326"/>
        <v>0</v>
      </c>
      <c r="Z2970" s="49">
        <f t="shared" si="327"/>
        <v>0</v>
      </c>
      <c r="AA2970" s="60">
        <f t="shared" si="328"/>
        <v>0</v>
      </c>
    </row>
    <row r="2971" spans="1:27">
      <c r="A2971" s="83" t="str">
        <f t="shared" si="323"/>
        <v/>
      </c>
      <c r="B2971" s="83" t="str">
        <f t="shared" si="324"/>
        <v/>
      </c>
      <c r="S2971" s="83" t="str">
        <f t="shared" si="325"/>
        <v/>
      </c>
      <c r="T2971" s="83" t="str">
        <f t="shared" si="322"/>
        <v/>
      </c>
      <c r="Y2971" s="60">
        <f t="shared" si="326"/>
        <v>0</v>
      </c>
      <c r="Z2971" s="49">
        <f t="shared" si="327"/>
        <v>0</v>
      </c>
      <c r="AA2971" s="60">
        <f t="shared" si="328"/>
        <v>0</v>
      </c>
    </row>
    <row r="2972" spans="1:27">
      <c r="A2972" s="83" t="str">
        <f t="shared" si="323"/>
        <v/>
      </c>
      <c r="B2972" s="83" t="str">
        <f t="shared" si="324"/>
        <v/>
      </c>
      <c r="S2972" s="83" t="str">
        <f t="shared" si="325"/>
        <v/>
      </c>
      <c r="T2972" s="83" t="str">
        <f t="shared" si="322"/>
        <v/>
      </c>
      <c r="Y2972" s="60">
        <f t="shared" si="326"/>
        <v>0</v>
      </c>
      <c r="Z2972" s="49">
        <f t="shared" si="327"/>
        <v>0</v>
      </c>
      <c r="AA2972" s="60">
        <f t="shared" si="328"/>
        <v>0</v>
      </c>
    </row>
    <row r="2973" spans="1:27">
      <c r="A2973" s="83" t="str">
        <f t="shared" si="323"/>
        <v/>
      </c>
      <c r="B2973" s="83" t="str">
        <f t="shared" si="324"/>
        <v/>
      </c>
      <c r="S2973" s="83" t="str">
        <f t="shared" si="325"/>
        <v/>
      </c>
      <c r="T2973" s="83" t="str">
        <f t="shared" si="322"/>
        <v/>
      </c>
      <c r="Y2973" s="60">
        <f t="shared" si="326"/>
        <v>0</v>
      </c>
      <c r="Z2973" s="49">
        <f t="shared" si="327"/>
        <v>0</v>
      </c>
      <c r="AA2973" s="60">
        <f t="shared" si="328"/>
        <v>0</v>
      </c>
    </row>
    <row r="2974" spans="1:27">
      <c r="A2974" s="83" t="str">
        <f t="shared" si="323"/>
        <v/>
      </c>
      <c r="B2974" s="83" t="str">
        <f t="shared" si="324"/>
        <v/>
      </c>
      <c r="S2974" s="83" t="str">
        <f t="shared" si="325"/>
        <v/>
      </c>
      <c r="T2974" s="83" t="str">
        <f t="shared" si="322"/>
        <v/>
      </c>
      <c r="Y2974" s="60">
        <f t="shared" si="326"/>
        <v>0</v>
      </c>
      <c r="Z2974" s="49">
        <f t="shared" si="327"/>
        <v>0</v>
      </c>
      <c r="AA2974" s="60">
        <f t="shared" si="328"/>
        <v>0</v>
      </c>
    </row>
    <row r="2975" spans="1:27">
      <c r="A2975" s="83" t="str">
        <f t="shared" si="323"/>
        <v/>
      </c>
      <c r="B2975" s="83" t="str">
        <f t="shared" si="324"/>
        <v/>
      </c>
      <c r="S2975" s="83" t="str">
        <f t="shared" si="325"/>
        <v/>
      </c>
      <c r="T2975" s="83" t="str">
        <f t="shared" si="322"/>
        <v/>
      </c>
      <c r="Y2975" s="60">
        <f t="shared" si="326"/>
        <v>0</v>
      </c>
      <c r="Z2975" s="49">
        <f t="shared" si="327"/>
        <v>0</v>
      </c>
      <c r="AA2975" s="60">
        <f t="shared" si="328"/>
        <v>0</v>
      </c>
    </row>
    <row r="2976" spans="1:27">
      <c r="A2976" s="83" t="str">
        <f t="shared" si="323"/>
        <v/>
      </c>
      <c r="B2976" s="83" t="str">
        <f t="shared" si="324"/>
        <v/>
      </c>
      <c r="S2976" s="83" t="str">
        <f t="shared" si="325"/>
        <v/>
      </c>
      <c r="T2976" s="83" t="str">
        <f t="shared" si="322"/>
        <v/>
      </c>
      <c r="Y2976" s="60">
        <f t="shared" si="326"/>
        <v>0</v>
      </c>
      <c r="Z2976" s="49">
        <f t="shared" si="327"/>
        <v>0</v>
      </c>
      <c r="AA2976" s="60">
        <f t="shared" si="328"/>
        <v>0</v>
      </c>
    </row>
    <row r="2977" spans="1:27">
      <c r="A2977" s="83" t="str">
        <f t="shared" si="323"/>
        <v/>
      </c>
      <c r="B2977" s="83" t="str">
        <f t="shared" si="324"/>
        <v/>
      </c>
      <c r="S2977" s="83" t="str">
        <f t="shared" si="325"/>
        <v/>
      </c>
      <c r="T2977" s="83" t="str">
        <f t="shared" si="322"/>
        <v/>
      </c>
      <c r="Y2977" s="60">
        <f t="shared" si="326"/>
        <v>0</v>
      </c>
      <c r="Z2977" s="49">
        <f t="shared" si="327"/>
        <v>0</v>
      </c>
      <c r="AA2977" s="60">
        <f t="shared" si="328"/>
        <v>0</v>
      </c>
    </row>
    <row r="2978" spans="1:27">
      <c r="A2978" s="83" t="str">
        <f t="shared" si="323"/>
        <v/>
      </c>
      <c r="B2978" s="83" t="str">
        <f t="shared" si="324"/>
        <v/>
      </c>
      <c r="S2978" s="83" t="str">
        <f t="shared" si="325"/>
        <v/>
      </c>
      <c r="T2978" s="83" t="str">
        <f t="shared" si="322"/>
        <v/>
      </c>
      <c r="Y2978" s="60">
        <f t="shared" si="326"/>
        <v>0</v>
      </c>
      <c r="Z2978" s="49">
        <f t="shared" si="327"/>
        <v>0</v>
      </c>
      <c r="AA2978" s="60">
        <f t="shared" si="328"/>
        <v>0</v>
      </c>
    </row>
    <row r="2979" spans="1:27">
      <c r="A2979" s="83" t="str">
        <f t="shared" si="323"/>
        <v/>
      </c>
      <c r="B2979" s="83" t="str">
        <f t="shared" si="324"/>
        <v/>
      </c>
      <c r="S2979" s="83" t="str">
        <f t="shared" si="325"/>
        <v/>
      </c>
      <c r="T2979" s="83" t="str">
        <f t="shared" si="322"/>
        <v/>
      </c>
      <c r="Y2979" s="60">
        <f t="shared" si="326"/>
        <v>0</v>
      </c>
      <c r="Z2979" s="49">
        <f t="shared" si="327"/>
        <v>0</v>
      </c>
      <c r="AA2979" s="60">
        <f t="shared" si="328"/>
        <v>0</v>
      </c>
    </row>
    <row r="2980" spans="1:27">
      <c r="A2980" s="83" t="str">
        <f t="shared" si="323"/>
        <v/>
      </c>
      <c r="B2980" s="83" t="str">
        <f t="shared" si="324"/>
        <v/>
      </c>
      <c r="S2980" s="83" t="str">
        <f t="shared" si="325"/>
        <v/>
      </c>
      <c r="T2980" s="83" t="str">
        <f t="shared" si="322"/>
        <v/>
      </c>
      <c r="Y2980" s="60">
        <f t="shared" si="326"/>
        <v>0</v>
      </c>
      <c r="Z2980" s="49">
        <f t="shared" si="327"/>
        <v>0</v>
      </c>
      <c r="AA2980" s="60">
        <f t="shared" si="328"/>
        <v>0</v>
      </c>
    </row>
    <row r="2981" spans="1:27">
      <c r="A2981" s="83" t="str">
        <f t="shared" si="323"/>
        <v/>
      </c>
      <c r="B2981" s="83" t="str">
        <f t="shared" si="324"/>
        <v/>
      </c>
      <c r="S2981" s="83" t="str">
        <f t="shared" si="325"/>
        <v/>
      </c>
      <c r="T2981" s="83" t="str">
        <f t="shared" si="322"/>
        <v/>
      </c>
      <c r="Y2981" s="60">
        <f t="shared" si="326"/>
        <v>0</v>
      </c>
      <c r="Z2981" s="49">
        <f t="shared" si="327"/>
        <v>0</v>
      </c>
      <c r="AA2981" s="60">
        <f t="shared" si="328"/>
        <v>0</v>
      </c>
    </row>
    <row r="2982" spans="1:27">
      <c r="A2982" s="83" t="str">
        <f t="shared" si="323"/>
        <v/>
      </c>
      <c r="B2982" s="83" t="str">
        <f t="shared" si="324"/>
        <v/>
      </c>
      <c r="S2982" s="83" t="str">
        <f t="shared" si="325"/>
        <v/>
      </c>
      <c r="T2982" s="83" t="str">
        <f t="shared" si="322"/>
        <v/>
      </c>
      <c r="Y2982" s="60">
        <f t="shared" si="326"/>
        <v>0</v>
      </c>
      <c r="Z2982" s="49">
        <f t="shared" si="327"/>
        <v>0</v>
      </c>
      <c r="AA2982" s="60">
        <f t="shared" si="328"/>
        <v>0</v>
      </c>
    </row>
    <row r="2983" spans="1:27">
      <c r="A2983" s="83" t="str">
        <f t="shared" si="323"/>
        <v/>
      </c>
      <c r="B2983" s="83" t="str">
        <f t="shared" si="324"/>
        <v/>
      </c>
      <c r="S2983" s="83" t="str">
        <f t="shared" si="325"/>
        <v/>
      </c>
      <c r="T2983" s="83" t="str">
        <f t="shared" si="322"/>
        <v/>
      </c>
      <c r="Y2983" s="60">
        <f t="shared" si="326"/>
        <v>0</v>
      </c>
      <c r="Z2983" s="49">
        <f t="shared" si="327"/>
        <v>0</v>
      </c>
      <c r="AA2983" s="60">
        <f t="shared" si="328"/>
        <v>0</v>
      </c>
    </row>
    <row r="2984" spans="1:27">
      <c r="A2984" s="83" t="str">
        <f t="shared" si="323"/>
        <v/>
      </c>
      <c r="B2984" s="83" t="str">
        <f t="shared" si="324"/>
        <v/>
      </c>
      <c r="S2984" s="83" t="str">
        <f t="shared" si="325"/>
        <v/>
      </c>
      <c r="T2984" s="83" t="str">
        <f t="shared" si="322"/>
        <v/>
      </c>
      <c r="Y2984" s="60">
        <f t="shared" si="326"/>
        <v>0</v>
      </c>
      <c r="Z2984" s="49">
        <f t="shared" si="327"/>
        <v>0</v>
      </c>
      <c r="AA2984" s="60">
        <f t="shared" si="328"/>
        <v>0</v>
      </c>
    </row>
    <row r="2985" spans="1:27">
      <c r="A2985" s="83" t="str">
        <f t="shared" si="323"/>
        <v/>
      </c>
      <c r="B2985" s="83" t="str">
        <f t="shared" si="324"/>
        <v/>
      </c>
      <c r="S2985" s="83" t="str">
        <f t="shared" si="325"/>
        <v/>
      </c>
      <c r="T2985" s="83" t="str">
        <f t="shared" si="322"/>
        <v/>
      </c>
      <c r="Y2985" s="60">
        <f t="shared" si="326"/>
        <v>0</v>
      </c>
      <c r="Z2985" s="49">
        <f t="shared" si="327"/>
        <v>0</v>
      </c>
      <c r="AA2985" s="60">
        <f t="shared" si="328"/>
        <v>0</v>
      </c>
    </row>
    <row r="2986" spans="1:27">
      <c r="A2986" s="83" t="str">
        <f t="shared" si="323"/>
        <v/>
      </c>
      <c r="B2986" s="83" t="str">
        <f t="shared" si="324"/>
        <v/>
      </c>
      <c r="S2986" s="83" t="str">
        <f t="shared" si="325"/>
        <v/>
      </c>
      <c r="T2986" s="83" t="str">
        <f t="shared" si="322"/>
        <v/>
      </c>
      <c r="Y2986" s="60">
        <f t="shared" si="326"/>
        <v>0</v>
      </c>
      <c r="Z2986" s="49">
        <f t="shared" si="327"/>
        <v>0</v>
      </c>
      <c r="AA2986" s="60">
        <f t="shared" si="328"/>
        <v>0</v>
      </c>
    </row>
    <row r="2987" spans="1:27">
      <c r="A2987" s="83" t="str">
        <f t="shared" si="323"/>
        <v/>
      </c>
      <c r="B2987" s="83" t="str">
        <f t="shared" si="324"/>
        <v/>
      </c>
      <c r="S2987" s="83" t="str">
        <f t="shared" si="325"/>
        <v/>
      </c>
      <c r="T2987" s="83" t="str">
        <f t="shared" si="322"/>
        <v/>
      </c>
      <c r="Y2987" s="60">
        <f t="shared" si="326"/>
        <v>0</v>
      </c>
      <c r="Z2987" s="49">
        <f t="shared" si="327"/>
        <v>0</v>
      </c>
      <c r="AA2987" s="60">
        <f t="shared" si="328"/>
        <v>0</v>
      </c>
    </row>
    <row r="2988" spans="1:27">
      <c r="A2988" s="83" t="str">
        <f t="shared" si="323"/>
        <v/>
      </c>
      <c r="B2988" s="83" t="str">
        <f t="shared" si="324"/>
        <v/>
      </c>
      <c r="S2988" s="83" t="str">
        <f t="shared" si="325"/>
        <v/>
      </c>
      <c r="T2988" s="83" t="str">
        <f t="shared" si="322"/>
        <v/>
      </c>
      <c r="Y2988" s="60">
        <f t="shared" si="326"/>
        <v>0</v>
      </c>
      <c r="Z2988" s="49">
        <f t="shared" si="327"/>
        <v>0</v>
      </c>
      <c r="AA2988" s="60">
        <f t="shared" si="328"/>
        <v>0</v>
      </c>
    </row>
    <row r="2989" spans="1:27">
      <c r="A2989" s="83" t="str">
        <f t="shared" si="323"/>
        <v/>
      </c>
      <c r="B2989" s="83" t="str">
        <f t="shared" si="324"/>
        <v/>
      </c>
      <c r="S2989" s="83" t="str">
        <f t="shared" si="325"/>
        <v/>
      </c>
      <c r="T2989" s="83" t="str">
        <f t="shared" si="322"/>
        <v/>
      </c>
      <c r="Y2989" s="60">
        <f t="shared" si="326"/>
        <v>0</v>
      </c>
      <c r="Z2989" s="49">
        <f t="shared" si="327"/>
        <v>0</v>
      </c>
      <c r="AA2989" s="60">
        <f t="shared" si="328"/>
        <v>0</v>
      </c>
    </row>
    <row r="2990" spans="1:27">
      <c r="A2990" s="83" t="str">
        <f t="shared" si="323"/>
        <v/>
      </c>
      <c r="B2990" s="83" t="str">
        <f t="shared" si="324"/>
        <v/>
      </c>
      <c r="S2990" s="83" t="str">
        <f t="shared" si="325"/>
        <v/>
      </c>
      <c r="T2990" s="83" t="str">
        <f t="shared" si="322"/>
        <v/>
      </c>
      <c r="Y2990" s="60">
        <f t="shared" si="326"/>
        <v>0</v>
      </c>
      <c r="Z2990" s="49">
        <f t="shared" si="327"/>
        <v>0</v>
      </c>
      <c r="AA2990" s="60">
        <f t="shared" si="328"/>
        <v>0</v>
      </c>
    </row>
    <row r="2991" spans="1:27">
      <c r="A2991" s="83" t="str">
        <f t="shared" si="323"/>
        <v/>
      </c>
      <c r="B2991" s="83" t="str">
        <f t="shared" si="324"/>
        <v/>
      </c>
      <c r="S2991" s="83" t="str">
        <f t="shared" si="325"/>
        <v/>
      </c>
      <c r="T2991" s="83" t="str">
        <f t="shared" si="322"/>
        <v/>
      </c>
      <c r="Y2991" s="60">
        <f t="shared" si="326"/>
        <v>0</v>
      </c>
      <c r="Z2991" s="49">
        <f t="shared" si="327"/>
        <v>0</v>
      </c>
      <c r="AA2991" s="60">
        <f t="shared" si="328"/>
        <v>0</v>
      </c>
    </row>
    <row r="2992" spans="1:27">
      <c r="A2992" s="83" t="str">
        <f t="shared" si="323"/>
        <v/>
      </c>
      <c r="B2992" s="83" t="str">
        <f t="shared" si="324"/>
        <v/>
      </c>
      <c r="S2992" s="83" t="str">
        <f t="shared" si="325"/>
        <v/>
      </c>
      <c r="T2992" s="83" t="str">
        <f t="shared" si="322"/>
        <v/>
      </c>
      <c r="Y2992" s="60">
        <f t="shared" si="326"/>
        <v>0</v>
      </c>
      <c r="Z2992" s="49">
        <f t="shared" si="327"/>
        <v>0</v>
      </c>
      <c r="AA2992" s="60">
        <f t="shared" si="328"/>
        <v>0</v>
      </c>
    </row>
    <row r="2993" spans="1:27">
      <c r="A2993" s="83" t="str">
        <f t="shared" si="323"/>
        <v/>
      </c>
      <c r="B2993" s="83" t="str">
        <f t="shared" si="324"/>
        <v/>
      </c>
      <c r="S2993" s="83" t="str">
        <f t="shared" si="325"/>
        <v/>
      </c>
      <c r="T2993" s="83" t="str">
        <f t="shared" si="322"/>
        <v/>
      </c>
      <c r="Y2993" s="60">
        <f t="shared" si="326"/>
        <v>0</v>
      </c>
      <c r="Z2993" s="49">
        <f t="shared" si="327"/>
        <v>0</v>
      </c>
      <c r="AA2993" s="60">
        <f t="shared" si="328"/>
        <v>0</v>
      </c>
    </row>
    <row r="2994" spans="1:27">
      <c r="A2994" s="83" t="str">
        <f t="shared" si="323"/>
        <v/>
      </c>
      <c r="B2994" s="83" t="str">
        <f t="shared" si="324"/>
        <v/>
      </c>
      <c r="S2994" s="83" t="str">
        <f t="shared" si="325"/>
        <v/>
      </c>
      <c r="T2994" s="83" t="str">
        <f t="shared" si="322"/>
        <v/>
      </c>
      <c r="Y2994" s="60">
        <f t="shared" si="326"/>
        <v>0</v>
      </c>
      <c r="Z2994" s="49">
        <f t="shared" si="327"/>
        <v>0</v>
      </c>
      <c r="AA2994" s="60">
        <f t="shared" si="328"/>
        <v>0</v>
      </c>
    </row>
    <row r="2995" spans="1:27">
      <c r="A2995" s="83" t="str">
        <f t="shared" si="323"/>
        <v/>
      </c>
      <c r="B2995" s="83" t="str">
        <f t="shared" si="324"/>
        <v/>
      </c>
      <c r="S2995" s="83" t="str">
        <f t="shared" si="325"/>
        <v/>
      </c>
      <c r="T2995" s="83" t="str">
        <f t="shared" si="322"/>
        <v/>
      </c>
      <c r="Y2995" s="60">
        <f t="shared" si="326"/>
        <v>0</v>
      </c>
      <c r="Z2995" s="49">
        <f t="shared" si="327"/>
        <v>0</v>
      </c>
      <c r="AA2995" s="60">
        <f t="shared" si="328"/>
        <v>0</v>
      </c>
    </row>
    <row r="2996" spans="1:27">
      <c r="A2996" s="83" t="str">
        <f t="shared" si="323"/>
        <v/>
      </c>
      <c r="B2996" s="83" t="str">
        <f t="shared" si="324"/>
        <v/>
      </c>
      <c r="S2996" s="83" t="str">
        <f t="shared" si="325"/>
        <v/>
      </c>
      <c r="T2996" s="83" t="str">
        <f t="shared" si="322"/>
        <v/>
      </c>
      <c r="Y2996" s="60">
        <f t="shared" si="326"/>
        <v>0</v>
      </c>
      <c r="Z2996" s="49">
        <f t="shared" si="327"/>
        <v>0</v>
      </c>
      <c r="AA2996" s="60">
        <f t="shared" si="328"/>
        <v>0</v>
      </c>
    </row>
    <row r="2997" spans="1:27">
      <c r="A2997" s="83" t="str">
        <f t="shared" si="323"/>
        <v/>
      </c>
      <c r="B2997" s="83" t="str">
        <f t="shared" si="324"/>
        <v/>
      </c>
      <c r="S2997" s="83" t="str">
        <f t="shared" si="325"/>
        <v/>
      </c>
      <c r="T2997" s="83" t="str">
        <f t="shared" si="322"/>
        <v/>
      </c>
      <c r="Y2997" s="60">
        <f t="shared" si="326"/>
        <v>0</v>
      </c>
      <c r="Z2997" s="49">
        <f t="shared" si="327"/>
        <v>0</v>
      </c>
      <c r="AA2997" s="60">
        <f t="shared" si="328"/>
        <v>0</v>
      </c>
    </row>
    <row r="2998" spans="1:27">
      <c r="A2998" s="83" t="str">
        <f t="shared" si="323"/>
        <v/>
      </c>
      <c r="B2998" s="83" t="str">
        <f t="shared" si="324"/>
        <v/>
      </c>
      <c r="S2998" s="83" t="str">
        <f t="shared" si="325"/>
        <v/>
      </c>
      <c r="T2998" s="83" t="str">
        <f t="shared" si="322"/>
        <v/>
      </c>
      <c r="Y2998" s="60">
        <f t="shared" si="326"/>
        <v>0</v>
      </c>
      <c r="Z2998" s="49">
        <f t="shared" si="327"/>
        <v>0</v>
      </c>
      <c r="AA2998" s="60">
        <f t="shared" si="328"/>
        <v>0</v>
      </c>
    </row>
    <row r="2999" spans="1:27">
      <c r="A2999" s="83" t="str">
        <f t="shared" si="323"/>
        <v/>
      </c>
      <c r="B2999" s="83" t="str">
        <f t="shared" si="324"/>
        <v/>
      </c>
      <c r="S2999" s="83" t="str">
        <f t="shared" si="325"/>
        <v/>
      </c>
      <c r="T2999" s="83" t="str">
        <f t="shared" si="322"/>
        <v/>
      </c>
      <c r="Y2999" s="60">
        <f t="shared" si="326"/>
        <v>0</v>
      </c>
      <c r="Z2999" s="49">
        <f t="shared" si="327"/>
        <v>0</v>
      </c>
      <c r="AA2999" s="60">
        <f t="shared" si="328"/>
        <v>0</v>
      </c>
    </row>
    <row r="3000" spans="1:27">
      <c r="A3000" s="83" t="str">
        <f t="shared" si="323"/>
        <v/>
      </c>
      <c r="B3000" s="83" t="str">
        <f t="shared" si="324"/>
        <v/>
      </c>
      <c r="S3000" s="83" t="str">
        <f t="shared" si="325"/>
        <v/>
      </c>
      <c r="T3000" s="83" t="str">
        <f t="shared" si="322"/>
        <v/>
      </c>
      <c r="Y3000" s="60">
        <f t="shared" si="326"/>
        <v>0</v>
      </c>
      <c r="Z3000" s="49">
        <f t="shared" si="327"/>
        <v>0</v>
      </c>
      <c r="AA3000" s="60">
        <f t="shared" si="328"/>
        <v>0</v>
      </c>
    </row>
    <row r="3001" spans="1:27">
      <c r="A3001" s="83" t="str">
        <f t="shared" si="323"/>
        <v/>
      </c>
      <c r="B3001" s="83" t="str">
        <f t="shared" si="324"/>
        <v/>
      </c>
      <c r="S3001" s="83" t="str">
        <f t="shared" si="325"/>
        <v/>
      </c>
      <c r="T3001" s="83" t="str">
        <f t="shared" si="322"/>
        <v/>
      </c>
      <c r="Y3001" s="60">
        <f t="shared" si="326"/>
        <v>0</v>
      </c>
      <c r="Z3001" s="49">
        <f t="shared" si="327"/>
        <v>0</v>
      </c>
      <c r="AA3001" s="60">
        <f t="shared" si="328"/>
        <v>0</v>
      </c>
    </row>
    <row r="3002" spans="1:27">
      <c r="A3002" s="83" t="str">
        <f t="shared" si="323"/>
        <v/>
      </c>
      <c r="B3002" s="83" t="str">
        <f t="shared" si="324"/>
        <v/>
      </c>
      <c r="S3002" s="83" t="str">
        <f t="shared" si="325"/>
        <v/>
      </c>
      <c r="T3002" s="83" t="str">
        <f t="shared" si="322"/>
        <v/>
      </c>
      <c r="Y3002" s="60">
        <f t="shared" si="326"/>
        <v>0</v>
      </c>
      <c r="Z3002" s="49">
        <f t="shared" si="327"/>
        <v>0</v>
      </c>
      <c r="AA3002" s="60">
        <f t="shared" si="328"/>
        <v>0</v>
      </c>
    </row>
    <row r="3003" spans="1:27">
      <c r="A3003" s="83" t="str">
        <f t="shared" si="323"/>
        <v/>
      </c>
      <c r="B3003" s="83" t="str">
        <f t="shared" si="324"/>
        <v/>
      </c>
      <c r="S3003" s="83" t="str">
        <f t="shared" si="325"/>
        <v/>
      </c>
      <c r="T3003" s="83" t="str">
        <f t="shared" si="322"/>
        <v/>
      </c>
      <c r="Y3003" s="60">
        <f t="shared" si="326"/>
        <v>0</v>
      </c>
      <c r="Z3003" s="49">
        <f t="shared" si="327"/>
        <v>0</v>
      </c>
      <c r="AA3003" s="60">
        <f t="shared" si="328"/>
        <v>0</v>
      </c>
    </row>
    <row r="3004" spans="1:27">
      <c r="A3004" s="83" t="str">
        <f t="shared" si="323"/>
        <v/>
      </c>
      <c r="B3004" s="83" t="str">
        <f t="shared" si="324"/>
        <v/>
      </c>
      <c r="S3004" s="83" t="str">
        <f t="shared" si="325"/>
        <v/>
      </c>
      <c r="T3004" s="83" t="str">
        <f t="shared" si="322"/>
        <v/>
      </c>
      <c r="Y3004" s="60">
        <f t="shared" si="326"/>
        <v>0</v>
      </c>
      <c r="Z3004" s="49">
        <f t="shared" si="327"/>
        <v>0</v>
      </c>
      <c r="AA3004" s="60">
        <f t="shared" si="328"/>
        <v>0</v>
      </c>
    </row>
    <row r="3005" spans="1:27">
      <c r="A3005" s="83" t="str">
        <f t="shared" si="323"/>
        <v/>
      </c>
      <c r="B3005" s="83" t="str">
        <f t="shared" si="324"/>
        <v/>
      </c>
      <c r="S3005" s="83" t="str">
        <f t="shared" si="325"/>
        <v/>
      </c>
      <c r="T3005" s="83" t="str">
        <f t="shared" si="322"/>
        <v/>
      </c>
      <c r="Y3005" s="60">
        <f t="shared" si="326"/>
        <v>0</v>
      </c>
      <c r="Z3005" s="49">
        <f t="shared" si="327"/>
        <v>0</v>
      </c>
      <c r="AA3005" s="60">
        <f t="shared" si="328"/>
        <v>0</v>
      </c>
    </row>
    <row r="3006" spans="1:27">
      <c r="A3006" s="83" t="str">
        <f t="shared" si="323"/>
        <v/>
      </c>
      <c r="B3006" s="83" t="str">
        <f t="shared" si="324"/>
        <v/>
      </c>
      <c r="S3006" s="83" t="str">
        <f t="shared" si="325"/>
        <v/>
      </c>
      <c r="T3006" s="83" t="str">
        <f t="shared" si="322"/>
        <v/>
      </c>
      <c r="Y3006" s="60">
        <f t="shared" si="326"/>
        <v>0</v>
      </c>
      <c r="Z3006" s="49">
        <f t="shared" si="327"/>
        <v>0</v>
      </c>
      <c r="AA3006" s="60">
        <f t="shared" si="328"/>
        <v>0</v>
      </c>
    </row>
    <row r="3007" spans="1:27">
      <c r="A3007" s="83" t="str">
        <f t="shared" si="323"/>
        <v/>
      </c>
      <c r="B3007" s="83" t="str">
        <f t="shared" si="324"/>
        <v/>
      </c>
      <c r="S3007" s="83" t="str">
        <f t="shared" si="325"/>
        <v/>
      </c>
      <c r="T3007" s="83" t="str">
        <f t="shared" si="322"/>
        <v/>
      </c>
      <c r="Y3007" s="60">
        <f t="shared" si="326"/>
        <v>0</v>
      </c>
      <c r="Z3007" s="49">
        <f t="shared" si="327"/>
        <v>0</v>
      </c>
      <c r="AA3007" s="60">
        <f t="shared" si="328"/>
        <v>0</v>
      </c>
    </row>
    <row r="3008" spans="1:27">
      <c r="A3008" s="83" t="str">
        <f t="shared" si="323"/>
        <v/>
      </c>
      <c r="B3008" s="83" t="str">
        <f t="shared" si="324"/>
        <v/>
      </c>
      <c r="S3008" s="83" t="str">
        <f t="shared" si="325"/>
        <v/>
      </c>
      <c r="T3008" s="83" t="str">
        <f t="shared" si="322"/>
        <v/>
      </c>
      <c r="Y3008" s="60">
        <f t="shared" si="326"/>
        <v>0</v>
      </c>
      <c r="Z3008" s="49">
        <f t="shared" si="327"/>
        <v>0</v>
      </c>
      <c r="AA3008" s="60">
        <f t="shared" si="328"/>
        <v>0</v>
      </c>
    </row>
    <row r="3009" spans="1:27">
      <c r="A3009" s="83" t="str">
        <f t="shared" si="323"/>
        <v/>
      </c>
      <c r="B3009" s="83" t="str">
        <f t="shared" si="324"/>
        <v/>
      </c>
      <c r="S3009" s="83" t="str">
        <f t="shared" si="325"/>
        <v/>
      </c>
      <c r="T3009" s="83" t="str">
        <f t="shared" si="322"/>
        <v/>
      </c>
      <c r="Y3009" s="60">
        <f t="shared" si="326"/>
        <v>0</v>
      </c>
      <c r="Z3009" s="49">
        <f t="shared" si="327"/>
        <v>0</v>
      </c>
      <c r="AA3009" s="60">
        <f t="shared" si="328"/>
        <v>0</v>
      </c>
    </row>
    <row r="3010" spans="1:27">
      <c r="A3010" s="83" t="str">
        <f t="shared" si="323"/>
        <v/>
      </c>
      <c r="B3010" s="83" t="str">
        <f t="shared" si="324"/>
        <v/>
      </c>
      <c r="S3010" s="83" t="str">
        <f t="shared" si="325"/>
        <v/>
      </c>
      <c r="T3010" s="83" t="str">
        <f t="shared" ref="T3010:T3073" si="329">IF(A3010&lt;&gt;"",IF(FIND(" ",G3010)&gt;=1,MID(G3010,FIND(" ",G3010)+1,LEN(G3010)),""),"")</f>
        <v/>
      </c>
      <c r="Y3010" s="60">
        <f t="shared" si="326"/>
        <v>0</v>
      </c>
      <c r="Z3010" s="49">
        <f t="shared" si="327"/>
        <v>0</v>
      </c>
      <c r="AA3010" s="60">
        <f t="shared" si="328"/>
        <v>0</v>
      </c>
    </row>
    <row r="3011" spans="1:27">
      <c r="A3011" s="83" t="str">
        <f t="shared" ref="A3011:A3074" si="330">IF(G3011&amp;Q3011&lt;&gt;"",S3011&amp;Q3011,"")</f>
        <v/>
      </c>
      <c r="B3011" s="83" t="str">
        <f t="shared" ref="B3011:B3074" si="331">IF(C3011&lt;&gt;"",LEFT(C3011,9),"")</f>
        <v/>
      </c>
      <c r="S3011" s="83" t="str">
        <f t="shared" ref="S3011:S3074" si="332">IF(G3011&lt;&gt;"",IF(FIND(" ",G3011)&gt;=1,MID(G3011,1,FIND(" ",G3011)-1),G3011),"")</f>
        <v/>
      </c>
      <c r="T3011" s="83" t="str">
        <f t="shared" si="329"/>
        <v/>
      </c>
      <c r="Y3011" s="60">
        <f t="shared" ref="Y3011:Y3074" si="333">IFERROR(VALUE(MID($C3011,1,2)),0)</f>
        <v>0</v>
      </c>
      <c r="Z3011" s="49">
        <f t="shared" ref="Z3011:Z3074" si="334">IFERROR(VALUE(MID($C3011,4,3)),0)</f>
        <v>0</v>
      </c>
      <c r="AA3011" s="60">
        <f t="shared" ref="AA3011:AA3074" si="335">VALUE(RIGHT("00"&amp;Y3011,2)&amp;RIGHT("000"&amp;Z3011,3))</f>
        <v>0</v>
      </c>
    </row>
    <row r="3012" spans="1:27">
      <c r="A3012" s="83" t="str">
        <f t="shared" si="330"/>
        <v/>
      </c>
      <c r="B3012" s="83" t="str">
        <f t="shared" si="331"/>
        <v/>
      </c>
      <c r="S3012" s="83" t="str">
        <f t="shared" si="332"/>
        <v/>
      </c>
      <c r="T3012" s="83" t="str">
        <f t="shared" si="329"/>
        <v/>
      </c>
      <c r="Y3012" s="60">
        <f t="shared" si="333"/>
        <v>0</v>
      </c>
      <c r="Z3012" s="49">
        <f t="shared" si="334"/>
        <v>0</v>
      </c>
      <c r="AA3012" s="60">
        <f t="shared" si="335"/>
        <v>0</v>
      </c>
    </row>
    <row r="3013" spans="1:27">
      <c r="A3013" s="83" t="str">
        <f t="shared" si="330"/>
        <v/>
      </c>
      <c r="B3013" s="83" t="str">
        <f t="shared" si="331"/>
        <v/>
      </c>
      <c r="S3013" s="83" t="str">
        <f t="shared" si="332"/>
        <v/>
      </c>
      <c r="T3013" s="83" t="str">
        <f t="shared" si="329"/>
        <v/>
      </c>
      <c r="Y3013" s="60">
        <f t="shared" si="333"/>
        <v>0</v>
      </c>
      <c r="Z3013" s="49">
        <f t="shared" si="334"/>
        <v>0</v>
      </c>
      <c r="AA3013" s="60">
        <f t="shared" si="335"/>
        <v>0</v>
      </c>
    </row>
    <row r="3014" spans="1:27">
      <c r="A3014" s="83" t="str">
        <f t="shared" si="330"/>
        <v/>
      </c>
      <c r="B3014" s="83" t="str">
        <f t="shared" si="331"/>
        <v/>
      </c>
      <c r="S3014" s="83" t="str">
        <f t="shared" si="332"/>
        <v/>
      </c>
      <c r="T3014" s="83" t="str">
        <f t="shared" si="329"/>
        <v/>
      </c>
      <c r="Y3014" s="60">
        <f t="shared" si="333"/>
        <v>0</v>
      </c>
      <c r="Z3014" s="49">
        <f t="shared" si="334"/>
        <v>0</v>
      </c>
      <c r="AA3014" s="60">
        <f t="shared" si="335"/>
        <v>0</v>
      </c>
    </row>
    <row r="3015" spans="1:27">
      <c r="A3015" s="83" t="str">
        <f t="shared" si="330"/>
        <v/>
      </c>
      <c r="B3015" s="83" t="str">
        <f t="shared" si="331"/>
        <v/>
      </c>
      <c r="S3015" s="83" t="str">
        <f t="shared" si="332"/>
        <v/>
      </c>
      <c r="T3015" s="83" t="str">
        <f t="shared" si="329"/>
        <v/>
      </c>
      <c r="Y3015" s="60">
        <f t="shared" si="333"/>
        <v>0</v>
      </c>
      <c r="Z3015" s="49">
        <f t="shared" si="334"/>
        <v>0</v>
      </c>
      <c r="AA3015" s="60">
        <f t="shared" si="335"/>
        <v>0</v>
      </c>
    </row>
    <row r="3016" spans="1:27">
      <c r="A3016" s="83" t="str">
        <f t="shared" si="330"/>
        <v/>
      </c>
      <c r="B3016" s="83" t="str">
        <f t="shared" si="331"/>
        <v/>
      </c>
      <c r="S3016" s="83" t="str">
        <f t="shared" si="332"/>
        <v/>
      </c>
      <c r="T3016" s="83" t="str">
        <f t="shared" si="329"/>
        <v/>
      </c>
      <c r="Y3016" s="60">
        <f t="shared" si="333"/>
        <v>0</v>
      </c>
      <c r="Z3016" s="49">
        <f t="shared" si="334"/>
        <v>0</v>
      </c>
      <c r="AA3016" s="60">
        <f t="shared" si="335"/>
        <v>0</v>
      </c>
    </row>
    <row r="3017" spans="1:27">
      <c r="A3017" s="83" t="str">
        <f t="shared" si="330"/>
        <v/>
      </c>
      <c r="B3017" s="83" t="str">
        <f t="shared" si="331"/>
        <v/>
      </c>
      <c r="S3017" s="83" t="str">
        <f t="shared" si="332"/>
        <v/>
      </c>
      <c r="T3017" s="83" t="str">
        <f t="shared" si="329"/>
        <v/>
      </c>
      <c r="Y3017" s="60">
        <f t="shared" si="333"/>
        <v>0</v>
      </c>
      <c r="Z3017" s="49">
        <f t="shared" si="334"/>
        <v>0</v>
      </c>
      <c r="AA3017" s="60">
        <f t="shared" si="335"/>
        <v>0</v>
      </c>
    </row>
    <row r="3018" spans="1:27">
      <c r="A3018" s="83" t="str">
        <f t="shared" si="330"/>
        <v/>
      </c>
      <c r="B3018" s="83" t="str">
        <f t="shared" si="331"/>
        <v/>
      </c>
      <c r="S3018" s="83" t="str">
        <f t="shared" si="332"/>
        <v/>
      </c>
      <c r="T3018" s="83" t="str">
        <f t="shared" si="329"/>
        <v/>
      </c>
      <c r="Y3018" s="60">
        <f t="shared" si="333"/>
        <v>0</v>
      </c>
      <c r="Z3018" s="49">
        <f t="shared" si="334"/>
        <v>0</v>
      </c>
      <c r="AA3018" s="60">
        <f t="shared" si="335"/>
        <v>0</v>
      </c>
    </row>
    <row r="3019" spans="1:27">
      <c r="A3019" s="83" t="str">
        <f t="shared" si="330"/>
        <v/>
      </c>
      <c r="B3019" s="83" t="str">
        <f t="shared" si="331"/>
        <v/>
      </c>
      <c r="S3019" s="83" t="str">
        <f t="shared" si="332"/>
        <v/>
      </c>
      <c r="T3019" s="83" t="str">
        <f t="shared" si="329"/>
        <v/>
      </c>
      <c r="Y3019" s="60">
        <f t="shared" si="333"/>
        <v>0</v>
      </c>
      <c r="Z3019" s="49">
        <f t="shared" si="334"/>
        <v>0</v>
      </c>
      <c r="AA3019" s="60">
        <f t="shared" si="335"/>
        <v>0</v>
      </c>
    </row>
    <row r="3020" spans="1:27">
      <c r="A3020" s="83" t="str">
        <f t="shared" si="330"/>
        <v/>
      </c>
      <c r="B3020" s="83" t="str">
        <f t="shared" si="331"/>
        <v/>
      </c>
      <c r="S3020" s="83" t="str">
        <f t="shared" si="332"/>
        <v/>
      </c>
      <c r="T3020" s="83" t="str">
        <f t="shared" si="329"/>
        <v/>
      </c>
      <c r="Y3020" s="60">
        <f t="shared" si="333"/>
        <v>0</v>
      </c>
      <c r="Z3020" s="49">
        <f t="shared" si="334"/>
        <v>0</v>
      </c>
      <c r="AA3020" s="60">
        <f t="shared" si="335"/>
        <v>0</v>
      </c>
    </row>
    <row r="3021" spans="1:27">
      <c r="A3021" s="83" t="str">
        <f t="shared" si="330"/>
        <v/>
      </c>
      <c r="B3021" s="83" t="str">
        <f t="shared" si="331"/>
        <v/>
      </c>
      <c r="S3021" s="83" t="str">
        <f t="shared" si="332"/>
        <v/>
      </c>
      <c r="T3021" s="83" t="str">
        <f t="shared" si="329"/>
        <v/>
      </c>
      <c r="Y3021" s="60">
        <f t="shared" si="333"/>
        <v>0</v>
      </c>
      <c r="Z3021" s="49">
        <f t="shared" si="334"/>
        <v>0</v>
      </c>
      <c r="AA3021" s="60">
        <f t="shared" si="335"/>
        <v>0</v>
      </c>
    </row>
    <row r="3022" spans="1:27">
      <c r="A3022" s="83" t="str">
        <f t="shared" si="330"/>
        <v/>
      </c>
      <c r="B3022" s="83" t="str">
        <f t="shared" si="331"/>
        <v/>
      </c>
      <c r="S3022" s="83" t="str">
        <f t="shared" si="332"/>
        <v/>
      </c>
      <c r="T3022" s="83" t="str">
        <f t="shared" si="329"/>
        <v/>
      </c>
      <c r="Y3022" s="60">
        <f t="shared" si="333"/>
        <v>0</v>
      </c>
      <c r="Z3022" s="49">
        <f t="shared" si="334"/>
        <v>0</v>
      </c>
      <c r="AA3022" s="60">
        <f t="shared" si="335"/>
        <v>0</v>
      </c>
    </row>
    <row r="3023" spans="1:27">
      <c r="A3023" s="83" t="str">
        <f t="shared" si="330"/>
        <v/>
      </c>
      <c r="B3023" s="83" t="str">
        <f t="shared" si="331"/>
        <v/>
      </c>
      <c r="S3023" s="83" t="str">
        <f t="shared" si="332"/>
        <v/>
      </c>
      <c r="T3023" s="83" t="str">
        <f t="shared" si="329"/>
        <v/>
      </c>
      <c r="Y3023" s="60">
        <f t="shared" si="333"/>
        <v>0</v>
      </c>
      <c r="Z3023" s="49">
        <f t="shared" si="334"/>
        <v>0</v>
      </c>
      <c r="AA3023" s="60">
        <f t="shared" si="335"/>
        <v>0</v>
      </c>
    </row>
    <row r="3024" spans="1:27">
      <c r="A3024" s="83" t="str">
        <f t="shared" si="330"/>
        <v/>
      </c>
      <c r="B3024" s="83" t="str">
        <f t="shared" si="331"/>
        <v/>
      </c>
      <c r="S3024" s="83" t="str">
        <f t="shared" si="332"/>
        <v/>
      </c>
      <c r="T3024" s="83" t="str">
        <f t="shared" si="329"/>
        <v/>
      </c>
      <c r="Y3024" s="60">
        <f t="shared" si="333"/>
        <v>0</v>
      </c>
      <c r="Z3024" s="49">
        <f t="shared" si="334"/>
        <v>0</v>
      </c>
      <c r="AA3024" s="60">
        <f t="shared" si="335"/>
        <v>0</v>
      </c>
    </row>
    <row r="3025" spans="1:27">
      <c r="A3025" s="83" t="str">
        <f t="shared" si="330"/>
        <v/>
      </c>
      <c r="B3025" s="83" t="str">
        <f t="shared" si="331"/>
        <v/>
      </c>
      <c r="S3025" s="83" t="str">
        <f t="shared" si="332"/>
        <v/>
      </c>
      <c r="T3025" s="83" t="str">
        <f t="shared" si="329"/>
        <v/>
      </c>
      <c r="Y3025" s="60">
        <f t="shared" si="333"/>
        <v>0</v>
      </c>
      <c r="Z3025" s="49">
        <f t="shared" si="334"/>
        <v>0</v>
      </c>
      <c r="AA3025" s="60">
        <f t="shared" si="335"/>
        <v>0</v>
      </c>
    </row>
    <row r="3026" spans="1:27">
      <c r="A3026" s="83" t="str">
        <f t="shared" si="330"/>
        <v/>
      </c>
      <c r="B3026" s="83" t="str">
        <f t="shared" si="331"/>
        <v/>
      </c>
      <c r="S3026" s="83" t="str">
        <f t="shared" si="332"/>
        <v/>
      </c>
      <c r="T3026" s="83" t="str">
        <f t="shared" si="329"/>
        <v/>
      </c>
      <c r="Y3026" s="60">
        <f t="shared" si="333"/>
        <v>0</v>
      </c>
      <c r="Z3026" s="49">
        <f t="shared" si="334"/>
        <v>0</v>
      </c>
      <c r="AA3026" s="60">
        <f t="shared" si="335"/>
        <v>0</v>
      </c>
    </row>
    <row r="3027" spans="1:27">
      <c r="A3027" s="83" t="str">
        <f t="shared" si="330"/>
        <v/>
      </c>
      <c r="B3027" s="83" t="str">
        <f t="shared" si="331"/>
        <v/>
      </c>
      <c r="S3027" s="83" t="str">
        <f t="shared" si="332"/>
        <v/>
      </c>
      <c r="T3027" s="83" t="str">
        <f t="shared" si="329"/>
        <v/>
      </c>
      <c r="Y3027" s="60">
        <f t="shared" si="333"/>
        <v>0</v>
      </c>
      <c r="Z3027" s="49">
        <f t="shared" si="334"/>
        <v>0</v>
      </c>
      <c r="AA3027" s="60">
        <f t="shared" si="335"/>
        <v>0</v>
      </c>
    </row>
    <row r="3028" spans="1:27">
      <c r="A3028" s="83" t="str">
        <f t="shared" si="330"/>
        <v/>
      </c>
      <c r="B3028" s="83" t="str">
        <f t="shared" si="331"/>
        <v/>
      </c>
      <c r="S3028" s="83" t="str">
        <f t="shared" si="332"/>
        <v/>
      </c>
      <c r="T3028" s="83" t="str">
        <f t="shared" si="329"/>
        <v/>
      </c>
      <c r="Y3028" s="60">
        <f t="shared" si="333"/>
        <v>0</v>
      </c>
      <c r="Z3028" s="49">
        <f t="shared" si="334"/>
        <v>0</v>
      </c>
      <c r="AA3028" s="60">
        <f t="shared" si="335"/>
        <v>0</v>
      </c>
    </row>
    <row r="3029" spans="1:27">
      <c r="A3029" s="83" t="str">
        <f t="shared" si="330"/>
        <v/>
      </c>
      <c r="B3029" s="83" t="str">
        <f t="shared" si="331"/>
        <v/>
      </c>
      <c r="S3029" s="83" t="str">
        <f t="shared" si="332"/>
        <v/>
      </c>
      <c r="T3029" s="83" t="str">
        <f t="shared" si="329"/>
        <v/>
      </c>
      <c r="Y3029" s="60">
        <f t="shared" si="333"/>
        <v>0</v>
      </c>
      <c r="Z3029" s="49">
        <f t="shared" si="334"/>
        <v>0</v>
      </c>
      <c r="AA3029" s="60">
        <f t="shared" si="335"/>
        <v>0</v>
      </c>
    </row>
    <row r="3030" spans="1:27">
      <c r="A3030" s="83" t="str">
        <f t="shared" si="330"/>
        <v/>
      </c>
      <c r="B3030" s="83" t="str">
        <f t="shared" si="331"/>
        <v/>
      </c>
      <c r="S3030" s="83" t="str">
        <f t="shared" si="332"/>
        <v/>
      </c>
      <c r="T3030" s="83" t="str">
        <f t="shared" si="329"/>
        <v/>
      </c>
      <c r="Y3030" s="60">
        <f t="shared" si="333"/>
        <v>0</v>
      </c>
      <c r="Z3030" s="49">
        <f t="shared" si="334"/>
        <v>0</v>
      </c>
      <c r="AA3030" s="60">
        <f t="shared" si="335"/>
        <v>0</v>
      </c>
    </row>
    <row r="3031" spans="1:27">
      <c r="A3031" s="83" t="str">
        <f t="shared" si="330"/>
        <v/>
      </c>
      <c r="B3031" s="83" t="str">
        <f t="shared" si="331"/>
        <v/>
      </c>
      <c r="S3031" s="83" t="str">
        <f t="shared" si="332"/>
        <v/>
      </c>
      <c r="T3031" s="83" t="str">
        <f t="shared" si="329"/>
        <v/>
      </c>
      <c r="Y3031" s="60">
        <f t="shared" si="333"/>
        <v>0</v>
      </c>
      <c r="Z3031" s="49">
        <f t="shared" si="334"/>
        <v>0</v>
      </c>
      <c r="AA3031" s="60">
        <f t="shared" si="335"/>
        <v>0</v>
      </c>
    </row>
    <row r="3032" spans="1:27">
      <c r="A3032" s="83" t="str">
        <f t="shared" si="330"/>
        <v/>
      </c>
      <c r="B3032" s="83" t="str">
        <f t="shared" si="331"/>
        <v/>
      </c>
      <c r="S3032" s="83" t="str">
        <f t="shared" si="332"/>
        <v/>
      </c>
      <c r="T3032" s="83" t="str">
        <f t="shared" si="329"/>
        <v/>
      </c>
      <c r="Y3032" s="60">
        <f t="shared" si="333"/>
        <v>0</v>
      </c>
      <c r="Z3032" s="49">
        <f t="shared" si="334"/>
        <v>0</v>
      </c>
      <c r="AA3032" s="60">
        <f t="shared" si="335"/>
        <v>0</v>
      </c>
    </row>
    <row r="3033" spans="1:27">
      <c r="A3033" s="83" t="str">
        <f t="shared" si="330"/>
        <v/>
      </c>
      <c r="B3033" s="83" t="str">
        <f t="shared" si="331"/>
        <v/>
      </c>
      <c r="S3033" s="83" t="str">
        <f t="shared" si="332"/>
        <v/>
      </c>
      <c r="T3033" s="83" t="str">
        <f t="shared" si="329"/>
        <v/>
      </c>
      <c r="Y3033" s="60">
        <f t="shared" si="333"/>
        <v>0</v>
      </c>
      <c r="Z3033" s="49">
        <f t="shared" si="334"/>
        <v>0</v>
      </c>
      <c r="AA3033" s="60">
        <f t="shared" si="335"/>
        <v>0</v>
      </c>
    </row>
    <row r="3034" spans="1:27">
      <c r="A3034" s="83" t="str">
        <f t="shared" si="330"/>
        <v/>
      </c>
      <c r="B3034" s="83" t="str">
        <f t="shared" si="331"/>
        <v/>
      </c>
      <c r="S3034" s="83" t="str">
        <f t="shared" si="332"/>
        <v/>
      </c>
      <c r="T3034" s="83" t="str">
        <f t="shared" si="329"/>
        <v/>
      </c>
      <c r="Y3034" s="60">
        <f t="shared" si="333"/>
        <v>0</v>
      </c>
      <c r="Z3034" s="49">
        <f t="shared" si="334"/>
        <v>0</v>
      </c>
      <c r="AA3034" s="60">
        <f t="shared" si="335"/>
        <v>0</v>
      </c>
    </row>
    <row r="3035" spans="1:27">
      <c r="A3035" s="83" t="str">
        <f t="shared" si="330"/>
        <v/>
      </c>
      <c r="B3035" s="83" t="str">
        <f t="shared" si="331"/>
        <v/>
      </c>
      <c r="S3035" s="83" t="str">
        <f t="shared" si="332"/>
        <v/>
      </c>
      <c r="T3035" s="83" t="str">
        <f t="shared" si="329"/>
        <v/>
      </c>
      <c r="Y3035" s="60">
        <f t="shared" si="333"/>
        <v>0</v>
      </c>
      <c r="Z3035" s="49">
        <f t="shared" si="334"/>
        <v>0</v>
      </c>
      <c r="AA3035" s="60">
        <f t="shared" si="335"/>
        <v>0</v>
      </c>
    </row>
    <row r="3036" spans="1:27">
      <c r="A3036" s="83" t="str">
        <f t="shared" si="330"/>
        <v/>
      </c>
      <c r="B3036" s="83" t="str">
        <f t="shared" si="331"/>
        <v/>
      </c>
      <c r="S3036" s="83" t="str">
        <f t="shared" si="332"/>
        <v/>
      </c>
      <c r="T3036" s="83" t="str">
        <f t="shared" si="329"/>
        <v/>
      </c>
      <c r="Y3036" s="60">
        <f t="shared" si="333"/>
        <v>0</v>
      </c>
      <c r="Z3036" s="49">
        <f t="shared" si="334"/>
        <v>0</v>
      </c>
      <c r="AA3036" s="60">
        <f t="shared" si="335"/>
        <v>0</v>
      </c>
    </row>
    <row r="3037" spans="1:27">
      <c r="A3037" s="83" t="str">
        <f t="shared" si="330"/>
        <v/>
      </c>
      <c r="B3037" s="83" t="str">
        <f t="shared" si="331"/>
        <v/>
      </c>
      <c r="S3037" s="83" t="str">
        <f t="shared" si="332"/>
        <v/>
      </c>
      <c r="T3037" s="83" t="str">
        <f t="shared" si="329"/>
        <v/>
      </c>
      <c r="Y3037" s="60">
        <f t="shared" si="333"/>
        <v>0</v>
      </c>
      <c r="Z3037" s="49">
        <f t="shared" si="334"/>
        <v>0</v>
      </c>
      <c r="AA3037" s="60">
        <f t="shared" si="335"/>
        <v>0</v>
      </c>
    </row>
    <row r="3038" spans="1:27">
      <c r="A3038" s="83" t="str">
        <f t="shared" si="330"/>
        <v/>
      </c>
      <c r="B3038" s="83" t="str">
        <f t="shared" si="331"/>
        <v/>
      </c>
      <c r="S3038" s="83" t="str">
        <f t="shared" si="332"/>
        <v/>
      </c>
      <c r="T3038" s="83" t="str">
        <f t="shared" si="329"/>
        <v/>
      </c>
      <c r="Y3038" s="60">
        <f t="shared" si="333"/>
        <v>0</v>
      </c>
      <c r="Z3038" s="49">
        <f t="shared" si="334"/>
        <v>0</v>
      </c>
      <c r="AA3038" s="60">
        <f t="shared" si="335"/>
        <v>0</v>
      </c>
    </row>
    <row r="3039" spans="1:27">
      <c r="A3039" s="83" t="str">
        <f t="shared" si="330"/>
        <v/>
      </c>
      <c r="B3039" s="83" t="str">
        <f t="shared" si="331"/>
        <v/>
      </c>
      <c r="S3039" s="83" t="str">
        <f t="shared" si="332"/>
        <v/>
      </c>
      <c r="T3039" s="83" t="str">
        <f t="shared" si="329"/>
        <v/>
      </c>
      <c r="Y3039" s="60">
        <f t="shared" si="333"/>
        <v>0</v>
      </c>
      <c r="Z3039" s="49">
        <f t="shared" si="334"/>
        <v>0</v>
      </c>
      <c r="AA3039" s="60">
        <f t="shared" si="335"/>
        <v>0</v>
      </c>
    </row>
    <row r="3040" spans="1:27">
      <c r="A3040" s="83" t="str">
        <f t="shared" si="330"/>
        <v/>
      </c>
      <c r="B3040" s="83" t="str">
        <f t="shared" si="331"/>
        <v/>
      </c>
      <c r="S3040" s="83" t="str">
        <f t="shared" si="332"/>
        <v/>
      </c>
      <c r="T3040" s="83" t="str">
        <f t="shared" si="329"/>
        <v/>
      </c>
      <c r="Y3040" s="60">
        <f t="shared" si="333"/>
        <v>0</v>
      </c>
      <c r="Z3040" s="49">
        <f t="shared" si="334"/>
        <v>0</v>
      </c>
      <c r="AA3040" s="60">
        <f t="shared" si="335"/>
        <v>0</v>
      </c>
    </row>
    <row r="3041" spans="1:27">
      <c r="A3041" s="83" t="str">
        <f t="shared" si="330"/>
        <v/>
      </c>
      <c r="B3041" s="83" t="str">
        <f t="shared" si="331"/>
        <v/>
      </c>
      <c r="S3041" s="83" t="str">
        <f t="shared" si="332"/>
        <v/>
      </c>
      <c r="T3041" s="83" t="str">
        <f t="shared" si="329"/>
        <v/>
      </c>
      <c r="Y3041" s="60">
        <f t="shared" si="333"/>
        <v>0</v>
      </c>
      <c r="Z3041" s="49">
        <f t="shared" si="334"/>
        <v>0</v>
      </c>
      <c r="AA3041" s="60">
        <f t="shared" si="335"/>
        <v>0</v>
      </c>
    </row>
    <row r="3042" spans="1:27">
      <c r="A3042" s="83" t="str">
        <f t="shared" si="330"/>
        <v/>
      </c>
      <c r="B3042" s="83" t="str">
        <f t="shared" si="331"/>
        <v/>
      </c>
      <c r="S3042" s="83" t="str">
        <f t="shared" si="332"/>
        <v/>
      </c>
      <c r="T3042" s="83" t="str">
        <f t="shared" si="329"/>
        <v/>
      </c>
      <c r="Y3042" s="60">
        <f t="shared" si="333"/>
        <v>0</v>
      </c>
      <c r="Z3042" s="49">
        <f t="shared" si="334"/>
        <v>0</v>
      </c>
      <c r="AA3042" s="60">
        <f t="shared" si="335"/>
        <v>0</v>
      </c>
    </row>
    <row r="3043" spans="1:27">
      <c r="A3043" s="83" t="str">
        <f t="shared" si="330"/>
        <v/>
      </c>
      <c r="B3043" s="83" t="str">
        <f t="shared" si="331"/>
        <v/>
      </c>
      <c r="S3043" s="83" t="str">
        <f t="shared" si="332"/>
        <v/>
      </c>
      <c r="T3043" s="83" t="str">
        <f t="shared" si="329"/>
        <v/>
      </c>
      <c r="Y3043" s="60">
        <f t="shared" si="333"/>
        <v>0</v>
      </c>
      <c r="Z3043" s="49">
        <f t="shared" si="334"/>
        <v>0</v>
      </c>
      <c r="AA3043" s="60">
        <f t="shared" si="335"/>
        <v>0</v>
      </c>
    </row>
    <row r="3044" spans="1:27">
      <c r="A3044" s="83" t="str">
        <f t="shared" si="330"/>
        <v/>
      </c>
      <c r="B3044" s="83" t="str">
        <f t="shared" si="331"/>
        <v/>
      </c>
      <c r="S3044" s="83" t="str">
        <f t="shared" si="332"/>
        <v/>
      </c>
      <c r="T3044" s="83" t="str">
        <f t="shared" si="329"/>
        <v/>
      </c>
      <c r="Y3044" s="60">
        <f t="shared" si="333"/>
        <v>0</v>
      </c>
      <c r="Z3044" s="49">
        <f t="shared" si="334"/>
        <v>0</v>
      </c>
      <c r="AA3044" s="60">
        <f t="shared" si="335"/>
        <v>0</v>
      </c>
    </row>
    <row r="3045" spans="1:27">
      <c r="A3045" s="83" t="str">
        <f t="shared" si="330"/>
        <v/>
      </c>
      <c r="B3045" s="83" t="str">
        <f t="shared" si="331"/>
        <v/>
      </c>
      <c r="S3045" s="83" t="str">
        <f t="shared" si="332"/>
        <v/>
      </c>
      <c r="T3045" s="83" t="str">
        <f t="shared" si="329"/>
        <v/>
      </c>
      <c r="Y3045" s="60">
        <f t="shared" si="333"/>
        <v>0</v>
      </c>
      <c r="Z3045" s="49">
        <f t="shared" si="334"/>
        <v>0</v>
      </c>
      <c r="AA3045" s="60">
        <f t="shared" si="335"/>
        <v>0</v>
      </c>
    </row>
    <row r="3046" spans="1:27">
      <c r="A3046" s="83" t="str">
        <f t="shared" si="330"/>
        <v/>
      </c>
      <c r="B3046" s="83" t="str">
        <f t="shared" si="331"/>
        <v/>
      </c>
      <c r="S3046" s="83" t="str">
        <f t="shared" si="332"/>
        <v/>
      </c>
      <c r="T3046" s="83" t="str">
        <f t="shared" si="329"/>
        <v/>
      </c>
      <c r="Y3046" s="60">
        <f t="shared" si="333"/>
        <v>0</v>
      </c>
      <c r="Z3046" s="49">
        <f t="shared" si="334"/>
        <v>0</v>
      </c>
      <c r="AA3046" s="60">
        <f t="shared" si="335"/>
        <v>0</v>
      </c>
    </row>
    <row r="3047" spans="1:27">
      <c r="A3047" s="83" t="str">
        <f t="shared" si="330"/>
        <v/>
      </c>
      <c r="B3047" s="83" t="str">
        <f t="shared" si="331"/>
        <v/>
      </c>
      <c r="S3047" s="83" t="str">
        <f t="shared" si="332"/>
        <v/>
      </c>
      <c r="T3047" s="83" t="str">
        <f t="shared" si="329"/>
        <v/>
      </c>
      <c r="Y3047" s="60">
        <f t="shared" si="333"/>
        <v>0</v>
      </c>
      <c r="Z3047" s="49">
        <f t="shared" si="334"/>
        <v>0</v>
      </c>
      <c r="AA3047" s="60">
        <f t="shared" si="335"/>
        <v>0</v>
      </c>
    </row>
    <row r="3048" spans="1:27">
      <c r="A3048" s="83" t="str">
        <f t="shared" si="330"/>
        <v/>
      </c>
      <c r="B3048" s="83" t="str">
        <f t="shared" si="331"/>
        <v/>
      </c>
      <c r="S3048" s="83" t="str">
        <f t="shared" si="332"/>
        <v/>
      </c>
      <c r="T3048" s="83" t="str">
        <f t="shared" si="329"/>
        <v/>
      </c>
      <c r="Y3048" s="60">
        <f t="shared" si="333"/>
        <v>0</v>
      </c>
      <c r="Z3048" s="49">
        <f t="shared" si="334"/>
        <v>0</v>
      </c>
      <c r="AA3048" s="60">
        <f t="shared" si="335"/>
        <v>0</v>
      </c>
    </row>
    <row r="3049" spans="1:27">
      <c r="A3049" s="83" t="str">
        <f t="shared" si="330"/>
        <v/>
      </c>
      <c r="B3049" s="83" t="str">
        <f t="shared" si="331"/>
        <v/>
      </c>
      <c r="S3049" s="83" t="str">
        <f t="shared" si="332"/>
        <v/>
      </c>
      <c r="T3049" s="83" t="str">
        <f t="shared" si="329"/>
        <v/>
      </c>
      <c r="Y3049" s="60">
        <f t="shared" si="333"/>
        <v>0</v>
      </c>
      <c r="Z3049" s="49">
        <f t="shared" si="334"/>
        <v>0</v>
      </c>
      <c r="AA3049" s="60">
        <f t="shared" si="335"/>
        <v>0</v>
      </c>
    </row>
    <row r="3050" spans="1:27">
      <c r="A3050" s="83" t="str">
        <f t="shared" si="330"/>
        <v/>
      </c>
      <c r="B3050" s="83" t="str">
        <f t="shared" si="331"/>
        <v/>
      </c>
      <c r="S3050" s="83" t="str">
        <f t="shared" si="332"/>
        <v/>
      </c>
      <c r="T3050" s="83" t="str">
        <f t="shared" si="329"/>
        <v/>
      </c>
      <c r="Y3050" s="60">
        <f t="shared" si="333"/>
        <v>0</v>
      </c>
      <c r="Z3050" s="49">
        <f t="shared" si="334"/>
        <v>0</v>
      </c>
      <c r="AA3050" s="60">
        <f t="shared" si="335"/>
        <v>0</v>
      </c>
    </row>
    <row r="3051" spans="1:27">
      <c r="A3051" s="83" t="str">
        <f t="shared" si="330"/>
        <v/>
      </c>
      <c r="B3051" s="83" t="str">
        <f t="shared" si="331"/>
        <v/>
      </c>
      <c r="S3051" s="83" t="str">
        <f t="shared" si="332"/>
        <v/>
      </c>
      <c r="T3051" s="83" t="str">
        <f t="shared" si="329"/>
        <v/>
      </c>
      <c r="Y3051" s="60">
        <f t="shared" si="333"/>
        <v>0</v>
      </c>
      <c r="Z3051" s="49">
        <f t="shared" si="334"/>
        <v>0</v>
      </c>
      <c r="AA3051" s="60">
        <f t="shared" si="335"/>
        <v>0</v>
      </c>
    </row>
    <row r="3052" spans="1:27">
      <c r="A3052" s="83" t="str">
        <f t="shared" si="330"/>
        <v/>
      </c>
      <c r="B3052" s="83" t="str">
        <f t="shared" si="331"/>
        <v/>
      </c>
      <c r="S3052" s="83" t="str">
        <f t="shared" si="332"/>
        <v/>
      </c>
      <c r="T3052" s="83" t="str">
        <f t="shared" si="329"/>
        <v/>
      </c>
      <c r="Y3052" s="60">
        <f t="shared" si="333"/>
        <v>0</v>
      </c>
      <c r="Z3052" s="49">
        <f t="shared" si="334"/>
        <v>0</v>
      </c>
      <c r="AA3052" s="60">
        <f t="shared" si="335"/>
        <v>0</v>
      </c>
    </row>
    <row r="3053" spans="1:27">
      <c r="A3053" s="83" t="str">
        <f t="shared" si="330"/>
        <v/>
      </c>
      <c r="B3053" s="83" t="str">
        <f t="shared" si="331"/>
        <v/>
      </c>
      <c r="S3053" s="83" t="str">
        <f t="shared" si="332"/>
        <v/>
      </c>
      <c r="T3053" s="83" t="str">
        <f t="shared" si="329"/>
        <v/>
      </c>
      <c r="Y3053" s="60">
        <f t="shared" si="333"/>
        <v>0</v>
      </c>
      <c r="Z3053" s="49">
        <f t="shared" si="334"/>
        <v>0</v>
      </c>
      <c r="AA3053" s="60">
        <f t="shared" si="335"/>
        <v>0</v>
      </c>
    </row>
    <row r="3054" spans="1:27">
      <c r="A3054" s="83" t="str">
        <f t="shared" si="330"/>
        <v/>
      </c>
      <c r="B3054" s="83" t="str">
        <f t="shared" si="331"/>
        <v/>
      </c>
      <c r="S3054" s="83" t="str">
        <f t="shared" si="332"/>
        <v/>
      </c>
      <c r="T3054" s="83" t="str">
        <f t="shared" si="329"/>
        <v/>
      </c>
      <c r="Y3054" s="60">
        <f t="shared" si="333"/>
        <v>0</v>
      </c>
      <c r="Z3054" s="49">
        <f t="shared" si="334"/>
        <v>0</v>
      </c>
      <c r="AA3054" s="60">
        <f t="shared" si="335"/>
        <v>0</v>
      </c>
    </row>
    <row r="3055" spans="1:27">
      <c r="A3055" s="83" t="str">
        <f t="shared" si="330"/>
        <v/>
      </c>
      <c r="B3055" s="83" t="str">
        <f t="shared" si="331"/>
        <v/>
      </c>
      <c r="S3055" s="83" t="str">
        <f t="shared" si="332"/>
        <v/>
      </c>
      <c r="T3055" s="83" t="str">
        <f t="shared" si="329"/>
        <v/>
      </c>
      <c r="Y3055" s="60">
        <f t="shared" si="333"/>
        <v>0</v>
      </c>
      <c r="Z3055" s="49">
        <f t="shared" si="334"/>
        <v>0</v>
      </c>
      <c r="AA3055" s="60">
        <f t="shared" si="335"/>
        <v>0</v>
      </c>
    </row>
    <row r="3056" spans="1:27">
      <c r="A3056" s="83" t="str">
        <f t="shared" si="330"/>
        <v/>
      </c>
      <c r="B3056" s="83" t="str">
        <f t="shared" si="331"/>
        <v/>
      </c>
      <c r="S3056" s="83" t="str">
        <f t="shared" si="332"/>
        <v/>
      </c>
      <c r="T3056" s="83" t="str">
        <f t="shared" si="329"/>
        <v/>
      </c>
      <c r="Y3056" s="60">
        <f t="shared" si="333"/>
        <v>0</v>
      </c>
      <c r="Z3056" s="49">
        <f t="shared" si="334"/>
        <v>0</v>
      </c>
      <c r="AA3056" s="60">
        <f t="shared" si="335"/>
        <v>0</v>
      </c>
    </row>
    <row r="3057" spans="1:27">
      <c r="A3057" s="83" t="str">
        <f t="shared" si="330"/>
        <v/>
      </c>
      <c r="B3057" s="83" t="str">
        <f t="shared" si="331"/>
        <v/>
      </c>
      <c r="S3057" s="83" t="str">
        <f t="shared" si="332"/>
        <v/>
      </c>
      <c r="T3057" s="83" t="str">
        <f t="shared" si="329"/>
        <v/>
      </c>
      <c r="Y3057" s="60">
        <f t="shared" si="333"/>
        <v>0</v>
      </c>
      <c r="Z3057" s="49">
        <f t="shared" si="334"/>
        <v>0</v>
      </c>
      <c r="AA3057" s="60">
        <f t="shared" si="335"/>
        <v>0</v>
      </c>
    </row>
    <row r="3058" spans="1:27">
      <c r="A3058" s="83" t="str">
        <f t="shared" si="330"/>
        <v/>
      </c>
      <c r="B3058" s="83" t="str">
        <f t="shared" si="331"/>
        <v/>
      </c>
      <c r="S3058" s="83" t="str">
        <f t="shared" si="332"/>
        <v/>
      </c>
      <c r="T3058" s="83" t="str">
        <f t="shared" si="329"/>
        <v/>
      </c>
      <c r="Y3058" s="60">
        <f t="shared" si="333"/>
        <v>0</v>
      </c>
      <c r="Z3058" s="49">
        <f t="shared" si="334"/>
        <v>0</v>
      </c>
      <c r="AA3058" s="60">
        <f t="shared" si="335"/>
        <v>0</v>
      </c>
    </row>
    <row r="3059" spans="1:27">
      <c r="A3059" s="83" t="str">
        <f t="shared" si="330"/>
        <v/>
      </c>
      <c r="B3059" s="83" t="str">
        <f t="shared" si="331"/>
        <v/>
      </c>
      <c r="S3059" s="83" t="str">
        <f t="shared" si="332"/>
        <v/>
      </c>
      <c r="T3059" s="83" t="str">
        <f t="shared" si="329"/>
        <v/>
      </c>
      <c r="Y3059" s="60">
        <f t="shared" si="333"/>
        <v>0</v>
      </c>
      <c r="Z3059" s="49">
        <f t="shared" si="334"/>
        <v>0</v>
      </c>
      <c r="AA3059" s="60">
        <f t="shared" si="335"/>
        <v>0</v>
      </c>
    </row>
    <row r="3060" spans="1:27">
      <c r="A3060" s="83" t="str">
        <f t="shared" si="330"/>
        <v/>
      </c>
      <c r="B3060" s="83" t="str">
        <f t="shared" si="331"/>
        <v/>
      </c>
      <c r="S3060" s="83" t="str">
        <f t="shared" si="332"/>
        <v/>
      </c>
      <c r="T3060" s="83" t="str">
        <f t="shared" si="329"/>
        <v/>
      </c>
      <c r="Y3060" s="60">
        <f t="shared" si="333"/>
        <v>0</v>
      </c>
      <c r="Z3060" s="49">
        <f t="shared" si="334"/>
        <v>0</v>
      </c>
      <c r="AA3060" s="60">
        <f t="shared" si="335"/>
        <v>0</v>
      </c>
    </row>
    <row r="3061" spans="1:27">
      <c r="A3061" s="83" t="str">
        <f t="shared" si="330"/>
        <v/>
      </c>
      <c r="B3061" s="83" t="str">
        <f t="shared" si="331"/>
        <v/>
      </c>
      <c r="S3061" s="83" t="str">
        <f t="shared" si="332"/>
        <v/>
      </c>
      <c r="T3061" s="83" t="str">
        <f t="shared" si="329"/>
        <v/>
      </c>
      <c r="Y3061" s="60">
        <f t="shared" si="333"/>
        <v>0</v>
      </c>
      <c r="Z3061" s="49">
        <f t="shared" si="334"/>
        <v>0</v>
      </c>
      <c r="AA3061" s="60">
        <f t="shared" si="335"/>
        <v>0</v>
      </c>
    </row>
    <row r="3062" spans="1:27">
      <c r="A3062" s="83" t="str">
        <f t="shared" si="330"/>
        <v/>
      </c>
      <c r="B3062" s="83" t="str">
        <f t="shared" si="331"/>
        <v/>
      </c>
      <c r="S3062" s="83" t="str">
        <f t="shared" si="332"/>
        <v/>
      </c>
      <c r="T3062" s="83" t="str">
        <f t="shared" si="329"/>
        <v/>
      </c>
      <c r="Y3062" s="60">
        <f t="shared" si="333"/>
        <v>0</v>
      </c>
      <c r="Z3062" s="49">
        <f t="shared" si="334"/>
        <v>0</v>
      </c>
      <c r="AA3062" s="60">
        <f t="shared" si="335"/>
        <v>0</v>
      </c>
    </row>
    <row r="3063" spans="1:27">
      <c r="A3063" s="83" t="str">
        <f t="shared" si="330"/>
        <v/>
      </c>
      <c r="B3063" s="83" t="str">
        <f t="shared" si="331"/>
        <v/>
      </c>
      <c r="S3063" s="83" t="str">
        <f t="shared" si="332"/>
        <v/>
      </c>
      <c r="T3063" s="83" t="str">
        <f t="shared" si="329"/>
        <v/>
      </c>
      <c r="Y3063" s="60">
        <f t="shared" si="333"/>
        <v>0</v>
      </c>
      <c r="Z3063" s="49">
        <f t="shared" si="334"/>
        <v>0</v>
      </c>
      <c r="AA3063" s="60">
        <f t="shared" si="335"/>
        <v>0</v>
      </c>
    </row>
    <row r="3064" spans="1:27">
      <c r="A3064" s="83" t="str">
        <f t="shared" si="330"/>
        <v/>
      </c>
      <c r="B3064" s="83" t="str">
        <f t="shared" si="331"/>
        <v/>
      </c>
      <c r="S3064" s="83" t="str">
        <f t="shared" si="332"/>
        <v/>
      </c>
      <c r="T3064" s="83" t="str">
        <f t="shared" si="329"/>
        <v/>
      </c>
      <c r="Y3064" s="60">
        <f t="shared" si="333"/>
        <v>0</v>
      </c>
      <c r="Z3064" s="49">
        <f t="shared" si="334"/>
        <v>0</v>
      </c>
      <c r="AA3064" s="60">
        <f t="shared" si="335"/>
        <v>0</v>
      </c>
    </row>
    <row r="3065" spans="1:27">
      <c r="A3065" s="83" t="str">
        <f t="shared" si="330"/>
        <v/>
      </c>
      <c r="B3065" s="83" t="str">
        <f t="shared" si="331"/>
        <v/>
      </c>
      <c r="S3065" s="83" t="str">
        <f t="shared" si="332"/>
        <v/>
      </c>
      <c r="T3065" s="83" t="str">
        <f t="shared" si="329"/>
        <v/>
      </c>
      <c r="Y3065" s="60">
        <f t="shared" si="333"/>
        <v>0</v>
      </c>
      <c r="Z3065" s="49">
        <f t="shared" si="334"/>
        <v>0</v>
      </c>
      <c r="AA3065" s="60">
        <f t="shared" si="335"/>
        <v>0</v>
      </c>
    </row>
    <row r="3066" spans="1:27">
      <c r="A3066" s="83" t="str">
        <f t="shared" si="330"/>
        <v/>
      </c>
      <c r="B3066" s="83" t="str">
        <f t="shared" si="331"/>
        <v/>
      </c>
      <c r="S3066" s="83" t="str">
        <f t="shared" si="332"/>
        <v/>
      </c>
      <c r="T3066" s="83" t="str">
        <f t="shared" si="329"/>
        <v/>
      </c>
      <c r="Y3066" s="60">
        <f t="shared" si="333"/>
        <v>0</v>
      </c>
      <c r="Z3066" s="49">
        <f t="shared" si="334"/>
        <v>0</v>
      </c>
      <c r="AA3066" s="60">
        <f t="shared" si="335"/>
        <v>0</v>
      </c>
    </row>
    <row r="3067" spans="1:27">
      <c r="A3067" s="83" t="str">
        <f t="shared" si="330"/>
        <v/>
      </c>
      <c r="B3067" s="83" t="str">
        <f t="shared" si="331"/>
        <v/>
      </c>
      <c r="S3067" s="83" t="str">
        <f t="shared" si="332"/>
        <v/>
      </c>
      <c r="T3067" s="83" t="str">
        <f t="shared" si="329"/>
        <v/>
      </c>
      <c r="Y3067" s="60">
        <f t="shared" si="333"/>
        <v>0</v>
      </c>
      <c r="Z3067" s="49">
        <f t="shared" si="334"/>
        <v>0</v>
      </c>
      <c r="AA3067" s="60">
        <f t="shared" si="335"/>
        <v>0</v>
      </c>
    </row>
    <row r="3068" spans="1:27">
      <c r="A3068" s="83" t="str">
        <f t="shared" si="330"/>
        <v/>
      </c>
      <c r="B3068" s="83" t="str">
        <f t="shared" si="331"/>
        <v/>
      </c>
      <c r="S3068" s="83" t="str">
        <f t="shared" si="332"/>
        <v/>
      </c>
      <c r="T3068" s="83" t="str">
        <f t="shared" si="329"/>
        <v/>
      </c>
      <c r="Y3068" s="60">
        <f t="shared" si="333"/>
        <v>0</v>
      </c>
      <c r="Z3068" s="49">
        <f t="shared" si="334"/>
        <v>0</v>
      </c>
      <c r="AA3068" s="60">
        <f t="shared" si="335"/>
        <v>0</v>
      </c>
    </row>
    <row r="3069" spans="1:27">
      <c r="A3069" s="83" t="str">
        <f t="shared" si="330"/>
        <v/>
      </c>
      <c r="B3069" s="83" t="str">
        <f t="shared" si="331"/>
        <v/>
      </c>
      <c r="S3069" s="83" t="str">
        <f t="shared" si="332"/>
        <v/>
      </c>
      <c r="T3069" s="83" t="str">
        <f t="shared" si="329"/>
        <v/>
      </c>
      <c r="Y3069" s="60">
        <f t="shared" si="333"/>
        <v>0</v>
      </c>
      <c r="Z3069" s="49">
        <f t="shared" si="334"/>
        <v>0</v>
      </c>
      <c r="AA3069" s="60">
        <f t="shared" si="335"/>
        <v>0</v>
      </c>
    </row>
    <row r="3070" spans="1:27">
      <c r="A3070" s="83" t="str">
        <f t="shared" si="330"/>
        <v/>
      </c>
      <c r="B3070" s="83" t="str">
        <f t="shared" si="331"/>
        <v/>
      </c>
      <c r="S3070" s="83" t="str">
        <f t="shared" si="332"/>
        <v/>
      </c>
      <c r="T3070" s="83" t="str">
        <f t="shared" si="329"/>
        <v/>
      </c>
      <c r="Y3070" s="60">
        <f t="shared" si="333"/>
        <v>0</v>
      </c>
      <c r="Z3070" s="49">
        <f t="shared" si="334"/>
        <v>0</v>
      </c>
      <c r="AA3070" s="60">
        <f t="shared" si="335"/>
        <v>0</v>
      </c>
    </row>
    <row r="3071" spans="1:27">
      <c r="A3071" s="83" t="str">
        <f t="shared" si="330"/>
        <v/>
      </c>
      <c r="B3071" s="83" t="str">
        <f t="shared" si="331"/>
        <v/>
      </c>
      <c r="S3071" s="83" t="str">
        <f t="shared" si="332"/>
        <v/>
      </c>
      <c r="T3071" s="83" t="str">
        <f t="shared" si="329"/>
        <v/>
      </c>
      <c r="Y3071" s="60">
        <f t="shared" si="333"/>
        <v>0</v>
      </c>
      <c r="Z3071" s="49">
        <f t="shared" si="334"/>
        <v>0</v>
      </c>
      <c r="AA3071" s="60">
        <f t="shared" si="335"/>
        <v>0</v>
      </c>
    </row>
    <row r="3072" spans="1:27">
      <c r="A3072" s="83" t="str">
        <f t="shared" si="330"/>
        <v/>
      </c>
      <c r="B3072" s="83" t="str">
        <f t="shared" si="331"/>
        <v/>
      </c>
      <c r="S3072" s="83" t="str">
        <f t="shared" si="332"/>
        <v/>
      </c>
      <c r="T3072" s="83" t="str">
        <f t="shared" si="329"/>
        <v/>
      </c>
      <c r="Y3072" s="60">
        <f t="shared" si="333"/>
        <v>0</v>
      </c>
      <c r="Z3072" s="49">
        <f t="shared" si="334"/>
        <v>0</v>
      </c>
      <c r="AA3072" s="60">
        <f t="shared" si="335"/>
        <v>0</v>
      </c>
    </row>
    <row r="3073" spans="1:27">
      <c r="A3073" s="83" t="str">
        <f t="shared" si="330"/>
        <v/>
      </c>
      <c r="B3073" s="83" t="str">
        <f t="shared" si="331"/>
        <v/>
      </c>
      <c r="S3073" s="83" t="str">
        <f t="shared" si="332"/>
        <v/>
      </c>
      <c r="T3073" s="83" t="str">
        <f t="shared" si="329"/>
        <v/>
      </c>
      <c r="Y3073" s="60">
        <f t="shared" si="333"/>
        <v>0</v>
      </c>
      <c r="Z3073" s="49">
        <f t="shared" si="334"/>
        <v>0</v>
      </c>
      <c r="AA3073" s="60">
        <f t="shared" si="335"/>
        <v>0</v>
      </c>
    </row>
    <row r="3074" spans="1:27">
      <c r="A3074" s="83" t="str">
        <f t="shared" si="330"/>
        <v/>
      </c>
      <c r="B3074" s="83" t="str">
        <f t="shared" si="331"/>
        <v/>
      </c>
      <c r="S3074" s="83" t="str">
        <f t="shared" si="332"/>
        <v/>
      </c>
      <c r="T3074" s="83" t="str">
        <f t="shared" ref="T3074:T3137" si="336">IF(A3074&lt;&gt;"",IF(FIND(" ",G3074)&gt;=1,MID(G3074,FIND(" ",G3074)+1,LEN(G3074)),""),"")</f>
        <v/>
      </c>
      <c r="Y3074" s="60">
        <f t="shared" si="333"/>
        <v>0</v>
      </c>
      <c r="Z3074" s="49">
        <f t="shared" si="334"/>
        <v>0</v>
      </c>
      <c r="AA3074" s="60">
        <f t="shared" si="335"/>
        <v>0</v>
      </c>
    </row>
    <row r="3075" spans="1:27">
      <c r="A3075" s="83" t="str">
        <f t="shared" ref="A3075:A3138" si="337">IF(G3075&amp;Q3075&lt;&gt;"",S3075&amp;Q3075,"")</f>
        <v/>
      </c>
      <c r="B3075" s="83" t="str">
        <f t="shared" ref="B3075:B3138" si="338">IF(C3075&lt;&gt;"",LEFT(C3075,9),"")</f>
        <v/>
      </c>
      <c r="S3075" s="83" t="str">
        <f t="shared" ref="S3075:S3138" si="339">IF(G3075&lt;&gt;"",IF(FIND(" ",G3075)&gt;=1,MID(G3075,1,FIND(" ",G3075)-1),G3075),"")</f>
        <v/>
      </c>
      <c r="T3075" s="83" t="str">
        <f t="shared" si="336"/>
        <v/>
      </c>
      <c r="Y3075" s="60">
        <f t="shared" ref="Y3075:Y3138" si="340">IFERROR(VALUE(MID($C3075,1,2)),0)</f>
        <v>0</v>
      </c>
      <c r="Z3075" s="49">
        <f t="shared" ref="Z3075:Z3138" si="341">IFERROR(VALUE(MID($C3075,4,3)),0)</f>
        <v>0</v>
      </c>
      <c r="AA3075" s="60">
        <f t="shared" ref="AA3075:AA3138" si="342">VALUE(RIGHT("00"&amp;Y3075,2)&amp;RIGHT("000"&amp;Z3075,3))</f>
        <v>0</v>
      </c>
    </row>
    <row r="3076" spans="1:27">
      <c r="A3076" s="83" t="str">
        <f t="shared" si="337"/>
        <v/>
      </c>
      <c r="B3076" s="83" t="str">
        <f t="shared" si="338"/>
        <v/>
      </c>
      <c r="S3076" s="83" t="str">
        <f t="shared" si="339"/>
        <v/>
      </c>
      <c r="T3076" s="83" t="str">
        <f t="shared" si="336"/>
        <v/>
      </c>
      <c r="Y3076" s="60">
        <f t="shared" si="340"/>
        <v>0</v>
      </c>
      <c r="Z3076" s="49">
        <f t="shared" si="341"/>
        <v>0</v>
      </c>
      <c r="AA3076" s="60">
        <f t="shared" si="342"/>
        <v>0</v>
      </c>
    </row>
    <row r="3077" spans="1:27">
      <c r="A3077" s="83" t="str">
        <f t="shared" si="337"/>
        <v/>
      </c>
      <c r="B3077" s="83" t="str">
        <f t="shared" si="338"/>
        <v/>
      </c>
      <c r="S3077" s="83" t="str">
        <f t="shared" si="339"/>
        <v/>
      </c>
      <c r="T3077" s="83" t="str">
        <f t="shared" si="336"/>
        <v/>
      </c>
      <c r="Y3077" s="60">
        <f t="shared" si="340"/>
        <v>0</v>
      </c>
      <c r="Z3077" s="49">
        <f t="shared" si="341"/>
        <v>0</v>
      </c>
      <c r="AA3077" s="60">
        <f t="shared" si="342"/>
        <v>0</v>
      </c>
    </row>
    <row r="3078" spans="1:27">
      <c r="A3078" s="83" t="str">
        <f t="shared" si="337"/>
        <v/>
      </c>
      <c r="B3078" s="83" t="str">
        <f t="shared" si="338"/>
        <v/>
      </c>
      <c r="S3078" s="83" t="str">
        <f t="shared" si="339"/>
        <v/>
      </c>
      <c r="T3078" s="83" t="str">
        <f t="shared" si="336"/>
        <v/>
      </c>
      <c r="Y3078" s="60">
        <f t="shared" si="340"/>
        <v>0</v>
      </c>
      <c r="Z3078" s="49">
        <f t="shared" si="341"/>
        <v>0</v>
      </c>
      <c r="AA3078" s="60">
        <f t="shared" si="342"/>
        <v>0</v>
      </c>
    </row>
    <row r="3079" spans="1:27">
      <c r="A3079" s="83" t="str">
        <f t="shared" si="337"/>
        <v/>
      </c>
      <c r="B3079" s="83" t="str">
        <f t="shared" si="338"/>
        <v/>
      </c>
      <c r="S3079" s="83" t="str">
        <f t="shared" si="339"/>
        <v/>
      </c>
      <c r="T3079" s="83" t="str">
        <f t="shared" si="336"/>
        <v/>
      </c>
      <c r="Y3079" s="60">
        <f t="shared" si="340"/>
        <v>0</v>
      </c>
      <c r="Z3079" s="49">
        <f t="shared" si="341"/>
        <v>0</v>
      </c>
      <c r="AA3079" s="60">
        <f t="shared" si="342"/>
        <v>0</v>
      </c>
    </row>
    <row r="3080" spans="1:27">
      <c r="A3080" s="83" t="str">
        <f t="shared" si="337"/>
        <v/>
      </c>
      <c r="B3080" s="83" t="str">
        <f t="shared" si="338"/>
        <v/>
      </c>
      <c r="S3080" s="83" t="str">
        <f t="shared" si="339"/>
        <v/>
      </c>
      <c r="T3080" s="83" t="str">
        <f t="shared" si="336"/>
        <v/>
      </c>
      <c r="Y3080" s="60">
        <f t="shared" si="340"/>
        <v>0</v>
      </c>
      <c r="Z3080" s="49">
        <f t="shared" si="341"/>
        <v>0</v>
      </c>
      <c r="AA3080" s="60">
        <f t="shared" si="342"/>
        <v>0</v>
      </c>
    </row>
    <row r="3081" spans="1:27">
      <c r="A3081" s="83" t="str">
        <f t="shared" si="337"/>
        <v/>
      </c>
      <c r="B3081" s="83" t="str">
        <f t="shared" si="338"/>
        <v/>
      </c>
      <c r="S3081" s="83" t="str">
        <f t="shared" si="339"/>
        <v/>
      </c>
      <c r="T3081" s="83" t="str">
        <f t="shared" si="336"/>
        <v/>
      </c>
      <c r="Y3081" s="60">
        <f t="shared" si="340"/>
        <v>0</v>
      </c>
      <c r="Z3081" s="49">
        <f t="shared" si="341"/>
        <v>0</v>
      </c>
      <c r="AA3081" s="60">
        <f t="shared" si="342"/>
        <v>0</v>
      </c>
    </row>
    <row r="3082" spans="1:27">
      <c r="A3082" s="83" t="str">
        <f t="shared" si="337"/>
        <v/>
      </c>
      <c r="B3082" s="83" t="str">
        <f t="shared" si="338"/>
        <v/>
      </c>
      <c r="S3082" s="83" t="str">
        <f t="shared" si="339"/>
        <v/>
      </c>
      <c r="T3082" s="83" t="str">
        <f t="shared" si="336"/>
        <v/>
      </c>
      <c r="Y3082" s="60">
        <f t="shared" si="340"/>
        <v>0</v>
      </c>
      <c r="Z3082" s="49">
        <f t="shared" si="341"/>
        <v>0</v>
      </c>
      <c r="AA3082" s="60">
        <f t="shared" si="342"/>
        <v>0</v>
      </c>
    </row>
    <row r="3083" spans="1:27">
      <c r="A3083" s="83" t="str">
        <f t="shared" si="337"/>
        <v/>
      </c>
      <c r="B3083" s="83" t="str">
        <f t="shared" si="338"/>
        <v/>
      </c>
      <c r="S3083" s="83" t="str">
        <f t="shared" si="339"/>
        <v/>
      </c>
      <c r="T3083" s="83" t="str">
        <f t="shared" si="336"/>
        <v/>
      </c>
      <c r="Y3083" s="60">
        <f t="shared" si="340"/>
        <v>0</v>
      </c>
      <c r="Z3083" s="49">
        <f t="shared" si="341"/>
        <v>0</v>
      </c>
      <c r="AA3083" s="60">
        <f t="shared" si="342"/>
        <v>0</v>
      </c>
    </row>
    <row r="3084" spans="1:27">
      <c r="A3084" s="83" t="str">
        <f t="shared" si="337"/>
        <v/>
      </c>
      <c r="B3084" s="83" t="str">
        <f t="shared" si="338"/>
        <v/>
      </c>
      <c r="S3084" s="83" t="str">
        <f t="shared" si="339"/>
        <v/>
      </c>
      <c r="T3084" s="83" t="str">
        <f t="shared" si="336"/>
        <v/>
      </c>
      <c r="Y3084" s="60">
        <f t="shared" si="340"/>
        <v>0</v>
      </c>
      <c r="Z3084" s="49">
        <f t="shared" si="341"/>
        <v>0</v>
      </c>
      <c r="AA3084" s="60">
        <f t="shared" si="342"/>
        <v>0</v>
      </c>
    </row>
    <row r="3085" spans="1:27">
      <c r="A3085" s="83" t="str">
        <f t="shared" si="337"/>
        <v/>
      </c>
      <c r="B3085" s="83" t="str">
        <f t="shared" si="338"/>
        <v/>
      </c>
      <c r="S3085" s="83" t="str">
        <f t="shared" si="339"/>
        <v/>
      </c>
      <c r="T3085" s="83" t="str">
        <f t="shared" si="336"/>
        <v/>
      </c>
      <c r="Y3085" s="60">
        <f t="shared" si="340"/>
        <v>0</v>
      </c>
      <c r="Z3085" s="49">
        <f t="shared" si="341"/>
        <v>0</v>
      </c>
      <c r="AA3085" s="60">
        <f t="shared" si="342"/>
        <v>0</v>
      </c>
    </row>
    <row r="3086" spans="1:27">
      <c r="A3086" s="83" t="str">
        <f t="shared" si="337"/>
        <v/>
      </c>
      <c r="B3086" s="83" t="str">
        <f t="shared" si="338"/>
        <v/>
      </c>
      <c r="S3086" s="83" t="str">
        <f t="shared" si="339"/>
        <v/>
      </c>
      <c r="T3086" s="83" t="str">
        <f t="shared" si="336"/>
        <v/>
      </c>
      <c r="Y3086" s="60">
        <f t="shared" si="340"/>
        <v>0</v>
      </c>
      <c r="Z3086" s="49">
        <f t="shared" si="341"/>
        <v>0</v>
      </c>
      <c r="AA3086" s="60">
        <f t="shared" si="342"/>
        <v>0</v>
      </c>
    </row>
    <row r="3087" spans="1:27">
      <c r="A3087" s="83" t="str">
        <f t="shared" si="337"/>
        <v/>
      </c>
      <c r="B3087" s="83" t="str">
        <f t="shared" si="338"/>
        <v/>
      </c>
      <c r="S3087" s="83" t="str">
        <f t="shared" si="339"/>
        <v/>
      </c>
      <c r="T3087" s="83" t="str">
        <f t="shared" si="336"/>
        <v/>
      </c>
      <c r="Y3087" s="60">
        <f t="shared" si="340"/>
        <v>0</v>
      </c>
      <c r="Z3087" s="49">
        <f t="shared" si="341"/>
        <v>0</v>
      </c>
      <c r="AA3087" s="60">
        <f t="shared" si="342"/>
        <v>0</v>
      </c>
    </row>
    <row r="3088" spans="1:27">
      <c r="A3088" s="83" t="str">
        <f t="shared" si="337"/>
        <v/>
      </c>
      <c r="B3088" s="83" t="str">
        <f t="shared" si="338"/>
        <v/>
      </c>
      <c r="S3088" s="83" t="str">
        <f t="shared" si="339"/>
        <v/>
      </c>
      <c r="T3088" s="83" t="str">
        <f t="shared" si="336"/>
        <v/>
      </c>
      <c r="Y3088" s="60">
        <f t="shared" si="340"/>
        <v>0</v>
      </c>
      <c r="Z3088" s="49">
        <f t="shared" si="341"/>
        <v>0</v>
      </c>
      <c r="AA3088" s="60">
        <f t="shared" si="342"/>
        <v>0</v>
      </c>
    </row>
    <row r="3089" spans="1:27">
      <c r="A3089" s="83" t="str">
        <f t="shared" si="337"/>
        <v/>
      </c>
      <c r="B3089" s="83" t="str">
        <f t="shared" si="338"/>
        <v/>
      </c>
      <c r="S3089" s="83" t="str">
        <f t="shared" si="339"/>
        <v/>
      </c>
      <c r="T3089" s="83" t="str">
        <f t="shared" si="336"/>
        <v/>
      </c>
      <c r="Y3089" s="60">
        <f t="shared" si="340"/>
        <v>0</v>
      </c>
      <c r="Z3089" s="49">
        <f t="shared" si="341"/>
        <v>0</v>
      </c>
      <c r="AA3089" s="60">
        <f t="shared" si="342"/>
        <v>0</v>
      </c>
    </row>
    <row r="3090" spans="1:27">
      <c r="A3090" s="83" t="str">
        <f t="shared" si="337"/>
        <v/>
      </c>
      <c r="B3090" s="83" t="str">
        <f t="shared" si="338"/>
        <v/>
      </c>
      <c r="S3090" s="83" t="str">
        <f t="shared" si="339"/>
        <v/>
      </c>
      <c r="T3090" s="83" t="str">
        <f t="shared" si="336"/>
        <v/>
      </c>
      <c r="Y3090" s="60">
        <f t="shared" si="340"/>
        <v>0</v>
      </c>
      <c r="Z3090" s="49">
        <f t="shared" si="341"/>
        <v>0</v>
      </c>
      <c r="AA3090" s="60">
        <f t="shared" si="342"/>
        <v>0</v>
      </c>
    </row>
    <row r="3091" spans="1:27">
      <c r="A3091" s="83" t="str">
        <f t="shared" si="337"/>
        <v/>
      </c>
      <c r="B3091" s="83" t="str">
        <f t="shared" si="338"/>
        <v/>
      </c>
      <c r="S3091" s="83" t="str">
        <f t="shared" si="339"/>
        <v/>
      </c>
      <c r="T3091" s="83" t="str">
        <f t="shared" si="336"/>
        <v/>
      </c>
      <c r="Y3091" s="60">
        <f t="shared" si="340"/>
        <v>0</v>
      </c>
      <c r="Z3091" s="49">
        <f t="shared" si="341"/>
        <v>0</v>
      </c>
      <c r="AA3091" s="60">
        <f t="shared" si="342"/>
        <v>0</v>
      </c>
    </row>
    <row r="3092" spans="1:27">
      <c r="A3092" s="83" t="str">
        <f t="shared" si="337"/>
        <v/>
      </c>
      <c r="B3092" s="83" t="str">
        <f t="shared" si="338"/>
        <v/>
      </c>
      <c r="S3092" s="83" t="str">
        <f t="shared" si="339"/>
        <v/>
      </c>
      <c r="T3092" s="83" t="str">
        <f t="shared" si="336"/>
        <v/>
      </c>
      <c r="Y3092" s="60">
        <f t="shared" si="340"/>
        <v>0</v>
      </c>
      <c r="Z3092" s="49">
        <f t="shared" si="341"/>
        <v>0</v>
      </c>
      <c r="AA3092" s="60">
        <f t="shared" si="342"/>
        <v>0</v>
      </c>
    </row>
    <row r="3093" spans="1:27">
      <c r="A3093" s="83" t="str">
        <f t="shared" si="337"/>
        <v/>
      </c>
      <c r="B3093" s="83" t="str">
        <f t="shared" si="338"/>
        <v/>
      </c>
      <c r="S3093" s="83" t="str">
        <f t="shared" si="339"/>
        <v/>
      </c>
      <c r="T3093" s="83" t="str">
        <f t="shared" si="336"/>
        <v/>
      </c>
      <c r="Y3093" s="60">
        <f t="shared" si="340"/>
        <v>0</v>
      </c>
      <c r="Z3093" s="49">
        <f t="shared" si="341"/>
        <v>0</v>
      </c>
      <c r="AA3093" s="60">
        <f t="shared" si="342"/>
        <v>0</v>
      </c>
    </row>
    <row r="3094" spans="1:27">
      <c r="A3094" s="83" t="str">
        <f t="shared" si="337"/>
        <v/>
      </c>
      <c r="B3094" s="83" t="str">
        <f t="shared" si="338"/>
        <v/>
      </c>
      <c r="S3094" s="83" t="str">
        <f t="shared" si="339"/>
        <v/>
      </c>
      <c r="T3094" s="83" t="str">
        <f t="shared" si="336"/>
        <v/>
      </c>
      <c r="Y3094" s="60">
        <f t="shared" si="340"/>
        <v>0</v>
      </c>
      <c r="Z3094" s="49">
        <f t="shared" si="341"/>
        <v>0</v>
      </c>
      <c r="AA3094" s="60">
        <f t="shared" si="342"/>
        <v>0</v>
      </c>
    </row>
    <row r="3095" spans="1:27">
      <c r="A3095" s="83" t="str">
        <f t="shared" si="337"/>
        <v/>
      </c>
      <c r="B3095" s="83" t="str">
        <f t="shared" si="338"/>
        <v/>
      </c>
      <c r="S3095" s="83" t="str">
        <f t="shared" si="339"/>
        <v/>
      </c>
      <c r="T3095" s="83" t="str">
        <f t="shared" si="336"/>
        <v/>
      </c>
      <c r="Y3095" s="60">
        <f t="shared" si="340"/>
        <v>0</v>
      </c>
      <c r="Z3095" s="49">
        <f t="shared" si="341"/>
        <v>0</v>
      </c>
      <c r="AA3095" s="60">
        <f t="shared" si="342"/>
        <v>0</v>
      </c>
    </row>
    <row r="3096" spans="1:27">
      <c r="A3096" s="83" t="str">
        <f t="shared" si="337"/>
        <v/>
      </c>
      <c r="B3096" s="83" t="str">
        <f t="shared" si="338"/>
        <v/>
      </c>
      <c r="S3096" s="83" t="str">
        <f t="shared" si="339"/>
        <v/>
      </c>
      <c r="T3096" s="83" t="str">
        <f t="shared" si="336"/>
        <v/>
      </c>
      <c r="Y3096" s="60">
        <f t="shared" si="340"/>
        <v>0</v>
      </c>
      <c r="Z3096" s="49">
        <f t="shared" si="341"/>
        <v>0</v>
      </c>
      <c r="AA3096" s="60">
        <f t="shared" si="342"/>
        <v>0</v>
      </c>
    </row>
    <row r="3097" spans="1:27">
      <c r="A3097" s="83" t="str">
        <f t="shared" si="337"/>
        <v/>
      </c>
      <c r="B3097" s="83" t="str">
        <f t="shared" si="338"/>
        <v/>
      </c>
      <c r="S3097" s="83" t="str">
        <f t="shared" si="339"/>
        <v/>
      </c>
      <c r="T3097" s="83" t="str">
        <f t="shared" si="336"/>
        <v/>
      </c>
      <c r="Y3097" s="60">
        <f t="shared" si="340"/>
        <v>0</v>
      </c>
      <c r="Z3097" s="49">
        <f t="shared" si="341"/>
        <v>0</v>
      </c>
      <c r="AA3097" s="60">
        <f t="shared" si="342"/>
        <v>0</v>
      </c>
    </row>
    <row r="3098" spans="1:27">
      <c r="A3098" s="83" t="str">
        <f t="shared" si="337"/>
        <v/>
      </c>
      <c r="B3098" s="83" t="str">
        <f t="shared" si="338"/>
        <v/>
      </c>
      <c r="S3098" s="83" t="str">
        <f t="shared" si="339"/>
        <v/>
      </c>
      <c r="T3098" s="83" t="str">
        <f t="shared" si="336"/>
        <v/>
      </c>
      <c r="Y3098" s="60">
        <f t="shared" si="340"/>
        <v>0</v>
      </c>
      <c r="Z3098" s="49">
        <f t="shared" si="341"/>
        <v>0</v>
      </c>
      <c r="AA3098" s="60">
        <f t="shared" si="342"/>
        <v>0</v>
      </c>
    </row>
    <row r="3099" spans="1:27">
      <c r="A3099" s="83" t="str">
        <f t="shared" si="337"/>
        <v/>
      </c>
      <c r="B3099" s="83" t="str">
        <f t="shared" si="338"/>
        <v/>
      </c>
      <c r="S3099" s="83" t="str">
        <f t="shared" si="339"/>
        <v/>
      </c>
      <c r="T3099" s="83" t="str">
        <f t="shared" si="336"/>
        <v/>
      </c>
      <c r="Y3099" s="60">
        <f t="shared" si="340"/>
        <v>0</v>
      </c>
      <c r="Z3099" s="49">
        <f t="shared" si="341"/>
        <v>0</v>
      </c>
      <c r="AA3099" s="60">
        <f t="shared" si="342"/>
        <v>0</v>
      </c>
    </row>
    <row r="3100" spans="1:27">
      <c r="A3100" s="83" t="str">
        <f t="shared" si="337"/>
        <v/>
      </c>
      <c r="B3100" s="83" t="str">
        <f t="shared" si="338"/>
        <v/>
      </c>
      <c r="S3100" s="83" t="str">
        <f t="shared" si="339"/>
        <v/>
      </c>
      <c r="T3100" s="83" t="str">
        <f t="shared" si="336"/>
        <v/>
      </c>
      <c r="Y3100" s="60">
        <f t="shared" si="340"/>
        <v>0</v>
      </c>
      <c r="Z3100" s="49">
        <f t="shared" si="341"/>
        <v>0</v>
      </c>
      <c r="AA3100" s="60">
        <f t="shared" si="342"/>
        <v>0</v>
      </c>
    </row>
    <row r="3101" spans="1:27">
      <c r="A3101" s="83" t="str">
        <f t="shared" si="337"/>
        <v/>
      </c>
      <c r="B3101" s="83" t="str">
        <f t="shared" si="338"/>
        <v/>
      </c>
      <c r="S3101" s="83" t="str">
        <f t="shared" si="339"/>
        <v/>
      </c>
      <c r="T3101" s="83" t="str">
        <f t="shared" si="336"/>
        <v/>
      </c>
      <c r="Y3101" s="60">
        <f t="shared" si="340"/>
        <v>0</v>
      </c>
      <c r="Z3101" s="49">
        <f t="shared" si="341"/>
        <v>0</v>
      </c>
      <c r="AA3101" s="60">
        <f t="shared" si="342"/>
        <v>0</v>
      </c>
    </row>
    <row r="3102" spans="1:27">
      <c r="A3102" s="83" t="str">
        <f t="shared" si="337"/>
        <v/>
      </c>
      <c r="B3102" s="83" t="str">
        <f t="shared" si="338"/>
        <v/>
      </c>
      <c r="S3102" s="83" t="str">
        <f t="shared" si="339"/>
        <v/>
      </c>
      <c r="T3102" s="83" t="str">
        <f t="shared" si="336"/>
        <v/>
      </c>
      <c r="Y3102" s="60">
        <f t="shared" si="340"/>
        <v>0</v>
      </c>
      <c r="Z3102" s="49">
        <f t="shared" si="341"/>
        <v>0</v>
      </c>
      <c r="AA3102" s="60">
        <f t="shared" si="342"/>
        <v>0</v>
      </c>
    </row>
    <row r="3103" spans="1:27">
      <c r="A3103" s="83" t="str">
        <f t="shared" si="337"/>
        <v/>
      </c>
      <c r="B3103" s="83" t="str">
        <f t="shared" si="338"/>
        <v/>
      </c>
      <c r="S3103" s="83" t="str">
        <f t="shared" si="339"/>
        <v/>
      </c>
      <c r="T3103" s="83" t="str">
        <f t="shared" si="336"/>
        <v/>
      </c>
      <c r="Y3103" s="60">
        <f t="shared" si="340"/>
        <v>0</v>
      </c>
      <c r="Z3103" s="49">
        <f t="shared" si="341"/>
        <v>0</v>
      </c>
      <c r="AA3103" s="60">
        <f t="shared" si="342"/>
        <v>0</v>
      </c>
    </row>
    <row r="3104" spans="1:27">
      <c r="A3104" s="83" t="str">
        <f t="shared" si="337"/>
        <v/>
      </c>
      <c r="B3104" s="83" t="str">
        <f t="shared" si="338"/>
        <v/>
      </c>
      <c r="S3104" s="83" t="str">
        <f t="shared" si="339"/>
        <v/>
      </c>
      <c r="T3104" s="83" t="str">
        <f t="shared" si="336"/>
        <v/>
      </c>
      <c r="Y3104" s="60">
        <f t="shared" si="340"/>
        <v>0</v>
      </c>
      <c r="Z3104" s="49">
        <f t="shared" si="341"/>
        <v>0</v>
      </c>
      <c r="AA3104" s="60">
        <f t="shared" si="342"/>
        <v>0</v>
      </c>
    </row>
    <row r="3105" spans="1:27">
      <c r="A3105" s="83" t="str">
        <f t="shared" si="337"/>
        <v/>
      </c>
      <c r="B3105" s="83" t="str">
        <f t="shared" si="338"/>
        <v/>
      </c>
      <c r="S3105" s="83" t="str">
        <f t="shared" si="339"/>
        <v/>
      </c>
      <c r="T3105" s="83" t="str">
        <f t="shared" si="336"/>
        <v/>
      </c>
      <c r="Y3105" s="60">
        <f t="shared" si="340"/>
        <v>0</v>
      </c>
      <c r="Z3105" s="49">
        <f t="shared" si="341"/>
        <v>0</v>
      </c>
      <c r="AA3105" s="60">
        <f t="shared" si="342"/>
        <v>0</v>
      </c>
    </row>
    <row r="3106" spans="1:27">
      <c r="A3106" s="83" t="str">
        <f t="shared" si="337"/>
        <v/>
      </c>
      <c r="B3106" s="83" t="str">
        <f t="shared" si="338"/>
        <v/>
      </c>
      <c r="S3106" s="83" t="str">
        <f t="shared" si="339"/>
        <v/>
      </c>
      <c r="T3106" s="83" t="str">
        <f t="shared" si="336"/>
        <v/>
      </c>
      <c r="Y3106" s="60">
        <f t="shared" si="340"/>
        <v>0</v>
      </c>
      <c r="Z3106" s="49">
        <f t="shared" si="341"/>
        <v>0</v>
      </c>
      <c r="AA3106" s="60">
        <f t="shared" si="342"/>
        <v>0</v>
      </c>
    </row>
    <row r="3107" spans="1:27">
      <c r="A3107" s="83" t="str">
        <f t="shared" si="337"/>
        <v/>
      </c>
      <c r="B3107" s="83" t="str">
        <f t="shared" si="338"/>
        <v/>
      </c>
      <c r="S3107" s="83" t="str">
        <f t="shared" si="339"/>
        <v/>
      </c>
      <c r="T3107" s="83" t="str">
        <f t="shared" si="336"/>
        <v/>
      </c>
      <c r="Y3107" s="60">
        <f t="shared" si="340"/>
        <v>0</v>
      </c>
      <c r="Z3107" s="49">
        <f t="shared" si="341"/>
        <v>0</v>
      </c>
      <c r="AA3107" s="60">
        <f t="shared" si="342"/>
        <v>0</v>
      </c>
    </row>
    <row r="3108" spans="1:27">
      <c r="A3108" s="83" t="str">
        <f t="shared" si="337"/>
        <v/>
      </c>
      <c r="B3108" s="83" t="str">
        <f t="shared" si="338"/>
        <v/>
      </c>
      <c r="S3108" s="83" t="str">
        <f t="shared" si="339"/>
        <v/>
      </c>
      <c r="T3108" s="83" t="str">
        <f t="shared" si="336"/>
        <v/>
      </c>
      <c r="Y3108" s="60">
        <f t="shared" si="340"/>
        <v>0</v>
      </c>
      <c r="Z3108" s="49">
        <f t="shared" si="341"/>
        <v>0</v>
      </c>
      <c r="AA3108" s="60">
        <f t="shared" si="342"/>
        <v>0</v>
      </c>
    </row>
    <row r="3109" spans="1:27">
      <c r="A3109" s="83" t="str">
        <f t="shared" si="337"/>
        <v/>
      </c>
      <c r="B3109" s="83" t="str">
        <f t="shared" si="338"/>
        <v/>
      </c>
      <c r="S3109" s="83" t="str">
        <f t="shared" si="339"/>
        <v/>
      </c>
      <c r="T3109" s="83" t="str">
        <f t="shared" si="336"/>
        <v/>
      </c>
      <c r="Y3109" s="60">
        <f t="shared" si="340"/>
        <v>0</v>
      </c>
      <c r="Z3109" s="49">
        <f t="shared" si="341"/>
        <v>0</v>
      </c>
      <c r="AA3109" s="60">
        <f t="shared" si="342"/>
        <v>0</v>
      </c>
    </row>
    <row r="3110" spans="1:27">
      <c r="A3110" s="83" t="str">
        <f t="shared" si="337"/>
        <v/>
      </c>
      <c r="B3110" s="83" t="str">
        <f t="shared" si="338"/>
        <v/>
      </c>
      <c r="S3110" s="83" t="str">
        <f t="shared" si="339"/>
        <v/>
      </c>
      <c r="T3110" s="83" t="str">
        <f t="shared" si="336"/>
        <v/>
      </c>
      <c r="Y3110" s="60">
        <f t="shared" si="340"/>
        <v>0</v>
      </c>
      <c r="Z3110" s="49">
        <f t="shared" si="341"/>
        <v>0</v>
      </c>
      <c r="AA3110" s="60">
        <f t="shared" si="342"/>
        <v>0</v>
      </c>
    </row>
    <row r="3111" spans="1:27">
      <c r="A3111" s="83" t="str">
        <f t="shared" si="337"/>
        <v/>
      </c>
      <c r="B3111" s="83" t="str">
        <f t="shared" si="338"/>
        <v/>
      </c>
      <c r="S3111" s="83" t="str">
        <f t="shared" si="339"/>
        <v/>
      </c>
      <c r="T3111" s="83" t="str">
        <f t="shared" si="336"/>
        <v/>
      </c>
      <c r="Y3111" s="60">
        <f t="shared" si="340"/>
        <v>0</v>
      </c>
      <c r="Z3111" s="49">
        <f t="shared" si="341"/>
        <v>0</v>
      </c>
      <c r="AA3111" s="60">
        <f t="shared" si="342"/>
        <v>0</v>
      </c>
    </row>
    <row r="3112" spans="1:27">
      <c r="A3112" s="83" t="str">
        <f t="shared" si="337"/>
        <v/>
      </c>
      <c r="B3112" s="83" t="str">
        <f t="shared" si="338"/>
        <v/>
      </c>
      <c r="S3112" s="83" t="str">
        <f t="shared" si="339"/>
        <v/>
      </c>
      <c r="T3112" s="83" t="str">
        <f t="shared" si="336"/>
        <v/>
      </c>
      <c r="Y3112" s="60">
        <f t="shared" si="340"/>
        <v>0</v>
      </c>
      <c r="Z3112" s="49">
        <f t="shared" si="341"/>
        <v>0</v>
      </c>
      <c r="AA3112" s="60">
        <f t="shared" si="342"/>
        <v>0</v>
      </c>
    </row>
    <row r="3113" spans="1:27">
      <c r="A3113" s="83" t="str">
        <f t="shared" si="337"/>
        <v/>
      </c>
      <c r="B3113" s="83" t="str">
        <f t="shared" si="338"/>
        <v/>
      </c>
      <c r="S3113" s="83" t="str">
        <f t="shared" si="339"/>
        <v/>
      </c>
      <c r="T3113" s="83" t="str">
        <f t="shared" si="336"/>
        <v/>
      </c>
      <c r="Y3113" s="60">
        <f t="shared" si="340"/>
        <v>0</v>
      </c>
      <c r="Z3113" s="49">
        <f t="shared" si="341"/>
        <v>0</v>
      </c>
      <c r="AA3113" s="60">
        <f t="shared" si="342"/>
        <v>0</v>
      </c>
    </row>
    <row r="3114" spans="1:27">
      <c r="A3114" s="83" t="str">
        <f t="shared" si="337"/>
        <v/>
      </c>
      <c r="B3114" s="83" t="str">
        <f t="shared" si="338"/>
        <v/>
      </c>
      <c r="S3114" s="83" t="str">
        <f t="shared" si="339"/>
        <v/>
      </c>
      <c r="T3114" s="83" t="str">
        <f t="shared" si="336"/>
        <v/>
      </c>
      <c r="Y3114" s="60">
        <f t="shared" si="340"/>
        <v>0</v>
      </c>
      <c r="Z3114" s="49">
        <f t="shared" si="341"/>
        <v>0</v>
      </c>
      <c r="AA3114" s="60">
        <f t="shared" si="342"/>
        <v>0</v>
      </c>
    </row>
    <row r="3115" spans="1:27">
      <c r="A3115" s="83" t="str">
        <f t="shared" si="337"/>
        <v/>
      </c>
      <c r="B3115" s="83" t="str">
        <f t="shared" si="338"/>
        <v/>
      </c>
      <c r="S3115" s="83" t="str">
        <f t="shared" si="339"/>
        <v/>
      </c>
      <c r="T3115" s="83" t="str">
        <f t="shared" si="336"/>
        <v/>
      </c>
      <c r="Y3115" s="60">
        <f t="shared" si="340"/>
        <v>0</v>
      </c>
      <c r="Z3115" s="49">
        <f t="shared" si="341"/>
        <v>0</v>
      </c>
      <c r="AA3115" s="60">
        <f t="shared" si="342"/>
        <v>0</v>
      </c>
    </row>
    <row r="3116" spans="1:27">
      <c r="A3116" s="83" t="str">
        <f t="shared" si="337"/>
        <v/>
      </c>
      <c r="B3116" s="83" t="str">
        <f t="shared" si="338"/>
        <v/>
      </c>
      <c r="S3116" s="83" t="str">
        <f t="shared" si="339"/>
        <v/>
      </c>
      <c r="T3116" s="83" t="str">
        <f t="shared" si="336"/>
        <v/>
      </c>
      <c r="Y3116" s="60">
        <f t="shared" si="340"/>
        <v>0</v>
      </c>
      <c r="Z3116" s="49">
        <f t="shared" si="341"/>
        <v>0</v>
      </c>
      <c r="AA3116" s="60">
        <f t="shared" si="342"/>
        <v>0</v>
      </c>
    </row>
    <row r="3117" spans="1:27">
      <c r="A3117" s="83" t="str">
        <f t="shared" si="337"/>
        <v/>
      </c>
      <c r="B3117" s="83" t="str">
        <f t="shared" si="338"/>
        <v/>
      </c>
      <c r="S3117" s="83" t="str">
        <f t="shared" si="339"/>
        <v/>
      </c>
      <c r="T3117" s="83" t="str">
        <f t="shared" si="336"/>
        <v/>
      </c>
      <c r="Y3117" s="60">
        <f t="shared" si="340"/>
        <v>0</v>
      </c>
      <c r="Z3117" s="49">
        <f t="shared" si="341"/>
        <v>0</v>
      </c>
      <c r="AA3117" s="60">
        <f t="shared" si="342"/>
        <v>0</v>
      </c>
    </row>
    <row r="3118" spans="1:27">
      <c r="A3118" s="83" t="str">
        <f t="shared" si="337"/>
        <v/>
      </c>
      <c r="B3118" s="83" t="str">
        <f t="shared" si="338"/>
        <v/>
      </c>
      <c r="S3118" s="83" t="str">
        <f t="shared" si="339"/>
        <v/>
      </c>
      <c r="T3118" s="83" t="str">
        <f t="shared" si="336"/>
        <v/>
      </c>
      <c r="Y3118" s="60">
        <f t="shared" si="340"/>
        <v>0</v>
      </c>
      <c r="Z3118" s="49">
        <f t="shared" si="341"/>
        <v>0</v>
      </c>
      <c r="AA3118" s="60">
        <f t="shared" si="342"/>
        <v>0</v>
      </c>
    </row>
    <row r="3119" spans="1:27">
      <c r="A3119" s="83" t="str">
        <f t="shared" si="337"/>
        <v/>
      </c>
      <c r="B3119" s="83" t="str">
        <f t="shared" si="338"/>
        <v/>
      </c>
      <c r="S3119" s="83" t="str">
        <f t="shared" si="339"/>
        <v/>
      </c>
      <c r="T3119" s="83" t="str">
        <f t="shared" si="336"/>
        <v/>
      </c>
      <c r="Y3119" s="60">
        <f t="shared" si="340"/>
        <v>0</v>
      </c>
      <c r="Z3119" s="49">
        <f t="shared" si="341"/>
        <v>0</v>
      </c>
      <c r="AA3119" s="60">
        <f t="shared" si="342"/>
        <v>0</v>
      </c>
    </row>
    <row r="3120" spans="1:27">
      <c r="A3120" s="83" t="str">
        <f t="shared" si="337"/>
        <v/>
      </c>
      <c r="B3120" s="83" t="str">
        <f t="shared" si="338"/>
        <v/>
      </c>
      <c r="S3120" s="83" t="str">
        <f t="shared" si="339"/>
        <v/>
      </c>
      <c r="T3120" s="83" t="str">
        <f t="shared" si="336"/>
        <v/>
      </c>
      <c r="Y3120" s="60">
        <f t="shared" si="340"/>
        <v>0</v>
      </c>
      <c r="Z3120" s="49">
        <f t="shared" si="341"/>
        <v>0</v>
      </c>
      <c r="AA3120" s="60">
        <f t="shared" si="342"/>
        <v>0</v>
      </c>
    </row>
    <row r="3121" spans="1:27">
      <c r="A3121" s="83" t="str">
        <f t="shared" si="337"/>
        <v/>
      </c>
      <c r="B3121" s="83" t="str">
        <f t="shared" si="338"/>
        <v/>
      </c>
      <c r="S3121" s="83" t="str">
        <f t="shared" si="339"/>
        <v/>
      </c>
      <c r="T3121" s="83" t="str">
        <f t="shared" si="336"/>
        <v/>
      </c>
      <c r="Y3121" s="60">
        <f t="shared" si="340"/>
        <v>0</v>
      </c>
      <c r="Z3121" s="49">
        <f t="shared" si="341"/>
        <v>0</v>
      </c>
      <c r="AA3121" s="60">
        <f t="shared" si="342"/>
        <v>0</v>
      </c>
    </row>
    <row r="3122" spans="1:27">
      <c r="A3122" s="83" t="str">
        <f t="shared" si="337"/>
        <v/>
      </c>
      <c r="B3122" s="83" t="str">
        <f t="shared" si="338"/>
        <v/>
      </c>
      <c r="S3122" s="83" t="str">
        <f t="shared" si="339"/>
        <v/>
      </c>
      <c r="T3122" s="83" t="str">
        <f t="shared" si="336"/>
        <v/>
      </c>
      <c r="Y3122" s="60">
        <f t="shared" si="340"/>
        <v>0</v>
      </c>
      <c r="Z3122" s="49">
        <f t="shared" si="341"/>
        <v>0</v>
      </c>
      <c r="AA3122" s="60">
        <f t="shared" si="342"/>
        <v>0</v>
      </c>
    </row>
    <row r="3123" spans="1:27">
      <c r="A3123" s="83" t="str">
        <f t="shared" si="337"/>
        <v/>
      </c>
      <c r="B3123" s="83" t="str">
        <f t="shared" si="338"/>
        <v/>
      </c>
      <c r="S3123" s="83" t="str">
        <f t="shared" si="339"/>
        <v/>
      </c>
      <c r="T3123" s="83" t="str">
        <f t="shared" si="336"/>
        <v/>
      </c>
      <c r="Y3123" s="60">
        <f t="shared" si="340"/>
        <v>0</v>
      </c>
      <c r="Z3123" s="49">
        <f t="shared" si="341"/>
        <v>0</v>
      </c>
      <c r="AA3123" s="60">
        <f t="shared" si="342"/>
        <v>0</v>
      </c>
    </row>
    <row r="3124" spans="1:27">
      <c r="A3124" s="83" t="str">
        <f t="shared" si="337"/>
        <v/>
      </c>
      <c r="B3124" s="83" t="str">
        <f t="shared" si="338"/>
        <v/>
      </c>
      <c r="S3124" s="83" t="str">
        <f t="shared" si="339"/>
        <v/>
      </c>
      <c r="T3124" s="83" t="str">
        <f t="shared" si="336"/>
        <v/>
      </c>
      <c r="Y3124" s="60">
        <f t="shared" si="340"/>
        <v>0</v>
      </c>
      <c r="Z3124" s="49">
        <f t="shared" si="341"/>
        <v>0</v>
      </c>
      <c r="AA3124" s="60">
        <f t="shared" si="342"/>
        <v>0</v>
      </c>
    </row>
    <row r="3125" spans="1:27">
      <c r="A3125" s="83" t="str">
        <f t="shared" si="337"/>
        <v/>
      </c>
      <c r="B3125" s="83" t="str">
        <f t="shared" si="338"/>
        <v/>
      </c>
      <c r="S3125" s="83" t="str">
        <f t="shared" si="339"/>
        <v/>
      </c>
      <c r="T3125" s="83" t="str">
        <f t="shared" si="336"/>
        <v/>
      </c>
      <c r="Y3125" s="60">
        <f t="shared" si="340"/>
        <v>0</v>
      </c>
      <c r="Z3125" s="49">
        <f t="shared" si="341"/>
        <v>0</v>
      </c>
      <c r="AA3125" s="60">
        <f t="shared" si="342"/>
        <v>0</v>
      </c>
    </row>
    <row r="3126" spans="1:27">
      <c r="A3126" s="83" t="str">
        <f t="shared" si="337"/>
        <v/>
      </c>
      <c r="B3126" s="83" t="str">
        <f t="shared" si="338"/>
        <v/>
      </c>
      <c r="S3126" s="83" t="str">
        <f t="shared" si="339"/>
        <v/>
      </c>
      <c r="T3126" s="83" t="str">
        <f t="shared" si="336"/>
        <v/>
      </c>
      <c r="Y3126" s="60">
        <f t="shared" si="340"/>
        <v>0</v>
      </c>
      <c r="Z3126" s="49">
        <f t="shared" si="341"/>
        <v>0</v>
      </c>
      <c r="AA3126" s="60">
        <f t="shared" si="342"/>
        <v>0</v>
      </c>
    </row>
    <row r="3127" spans="1:27">
      <c r="A3127" s="83" t="str">
        <f t="shared" si="337"/>
        <v/>
      </c>
      <c r="B3127" s="83" t="str">
        <f t="shared" si="338"/>
        <v/>
      </c>
      <c r="S3127" s="83" t="str">
        <f t="shared" si="339"/>
        <v/>
      </c>
      <c r="T3127" s="83" t="str">
        <f t="shared" si="336"/>
        <v/>
      </c>
      <c r="Y3127" s="60">
        <f t="shared" si="340"/>
        <v>0</v>
      </c>
      <c r="Z3127" s="49">
        <f t="shared" si="341"/>
        <v>0</v>
      </c>
      <c r="AA3127" s="60">
        <f t="shared" si="342"/>
        <v>0</v>
      </c>
    </row>
    <row r="3128" spans="1:27">
      <c r="A3128" s="83" t="str">
        <f t="shared" si="337"/>
        <v/>
      </c>
      <c r="B3128" s="83" t="str">
        <f t="shared" si="338"/>
        <v/>
      </c>
      <c r="S3128" s="83" t="str">
        <f t="shared" si="339"/>
        <v/>
      </c>
      <c r="T3128" s="83" t="str">
        <f t="shared" si="336"/>
        <v/>
      </c>
      <c r="Y3128" s="60">
        <f t="shared" si="340"/>
        <v>0</v>
      </c>
      <c r="Z3128" s="49">
        <f t="shared" si="341"/>
        <v>0</v>
      </c>
      <c r="AA3128" s="60">
        <f t="shared" si="342"/>
        <v>0</v>
      </c>
    </row>
    <row r="3129" spans="1:27">
      <c r="A3129" s="83" t="str">
        <f t="shared" si="337"/>
        <v/>
      </c>
      <c r="B3129" s="83" t="str">
        <f t="shared" si="338"/>
        <v/>
      </c>
      <c r="S3129" s="83" t="str">
        <f t="shared" si="339"/>
        <v/>
      </c>
      <c r="T3129" s="83" t="str">
        <f t="shared" si="336"/>
        <v/>
      </c>
      <c r="Y3129" s="60">
        <f t="shared" si="340"/>
        <v>0</v>
      </c>
      <c r="Z3129" s="49">
        <f t="shared" si="341"/>
        <v>0</v>
      </c>
      <c r="AA3129" s="60">
        <f t="shared" si="342"/>
        <v>0</v>
      </c>
    </row>
    <row r="3130" spans="1:27">
      <c r="A3130" s="83" t="str">
        <f t="shared" si="337"/>
        <v/>
      </c>
      <c r="B3130" s="83" t="str">
        <f t="shared" si="338"/>
        <v/>
      </c>
      <c r="S3130" s="83" t="str">
        <f t="shared" si="339"/>
        <v/>
      </c>
      <c r="T3130" s="83" t="str">
        <f t="shared" si="336"/>
        <v/>
      </c>
      <c r="Y3130" s="60">
        <f t="shared" si="340"/>
        <v>0</v>
      </c>
      <c r="Z3130" s="49">
        <f t="shared" si="341"/>
        <v>0</v>
      </c>
      <c r="AA3130" s="60">
        <f t="shared" si="342"/>
        <v>0</v>
      </c>
    </row>
    <row r="3131" spans="1:27">
      <c r="A3131" s="83" t="str">
        <f t="shared" si="337"/>
        <v/>
      </c>
      <c r="B3131" s="83" t="str">
        <f t="shared" si="338"/>
        <v/>
      </c>
      <c r="S3131" s="83" t="str">
        <f t="shared" si="339"/>
        <v/>
      </c>
      <c r="T3131" s="83" t="str">
        <f t="shared" si="336"/>
        <v/>
      </c>
      <c r="Y3131" s="60">
        <f t="shared" si="340"/>
        <v>0</v>
      </c>
      <c r="Z3131" s="49">
        <f t="shared" si="341"/>
        <v>0</v>
      </c>
      <c r="AA3131" s="60">
        <f t="shared" si="342"/>
        <v>0</v>
      </c>
    </row>
    <row r="3132" spans="1:27">
      <c r="A3132" s="83" t="str">
        <f t="shared" si="337"/>
        <v/>
      </c>
      <c r="B3132" s="83" t="str">
        <f t="shared" si="338"/>
        <v/>
      </c>
      <c r="S3132" s="83" t="str">
        <f t="shared" si="339"/>
        <v/>
      </c>
      <c r="T3132" s="83" t="str">
        <f t="shared" si="336"/>
        <v/>
      </c>
      <c r="Y3132" s="60">
        <f t="shared" si="340"/>
        <v>0</v>
      </c>
      <c r="Z3132" s="49">
        <f t="shared" si="341"/>
        <v>0</v>
      </c>
      <c r="AA3132" s="60">
        <f t="shared" si="342"/>
        <v>0</v>
      </c>
    </row>
    <row r="3133" spans="1:27">
      <c r="A3133" s="83" t="str">
        <f t="shared" si="337"/>
        <v/>
      </c>
      <c r="B3133" s="83" t="str">
        <f t="shared" si="338"/>
        <v/>
      </c>
      <c r="S3133" s="83" t="str">
        <f t="shared" si="339"/>
        <v/>
      </c>
      <c r="T3133" s="83" t="str">
        <f t="shared" si="336"/>
        <v/>
      </c>
      <c r="Y3133" s="60">
        <f t="shared" si="340"/>
        <v>0</v>
      </c>
      <c r="Z3133" s="49">
        <f t="shared" si="341"/>
        <v>0</v>
      </c>
      <c r="AA3133" s="60">
        <f t="shared" si="342"/>
        <v>0</v>
      </c>
    </row>
    <row r="3134" spans="1:27">
      <c r="A3134" s="83" t="str">
        <f t="shared" si="337"/>
        <v/>
      </c>
      <c r="B3134" s="83" t="str">
        <f t="shared" si="338"/>
        <v/>
      </c>
      <c r="S3134" s="83" t="str">
        <f t="shared" si="339"/>
        <v/>
      </c>
      <c r="T3134" s="83" t="str">
        <f t="shared" si="336"/>
        <v/>
      </c>
      <c r="Y3134" s="60">
        <f t="shared" si="340"/>
        <v>0</v>
      </c>
      <c r="Z3134" s="49">
        <f t="shared" si="341"/>
        <v>0</v>
      </c>
      <c r="AA3134" s="60">
        <f t="shared" si="342"/>
        <v>0</v>
      </c>
    </row>
    <row r="3135" spans="1:27">
      <c r="A3135" s="83" t="str">
        <f t="shared" si="337"/>
        <v/>
      </c>
      <c r="B3135" s="83" t="str">
        <f t="shared" si="338"/>
        <v/>
      </c>
      <c r="S3135" s="83" t="str">
        <f t="shared" si="339"/>
        <v/>
      </c>
      <c r="T3135" s="83" t="str">
        <f t="shared" si="336"/>
        <v/>
      </c>
      <c r="Y3135" s="60">
        <f t="shared" si="340"/>
        <v>0</v>
      </c>
      <c r="Z3135" s="49">
        <f t="shared" si="341"/>
        <v>0</v>
      </c>
      <c r="AA3135" s="60">
        <f t="shared" si="342"/>
        <v>0</v>
      </c>
    </row>
    <row r="3136" spans="1:27">
      <c r="A3136" s="83" t="str">
        <f t="shared" si="337"/>
        <v/>
      </c>
      <c r="B3136" s="83" t="str">
        <f t="shared" si="338"/>
        <v/>
      </c>
      <c r="S3136" s="83" t="str">
        <f t="shared" si="339"/>
        <v/>
      </c>
      <c r="T3136" s="83" t="str">
        <f t="shared" si="336"/>
        <v/>
      </c>
      <c r="Y3136" s="60">
        <f t="shared" si="340"/>
        <v>0</v>
      </c>
      <c r="Z3136" s="49">
        <f t="shared" si="341"/>
        <v>0</v>
      </c>
      <c r="AA3136" s="60">
        <f t="shared" si="342"/>
        <v>0</v>
      </c>
    </row>
    <row r="3137" spans="1:27">
      <c r="A3137" s="83" t="str">
        <f t="shared" si="337"/>
        <v/>
      </c>
      <c r="B3137" s="83" t="str">
        <f t="shared" si="338"/>
        <v/>
      </c>
      <c r="S3137" s="83" t="str">
        <f t="shared" si="339"/>
        <v/>
      </c>
      <c r="T3137" s="83" t="str">
        <f t="shared" si="336"/>
        <v/>
      </c>
      <c r="Y3137" s="60">
        <f t="shared" si="340"/>
        <v>0</v>
      </c>
      <c r="Z3137" s="49">
        <f t="shared" si="341"/>
        <v>0</v>
      </c>
      <c r="AA3137" s="60">
        <f t="shared" si="342"/>
        <v>0</v>
      </c>
    </row>
    <row r="3138" spans="1:27">
      <c r="A3138" s="83" t="str">
        <f t="shared" si="337"/>
        <v/>
      </c>
      <c r="B3138" s="83" t="str">
        <f t="shared" si="338"/>
        <v/>
      </c>
      <c r="S3138" s="83" t="str">
        <f t="shared" si="339"/>
        <v/>
      </c>
      <c r="T3138" s="83" t="str">
        <f t="shared" ref="T3138:T3201" si="343">IF(A3138&lt;&gt;"",IF(FIND(" ",G3138)&gt;=1,MID(G3138,FIND(" ",G3138)+1,LEN(G3138)),""),"")</f>
        <v/>
      </c>
      <c r="Y3138" s="60">
        <f t="shared" si="340"/>
        <v>0</v>
      </c>
      <c r="Z3138" s="49">
        <f t="shared" si="341"/>
        <v>0</v>
      </c>
      <c r="AA3138" s="60">
        <f t="shared" si="342"/>
        <v>0</v>
      </c>
    </row>
    <row r="3139" spans="1:27">
      <c r="A3139" s="83" t="str">
        <f t="shared" ref="A3139:A3202" si="344">IF(G3139&amp;Q3139&lt;&gt;"",S3139&amp;Q3139,"")</f>
        <v/>
      </c>
      <c r="B3139" s="83" t="str">
        <f t="shared" ref="B3139:B3202" si="345">IF(C3139&lt;&gt;"",LEFT(C3139,9),"")</f>
        <v/>
      </c>
      <c r="S3139" s="83" t="str">
        <f t="shared" ref="S3139:S3202" si="346">IF(G3139&lt;&gt;"",IF(FIND(" ",G3139)&gt;=1,MID(G3139,1,FIND(" ",G3139)-1),G3139),"")</f>
        <v/>
      </c>
      <c r="T3139" s="83" t="str">
        <f t="shared" si="343"/>
        <v/>
      </c>
      <c r="Y3139" s="60">
        <f t="shared" ref="Y3139:Y3202" si="347">IFERROR(VALUE(MID($C3139,1,2)),0)</f>
        <v>0</v>
      </c>
      <c r="Z3139" s="49">
        <f t="shared" ref="Z3139:Z3202" si="348">IFERROR(VALUE(MID($C3139,4,3)),0)</f>
        <v>0</v>
      </c>
      <c r="AA3139" s="60">
        <f t="shared" ref="AA3139:AA3202" si="349">VALUE(RIGHT("00"&amp;Y3139,2)&amp;RIGHT("000"&amp;Z3139,3))</f>
        <v>0</v>
      </c>
    </row>
    <row r="3140" spans="1:27">
      <c r="A3140" s="83" t="str">
        <f t="shared" si="344"/>
        <v/>
      </c>
      <c r="B3140" s="83" t="str">
        <f t="shared" si="345"/>
        <v/>
      </c>
      <c r="S3140" s="83" t="str">
        <f t="shared" si="346"/>
        <v/>
      </c>
      <c r="T3140" s="83" t="str">
        <f t="shared" si="343"/>
        <v/>
      </c>
      <c r="Y3140" s="60">
        <f t="shared" si="347"/>
        <v>0</v>
      </c>
      <c r="Z3140" s="49">
        <f t="shared" si="348"/>
        <v>0</v>
      </c>
      <c r="AA3140" s="60">
        <f t="shared" si="349"/>
        <v>0</v>
      </c>
    </row>
    <row r="3141" spans="1:27">
      <c r="A3141" s="83" t="str">
        <f t="shared" si="344"/>
        <v/>
      </c>
      <c r="B3141" s="83" t="str">
        <f t="shared" si="345"/>
        <v/>
      </c>
      <c r="S3141" s="83" t="str">
        <f t="shared" si="346"/>
        <v/>
      </c>
      <c r="T3141" s="83" t="str">
        <f t="shared" si="343"/>
        <v/>
      </c>
      <c r="Y3141" s="60">
        <f t="shared" si="347"/>
        <v>0</v>
      </c>
      <c r="Z3141" s="49">
        <f t="shared" si="348"/>
        <v>0</v>
      </c>
      <c r="AA3141" s="60">
        <f t="shared" si="349"/>
        <v>0</v>
      </c>
    </row>
    <row r="3142" spans="1:27">
      <c r="A3142" s="83" t="str">
        <f t="shared" si="344"/>
        <v/>
      </c>
      <c r="B3142" s="83" t="str">
        <f t="shared" si="345"/>
        <v/>
      </c>
      <c r="S3142" s="83" t="str">
        <f t="shared" si="346"/>
        <v/>
      </c>
      <c r="T3142" s="83" t="str">
        <f t="shared" si="343"/>
        <v/>
      </c>
      <c r="Y3142" s="60">
        <f t="shared" si="347"/>
        <v>0</v>
      </c>
      <c r="Z3142" s="49">
        <f t="shared" si="348"/>
        <v>0</v>
      </c>
      <c r="AA3142" s="60">
        <f t="shared" si="349"/>
        <v>0</v>
      </c>
    </row>
    <row r="3143" spans="1:27">
      <c r="A3143" s="83" t="str">
        <f t="shared" si="344"/>
        <v/>
      </c>
      <c r="B3143" s="83" t="str">
        <f t="shared" si="345"/>
        <v/>
      </c>
      <c r="S3143" s="83" t="str">
        <f t="shared" si="346"/>
        <v/>
      </c>
      <c r="T3143" s="83" t="str">
        <f t="shared" si="343"/>
        <v/>
      </c>
      <c r="Y3143" s="60">
        <f t="shared" si="347"/>
        <v>0</v>
      </c>
      <c r="Z3143" s="49">
        <f t="shared" si="348"/>
        <v>0</v>
      </c>
      <c r="AA3143" s="60">
        <f t="shared" si="349"/>
        <v>0</v>
      </c>
    </row>
    <row r="3144" spans="1:27">
      <c r="A3144" s="83" t="str">
        <f t="shared" si="344"/>
        <v/>
      </c>
      <c r="B3144" s="83" t="str">
        <f t="shared" si="345"/>
        <v/>
      </c>
      <c r="S3144" s="83" t="str">
        <f t="shared" si="346"/>
        <v/>
      </c>
      <c r="T3144" s="83" t="str">
        <f t="shared" si="343"/>
        <v/>
      </c>
      <c r="Y3144" s="60">
        <f t="shared" si="347"/>
        <v>0</v>
      </c>
      <c r="Z3144" s="49">
        <f t="shared" si="348"/>
        <v>0</v>
      </c>
      <c r="AA3144" s="60">
        <f t="shared" si="349"/>
        <v>0</v>
      </c>
    </row>
    <row r="3145" spans="1:27">
      <c r="A3145" s="83" t="str">
        <f t="shared" si="344"/>
        <v/>
      </c>
      <c r="B3145" s="83" t="str">
        <f t="shared" si="345"/>
        <v/>
      </c>
      <c r="S3145" s="83" t="str">
        <f t="shared" si="346"/>
        <v/>
      </c>
      <c r="T3145" s="83" t="str">
        <f t="shared" si="343"/>
        <v/>
      </c>
      <c r="Y3145" s="60">
        <f t="shared" si="347"/>
        <v>0</v>
      </c>
      <c r="Z3145" s="49">
        <f t="shared" si="348"/>
        <v>0</v>
      </c>
      <c r="AA3145" s="60">
        <f t="shared" si="349"/>
        <v>0</v>
      </c>
    </row>
    <row r="3146" spans="1:27">
      <c r="A3146" s="83" t="str">
        <f t="shared" si="344"/>
        <v/>
      </c>
      <c r="B3146" s="83" t="str">
        <f t="shared" si="345"/>
        <v/>
      </c>
      <c r="S3146" s="83" t="str">
        <f t="shared" si="346"/>
        <v/>
      </c>
      <c r="T3146" s="83" t="str">
        <f t="shared" si="343"/>
        <v/>
      </c>
      <c r="Y3146" s="60">
        <f t="shared" si="347"/>
        <v>0</v>
      </c>
      <c r="Z3146" s="49">
        <f t="shared" si="348"/>
        <v>0</v>
      </c>
      <c r="AA3146" s="60">
        <f t="shared" si="349"/>
        <v>0</v>
      </c>
    </row>
    <row r="3147" spans="1:27">
      <c r="A3147" s="83" t="str">
        <f t="shared" si="344"/>
        <v/>
      </c>
      <c r="B3147" s="83" t="str">
        <f t="shared" si="345"/>
        <v/>
      </c>
      <c r="S3147" s="83" t="str">
        <f t="shared" si="346"/>
        <v/>
      </c>
      <c r="T3147" s="83" t="str">
        <f t="shared" si="343"/>
        <v/>
      </c>
      <c r="Y3147" s="60">
        <f t="shared" si="347"/>
        <v>0</v>
      </c>
      <c r="Z3147" s="49">
        <f t="shared" si="348"/>
        <v>0</v>
      </c>
      <c r="AA3147" s="60">
        <f t="shared" si="349"/>
        <v>0</v>
      </c>
    </row>
    <row r="3148" spans="1:27">
      <c r="A3148" s="83" t="str">
        <f t="shared" si="344"/>
        <v/>
      </c>
      <c r="B3148" s="83" t="str">
        <f t="shared" si="345"/>
        <v/>
      </c>
      <c r="S3148" s="83" t="str">
        <f t="shared" si="346"/>
        <v/>
      </c>
      <c r="T3148" s="83" t="str">
        <f t="shared" si="343"/>
        <v/>
      </c>
      <c r="Y3148" s="60">
        <f t="shared" si="347"/>
        <v>0</v>
      </c>
      <c r="Z3148" s="49">
        <f t="shared" si="348"/>
        <v>0</v>
      </c>
      <c r="AA3148" s="60">
        <f t="shared" si="349"/>
        <v>0</v>
      </c>
    </row>
    <row r="3149" spans="1:27">
      <c r="A3149" s="83" t="str">
        <f t="shared" si="344"/>
        <v/>
      </c>
      <c r="B3149" s="83" t="str">
        <f t="shared" si="345"/>
        <v/>
      </c>
      <c r="S3149" s="83" t="str">
        <f t="shared" si="346"/>
        <v/>
      </c>
      <c r="T3149" s="83" t="str">
        <f t="shared" si="343"/>
        <v/>
      </c>
      <c r="Y3149" s="60">
        <f t="shared" si="347"/>
        <v>0</v>
      </c>
      <c r="Z3149" s="49">
        <f t="shared" si="348"/>
        <v>0</v>
      </c>
      <c r="AA3149" s="60">
        <f t="shared" si="349"/>
        <v>0</v>
      </c>
    </row>
    <row r="3150" spans="1:27">
      <c r="A3150" s="83" t="str">
        <f t="shared" si="344"/>
        <v/>
      </c>
      <c r="B3150" s="83" t="str">
        <f t="shared" si="345"/>
        <v/>
      </c>
      <c r="S3150" s="83" t="str">
        <f t="shared" si="346"/>
        <v/>
      </c>
      <c r="T3150" s="83" t="str">
        <f t="shared" si="343"/>
        <v/>
      </c>
      <c r="Y3150" s="60">
        <f t="shared" si="347"/>
        <v>0</v>
      </c>
      <c r="Z3150" s="49">
        <f t="shared" si="348"/>
        <v>0</v>
      </c>
      <c r="AA3150" s="60">
        <f t="shared" si="349"/>
        <v>0</v>
      </c>
    </row>
    <row r="3151" spans="1:27">
      <c r="A3151" s="83" t="str">
        <f t="shared" si="344"/>
        <v/>
      </c>
      <c r="B3151" s="83" t="str">
        <f t="shared" si="345"/>
        <v/>
      </c>
      <c r="S3151" s="83" t="str">
        <f t="shared" si="346"/>
        <v/>
      </c>
      <c r="T3151" s="83" t="str">
        <f t="shared" si="343"/>
        <v/>
      </c>
      <c r="Y3151" s="60">
        <f t="shared" si="347"/>
        <v>0</v>
      </c>
      <c r="Z3151" s="49">
        <f t="shared" si="348"/>
        <v>0</v>
      </c>
      <c r="AA3151" s="60">
        <f t="shared" si="349"/>
        <v>0</v>
      </c>
    </row>
    <row r="3152" spans="1:27">
      <c r="A3152" s="83" t="str">
        <f t="shared" si="344"/>
        <v/>
      </c>
      <c r="B3152" s="83" t="str">
        <f t="shared" si="345"/>
        <v/>
      </c>
      <c r="S3152" s="83" t="str">
        <f t="shared" si="346"/>
        <v/>
      </c>
      <c r="T3152" s="83" t="str">
        <f t="shared" si="343"/>
        <v/>
      </c>
      <c r="Y3152" s="60">
        <f t="shared" si="347"/>
        <v>0</v>
      </c>
      <c r="Z3152" s="49">
        <f t="shared" si="348"/>
        <v>0</v>
      </c>
      <c r="AA3152" s="60">
        <f t="shared" si="349"/>
        <v>0</v>
      </c>
    </row>
    <row r="3153" spans="1:27">
      <c r="A3153" s="83" t="str">
        <f t="shared" si="344"/>
        <v/>
      </c>
      <c r="B3153" s="83" t="str">
        <f t="shared" si="345"/>
        <v/>
      </c>
      <c r="S3153" s="83" t="str">
        <f t="shared" si="346"/>
        <v/>
      </c>
      <c r="T3153" s="83" t="str">
        <f t="shared" si="343"/>
        <v/>
      </c>
      <c r="Y3153" s="60">
        <f t="shared" si="347"/>
        <v>0</v>
      </c>
      <c r="Z3153" s="49">
        <f t="shared" si="348"/>
        <v>0</v>
      </c>
      <c r="AA3153" s="60">
        <f t="shared" si="349"/>
        <v>0</v>
      </c>
    </row>
    <row r="3154" spans="1:27">
      <c r="A3154" s="83" t="str">
        <f t="shared" si="344"/>
        <v/>
      </c>
      <c r="B3154" s="83" t="str">
        <f t="shared" si="345"/>
        <v/>
      </c>
      <c r="S3154" s="83" t="str">
        <f t="shared" si="346"/>
        <v/>
      </c>
      <c r="T3154" s="83" t="str">
        <f t="shared" si="343"/>
        <v/>
      </c>
      <c r="Y3154" s="60">
        <f t="shared" si="347"/>
        <v>0</v>
      </c>
      <c r="Z3154" s="49">
        <f t="shared" si="348"/>
        <v>0</v>
      </c>
      <c r="AA3154" s="60">
        <f t="shared" si="349"/>
        <v>0</v>
      </c>
    </row>
    <row r="3155" spans="1:27">
      <c r="A3155" s="83" t="str">
        <f t="shared" si="344"/>
        <v/>
      </c>
      <c r="B3155" s="83" t="str">
        <f t="shared" si="345"/>
        <v/>
      </c>
      <c r="S3155" s="83" t="str">
        <f t="shared" si="346"/>
        <v/>
      </c>
      <c r="T3155" s="83" t="str">
        <f t="shared" si="343"/>
        <v/>
      </c>
      <c r="Y3155" s="60">
        <f t="shared" si="347"/>
        <v>0</v>
      </c>
      <c r="Z3155" s="49">
        <f t="shared" si="348"/>
        <v>0</v>
      </c>
      <c r="AA3155" s="60">
        <f t="shared" si="349"/>
        <v>0</v>
      </c>
    </row>
    <row r="3156" spans="1:27">
      <c r="A3156" s="83" t="str">
        <f t="shared" si="344"/>
        <v/>
      </c>
      <c r="B3156" s="83" t="str">
        <f t="shared" si="345"/>
        <v/>
      </c>
      <c r="S3156" s="83" t="str">
        <f t="shared" si="346"/>
        <v/>
      </c>
      <c r="T3156" s="83" t="str">
        <f t="shared" si="343"/>
        <v/>
      </c>
      <c r="Y3156" s="60">
        <f t="shared" si="347"/>
        <v>0</v>
      </c>
      <c r="Z3156" s="49">
        <f t="shared" si="348"/>
        <v>0</v>
      </c>
      <c r="AA3156" s="60">
        <f t="shared" si="349"/>
        <v>0</v>
      </c>
    </row>
    <row r="3157" spans="1:27">
      <c r="A3157" s="83" t="str">
        <f t="shared" si="344"/>
        <v/>
      </c>
      <c r="B3157" s="83" t="str">
        <f t="shared" si="345"/>
        <v/>
      </c>
      <c r="S3157" s="83" t="str">
        <f t="shared" si="346"/>
        <v/>
      </c>
      <c r="T3157" s="83" t="str">
        <f t="shared" si="343"/>
        <v/>
      </c>
      <c r="Y3157" s="60">
        <f t="shared" si="347"/>
        <v>0</v>
      </c>
      <c r="Z3157" s="49">
        <f t="shared" si="348"/>
        <v>0</v>
      </c>
      <c r="AA3157" s="60">
        <f t="shared" si="349"/>
        <v>0</v>
      </c>
    </row>
    <row r="3158" spans="1:27">
      <c r="A3158" s="83" t="str">
        <f t="shared" si="344"/>
        <v/>
      </c>
      <c r="B3158" s="83" t="str">
        <f t="shared" si="345"/>
        <v/>
      </c>
      <c r="S3158" s="83" t="str">
        <f t="shared" si="346"/>
        <v/>
      </c>
      <c r="T3158" s="83" t="str">
        <f t="shared" si="343"/>
        <v/>
      </c>
      <c r="Y3158" s="60">
        <f t="shared" si="347"/>
        <v>0</v>
      </c>
      <c r="Z3158" s="49">
        <f t="shared" si="348"/>
        <v>0</v>
      </c>
      <c r="AA3158" s="60">
        <f t="shared" si="349"/>
        <v>0</v>
      </c>
    </row>
    <row r="3159" spans="1:27">
      <c r="A3159" s="83" t="str">
        <f t="shared" si="344"/>
        <v/>
      </c>
      <c r="B3159" s="83" t="str">
        <f t="shared" si="345"/>
        <v/>
      </c>
      <c r="S3159" s="83" t="str">
        <f t="shared" si="346"/>
        <v/>
      </c>
      <c r="T3159" s="83" t="str">
        <f t="shared" si="343"/>
        <v/>
      </c>
      <c r="Y3159" s="60">
        <f t="shared" si="347"/>
        <v>0</v>
      </c>
      <c r="Z3159" s="49">
        <f t="shared" si="348"/>
        <v>0</v>
      </c>
      <c r="AA3159" s="60">
        <f t="shared" si="349"/>
        <v>0</v>
      </c>
    </row>
    <row r="3160" spans="1:27">
      <c r="A3160" s="83" t="str">
        <f t="shared" si="344"/>
        <v/>
      </c>
      <c r="B3160" s="83" t="str">
        <f t="shared" si="345"/>
        <v/>
      </c>
      <c r="S3160" s="83" t="str">
        <f t="shared" si="346"/>
        <v/>
      </c>
      <c r="T3160" s="83" t="str">
        <f t="shared" si="343"/>
        <v/>
      </c>
      <c r="Y3160" s="60">
        <f t="shared" si="347"/>
        <v>0</v>
      </c>
      <c r="Z3160" s="49">
        <f t="shared" si="348"/>
        <v>0</v>
      </c>
      <c r="AA3160" s="60">
        <f t="shared" si="349"/>
        <v>0</v>
      </c>
    </row>
    <row r="3161" spans="1:27">
      <c r="A3161" s="83" t="str">
        <f t="shared" si="344"/>
        <v/>
      </c>
      <c r="B3161" s="83" t="str">
        <f t="shared" si="345"/>
        <v/>
      </c>
      <c r="S3161" s="83" t="str">
        <f t="shared" si="346"/>
        <v/>
      </c>
      <c r="T3161" s="83" t="str">
        <f t="shared" si="343"/>
        <v/>
      </c>
      <c r="Y3161" s="60">
        <f t="shared" si="347"/>
        <v>0</v>
      </c>
      <c r="Z3161" s="49">
        <f t="shared" si="348"/>
        <v>0</v>
      </c>
      <c r="AA3161" s="60">
        <f t="shared" si="349"/>
        <v>0</v>
      </c>
    </row>
    <row r="3162" spans="1:27">
      <c r="A3162" s="83" t="str">
        <f t="shared" si="344"/>
        <v/>
      </c>
      <c r="B3162" s="83" t="str">
        <f t="shared" si="345"/>
        <v/>
      </c>
      <c r="S3162" s="83" t="str">
        <f t="shared" si="346"/>
        <v/>
      </c>
      <c r="T3162" s="83" t="str">
        <f t="shared" si="343"/>
        <v/>
      </c>
      <c r="Y3162" s="60">
        <f t="shared" si="347"/>
        <v>0</v>
      </c>
      <c r="Z3162" s="49">
        <f t="shared" si="348"/>
        <v>0</v>
      </c>
      <c r="AA3162" s="60">
        <f t="shared" si="349"/>
        <v>0</v>
      </c>
    </row>
    <row r="3163" spans="1:27">
      <c r="A3163" s="83" t="str">
        <f t="shared" si="344"/>
        <v/>
      </c>
      <c r="B3163" s="83" t="str">
        <f t="shared" si="345"/>
        <v/>
      </c>
      <c r="S3163" s="83" t="str">
        <f t="shared" si="346"/>
        <v/>
      </c>
      <c r="T3163" s="83" t="str">
        <f t="shared" si="343"/>
        <v/>
      </c>
      <c r="Y3163" s="60">
        <f t="shared" si="347"/>
        <v>0</v>
      </c>
      <c r="Z3163" s="49">
        <f t="shared" si="348"/>
        <v>0</v>
      </c>
      <c r="AA3163" s="60">
        <f t="shared" si="349"/>
        <v>0</v>
      </c>
    </row>
    <row r="3164" spans="1:27">
      <c r="A3164" s="83" t="str">
        <f t="shared" si="344"/>
        <v/>
      </c>
      <c r="B3164" s="83" t="str">
        <f t="shared" si="345"/>
        <v/>
      </c>
      <c r="S3164" s="83" t="str">
        <f t="shared" si="346"/>
        <v/>
      </c>
      <c r="T3164" s="83" t="str">
        <f t="shared" si="343"/>
        <v/>
      </c>
      <c r="Y3164" s="60">
        <f t="shared" si="347"/>
        <v>0</v>
      </c>
      <c r="Z3164" s="49">
        <f t="shared" si="348"/>
        <v>0</v>
      </c>
      <c r="AA3164" s="60">
        <f t="shared" si="349"/>
        <v>0</v>
      </c>
    </row>
    <row r="3165" spans="1:27">
      <c r="A3165" s="83" t="str">
        <f t="shared" si="344"/>
        <v/>
      </c>
      <c r="B3165" s="83" t="str">
        <f t="shared" si="345"/>
        <v/>
      </c>
      <c r="S3165" s="83" t="str">
        <f t="shared" si="346"/>
        <v/>
      </c>
      <c r="T3165" s="83" t="str">
        <f t="shared" si="343"/>
        <v/>
      </c>
      <c r="Y3165" s="60">
        <f t="shared" si="347"/>
        <v>0</v>
      </c>
      <c r="Z3165" s="49">
        <f t="shared" si="348"/>
        <v>0</v>
      </c>
      <c r="AA3165" s="60">
        <f t="shared" si="349"/>
        <v>0</v>
      </c>
    </row>
    <row r="3166" spans="1:27">
      <c r="A3166" s="83" t="str">
        <f t="shared" si="344"/>
        <v/>
      </c>
      <c r="B3166" s="83" t="str">
        <f t="shared" si="345"/>
        <v/>
      </c>
      <c r="S3166" s="83" t="str">
        <f t="shared" si="346"/>
        <v/>
      </c>
      <c r="T3166" s="83" t="str">
        <f t="shared" si="343"/>
        <v/>
      </c>
      <c r="Y3166" s="60">
        <f t="shared" si="347"/>
        <v>0</v>
      </c>
      <c r="Z3166" s="49">
        <f t="shared" si="348"/>
        <v>0</v>
      </c>
      <c r="AA3166" s="60">
        <f t="shared" si="349"/>
        <v>0</v>
      </c>
    </row>
    <row r="3167" spans="1:27">
      <c r="A3167" s="83" t="str">
        <f t="shared" si="344"/>
        <v/>
      </c>
      <c r="B3167" s="83" t="str">
        <f t="shared" si="345"/>
        <v/>
      </c>
      <c r="S3167" s="83" t="str">
        <f t="shared" si="346"/>
        <v/>
      </c>
      <c r="T3167" s="83" t="str">
        <f t="shared" si="343"/>
        <v/>
      </c>
      <c r="Y3167" s="60">
        <f t="shared" si="347"/>
        <v>0</v>
      </c>
      <c r="Z3167" s="49">
        <f t="shared" si="348"/>
        <v>0</v>
      </c>
      <c r="AA3167" s="60">
        <f t="shared" si="349"/>
        <v>0</v>
      </c>
    </row>
    <row r="3168" spans="1:27">
      <c r="A3168" s="83" t="str">
        <f t="shared" si="344"/>
        <v/>
      </c>
      <c r="B3168" s="83" t="str">
        <f t="shared" si="345"/>
        <v/>
      </c>
      <c r="S3168" s="83" t="str">
        <f t="shared" si="346"/>
        <v/>
      </c>
      <c r="T3168" s="83" t="str">
        <f t="shared" si="343"/>
        <v/>
      </c>
      <c r="Y3168" s="60">
        <f t="shared" si="347"/>
        <v>0</v>
      </c>
      <c r="Z3168" s="49">
        <f t="shared" si="348"/>
        <v>0</v>
      </c>
      <c r="AA3168" s="60">
        <f t="shared" si="349"/>
        <v>0</v>
      </c>
    </row>
    <row r="3169" spans="1:27">
      <c r="A3169" s="83" t="str">
        <f t="shared" si="344"/>
        <v/>
      </c>
      <c r="B3169" s="83" t="str">
        <f t="shared" si="345"/>
        <v/>
      </c>
      <c r="S3169" s="83" t="str">
        <f t="shared" si="346"/>
        <v/>
      </c>
      <c r="T3169" s="83" t="str">
        <f t="shared" si="343"/>
        <v/>
      </c>
      <c r="Y3169" s="60">
        <f t="shared" si="347"/>
        <v>0</v>
      </c>
      <c r="Z3169" s="49">
        <f t="shared" si="348"/>
        <v>0</v>
      </c>
      <c r="AA3169" s="60">
        <f t="shared" si="349"/>
        <v>0</v>
      </c>
    </row>
    <row r="3170" spans="1:27">
      <c r="A3170" s="83" t="str">
        <f t="shared" si="344"/>
        <v/>
      </c>
      <c r="B3170" s="83" t="str">
        <f t="shared" si="345"/>
        <v/>
      </c>
      <c r="S3170" s="83" t="str">
        <f t="shared" si="346"/>
        <v/>
      </c>
      <c r="T3170" s="83" t="str">
        <f t="shared" si="343"/>
        <v/>
      </c>
      <c r="Y3170" s="60">
        <f t="shared" si="347"/>
        <v>0</v>
      </c>
      <c r="Z3170" s="49">
        <f t="shared" si="348"/>
        <v>0</v>
      </c>
      <c r="AA3170" s="60">
        <f t="shared" si="349"/>
        <v>0</v>
      </c>
    </row>
    <row r="3171" spans="1:27">
      <c r="A3171" s="83" t="str">
        <f t="shared" si="344"/>
        <v/>
      </c>
      <c r="B3171" s="83" t="str">
        <f t="shared" si="345"/>
        <v/>
      </c>
      <c r="S3171" s="83" t="str">
        <f t="shared" si="346"/>
        <v/>
      </c>
      <c r="T3171" s="83" t="str">
        <f t="shared" si="343"/>
        <v/>
      </c>
      <c r="Y3171" s="60">
        <f t="shared" si="347"/>
        <v>0</v>
      </c>
      <c r="Z3171" s="49">
        <f t="shared" si="348"/>
        <v>0</v>
      </c>
      <c r="AA3171" s="60">
        <f t="shared" si="349"/>
        <v>0</v>
      </c>
    </row>
    <row r="3172" spans="1:27">
      <c r="A3172" s="83" t="str">
        <f t="shared" si="344"/>
        <v/>
      </c>
      <c r="B3172" s="83" t="str">
        <f t="shared" si="345"/>
        <v/>
      </c>
      <c r="S3172" s="83" t="str">
        <f t="shared" si="346"/>
        <v/>
      </c>
      <c r="T3172" s="83" t="str">
        <f t="shared" si="343"/>
        <v/>
      </c>
      <c r="Y3172" s="60">
        <f t="shared" si="347"/>
        <v>0</v>
      </c>
      <c r="Z3172" s="49">
        <f t="shared" si="348"/>
        <v>0</v>
      </c>
      <c r="AA3172" s="60">
        <f t="shared" si="349"/>
        <v>0</v>
      </c>
    </row>
    <row r="3173" spans="1:27">
      <c r="A3173" s="83" t="str">
        <f t="shared" si="344"/>
        <v/>
      </c>
      <c r="B3173" s="83" t="str">
        <f t="shared" si="345"/>
        <v/>
      </c>
      <c r="S3173" s="83" t="str">
        <f t="shared" si="346"/>
        <v/>
      </c>
      <c r="T3173" s="83" t="str">
        <f t="shared" si="343"/>
        <v/>
      </c>
      <c r="Y3173" s="60">
        <f t="shared" si="347"/>
        <v>0</v>
      </c>
      <c r="Z3173" s="49">
        <f t="shared" si="348"/>
        <v>0</v>
      </c>
      <c r="AA3173" s="60">
        <f t="shared" si="349"/>
        <v>0</v>
      </c>
    </row>
    <row r="3174" spans="1:27">
      <c r="A3174" s="83" t="str">
        <f t="shared" si="344"/>
        <v/>
      </c>
      <c r="B3174" s="83" t="str">
        <f t="shared" si="345"/>
        <v/>
      </c>
      <c r="S3174" s="83" t="str">
        <f t="shared" si="346"/>
        <v/>
      </c>
      <c r="T3174" s="83" t="str">
        <f t="shared" si="343"/>
        <v/>
      </c>
      <c r="Y3174" s="60">
        <f t="shared" si="347"/>
        <v>0</v>
      </c>
      <c r="Z3174" s="49">
        <f t="shared" si="348"/>
        <v>0</v>
      </c>
      <c r="AA3174" s="60">
        <f t="shared" si="349"/>
        <v>0</v>
      </c>
    </row>
    <row r="3175" spans="1:27">
      <c r="A3175" s="83" t="str">
        <f t="shared" si="344"/>
        <v/>
      </c>
      <c r="B3175" s="83" t="str">
        <f t="shared" si="345"/>
        <v/>
      </c>
      <c r="S3175" s="83" t="str">
        <f t="shared" si="346"/>
        <v/>
      </c>
      <c r="T3175" s="83" t="str">
        <f t="shared" si="343"/>
        <v/>
      </c>
      <c r="Y3175" s="60">
        <f t="shared" si="347"/>
        <v>0</v>
      </c>
      <c r="Z3175" s="49">
        <f t="shared" si="348"/>
        <v>0</v>
      </c>
      <c r="AA3175" s="60">
        <f t="shared" si="349"/>
        <v>0</v>
      </c>
    </row>
    <row r="3176" spans="1:27">
      <c r="A3176" s="83" t="str">
        <f t="shared" si="344"/>
        <v/>
      </c>
      <c r="B3176" s="83" t="str">
        <f t="shared" si="345"/>
        <v/>
      </c>
      <c r="S3176" s="83" t="str">
        <f t="shared" si="346"/>
        <v/>
      </c>
      <c r="T3176" s="83" t="str">
        <f t="shared" si="343"/>
        <v/>
      </c>
      <c r="Y3176" s="60">
        <f t="shared" si="347"/>
        <v>0</v>
      </c>
      <c r="Z3176" s="49">
        <f t="shared" si="348"/>
        <v>0</v>
      </c>
      <c r="AA3176" s="60">
        <f t="shared" si="349"/>
        <v>0</v>
      </c>
    </row>
    <row r="3177" spans="1:27">
      <c r="A3177" s="83" t="str">
        <f t="shared" si="344"/>
        <v/>
      </c>
      <c r="B3177" s="83" t="str">
        <f t="shared" si="345"/>
        <v/>
      </c>
      <c r="S3177" s="83" t="str">
        <f t="shared" si="346"/>
        <v/>
      </c>
      <c r="T3177" s="83" t="str">
        <f t="shared" si="343"/>
        <v/>
      </c>
      <c r="Y3177" s="60">
        <f t="shared" si="347"/>
        <v>0</v>
      </c>
      <c r="Z3177" s="49">
        <f t="shared" si="348"/>
        <v>0</v>
      </c>
      <c r="AA3177" s="60">
        <f t="shared" si="349"/>
        <v>0</v>
      </c>
    </row>
    <row r="3178" spans="1:27">
      <c r="A3178" s="83" t="str">
        <f t="shared" si="344"/>
        <v/>
      </c>
      <c r="B3178" s="83" t="str">
        <f t="shared" si="345"/>
        <v/>
      </c>
      <c r="S3178" s="83" t="str">
        <f t="shared" si="346"/>
        <v/>
      </c>
      <c r="T3178" s="83" t="str">
        <f t="shared" si="343"/>
        <v/>
      </c>
      <c r="Y3178" s="60">
        <f t="shared" si="347"/>
        <v>0</v>
      </c>
      <c r="Z3178" s="49">
        <f t="shared" si="348"/>
        <v>0</v>
      </c>
      <c r="AA3178" s="60">
        <f t="shared" si="349"/>
        <v>0</v>
      </c>
    </row>
    <row r="3179" spans="1:27">
      <c r="A3179" s="83" t="str">
        <f t="shared" si="344"/>
        <v/>
      </c>
      <c r="B3179" s="83" t="str">
        <f t="shared" si="345"/>
        <v/>
      </c>
      <c r="S3179" s="83" t="str">
        <f t="shared" si="346"/>
        <v/>
      </c>
      <c r="T3179" s="83" t="str">
        <f t="shared" si="343"/>
        <v/>
      </c>
      <c r="Y3179" s="60">
        <f t="shared" si="347"/>
        <v>0</v>
      </c>
      <c r="Z3179" s="49">
        <f t="shared" si="348"/>
        <v>0</v>
      </c>
      <c r="AA3179" s="60">
        <f t="shared" si="349"/>
        <v>0</v>
      </c>
    </row>
    <row r="3180" spans="1:27">
      <c r="A3180" s="83" t="str">
        <f t="shared" si="344"/>
        <v/>
      </c>
      <c r="B3180" s="83" t="str">
        <f t="shared" si="345"/>
        <v/>
      </c>
      <c r="S3180" s="83" t="str">
        <f t="shared" si="346"/>
        <v/>
      </c>
      <c r="T3180" s="83" t="str">
        <f t="shared" si="343"/>
        <v/>
      </c>
      <c r="Y3180" s="60">
        <f t="shared" si="347"/>
        <v>0</v>
      </c>
      <c r="Z3180" s="49">
        <f t="shared" si="348"/>
        <v>0</v>
      </c>
      <c r="AA3180" s="60">
        <f t="shared" si="349"/>
        <v>0</v>
      </c>
    </row>
    <row r="3181" spans="1:27">
      <c r="A3181" s="83" t="str">
        <f t="shared" si="344"/>
        <v/>
      </c>
      <c r="B3181" s="83" t="str">
        <f t="shared" si="345"/>
        <v/>
      </c>
      <c r="S3181" s="83" t="str">
        <f t="shared" si="346"/>
        <v/>
      </c>
      <c r="T3181" s="83" t="str">
        <f t="shared" si="343"/>
        <v/>
      </c>
      <c r="Y3181" s="60">
        <f t="shared" si="347"/>
        <v>0</v>
      </c>
      <c r="Z3181" s="49">
        <f t="shared" si="348"/>
        <v>0</v>
      </c>
      <c r="AA3181" s="60">
        <f t="shared" si="349"/>
        <v>0</v>
      </c>
    </row>
    <row r="3182" spans="1:27">
      <c r="A3182" s="83" t="str">
        <f t="shared" si="344"/>
        <v/>
      </c>
      <c r="B3182" s="83" t="str">
        <f t="shared" si="345"/>
        <v/>
      </c>
      <c r="S3182" s="83" t="str">
        <f t="shared" si="346"/>
        <v/>
      </c>
      <c r="T3182" s="83" t="str">
        <f t="shared" si="343"/>
        <v/>
      </c>
      <c r="Y3182" s="60">
        <f t="shared" si="347"/>
        <v>0</v>
      </c>
      <c r="Z3182" s="49">
        <f t="shared" si="348"/>
        <v>0</v>
      </c>
      <c r="AA3182" s="60">
        <f t="shared" si="349"/>
        <v>0</v>
      </c>
    </row>
    <row r="3183" spans="1:27">
      <c r="A3183" s="83" t="str">
        <f t="shared" si="344"/>
        <v/>
      </c>
      <c r="B3183" s="83" t="str">
        <f t="shared" si="345"/>
        <v/>
      </c>
      <c r="S3183" s="83" t="str">
        <f t="shared" si="346"/>
        <v/>
      </c>
      <c r="T3183" s="83" t="str">
        <f t="shared" si="343"/>
        <v/>
      </c>
      <c r="Y3183" s="60">
        <f t="shared" si="347"/>
        <v>0</v>
      </c>
      <c r="Z3183" s="49">
        <f t="shared" si="348"/>
        <v>0</v>
      </c>
      <c r="AA3183" s="60">
        <f t="shared" si="349"/>
        <v>0</v>
      </c>
    </row>
    <row r="3184" spans="1:27">
      <c r="A3184" s="83" t="str">
        <f t="shared" si="344"/>
        <v/>
      </c>
      <c r="B3184" s="83" t="str">
        <f t="shared" si="345"/>
        <v/>
      </c>
      <c r="S3184" s="83" t="str">
        <f t="shared" si="346"/>
        <v/>
      </c>
      <c r="T3184" s="83" t="str">
        <f t="shared" si="343"/>
        <v/>
      </c>
      <c r="Y3184" s="60">
        <f t="shared" si="347"/>
        <v>0</v>
      </c>
      <c r="Z3184" s="49">
        <f t="shared" si="348"/>
        <v>0</v>
      </c>
      <c r="AA3184" s="60">
        <f t="shared" si="349"/>
        <v>0</v>
      </c>
    </row>
    <row r="3185" spans="1:27">
      <c r="A3185" s="83" t="str">
        <f t="shared" si="344"/>
        <v/>
      </c>
      <c r="B3185" s="83" t="str">
        <f t="shared" si="345"/>
        <v/>
      </c>
      <c r="S3185" s="83" t="str">
        <f t="shared" si="346"/>
        <v/>
      </c>
      <c r="T3185" s="83" t="str">
        <f t="shared" si="343"/>
        <v/>
      </c>
      <c r="Y3185" s="60">
        <f t="shared" si="347"/>
        <v>0</v>
      </c>
      <c r="Z3185" s="49">
        <f t="shared" si="348"/>
        <v>0</v>
      </c>
      <c r="AA3185" s="60">
        <f t="shared" si="349"/>
        <v>0</v>
      </c>
    </row>
    <row r="3186" spans="1:27">
      <c r="A3186" s="83" t="str">
        <f t="shared" si="344"/>
        <v/>
      </c>
      <c r="B3186" s="83" t="str">
        <f t="shared" si="345"/>
        <v/>
      </c>
      <c r="S3186" s="83" t="str">
        <f t="shared" si="346"/>
        <v/>
      </c>
      <c r="T3186" s="83" t="str">
        <f t="shared" si="343"/>
        <v/>
      </c>
      <c r="Y3186" s="60">
        <f t="shared" si="347"/>
        <v>0</v>
      </c>
      <c r="Z3186" s="49">
        <f t="shared" si="348"/>
        <v>0</v>
      </c>
      <c r="AA3186" s="60">
        <f t="shared" si="349"/>
        <v>0</v>
      </c>
    </row>
    <row r="3187" spans="1:27">
      <c r="A3187" s="83" t="str">
        <f t="shared" si="344"/>
        <v/>
      </c>
      <c r="B3187" s="83" t="str">
        <f t="shared" si="345"/>
        <v/>
      </c>
      <c r="S3187" s="83" t="str">
        <f t="shared" si="346"/>
        <v/>
      </c>
      <c r="T3187" s="83" t="str">
        <f t="shared" si="343"/>
        <v/>
      </c>
      <c r="Y3187" s="60">
        <f t="shared" si="347"/>
        <v>0</v>
      </c>
      <c r="Z3187" s="49">
        <f t="shared" si="348"/>
        <v>0</v>
      </c>
      <c r="AA3187" s="60">
        <f t="shared" si="349"/>
        <v>0</v>
      </c>
    </row>
    <row r="3188" spans="1:27">
      <c r="A3188" s="83" t="str">
        <f t="shared" si="344"/>
        <v/>
      </c>
      <c r="B3188" s="83" t="str">
        <f t="shared" si="345"/>
        <v/>
      </c>
      <c r="S3188" s="83" t="str">
        <f t="shared" si="346"/>
        <v/>
      </c>
      <c r="T3188" s="83" t="str">
        <f t="shared" si="343"/>
        <v/>
      </c>
      <c r="Y3188" s="60">
        <f t="shared" si="347"/>
        <v>0</v>
      </c>
      <c r="Z3188" s="49">
        <f t="shared" si="348"/>
        <v>0</v>
      </c>
      <c r="AA3188" s="60">
        <f t="shared" si="349"/>
        <v>0</v>
      </c>
    </row>
    <row r="3189" spans="1:27">
      <c r="A3189" s="83" t="str">
        <f t="shared" si="344"/>
        <v/>
      </c>
      <c r="B3189" s="83" t="str">
        <f t="shared" si="345"/>
        <v/>
      </c>
      <c r="S3189" s="83" t="str">
        <f t="shared" si="346"/>
        <v/>
      </c>
      <c r="T3189" s="83" t="str">
        <f t="shared" si="343"/>
        <v/>
      </c>
      <c r="Y3189" s="60">
        <f t="shared" si="347"/>
        <v>0</v>
      </c>
      <c r="Z3189" s="49">
        <f t="shared" si="348"/>
        <v>0</v>
      </c>
      <c r="AA3189" s="60">
        <f t="shared" si="349"/>
        <v>0</v>
      </c>
    </row>
    <row r="3190" spans="1:27">
      <c r="A3190" s="83" t="str">
        <f t="shared" si="344"/>
        <v/>
      </c>
      <c r="B3190" s="83" t="str">
        <f t="shared" si="345"/>
        <v/>
      </c>
      <c r="S3190" s="83" t="str">
        <f t="shared" si="346"/>
        <v/>
      </c>
      <c r="T3190" s="83" t="str">
        <f t="shared" si="343"/>
        <v/>
      </c>
      <c r="Y3190" s="60">
        <f t="shared" si="347"/>
        <v>0</v>
      </c>
      <c r="Z3190" s="49">
        <f t="shared" si="348"/>
        <v>0</v>
      </c>
      <c r="AA3190" s="60">
        <f t="shared" si="349"/>
        <v>0</v>
      </c>
    </row>
    <row r="3191" spans="1:27">
      <c r="A3191" s="83" t="str">
        <f t="shared" si="344"/>
        <v/>
      </c>
      <c r="B3191" s="83" t="str">
        <f t="shared" si="345"/>
        <v/>
      </c>
      <c r="S3191" s="83" t="str">
        <f t="shared" si="346"/>
        <v/>
      </c>
      <c r="T3191" s="83" t="str">
        <f t="shared" si="343"/>
        <v/>
      </c>
      <c r="Y3191" s="60">
        <f t="shared" si="347"/>
        <v>0</v>
      </c>
      <c r="Z3191" s="49">
        <f t="shared" si="348"/>
        <v>0</v>
      </c>
      <c r="AA3191" s="60">
        <f t="shared" si="349"/>
        <v>0</v>
      </c>
    </row>
    <row r="3192" spans="1:27">
      <c r="A3192" s="83" t="str">
        <f t="shared" si="344"/>
        <v/>
      </c>
      <c r="B3192" s="83" t="str">
        <f t="shared" si="345"/>
        <v/>
      </c>
      <c r="S3192" s="83" t="str">
        <f t="shared" si="346"/>
        <v/>
      </c>
      <c r="T3192" s="83" t="str">
        <f t="shared" si="343"/>
        <v/>
      </c>
      <c r="Y3192" s="60">
        <f t="shared" si="347"/>
        <v>0</v>
      </c>
      <c r="Z3192" s="49">
        <f t="shared" si="348"/>
        <v>0</v>
      </c>
      <c r="AA3192" s="60">
        <f t="shared" si="349"/>
        <v>0</v>
      </c>
    </row>
    <row r="3193" spans="1:27">
      <c r="A3193" s="83" t="str">
        <f t="shared" si="344"/>
        <v/>
      </c>
      <c r="B3193" s="83" t="str">
        <f t="shared" si="345"/>
        <v/>
      </c>
      <c r="S3193" s="83" t="str">
        <f t="shared" si="346"/>
        <v/>
      </c>
      <c r="T3193" s="83" t="str">
        <f t="shared" si="343"/>
        <v/>
      </c>
      <c r="Y3193" s="60">
        <f t="shared" si="347"/>
        <v>0</v>
      </c>
      <c r="Z3193" s="49">
        <f t="shared" si="348"/>
        <v>0</v>
      </c>
      <c r="AA3193" s="60">
        <f t="shared" si="349"/>
        <v>0</v>
      </c>
    </row>
    <row r="3194" spans="1:27">
      <c r="A3194" s="83" t="str">
        <f t="shared" si="344"/>
        <v/>
      </c>
      <c r="B3194" s="83" t="str">
        <f t="shared" si="345"/>
        <v/>
      </c>
      <c r="S3194" s="83" t="str">
        <f t="shared" si="346"/>
        <v/>
      </c>
      <c r="T3194" s="83" t="str">
        <f t="shared" si="343"/>
        <v/>
      </c>
      <c r="Y3194" s="60">
        <f t="shared" si="347"/>
        <v>0</v>
      </c>
      <c r="Z3194" s="49">
        <f t="shared" si="348"/>
        <v>0</v>
      </c>
      <c r="AA3194" s="60">
        <f t="shared" si="349"/>
        <v>0</v>
      </c>
    </row>
    <row r="3195" spans="1:27">
      <c r="A3195" s="83" t="str">
        <f t="shared" si="344"/>
        <v/>
      </c>
      <c r="B3195" s="83" t="str">
        <f t="shared" si="345"/>
        <v/>
      </c>
      <c r="S3195" s="83" t="str">
        <f t="shared" si="346"/>
        <v/>
      </c>
      <c r="T3195" s="83" t="str">
        <f t="shared" si="343"/>
        <v/>
      </c>
      <c r="Y3195" s="60">
        <f t="shared" si="347"/>
        <v>0</v>
      </c>
      <c r="Z3195" s="49">
        <f t="shared" si="348"/>
        <v>0</v>
      </c>
      <c r="AA3195" s="60">
        <f t="shared" si="349"/>
        <v>0</v>
      </c>
    </row>
    <row r="3196" spans="1:27">
      <c r="A3196" s="83" t="str">
        <f t="shared" si="344"/>
        <v/>
      </c>
      <c r="B3196" s="83" t="str">
        <f t="shared" si="345"/>
        <v/>
      </c>
      <c r="S3196" s="83" t="str">
        <f t="shared" si="346"/>
        <v/>
      </c>
      <c r="T3196" s="83" t="str">
        <f t="shared" si="343"/>
        <v/>
      </c>
      <c r="Y3196" s="60">
        <f t="shared" si="347"/>
        <v>0</v>
      </c>
      <c r="Z3196" s="49">
        <f t="shared" si="348"/>
        <v>0</v>
      </c>
      <c r="AA3196" s="60">
        <f t="shared" si="349"/>
        <v>0</v>
      </c>
    </row>
    <row r="3197" spans="1:27">
      <c r="A3197" s="83" t="str">
        <f t="shared" si="344"/>
        <v/>
      </c>
      <c r="B3197" s="83" t="str">
        <f t="shared" si="345"/>
        <v/>
      </c>
      <c r="S3197" s="83" t="str">
        <f t="shared" si="346"/>
        <v/>
      </c>
      <c r="T3197" s="83" t="str">
        <f t="shared" si="343"/>
        <v/>
      </c>
      <c r="Y3197" s="60">
        <f t="shared" si="347"/>
        <v>0</v>
      </c>
      <c r="Z3197" s="49">
        <f t="shared" si="348"/>
        <v>0</v>
      </c>
      <c r="AA3197" s="60">
        <f t="shared" si="349"/>
        <v>0</v>
      </c>
    </row>
    <row r="3198" spans="1:27">
      <c r="A3198" s="83" t="str">
        <f t="shared" si="344"/>
        <v/>
      </c>
      <c r="B3198" s="83" t="str">
        <f t="shared" si="345"/>
        <v/>
      </c>
      <c r="S3198" s="83" t="str">
        <f t="shared" si="346"/>
        <v/>
      </c>
      <c r="T3198" s="83" t="str">
        <f t="shared" si="343"/>
        <v/>
      </c>
      <c r="Y3198" s="60">
        <f t="shared" si="347"/>
        <v>0</v>
      </c>
      <c r="Z3198" s="49">
        <f t="shared" si="348"/>
        <v>0</v>
      </c>
      <c r="AA3198" s="60">
        <f t="shared" si="349"/>
        <v>0</v>
      </c>
    </row>
    <row r="3199" spans="1:27">
      <c r="A3199" s="83" t="str">
        <f t="shared" si="344"/>
        <v/>
      </c>
      <c r="B3199" s="83" t="str">
        <f t="shared" si="345"/>
        <v/>
      </c>
      <c r="S3199" s="83" t="str">
        <f t="shared" si="346"/>
        <v/>
      </c>
      <c r="T3199" s="83" t="str">
        <f t="shared" si="343"/>
        <v/>
      </c>
      <c r="Y3199" s="60">
        <f t="shared" si="347"/>
        <v>0</v>
      </c>
      <c r="Z3199" s="49">
        <f t="shared" si="348"/>
        <v>0</v>
      </c>
      <c r="AA3199" s="60">
        <f t="shared" si="349"/>
        <v>0</v>
      </c>
    </row>
    <row r="3200" spans="1:27">
      <c r="A3200" s="83" t="str">
        <f t="shared" si="344"/>
        <v/>
      </c>
      <c r="B3200" s="83" t="str">
        <f t="shared" si="345"/>
        <v/>
      </c>
      <c r="S3200" s="83" t="str">
        <f t="shared" si="346"/>
        <v/>
      </c>
      <c r="T3200" s="83" t="str">
        <f t="shared" si="343"/>
        <v/>
      </c>
      <c r="Y3200" s="60">
        <f t="shared" si="347"/>
        <v>0</v>
      </c>
      <c r="Z3200" s="49">
        <f t="shared" si="348"/>
        <v>0</v>
      </c>
      <c r="AA3200" s="60">
        <f t="shared" si="349"/>
        <v>0</v>
      </c>
    </row>
    <row r="3201" spans="1:27">
      <c r="A3201" s="83" t="str">
        <f t="shared" si="344"/>
        <v/>
      </c>
      <c r="B3201" s="83" t="str">
        <f t="shared" si="345"/>
        <v/>
      </c>
      <c r="S3201" s="83" t="str">
        <f t="shared" si="346"/>
        <v/>
      </c>
      <c r="T3201" s="83" t="str">
        <f t="shared" si="343"/>
        <v/>
      </c>
      <c r="Y3201" s="60">
        <f t="shared" si="347"/>
        <v>0</v>
      </c>
      <c r="Z3201" s="49">
        <f t="shared" si="348"/>
        <v>0</v>
      </c>
      <c r="AA3201" s="60">
        <f t="shared" si="349"/>
        <v>0</v>
      </c>
    </row>
    <row r="3202" spans="1:27">
      <c r="A3202" s="83" t="str">
        <f t="shared" si="344"/>
        <v/>
      </c>
      <c r="B3202" s="83" t="str">
        <f t="shared" si="345"/>
        <v/>
      </c>
      <c r="S3202" s="83" t="str">
        <f t="shared" si="346"/>
        <v/>
      </c>
      <c r="T3202" s="83" t="str">
        <f t="shared" ref="T3202:T3265" si="350">IF(A3202&lt;&gt;"",IF(FIND(" ",G3202)&gt;=1,MID(G3202,FIND(" ",G3202)+1,LEN(G3202)),""),"")</f>
        <v/>
      </c>
      <c r="Y3202" s="60">
        <f t="shared" si="347"/>
        <v>0</v>
      </c>
      <c r="Z3202" s="49">
        <f t="shared" si="348"/>
        <v>0</v>
      </c>
      <c r="AA3202" s="60">
        <f t="shared" si="349"/>
        <v>0</v>
      </c>
    </row>
    <row r="3203" spans="1:27">
      <c r="A3203" s="83" t="str">
        <f t="shared" ref="A3203:A3266" si="351">IF(G3203&amp;Q3203&lt;&gt;"",S3203&amp;Q3203,"")</f>
        <v/>
      </c>
      <c r="B3203" s="83" t="str">
        <f t="shared" ref="B3203:B3266" si="352">IF(C3203&lt;&gt;"",LEFT(C3203,9),"")</f>
        <v/>
      </c>
      <c r="S3203" s="83" t="str">
        <f t="shared" ref="S3203:S3266" si="353">IF(G3203&lt;&gt;"",IF(FIND(" ",G3203)&gt;=1,MID(G3203,1,FIND(" ",G3203)-1),G3203),"")</f>
        <v/>
      </c>
      <c r="T3203" s="83" t="str">
        <f t="shared" si="350"/>
        <v/>
      </c>
      <c r="Y3203" s="60">
        <f t="shared" ref="Y3203:Y3266" si="354">IFERROR(VALUE(MID($C3203,1,2)),0)</f>
        <v>0</v>
      </c>
      <c r="Z3203" s="49">
        <f t="shared" ref="Z3203:Z3266" si="355">IFERROR(VALUE(MID($C3203,4,3)),0)</f>
        <v>0</v>
      </c>
      <c r="AA3203" s="60">
        <f t="shared" ref="AA3203:AA3266" si="356">VALUE(RIGHT("00"&amp;Y3203,2)&amp;RIGHT("000"&amp;Z3203,3))</f>
        <v>0</v>
      </c>
    </row>
    <row r="3204" spans="1:27">
      <c r="A3204" s="83" t="str">
        <f t="shared" si="351"/>
        <v/>
      </c>
      <c r="B3204" s="83" t="str">
        <f t="shared" si="352"/>
        <v/>
      </c>
      <c r="S3204" s="83" t="str">
        <f t="shared" si="353"/>
        <v/>
      </c>
      <c r="T3204" s="83" t="str">
        <f t="shared" si="350"/>
        <v/>
      </c>
      <c r="Y3204" s="60">
        <f t="shared" si="354"/>
        <v>0</v>
      </c>
      <c r="Z3204" s="49">
        <f t="shared" si="355"/>
        <v>0</v>
      </c>
      <c r="AA3204" s="60">
        <f t="shared" si="356"/>
        <v>0</v>
      </c>
    </row>
    <row r="3205" spans="1:27">
      <c r="A3205" s="83" t="str">
        <f t="shared" si="351"/>
        <v/>
      </c>
      <c r="B3205" s="83" t="str">
        <f t="shared" si="352"/>
        <v/>
      </c>
      <c r="S3205" s="83" t="str">
        <f t="shared" si="353"/>
        <v/>
      </c>
      <c r="T3205" s="83" t="str">
        <f t="shared" si="350"/>
        <v/>
      </c>
      <c r="Y3205" s="60">
        <f t="shared" si="354"/>
        <v>0</v>
      </c>
      <c r="Z3205" s="49">
        <f t="shared" si="355"/>
        <v>0</v>
      </c>
      <c r="AA3205" s="60">
        <f t="shared" si="356"/>
        <v>0</v>
      </c>
    </row>
    <row r="3206" spans="1:27">
      <c r="A3206" s="83" t="str">
        <f t="shared" si="351"/>
        <v/>
      </c>
      <c r="B3206" s="83" t="str">
        <f t="shared" si="352"/>
        <v/>
      </c>
      <c r="S3206" s="83" t="str">
        <f t="shared" si="353"/>
        <v/>
      </c>
      <c r="T3206" s="83" t="str">
        <f t="shared" si="350"/>
        <v/>
      </c>
      <c r="Y3206" s="60">
        <f t="shared" si="354"/>
        <v>0</v>
      </c>
      <c r="Z3206" s="49">
        <f t="shared" si="355"/>
        <v>0</v>
      </c>
      <c r="AA3206" s="60">
        <f t="shared" si="356"/>
        <v>0</v>
      </c>
    </row>
    <row r="3207" spans="1:27">
      <c r="A3207" s="83" t="str">
        <f t="shared" si="351"/>
        <v/>
      </c>
      <c r="B3207" s="83" t="str">
        <f t="shared" si="352"/>
        <v/>
      </c>
      <c r="S3207" s="83" t="str">
        <f t="shared" si="353"/>
        <v/>
      </c>
      <c r="T3207" s="83" t="str">
        <f t="shared" si="350"/>
        <v/>
      </c>
      <c r="Y3207" s="60">
        <f t="shared" si="354"/>
        <v>0</v>
      </c>
      <c r="Z3207" s="49">
        <f t="shared" si="355"/>
        <v>0</v>
      </c>
      <c r="AA3207" s="60">
        <f t="shared" si="356"/>
        <v>0</v>
      </c>
    </row>
    <row r="3208" spans="1:27">
      <c r="A3208" s="83" t="str">
        <f t="shared" si="351"/>
        <v/>
      </c>
      <c r="B3208" s="83" t="str">
        <f t="shared" si="352"/>
        <v/>
      </c>
      <c r="S3208" s="83" t="str">
        <f t="shared" si="353"/>
        <v/>
      </c>
      <c r="T3208" s="83" t="str">
        <f t="shared" si="350"/>
        <v/>
      </c>
      <c r="Y3208" s="60">
        <f t="shared" si="354"/>
        <v>0</v>
      </c>
      <c r="Z3208" s="49">
        <f t="shared" si="355"/>
        <v>0</v>
      </c>
      <c r="AA3208" s="60">
        <f t="shared" si="356"/>
        <v>0</v>
      </c>
    </row>
    <row r="3209" spans="1:27">
      <c r="A3209" s="83" t="str">
        <f t="shared" si="351"/>
        <v/>
      </c>
      <c r="B3209" s="83" t="str">
        <f t="shared" si="352"/>
        <v/>
      </c>
      <c r="S3209" s="83" t="str">
        <f t="shared" si="353"/>
        <v/>
      </c>
      <c r="T3209" s="83" t="str">
        <f t="shared" si="350"/>
        <v/>
      </c>
      <c r="Y3209" s="60">
        <f t="shared" si="354"/>
        <v>0</v>
      </c>
      <c r="Z3209" s="49">
        <f t="shared" si="355"/>
        <v>0</v>
      </c>
      <c r="AA3209" s="60">
        <f t="shared" si="356"/>
        <v>0</v>
      </c>
    </row>
    <row r="3210" spans="1:27">
      <c r="A3210" s="83" t="str">
        <f t="shared" si="351"/>
        <v/>
      </c>
      <c r="B3210" s="83" t="str">
        <f t="shared" si="352"/>
        <v/>
      </c>
      <c r="S3210" s="83" t="str">
        <f t="shared" si="353"/>
        <v/>
      </c>
      <c r="T3210" s="83" t="str">
        <f t="shared" si="350"/>
        <v/>
      </c>
      <c r="Y3210" s="60">
        <f t="shared" si="354"/>
        <v>0</v>
      </c>
      <c r="Z3210" s="49">
        <f t="shared" si="355"/>
        <v>0</v>
      </c>
      <c r="AA3210" s="60">
        <f t="shared" si="356"/>
        <v>0</v>
      </c>
    </row>
    <row r="3211" spans="1:27">
      <c r="A3211" s="83" t="str">
        <f t="shared" si="351"/>
        <v/>
      </c>
      <c r="B3211" s="83" t="str">
        <f t="shared" si="352"/>
        <v/>
      </c>
      <c r="S3211" s="83" t="str">
        <f t="shared" si="353"/>
        <v/>
      </c>
      <c r="T3211" s="83" t="str">
        <f t="shared" si="350"/>
        <v/>
      </c>
      <c r="Y3211" s="60">
        <f t="shared" si="354"/>
        <v>0</v>
      </c>
      <c r="Z3211" s="49">
        <f t="shared" si="355"/>
        <v>0</v>
      </c>
      <c r="AA3211" s="60">
        <f t="shared" si="356"/>
        <v>0</v>
      </c>
    </row>
    <row r="3212" spans="1:27">
      <c r="A3212" s="83" t="str">
        <f t="shared" si="351"/>
        <v/>
      </c>
      <c r="B3212" s="83" t="str">
        <f t="shared" si="352"/>
        <v/>
      </c>
      <c r="S3212" s="83" t="str">
        <f t="shared" si="353"/>
        <v/>
      </c>
      <c r="T3212" s="83" t="str">
        <f t="shared" si="350"/>
        <v/>
      </c>
      <c r="Y3212" s="60">
        <f t="shared" si="354"/>
        <v>0</v>
      </c>
      <c r="Z3212" s="49">
        <f t="shared" si="355"/>
        <v>0</v>
      </c>
      <c r="AA3212" s="60">
        <f t="shared" si="356"/>
        <v>0</v>
      </c>
    </row>
    <row r="3213" spans="1:27">
      <c r="A3213" s="83" t="str">
        <f t="shared" si="351"/>
        <v/>
      </c>
      <c r="B3213" s="83" t="str">
        <f t="shared" si="352"/>
        <v/>
      </c>
      <c r="S3213" s="83" t="str">
        <f t="shared" si="353"/>
        <v/>
      </c>
      <c r="T3213" s="83" t="str">
        <f t="shared" si="350"/>
        <v/>
      </c>
      <c r="Y3213" s="60">
        <f t="shared" si="354"/>
        <v>0</v>
      </c>
      <c r="Z3213" s="49">
        <f t="shared" si="355"/>
        <v>0</v>
      </c>
      <c r="AA3213" s="60">
        <f t="shared" si="356"/>
        <v>0</v>
      </c>
    </row>
    <row r="3214" spans="1:27">
      <c r="A3214" s="83" t="str">
        <f t="shared" si="351"/>
        <v/>
      </c>
      <c r="B3214" s="83" t="str">
        <f t="shared" si="352"/>
        <v/>
      </c>
      <c r="S3214" s="83" t="str">
        <f t="shared" si="353"/>
        <v/>
      </c>
      <c r="T3214" s="83" t="str">
        <f t="shared" si="350"/>
        <v/>
      </c>
      <c r="Y3214" s="60">
        <f t="shared" si="354"/>
        <v>0</v>
      </c>
      <c r="Z3214" s="49">
        <f t="shared" si="355"/>
        <v>0</v>
      </c>
      <c r="AA3214" s="60">
        <f t="shared" si="356"/>
        <v>0</v>
      </c>
    </row>
    <row r="3215" spans="1:27">
      <c r="A3215" s="83" t="str">
        <f t="shared" si="351"/>
        <v/>
      </c>
      <c r="B3215" s="83" t="str">
        <f t="shared" si="352"/>
        <v/>
      </c>
      <c r="S3215" s="83" t="str">
        <f t="shared" si="353"/>
        <v/>
      </c>
      <c r="T3215" s="83" t="str">
        <f t="shared" si="350"/>
        <v/>
      </c>
      <c r="Y3215" s="60">
        <f t="shared" si="354"/>
        <v>0</v>
      </c>
      <c r="Z3215" s="49">
        <f t="shared" si="355"/>
        <v>0</v>
      </c>
      <c r="AA3215" s="60">
        <f t="shared" si="356"/>
        <v>0</v>
      </c>
    </row>
    <row r="3216" spans="1:27">
      <c r="A3216" s="83" t="str">
        <f t="shared" si="351"/>
        <v/>
      </c>
      <c r="B3216" s="83" t="str">
        <f t="shared" si="352"/>
        <v/>
      </c>
      <c r="S3216" s="83" t="str">
        <f t="shared" si="353"/>
        <v/>
      </c>
      <c r="T3216" s="83" t="str">
        <f t="shared" si="350"/>
        <v/>
      </c>
      <c r="Y3216" s="60">
        <f t="shared" si="354"/>
        <v>0</v>
      </c>
      <c r="Z3216" s="49">
        <f t="shared" si="355"/>
        <v>0</v>
      </c>
      <c r="AA3216" s="60">
        <f t="shared" si="356"/>
        <v>0</v>
      </c>
    </row>
    <row r="3217" spans="1:27">
      <c r="A3217" s="83" t="str">
        <f t="shared" si="351"/>
        <v/>
      </c>
      <c r="B3217" s="83" t="str">
        <f t="shared" si="352"/>
        <v/>
      </c>
      <c r="S3217" s="83" t="str">
        <f t="shared" si="353"/>
        <v/>
      </c>
      <c r="T3217" s="83" t="str">
        <f t="shared" si="350"/>
        <v/>
      </c>
      <c r="Y3217" s="60">
        <f t="shared" si="354"/>
        <v>0</v>
      </c>
      <c r="Z3217" s="49">
        <f t="shared" si="355"/>
        <v>0</v>
      </c>
      <c r="AA3217" s="60">
        <f t="shared" si="356"/>
        <v>0</v>
      </c>
    </row>
    <row r="3218" spans="1:27">
      <c r="A3218" s="83" t="str">
        <f t="shared" si="351"/>
        <v/>
      </c>
      <c r="B3218" s="83" t="str">
        <f t="shared" si="352"/>
        <v/>
      </c>
      <c r="S3218" s="83" t="str">
        <f t="shared" si="353"/>
        <v/>
      </c>
      <c r="T3218" s="83" t="str">
        <f t="shared" si="350"/>
        <v/>
      </c>
      <c r="Y3218" s="60">
        <f t="shared" si="354"/>
        <v>0</v>
      </c>
      <c r="Z3218" s="49">
        <f t="shared" si="355"/>
        <v>0</v>
      </c>
      <c r="AA3218" s="60">
        <f t="shared" si="356"/>
        <v>0</v>
      </c>
    </row>
    <row r="3219" spans="1:27">
      <c r="A3219" s="83" t="str">
        <f t="shared" si="351"/>
        <v/>
      </c>
      <c r="B3219" s="83" t="str">
        <f t="shared" si="352"/>
        <v/>
      </c>
      <c r="S3219" s="83" t="str">
        <f t="shared" si="353"/>
        <v/>
      </c>
      <c r="T3219" s="83" t="str">
        <f t="shared" si="350"/>
        <v/>
      </c>
      <c r="Y3219" s="60">
        <f t="shared" si="354"/>
        <v>0</v>
      </c>
      <c r="Z3219" s="49">
        <f t="shared" si="355"/>
        <v>0</v>
      </c>
      <c r="AA3219" s="60">
        <f t="shared" si="356"/>
        <v>0</v>
      </c>
    </row>
    <row r="3220" spans="1:27">
      <c r="A3220" s="83" t="str">
        <f t="shared" si="351"/>
        <v/>
      </c>
      <c r="B3220" s="83" t="str">
        <f t="shared" si="352"/>
        <v/>
      </c>
      <c r="S3220" s="83" t="str">
        <f t="shared" si="353"/>
        <v/>
      </c>
      <c r="T3220" s="83" t="str">
        <f t="shared" si="350"/>
        <v/>
      </c>
      <c r="Y3220" s="60">
        <f t="shared" si="354"/>
        <v>0</v>
      </c>
      <c r="Z3220" s="49">
        <f t="shared" si="355"/>
        <v>0</v>
      </c>
      <c r="AA3220" s="60">
        <f t="shared" si="356"/>
        <v>0</v>
      </c>
    </row>
    <row r="3221" spans="1:27">
      <c r="A3221" s="83" t="str">
        <f t="shared" si="351"/>
        <v/>
      </c>
      <c r="B3221" s="83" t="str">
        <f t="shared" si="352"/>
        <v/>
      </c>
      <c r="S3221" s="83" t="str">
        <f t="shared" si="353"/>
        <v/>
      </c>
      <c r="T3221" s="83" t="str">
        <f t="shared" si="350"/>
        <v/>
      </c>
      <c r="Y3221" s="60">
        <f t="shared" si="354"/>
        <v>0</v>
      </c>
      <c r="Z3221" s="49">
        <f t="shared" si="355"/>
        <v>0</v>
      </c>
      <c r="AA3221" s="60">
        <f t="shared" si="356"/>
        <v>0</v>
      </c>
    </row>
    <row r="3222" spans="1:27">
      <c r="A3222" s="83" t="str">
        <f t="shared" si="351"/>
        <v/>
      </c>
      <c r="B3222" s="83" t="str">
        <f t="shared" si="352"/>
        <v/>
      </c>
      <c r="S3222" s="83" t="str">
        <f t="shared" si="353"/>
        <v/>
      </c>
      <c r="T3222" s="83" t="str">
        <f t="shared" si="350"/>
        <v/>
      </c>
      <c r="Y3222" s="60">
        <f t="shared" si="354"/>
        <v>0</v>
      </c>
      <c r="Z3222" s="49">
        <f t="shared" si="355"/>
        <v>0</v>
      </c>
      <c r="AA3222" s="60">
        <f t="shared" si="356"/>
        <v>0</v>
      </c>
    </row>
    <row r="3223" spans="1:27">
      <c r="A3223" s="83" t="str">
        <f t="shared" si="351"/>
        <v/>
      </c>
      <c r="B3223" s="83" t="str">
        <f t="shared" si="352"/>
        <v/>
      </c>
      <c r="S3223" s="83" t="str">
        <f t="shared" si="353"/>
        <v/>
      </c>
      <c r="T3223" s="83" t="str">
        <f t="shared" si="350"/>
        <v/>
      </c>
      <c r="Y3223" s="60">
        <f t="shared" si="354"/>
        <v>0</v>
      </c>
      <c r="Z3223" s="49">
        <f t="shared" si="355"/>
        <v>0</v>
      </c>
      <c r="AA3223" s="60">
        <f t="shared" si="356"/>
        <v>0</v>
      </c>
    </row>
    <row r="3224" spans="1:27">
      <c r="A3224" s="83" t="str">
        <f t="shared" si="351"/>
        <v/>
      </c>
      <c r="B3224" s="83" t="str">
        <f t="shared" si="352"/>
        <v/>
      </c>
      <c r="S3224" s="83" t="str">
        <f t="shared" si="353"/>
        <v/>
      </c>
      <c r="T3224" s="83" t="str">
        <f t="shared" si="350"/>
        <v/>
      </c>
      <c r="Y3224" s="60">
        <f t="shared" si="354"/>
        <v>0</v>
      </c>
      <c r="Z3224" s="49">
        <f t="shared" si="355"/>
        <v>0</v>
      </c>
      <c r="AA3224" s="60">
        <f t="shared" si="356"/>
        <v>0</v>
      </c>
    </row>
    <row r="3225" spans="1:27">
      <c r="A3225" s="83" t="str">
        <f t="shared" si="351"/>
        <v/>
      </c>
      <c r="B3225" s="83" t="str">
        <f t="shared" si="352"/>
        <v/>
      </c>
      <c r="S3225" s="83" t="str">
        <f t="shared" si="353"/>
        <v/>
      </c>
      <c r="T3225" s="83" t="str">
        <f t="shared" si="350"/>
        <v/>
      </c>
      <c r="Y3225" s="60">
        <f t="shared" si="354"/>
        <v>0</v>
      </c>
      <c r="Z3225" s="49">
        <f t="shared" si="355"/>
        <v>0</v>
      </c>
      <c r="AA3225" s="60">
        <f t="shared" si="356"/>
        <v>0</v>
      </c>
    </row>
    <row r="3226" spans="1:27">
      <c r="A3226" s="83" t="str">
        <f t="shared" si="351"/>
        <v/>
      </c>
      <c r="B3226" s="83" t="str">
        <f t="shared" si="352"/>
        <v/>
      </c>
      <c r="S3226" s="83" t="str">
        <f t="shared" si="353"/>
        <v/>
      </c>
      <c r="T3226" s="83" t="str">
        <f t="shared" si="350"/>
        <v/>
      </c>
      <c r="Y3226" s="60">
        <f t="shared" si="354"/>
        <v>0</v>
      </c>
      <c r="Z3226" s="49">
        <f t="shared" si="355"/>
        <v>0</v>
      </c>
      <c r="AA3226" s="60">
        <f t="shared" si="356"/>
        <v>0</v>
      </c>
    </row>
    <row r="3227" spans="1:27">
      <c r="A3227" s="83" t="str">
        <f t="shared" si="351"/>
        <v/>
      </c>
      <c r="B3227" s="83" t="str">
        <f t="shared" si="352"/>
        <v/>
      </c>
      <c r="S3227" s="83" t="str">
        <f t="shared" si="353"/>
        <v/>
      </c>
      <c r="T3227" s="83" t="str">
        <f t="shared" si="350"/>
        <v/>
      </c>
      <c r="Y3227" s="60">
        <f t="shared" si="354"/>
        <v>0</v>
      </c>
      <c r="Z3227" s="49">
        <f t="shared" si="355"/>
        <v>0</v>
      </c>
      <c r="AA3227" s="60">
        <f t="shared" si="356"/>
        <v>0</v>
      </c>
    </row>
    <row r="3228" spans="1:27">
      <c r="A3228" s="83" t="str">
        <f t="shared" si="351"/>
        <v/>
      </c>
      <c r="B3228" s="83" t="str">
        <f t="shared" si="352"/>
        <v/>
      </c>
      <c r="S3228" s="83" t="str">
        <f t="shared" si="353"/>
        <v/>
      </c>
      <c r="T3228" s="83" t="str">
        <f t="shared" si="350"/>
        <v/>
      </c>
      <c r="Y3228" s="60">
        <f t="shared" si="354"/>
        <v>0</v>
      </c>
      <c r="Z3228" s="49">
        <f t="shared" si="355"/>
        <v>0</v>
      </c>
      <c r="AA3228" s="60">
        <f t="shared" si="356"/>
        <v>0</v>
      </c>
    </row>
    <row r="3229" spans="1:27">
      <c r="A3229" s="83" t="str">
        <f t="shared" si="351"/>
        <v/>
      </c>
      <c r="B3229" s="83" t="str">
        <f t="shared" si="352"/>
        <v/>
      </c>
      <c r="S3229" s="83" t="str">
        <f t="shared" si="353"/>
        <v/>
      </c>
      <c r="T3229" s="83" t="str">
        <f t="shared" si="350"/>
        <v/>
      </c>
      <c r="Y3229" s="60">
        <f t="shared" si="354"/>
        <v>0</v>
      </c>
      <c r="Z3229" s="49">
        <f t="shared" si="355"/>
        <v>0</v>
      </c>
      <c r="AA3229" s="60">
        <f t="shared" si="356"/>
        <v>0</v>
      </c>
    </row>
    <row r="3230" spans="1:27">
      <c r="A3230" s="83" t="str">
        <f t="shared" si="351"/>
        <v/>
      </c>
      <c r="B3230" s="83" t="str">
        <f t="shared" si="352"/>
        <v/>
      </c>
      <c r="S3230" s="83" t="str">
        <f t="shared" si="353"/>
        <v/>
      </c>
      <c r="T3230" s="83" t="str">
        <f t="shared" si="350"/>
        <v/>
      </c>
      <c r="Y3230" s="60">
        <f t="shared" si="354"/>
        <v>0</v>
      </c>
      <c r="Z3230" s="49">
        <f t="shared" si="355"/>
        <v>0</v>
      </c>
      <c r="AA3230" s="60">
        <f t="shared" si="356"/>
        <v>0</v>
      </c>
    </row>
    <row r="3231" spans="1:27">
      <c r="A3231" s="83" t="str">
        <f t="shared" si="351"/>
        <v/>
      </c>
      <c r="B3231" s="83" t="str">
        <f t="shared" si="352"/>
        <v/>
      </c>
      <c r="S3231" s="83" t="str">
        <f t="shared" si="353"/>
        <v/>
      </c>
      <c r="T3231" s="83" t="str">
        <f t="shared" si="350"/>
        <v/>
      </c>
      <c r="Y3231" s="60">
        <f t="shared" si="354"/>
        <v>0</v>
      </c>
      <c r="Z3231" s="49">
        <f t="shared" si="355"/>
        <v>0</v>
      </c>
      <c r="AA3231" s="60">
        <f t="shared" si="356"/>
        <v>0</v>
      </c>
    </row>
    <row r="3232" spans="1:27">
      <c r="A3232" s="83" t="str">
        <f t="shared" si="351"/>
        <v/>
      </c>
      <c r="B3232" s="83" t="str">
        <f t="shared" si="352"/>
        <v/>
      </c>
      <c r="S3232" s="83" t="str">
        <f t="shared" si="353"/>
        <v/>
      </c>
      <c r="T3232" s="83" t="str">
        <f t="shared" si="350"/>
        <v/>
      </c>
      <c r="Y3232" s="60">
        <f t="shared" si="354"/>
        <v>0</v>
      </c>
      <c r="Z3232" s="49">
        <f t="shared" si="355"/>
        <v>0</v>
      </c>
      <c r="AA3232" s="60">
        <f t="shared" si="356"/>
        <v>0</v>
      </c>
    </row>
    <row r="3233" spans="1:27">
      <c r="A3233" s="83" t="str">
        <f t="shared" si="351"/>
        <v/>
      </c>
      <c r="B3233" s="83" t="str">
        <f t="shared" si="352"/>
        <v/>
      </c>
      <c r="S3233" s="83" t="str">
        <f t="shared" si="353"/>
        <v/>
      </c>
      <c r="T3233" s="83" t="str">
        <f t="shared" si="350"/>
        <v/>
      </c>
      <c r="Y3233" s="60">
        <f t="shared" si="354"/>
        <v>0</v>
      </c>
      <c r="Z3233" s="49">
        <f t="shared" si="355"/>
        <v>0</v>
      </c>
      <c r="AA3233" s="60">
        <f t="shared" si="356"/>
        <v>0</v>
      </c>
    </row>
    <row r="3234" spans="1:27">
      <c r="A3234" s="83" t="str">
        <f t="shared" si="351"/>
        <v/>
      </c>
      <c r="B3234" s="83" t="str">
        <f t="shared" si="352"/>
        <v/>
      </c>
      <c r="S3234" s="83" t="str">
        <f t="shared" si="353"/>
        <v/>
      </c>
      <c r="T3234" s="83" t="str">
        <f t="shared" si="350"/>
        <v/>
      </c>
      <c r="Y3234" s="60">
        <f t="shared" si="354"/>
        <v>0</v>
      </c>
      <c r="Z3234" s="49">
        <f t="shared" si="355"/>
        <v>0</v>
      </c>
      <c r="AA3234" s="60">
        <f t="shared" si="356"/>
        <v>0</v>
      </c>
    </row>
    <row r="3235" spans="1:27">
      <c r="A3235" s="83" t="str">
        <f t="shared" si="351"/>
        <v/>
      </c>
      <c r="B3235" s="83" t="str">
        <f t="shared" si="352"/>
        <v/>
      </c>
      <c r="S3235" s="83" t="str">
        <f t="shared" si="353"/>
        <v/>
      </c>
      <c r="T3235" s="83" t="str">
        <f t="shared" si="350"/>
        <v/>
      </c>
      <c r="Y3235" s="60">
        <f t="shared" si="354"/>
        <v>0</v>
      </c>
      <c r="Z3235" s="49">
        <f t="shared" si="355"/>
        <v>0</v>
      </c>
      <c r="AA3235" s="60">
        <f t="shared" si="356"/>
        <v>0</v>
      </c>
    </row>
    <row r="3236" spans="1:27">
      <c r="A3236" s="83" t="str">
        <f t="shared" si="351"/>
        <v/>
      </c>
      <c r="B3236" s="83" t="str">
        <f t="shared" si="352"/>
        <v/>
      </c>
      <c r="S3236" s="83" t="str">
        <f t="shared" si="353"/>
        <v/>
      </c>
      <c r="T3236" s="83" t="str">
        <f t="shared" si="350"/>
        <v/>
      </c>
      <c r="Y3236" s="60">
        <f t="shared" si="354"/>
        <v>0</v>
      </c>
      <c r="Z3236" s="49">
        <f t="shared" si="355"/>
        <v>0</v>
      </c>
      <c r="AA3236" s="60">
        <f t="shared" si="356"/>
        <v>0</v>
      </c>
    </row>
    <row r="3237" spans="1:27">
      <c r="A3237" s="83" t="str">
        <f t="shared" si="351"/>
        <v/>
      </c>
      <c r="B3237" s="83" t="str">
        <f t="shared" si="352"/>
        <v/>
      </c>
      <c r="S3237" s="83" t="str">
        <f t="shared" si="353"/>
        <v/>
      </c>
      <c r="T3237" s="83" t="str">
        <f t="shared" si="350"/>
        <v/>
      </c>
      <c r="Y3237" s="60">
        <f t="shared" si="354"/>
        <v>0</v>
      </c>
      <c r="Z3237" s="49">
        <f t="shared" si="355"/>
        <v>0</v>
      </c>
      <c r="AA3237" s="60">
        <f t="shared" si="356"/>
        <v>0</v>
      </c>
    </row>
    <row r="3238" spans="1:27">
      <c r="A3238" s="83" t="str">
        <f t="shared" si="351"/>
        <v/>
      </c>
      <c r="B3238" s="83" t="str">
        <f t="shared" si="352"/>
        <v/>
      </c>
      <c r="S3238" s="83" t="str">
        <f t="shared" si="353"/>
        <v/>
      </c>
      <c r="T3238" s="83" t="str">
        <f t="shared" si="350"/>
        <v/>
      </c>
      <c r="Y3238" s="60">
        <f t="shared" si="354"/>
        <v>0</v>
      </c>
      <c r="Z3238" s="49">
        <f t="shared" si="355"/>
        <v>0</v>
      </c>
      <c r="AA3238" s="60">
        <f t="shared" si="356"/>
        <v>0</v>
      </c>
    </row>
    <row r="3239" spans="1:27">
      <c r="A3239" s="83" t="str">
        <f t="shared" si="351"/>
        <v/>
      </c>
      <c r="B3239" s="83" t="str">
        <f t="shared" si="352"/>
        <v/>
      </c>
      <c r="S3239" s="83" t="str">
        <f t="shared" si="353"/>
        <v/>
      </c>
      <c r="T3239" s="83" t="str">
        <f t="shared" si="350"/>
        <v/>
      </c>
      <c r="Y3239" s="60">
        <f t="shared" si="354"/>
        <v>0</v>
      </c>
      <c r="Z3239" s="49">
        <f t="shared" si="355"/>
        <v>0</v>
      </c>
      <c r="AA3239" s="60">
        <f t="shared" si="356"/>
        <v>0</v>
      </c>
    </row>
    <row r="3240" spans="1:27">
      <c r="A3240" s="83" t="str">
        <f t="shared" si="351"/>
        <v/>
      </c>
      <c r="B3240" s="83" t="str">
        <f t="shared" si="352"/>
        <v/>
      </c>
      <c r="S3240" s="83" t="str">
        <f t="shared" si="353"/>
        <v/>
      </c>
      <c r="T3240" s="83" t="str">
        <f t="shared" si="350"/>
        <v/>
      </c>
      <c r="Y3240" s="60">
        <f t="shared" si="354"/>
        <v>0</v>
      </c>
      <c r="Z3240" s="49">
        <f t="shared" si="355"/>
        <v>0</v>
      </c>
      <c r="AA3240" s="60">
        <f t="shared" si="356"/>
        <v>0</v>
      </c>
    </row>
    <row r="3241" spans="1:27">
      <c r="A3241" s="83" t="str">
        <f t="shared" si="351"/>
        <v/>
      </c>
      <c r="B3241" s="83" t="str">
        <f t="shared" si="352"/>
        <v/>
      </c>
      <c r="S3241" s="83" t="str">
        <f t="shared" si="353"/>
        <v/>
      </c>
      <c r="T3241" s="83" t="str">
        <f t="shared" si="350"/>
        <v/>
      </c>
      <c r="Y3241" s="60">
        <f t="shared" si="354"/>
        <v>0</v>
      </c>
      <c r="Z3241" s="49">
        <f t="shared" si="355"/>
        <v>0</v>
      </c>
      <c r="AA3241" s="60">
        <f t="shared" si="356"/>
        <v>0</v>
      </c>
    </row>
    <row r="3242" spans="1:27">
      <c r="A3242" s="83" t="str">
        <f t="shared" si="351"/>
        <v/>
      </c>
      <c r="B3242" s="83" t="str">
        <f t="shared" si="352"/>
        <v/>
      </c>
      <c r="S3242" s="83" t="str">
        <f t="shared" si="353"/>
        <v/>
      </c>
      <c r="T3242" s="83" t="str">
        <f t="shared" si="350"/>
        <v/>
      </c>
      <c r="Y3242" s="60">
        <f t="shared" si="354"/>
        <v>0</v>
      </c>
      <c r="Z3242" s="49">
        <f t="shared" si="355"/>
        <v>0</v>
      </c>
      <c r="AA3242" s="60">
        <f t="shared" si="356"/>
        <v>0</v>
      </c>
    </row>
    <row r="3243" spans="1:27">
      <c r="A3243" s="83" t="str">
        <f t="shared" si="351"/>
        <v/>
      </c>
      <c r="B3243" s="83" t="str">
        <f t="shared" si="352"/>
        <v/>
      </c>
      <c r="S3243" s="83" t="str">
        <f t="shared" si="353"/>
        <v/>
      </c>
      <c r="T3243" s="83" t="str">
        <f t="shared" si="350"/>
        <v/>
      </c>
      <c r="Y3243" s="60">
        <f t="shared" si="354"/>
        <v>0</v>
      </c>
      <c r="Z3243" s="49">
        <f t="shared" si="355"/>
        <v>0</v>
      </c>
      <c r="AA3243" s="60">
        <f t="shared" si="356"/>
        <v>0</v>
      </c>
    </row>
    <row r="3244" spans="1:27">
      <c r="A3244" s="83" t="str">
        <f t="shared" si="351"/>
        <v/>
      </c>
      <c r="B3244" s="83" t="str">
        <f t="shared" si="352"/>
        <v/>
      </c>
      <c r="S3244" s="83" t="str">
        <f t="shared" si="353"/>
        <v/>
      </c>
      <c r="T3244" s="83" t="str">
        <f t="shared" si="350"/>
        <v/>
      </c>
      <c r="Y3244" s="60">
        <f t="shared" si="354"/>
        <v>0</v>
      </c>
      <c r="Z3244" s="49">
        <f t="shared" si="355"/>
        <v>0</v>
      </c>
      <c r="AA3244" s="60">
        <f t="shared" si="356"/>
        <v>0</v>
      </c>
    </row>
    <row r="3245" spans="1:27">
      <c r="A3245" s="83" t="str">
        <f t="shared" si="351"/>
        <v/>
      </c>
      <c r="B3245" s="83" t="str">
        <f t="shared" si="352"/>
        <v/>
      </c>
      <c r="S3245" s="83" t="str">
        <f t="shared" si="353"/>
        <v/>
      </c>
      <c r="T3245" s="83" t="str">
        <f t="shared" si="350"/>
        <v/>
      </c>
      <c r="Y3245" s="60">
        <f t="shared" si="354"/>
        <v>0</v>
      </c>
      <c r="Z3245" s="49">
        <f t="shared" si="355"/>
        <v>0</v>
      </c>
      <c r="AA3245" s="60">
        <f t="shared" si="356"/>
        <v>0</v>
      </c>
    </row>
    <row r="3246" spans="1:27">
      <c r="A3246" s="83" t="str">
        <f t="shared" si="351"/>
        <v/>
      </c>
      <c r="B3246" s="83" t="str">
        <f t="shared" si="352"/>
        <v/>
      </c>
      <c r="S3246" s="83" t="str">
        <f t="shared" si="353"/>
        <v/>
      </c>
      <c r="T3246" s="83" t="str">
        <f t="shared" si="350"/>
        <v/>
      </c>
      <c r="Y3246" s="60">
        <f t="shared" si="354"/>
        <v>0</v>
      </c>
      <c r="Z3246" s="49">
        <f t="shared" si="355"/>
        <v>0</v>
      </c>
      <c r="AA3246" s="60">
        <f t="shared" si="356"/>
        <v>0</v>
      </c>
    </row>
    <row r="3247" spans="1:27">
      <c r="A3247" s="83" t="str">
        <f t="shared" si="351"/>
        <v/>
      </c>
      <c r="B3247" s="83" t="str">
        <f t="shared" si="352"/>
        <v/>
      </c>
      <c r="S3247" s="83" t="str">
        <f t="shared" si="353"/>
        <v/>
      </c>
      <c r="T3247" s="83" t="str">
        <f t="shared" si="350"/>
        <v/>
      </c>
      <c r="Y3247" s="60">
        <f t="shared" si="354"/>
        <v>0</v>
      </c>
      <c r="Z3247" s="49">
        <f t="shared" si="355"/>
        <v>0</v>
      </c>
      <c r="AA3247" s="60">
        <f t="shared" si="356"/>
        <v>0</v>
      </c>
    </row>
    <row r="3248" spans="1:27">
      <c r="A3248" s="83" t="str">
        <f t="shared" si="351"/>
        <v/>
      </c>
      <c r="B3248" s="83" t="str">
        <f t="shared" si="352"/>
        <v/>
      </c>
      <c r="S3248" s="83" t="str">
        <f t="shared" si="353"/>
        <v/>
      </c>
      <c r="T3248" s="83" t="str">
        <f t="shared" si="350"/>
        <v/>
      </c>
      <c r="Y3248" s="60">
        <f t="shared" si="354"/>
        <v>0</v>
      </c>
      <c r="Z3248" s="49">
        <f t="shared" si="355"/>
        <v>0</v>
      </c>
      <c r="AA3248" s="60">
        <f t="shared" si="356"/>
        <v>0</v>
      </c>
    </row>
    <row r="3249" spans="1:27">
      <c r="A3249" s="83" t="str">
        <f t="shared" si="351"/>
        <v/>
      </c>
      <c r="B3249" s="83" t="str">
        <f t="shared" si="352"/>
        <v/>
      </c>
      <c r="S3249" s="83" t="str">
        <f t="shared" si="353"/>
        <v/>
      </c>
      <c r="T3249" s="83" t="str">
        <f t="shared" si="350"/>
        <v/>
      </c>
      <c r="Y3249" s="60">
        <f t="shared" si="354"/>
        <v>0</v>
      </c>
      <c r="Z3249" s="49">
        <f t="shared" si="355"/>
        <v>0</v>
      </c>
      <c r="AA3249" s="60">
        <f t="shared" si="356"/>
        <v>0</v>
      </c>
    </row>
    <row r="3250" spans="1:27">
      <c r="A3250" s="83" t="str">
        <f t="shared" si="351"/>
        <v/>
      </c>
      <c r="B3250" s="83" t="str">
        <f t="shared" si="352"/>
        <v/>
      </c>
      <c r="S3250" s="83" t="str">
        <f t="shared" si="353"/>
        <v/>
      </c>
      <c r="T3250" s="83" t="str">
        <f t="shared" si="350"/>
        <v/>
      </c>
      <c r="Y3250" s="60">
        <f t="shared" si="354"/>
        <v>0</v>
      </c>
      <c r="Z3250" s="49">
        <f t="shared" si="355"/>
        <v>0</v>
      </c>
      <c r="AA3250" s="60">
        <f t="shared" si="356"/>
        <v>0</v>
      </c>
    </row>
    <row r="3251" spans="1:27">
      <c r="A3251" s="83" t="str">
        <f t="shared" si="351"/>
        <v/>
      </c>
      <c r="B3251" s="83" t="str">
        <f t="shared" si="352"/>
        <v/>
      </c>
      <c r="S3251" s="83" t="str">
        <f t="shared" si="353"/>
        <v/>
      </c>
      <c r="T3251" s="83" t="str">
        <f t="shared" si="350"/>
        <v/>
      </c>
      <c r="Y3251" s="60">
        <f t="shared" si="354"/>
        <v>0</v>
      </c>
      <c r="Z3251" s="49">
        <f t="shared" si="355"/>
        <v>0</v>
      </c>
      <c r="AA3251" s="60">
        <f t="shared" si="356"/>
        <v>0</v>
      </c>
    </row>
    <row r="3252" spans="1:27">
      <c r="A3252" s="83" t="str">
        <f t="shared" si="351"/>
        <v/>
      </c>
      <c r="B3252" s="83" t="str">
        <f t="shared" si="352"/>
        <v/>
      </c>
      <c r="S3252" s="83" t="str">
        <f t="shared" si="353"/>
        <v/>
      </c>
      <c r="T3252" s="83" t="str">
        <f t="shared" si="350"/>
        <v/>
      </c>
      <c r="Y3252" s="60">
        <f t="shared" si="354"/>
        <v>0</v>
      </c>
      <c r="Z3252" s="49">
        <f t="shared" si="355"/>
        <v>0</v>
      </c>
      <c r="AA3252" s="60">
        <f t="shared" si="356"/>
        <v>0</v>
      </c>
    </row>
    <row r="3253" spans="1:27">
      <c r="A3253" s="83" t="str">
        <f t="shared" si="351"/>
        <v/>
      </c>
      <c r="B3253" s="83" t="str">
        <f t="shared" si="352"/>
        <v/>
      </c>
      <c r="S3253" s="83" t="str">
        <f t="shared" si="353"/>
        <v/>
      </c>
      <c r="T3253" s="83" t="str">
        <f t="shared" si="350"/>
        <v/>
      </c>
      <c r="Y3253" s="60">
        <f t="shared" si="354"/>
        <v>0</v>
      </c>
      <c r="Z3253" s="49">
        <f t="shared" si="355"/>
        <v>0</v>
      </c>
      <c r="AA3253" s="60">
        <f t="shared" si="356"/>
        <v>0</v>
      </c>
    </row>
    <row r="3254" spans="1:27">
      <c r="A3254" s="83" t="str">
        <f t="shared" si="351"/>
        <v/>
      </c>
      <c r="B3254" s="83" t="str">
        <f t="shared" si="352"/>
        <v/>
      </c>
      <c r="S3254" s="83" t="str">
        <f t="shared" si="353"/>
        <v/>
      </c>
      <c r="T3254" s="83" t="str">
        <f t="shared" si="350"/>
        <v/>
      </c>
      <c r="Y3254" s="60">
        <f t="shared" si="354"/>
        <v>0</v>
      </c>
      <c r="Z3254" s="49">
        <f t="shared" si="355"/>
        <v>0</v>
      </c>
      <c r="AA3254" s="60">
        <f t="shared" si="356"/>
        <v>0</v>
      </c>
    </row>
    <row r="3255" spans="1:27">
      <c r="A3255" s="83" t="str">
        <f t="shared" si="351"/>
        <v/>
      </c>
      <c r="B3255" s="83" t="str">
        <f t="shared" si="352"/>
        <v/>
      </c>
      <c r="S3255" s="83" t="str">
        <f t="shared" si="353"/>
        <v/>
      </c>
      <c r="T3255" s="83" t="str">
        <f t="shared" si="350"/>
        <v/>
      </c>
      <c r="Y3255" s="60">
        <f t="shared" si="354"/>
        <v>0</v>
      </c>
      <c r="Z3255" s="49">
        <f t="shared" si="355"/>
        <v>0</v>
      </c>
      <c r="AA3255" s="60">
        <f t="shared" si="356"/>
        <v>0</v>
      </c>
    </row>
    <row r="3256" spans="1:27">
      <c r="A3256" s="83" t="str">
        <f t="shared" si="351"/>
        <v/>
      </c>
      <c r="B3256" s="83" t="str">
        <f t="shared" si="352"/>
        <v/>
      </c>
      <c r="S3256" s="83" t="str">
        <f t="shared" si="353"/>
        <v/>
      </c>
      <c r="T3256" s="83" t="str">
        <f t="shared" si="350"/>
        <v/>
      </c>
      <c r="Y3256" s="60">
        <f t="shared" si="354"/>
        <v>0</v>
      </c>
      <c r="Z3256" s="49">
        <f t="shared" si="355"/>
        <v>0</v>
      </c>
      <c r="AA3256" s="60">
        <f t="shared" si="356"/>
        <v>0</v>
      </c>
    </row>
    <row r="3257" spans="1:27">
      <c r="A3257" s="83" t="str">
        <f t="shared" si="351"/>
        <v/>
      </c>
      <c r="B3257" s="83" t="str">
        <f t="shared" si="352"/>
        <v/>
      </c>
      <c r="S3257" s="83" t="str">
        <f t="shared" si="353"/>
        <v/>
      </c>
      <c r="T3257" s="83" t="str">
        <f t="shared" si="350"/>
        <v/>
      </c>
      <c r="Y3257" s="60">
        <f t="shared" si="354"/>
        <v>0</v>
      </c>
      <c r="Z3257" s="49">
        <f t="shared" si="355"/>
        <v>0</v>
      </c>
      <c r="AA3257" s="60">
        <f t="shared" si="356"/>
        <v>0</v>
      </c>
    </row>
    <row r="3258" spans="1:27">
      <c r="A3258" s="83" t="str">
        <f t="shared" si="351"/>
        <v/>
      </c>
      <c r="B3258" s="83" t="str">
        <f t="shared" si="352"/>
        <v/>
      </c>
      <c r="S3258" s="83" t="str">
        <f t="shared" si="353"/>
        <v/>
      </c>
      <c r="T3258" s="83" t="str">
        <f t="shared" si="350"/>
        <v/>
      </c>
      <c r="Y3258" s="60">
        <f t="shared" si="354"/>
        <v>0</v>
      </c>
      <c r="Z3258" s="49">
        <f t="shared" si="355"/>
        <v>0</v>
      </c>
      <c r="AA3258" s="60">
        <f t="shared" si="356"/>
        <v>0</v>
      </c>
    </row>
    <row r="3259" spans="1:27">
      <c r="A3259" s="83" t="str">
        <f t="shared" si="351"/>
        <v/>
      </c>
      <c r="B3259" s="83" t="str">
        <f t="shared" si="352"/>
        <v/>
      </c>
      <c r="S3259" s="83" t="str">
        <f t="shared" si="353"/>
        <v/>
      </c>
      <c r="T3259" s="83" t="str">
        <f t="shared" si="350"/>
        <v/>
      </c>
      <c r="Y3259" s="60">
        <f t="shared" si="354"/>
        <v>0</v>
      </c>
      <c r="Z3259" s="49">
        <f t="shared" si="355"/>
        <v>0</v>
      </c>
      <c r="AA3259" s="60">
        <f t="shared" si="356"/>
        <v>0</v>
      </c>
    </row>
    <row r="3260" spans="1:27">
      <c r="A3260" s="83" t="str">
        <f t="shared" si="351"/>
        <v/>
      </c>
      <c r="B3260" s="83" t="str">
        <f t="shared" si="352"/>
        <v/>
      </c>
      <c r="S3260" s="83" t="str">
        <f t="shared" si="353"/>
        <v/>
      </c>
      <c r="T3260" s="83" t="str">
        <f t="shared" si="350"/>
        <v/>
      </c>
      <c r="Y3260" s="60">
        <f t="shared" si="354"/>
        <v>0</v>
      </c>
      <c r="Z3260" s="49">
        <f t="shared" si="355"/>
        <v>0</v>
      </c>
      <c r="AA3260" s="60">
        <f t="shared" si="356"/>
        <v>0</v>
      </c>
    </row>
    <row r="3261" spans="1:27">
      <c r="A3261" s="83" t="str">
        <f t="shared" si="351"/>
        <v/>
      </c>
      <c r="B3261" s="83" t="str">
        <f t="shared" si="352"/>
        <v/>
      </c>
      <c r="S3261" s="83" t="str">
        <f t="shared" si="353"/>
        <v/>
      </c>
      <c r="T3261" s="83" t="str">
        <f t="shared" si="350"/>
        <v/>
      </c>
      <c r="Y3261" s="60">
        <f t="shared" si="354"/>
        <v>0</v>
      </c>
      <c r="Z3261" s="49">
        <f t="shared" si="355"/>
        <v>0</v>
      </c>
      <c r="AA3261" s="60">
        <f t="shared" si="356"/>
        <v>0</v>
      </c>
    </row>
    <row r="3262" spans="1:27">
      <c r="A3262" s="83" t="str">
        <f t="shared" si="351"/>
        <v/>
      </c>
      <c r="B3262" s="83" t="str">
        <f t="shared" si="352"/>
        <v/>
      </c>
      <c r="S3262" s="83" t="str">
        <f t="shared" si="353"/>
        <v/>
      </c>
      <c r="T3262" s="83" t="str">
        <f t="shared" si="350"/>
        <v/>
      </c>
      <c r="Y3262" s="60">
        <f t="shared" si="354"/>
        <v>0</v>
      </c>
      <c r="Z3262" s="49">
        <f t="shared" si="355"/>
        <v>0</v>
      </c>
      <c r="AA3262" s="60">
        <f t="shared" si="356"/>
        <v>0</v>
      </c>
    </row>
    <row r="3263" spans="1:27">
      <c r="A3263" s="83" t="str">
        <f t="shared" si="351"/>
        <v/>
      </c>
      <c r="B3263" s="83" t="str">
        <f t="shared" si="352"/>
        <v/>
      </c>
      <c r="S3263" s="83" t="str">
        <f t="shared" si="353"/>
        <v/>
      </c>
      <c r="T3263" s="83" t="str">
        <f t="shared" si="350"/>
        <v/>
      </c>
      <c r="Y3263" s="60">
        <f t="shared" si="354"/>
        <v>0</v>
      </c>
      <c r="Z3263" s="49">
        <f t="shared" si="355"/>
        <v>0</v>
      </c>
      <c r="AA3263" s="60">
        <f t="shared" si="356"/>
        <v>0</v>
      </c>
    </row>
    <row r="3264" spans="1:27">
      <c r="A3264" s="83" t="str">
        <f t="shared" si="351"/>
        <v/>
      </c>
      <c r="B3264" s="83" t="str">
        <f t="shared" si="352"/>
        <v/>
      </c>
      <c r="S3264" s="83" t="str">
        <f t="shared" si="353"/>
        <v/>
      </c>
      <c r="T3264" s="83" t="str">
        <f t="shared" si="350"/>
        <v/>
      </c>
      <c r="Y3264" s="60">
        <f t="shared" si="354"/>
        <v>0</v>
      </c>
      <c r="Z3264" s="49">
        <f t="shared" si="355"/>
        <v>0</v>
      </c>
      <c r="AA3264" s="60">
        <f t="shared" si="356"/>
        <v>0</v>
      </c>
    </row>
    <row r="3265" spans="1:27">
      <c r="A3265" s="83" t="str">
        <f t="shared" si="351"/>
        <v/>
      </c>
      <c r="B3265" s="83" t="str">
        <f t="shared" si="352"/>
        <v/>
      </c>
      <c r="S3265" s="83" t="str">
        <f t="shared" si="353"/>
        <v/>
      </c>
      <c r="T3265" s="83" t="str">
        <f t="shared" si="350"/>
        <v/>
      </c>
      <c r="Y3265" s="60">
        <f t="shared" si="354"/>
        <v>0</v>
      </c>
      <c r="Z3265" s="49">
        <f t="shared" si="355"/>
        <v>0</v>
      </c>
      <c r="AA3265" s="60">
        <f t="shared" si="356"/>
        <v>0</v>
      </c>
    </row>
    <row r="3266" spans="1:27">
      <c r="A3266" s="83" t="str">
        <f t="shared" si="351"/>
        <v/>
      </c>
      <c r="B3266" s="83" t="str">
        <f t="shared" si="352"/>
        <v/>
      </c>
      <c r="S3266" s="83" t="str">
        <f t="shared" si="353"/>
        <v/>
      </c>
      <c r="T3266" s="83" t="str">
        <f t="shared" ref="T3266:T3329" si="357">IF(A3266&lt;&gt;"",IF(FIND(" ",G3266)&gt;=1,MID(G3266,FIND(" ",G3266)+1,LEN(G3266)),""),"")</f>
        <v/>
      </c>
      <c r="Y3266" s="60">
        <f t="shared" si="354"/>
        <v>0</v>
      </c>
      <c r="Z3266" s="49">
        <f t="shared" si="355"/>
        <v>0</v>
      </c>
      <c r="AA3266" s="60">
        <f t="shared" si="356"/>
        <v>0</v>
      </c>
    </row>
    <row r="3267" spans="1:27">
      <c r="A3267" s="83" t="str">
        <f t="shared" ref="A3267:A3330" si="358">IF(G3267&amp;Q3267&lt;&gt;"",S3267&amp;Q3267,"")</f>
        <v/>
      </c>
      <c r="B3267" s="83" t="str">
        <f t="shared" ref="B3267:B3330" si="359">IF(C3267&lt;&gt;"",LEFT(C3267,9),"")</f>
        <v/>
      </c>
      <c r="S3267" s="83" t="str">
        <f t="shared" ref="S3267:S3330" si="360">IF(G3267&lt;&gt;"",IF(FIND(" ",G3267)&gt;=1,MID(G3267,1,FIND(" ",G3267)-1),G3267),"")</f>
        <v/>
      </c>
      <c r="T3267" s="83" t="str">
        <f t="shared" si="357"/>
        <v/>
      </c>
      <c r="Y3267" s="60">
        <f t="shared" ref="Y3267:Y3330" si="361">IFERROR(VALUE(MID($C3267,1,2)),0)</f>
        <v>0</v>
      </c>
      <c r="Z3267" s="49">
        <f t="shared" ref="Z3267:Z3330" si="362">IFERROR(VALUE(MID($C3267,4,3)),0)</f>
        <v>0</v>
      </c>
      <c r="AA3267" s="60">
        <f t="shared" ref="AA3267:AA3330" si="363">VALUE(RIGHT("00"&amp;Y3267,2)&amp;RIGHT("000"&amp;Z3267,3))</f>
        <v>0</v>
      </c>
    </row>
    <row r="3268" spans="1:27">
      <c r="A3268" s="83" t="str">
        <f t="shared" si="358"/>
        <v/>
      </c>
      <c r="B3268" s="83" t="str">
        <f t="shared" si="359"/>
        <v/>
      </c>
      <c r="S3268" s="83" t="str">
        <f t="shared" si="360"/>
        <v/>
      </c>
      <c r="T3268" s="83" t="str">
        <f t="shared" si="357"/>
        <v/>
      </c>
      <c r="Y3268" s="60">
        <f t="shared" si="361"/>
        <v>0</v>
      </c>
      <c r="Z3268" s="49">
        <f t="shared" si="362"/>
        <v>0</v>
      </c>
      <c r="AA3268" s="60">
        <f t="shared" si="363"/>
        <v>0</v>
      </c>
    </row>
    <row r="3269" spans="1:27">
      <c r="A3269" s="83" t="str">
        <f t="shared" si="358"/>
        <v/>
      </c>
      <c r="B3269" s="83" t="str">
        <f t="shared" si="359"/>
        <v/>
      </c>
      <c r="S3269" s="83" t="str">
        <f t="shared" si="360"/>
        <v/>
      </c>
      <c r="T3269" s="83" t="str">
        <f t="shared" si="357"/>
        <v/>
      </c>
      <c r="Y3269" s="60">
        <f t="shared" si="361"/>
        <v>0</v>
      </c>
      <c r="Z3269" s="49">
        <f t="shared" si="362"/>
        <v>0</v>
      </c>
      <c r="AA3269" s="60">
        <f t="shared" si="363"/>
        <v>0</v>
      </c>
    </row>
    <row r="3270" spans="1:27">
      <c r="A3270" s="83" t="str">
        <f t="shared" si="358"/>
        <v/>
      </c>
      <c r="B3270" s="83" t="str">
        <f t="shared" si="359"/>
        <v/>
      </c>
      <c r="S3270" s="83" t="str">
        <f t="shared" si="360"/>
        <v/>
      </c>
      <c r="T3270" s="83" t="str">
        <f t="shared" si="357"/>
        <v/>
      </c>
      <c r="Y3270" s="60">
        <f t="shared" si="361"/>
        <v>0</v>
      </c>
      <c r="Z3270" s="49">
        <f t="shared" si="362"/>
        <v>0</v>
      </c>
      <c r="AA3270" s="60">
        <f t="shared" si="363"/>
        <v>0</v>
      </c>
    </row>
    <row r="3271" spans="1:27">
      <c r="A3271" s="83" t="str">
        <f t="shared" si="358"/>
        <v/>
      </c>
      <c r="B3271" s="83" t="str">
        <f t="shared" si="359"/>
        <v/>
      </c>
      <c r="S3271" s="83" t="str">
        <f t="shared" si="360"/>
        <v/>
      </c>
      <c r="T3271" s="83" t="str">
        <f t="shared" si="357"/>
        <v/>
      </c>
      <c r="Y3271" s="60">
        <f t="shared" si="361"/>
        <v>0</v>
      </c>
      <c r="Z3271" s="49">
        <f t="shared" si="362"/>
        <v>0</v>
      </c>
      <c r="AA3271" s="60">
        <f t="shared" si="363"/>
        <v>0</v>
      </c>
    </row>
    <row r="3272" spans="1:27">
      <c r="A3272" s="83" t="str">
        <f t="shared" si="358"/>
        <v/>
      </c>
      <c r="B3272" s="83" t="str">
        <f t="shared" si="359"/>
        <v/>
      </c>
      <c r="S3272" s="83" t="str">
        <f t="shared" si="360"/>
        <v/>
      </c>
      <c r="T3272" s="83" t="str">
        <f t="shared" si="357"/>
        <v/>
      </c>
      <c r="Y3272" s="60">
        <f t="shared" si="361"/>
        <v>0</v>
      </c>
      <c r="Z3272" s="49">
        <f t="shared" si="362"/>
        <v>0</v>
      </c>
      <c r="AA3272" s="60">
        <f t="shared" si="363"/>
        <v>0</v>
      </c>
    </row>
    <row r="3273" spans="1:27">
      <c r="A3273" s="83" t="str">
        <f t="shared" si="358"/>
        <v/>
      </c>
      <c r="B3273" s="83" t="str">
        <f t="shared" si="359"/>
        <v/>
      </c>
      <c r="S3273" s="83" t="str">
        <f t="shared" si="360"/>
        <v/>
      </c>
      <c r="T3273" s="83" t="str">
        <f t="shared" si="357"/>
        <v/>
      </c>
      <c r="Y3273" s="60">
        <f t="shared" si="361"/>
        <v>0</v>
      </c>
      <c r="Z3273" s="49">
        <f t="shared" si="362"/>
        <v>0</v>
      </c>
      <c r="AA3273" s="60">
        <f t="shared" si="363"/>
        <v>0</v>
      </c>
    </row>
    <row r="3274" spans="1:27">
      <c r="A3274" s="83" t="str">
        <f t="shared" si="358"/>
        <v/>
      </c>
      <c r="B3274" s="83" t="str">
        <f t="shared" si="359"/>
        <v/>
      </c>
      <c r="S3274" s="83" t="str">
        <f t="shared" si="360"/>
        <v/>
      </c>
      <c r="T3274" s="83" t="str">
        <f t="shared" si="357"/>
        <v/>
      </c>
      <c r="Y3274" s="60">
        <f t="shared" si="361"/>
        <v>0</v>
      </c>
      <c r="Z3274" s="49">
        <f t="shared" si="362"/>
        <v>0</v>
      </c>
      <c r="AA3274" s="60">
        <f t="shared" si="363"/>
        <v>0</v>
      </c>
    </row>
    <row r="3275" spans="1:27">
      <c r="A3275" s="83" t="str">
        <f t="shared" si="358"/>
        <v/>
      </c>
      <c r="B3275" s="83" t="str">
        <f t="shared" si="359"/>
        <v/>
      </c>
      <c r="S3275" s="83" t="str">
        <f t="shared" si="360"/>
        <v/>
      </c>
      <c r="T3275" s="83" t="str">
        <f t="shared" si="357"/>
        <v/>
      </c>
      <c r="Y3275" s="60">
        <f t="shared" si="361"/>
        <v>0</v>
      </c>
      <c r="Z3275" s="49">
        <f t="shared" si="362"/>
        <v>0</v>
      </c>
      <c r="AA3275" s="60">
        <f t="shared" si="363"/>
        <v>0</v>
      </c>
    </row>
    <row r="3276" spans="1:27">
      <c r="A3276" s="83" t="str">
        <f t="shared" si="358"/>
        <v/>
      </c>
      <c r="B3276" s="83" t="str">
        <f t="shared" si="359"/>
        <v/>
      </c>
      <c r="S3276" s="83" t="str">
        <f t="shared" si="360"/>
        <v/>
      </c>
      <c r="T3276" s="83" t="str">
        <f t="shared" si="357"/>
        <v/>
      </c>
      <c r="Y3276" s="60">
        <f t="shared" si="361"/>
        <v>0</v>
      </c>
      <c r="Z3276" s="49">
        <f t="shared" si="362"/>
        <v>0</v>
      </c>
      <c r="AA3276" s="60">
        <f t="shared" si="363"/>
        <v>0</v>
      </c>
    </row>
    <row r="3277" spans="1:27">
      <c r="A3277" s="83" t="str">
        <f t="shared" si="358"/>
        <v/>
      </c>
      <c r="B3277" s="83" t="str">
        <f t="shared" si="359"/>
        <v/>
      </c>
      <c r="S3277" s="83" t="str">
        <f t="shared" si="360"/>
        <v/>
      </c>
      <c r="T3277" s="83" t="str">
        <f t="shared" si="357"/>
        <v/>
      </c>
      <c r="Y3277" s="60">
        <f t="shared" si="361"/>
        <v>0</v>
      </c>
      <c r="Z3277" s="49">
        <f t="shared" si="362"/>
        <v>0</v>
      </c>
      <c r="AA3277" s="60">
        <f t="shared" si="363"/>
        <v>0</v>
      </c>
    </row>
    <row r="3278" spans="1:27">
      <c r="A3278" s="83" t="str">
        <f t="shared" si="358"/>
        <v/>
      </c>
      <c r="B3278" s="83" t="str">
        <f t="shared" si="359"/>
        <v/>
      </c>
      <c r="S3278" s="83" t="str">
        <f t="shared" si="360"/>
        <v/>
      </c>
      <c r="T3278" s="83" t="str">
        <f t="shared" si="357"/>
        <v/>
      </c>
      <c r="Y3278" s="60">
        <f t="shared" si="361"/>
        <v>0</v>
      </c>
      <c r="Z3278" s="49">
        <f t="shared" si="362"/>
        <v>0</v>
      </c>
      <c r="AA3278" s="60">
        <f t="shared" si="363"/>
        <v>0</v>
      </c>
    </row>
    <row r="3279" spans="1:27">
      <c r="A3279" s="83" t="str">
        <f t="shared" si="358"/>
        <v/>
      </c>
      <c r="B3279" s="83" t="str">
        <f t="shared" si="359"/>
        <v/>
      </c>
      <c r="S3279" s="83" t="str">
        <f t="shared" si="360"/>
        <v/>
      </c>
      <c r="T3279" s="83" t="str">
        <f t="shared" si="357"/>
        <v/>
      </c>
      <c r="Y3279" s="60">
        <f t="shared" si="361"/>
        <v>0</v>
      </c>
      <c r="Z3279" s="49">
        <f t="shared" si="362"/>
        <v>0</v>
      </c>
      <c r="AA3279" s="60">
        <f t="shared" si="363"/>
        <v>0</v>
      </c>
    </row>
    <row r="3280" spans="1:27">
      <c r="A3280" s="83" t="str">
        <f t="shared" si="358"/>
        <v/>
      </c>
      <c r="B3280" s="83" t="str">
        <f t="shared" si="359"/>
        <v/>
      </c>
      <c r="S3280" s="83" t="str">
        <f t="shared" si="360"/>
        <v/>
      </c>
      <c r="T3280" s="83" t="str">
        <f t="shared" si="357"/>
        <v/>
      </c>
      <c r="Y3280" s="60">
        <f t="shared" si="361"/>
        <v>0</v>
      </c>
      <c r="Z3280" s="49">
        <f t="shared" si="362"/>
        <v>0</v>
      </c>
      <c r="AA3280" s="60">
        <f t="shared" si="363"/>
        <v>0</v>
      </c>
    </row>
    <row r="3281" spans="1:27">
      <c r="A3281" s="83" t="str">
        <f t="shared" si="358"/>
        <v/>
      </c>
      <c r="B3281" s="83" t="str">
        <f t="shared" si="359"/>
        <v/>
      </c>
      <c r="S3281" s="83" t="str">
        <f t="shared" si="360"/>
        <v/>
      </c>
      <c r="T3281" s="83" t="str">
        <f t="shared" si="357"/>
        <v/>
      </c>
      <c r="Y3281" s="60">
        <f t="shared" si="361"/>
        <v>0</v>
      </c>
      <c r="Z3281" s="49">
        <f t="shared" si="362"/>
        <v>0</v>
      </c>
      <c r="AA3281" s="60">
        <f t="shared" si="363"/>
        <v>0</v>
      </c>
    </row>
    <row r="3282" spans="1:27">
      <c r="A3282" s="83" t="str">
        <f t="shared" si="358"/>
        <v/>
      </c>
      <c r="B3282" s="83" t="str">
        <f t="shared" si="359"/>
        <v/>
      </c>
      <c r="S3282" s="83" t="str">
        <f t="shared" si="360"/>
        <v/>
      </c>
      <c r="T3282" s="83" t="str">
        <f t="shared" si="357"/>
        <v/>
      </c>
      <c r="Y3282" s="60">
        <f t="shared" si="361"/>
        <v>0</v>
      </c>
      <c r="Z3282" s="49">
        <f t="shared" si="362"/>
        <v>0</v>
      </c>
      <c r="AA3282" s="60">
        <f t="shared" si="363"/>
        <v>0</v>
      </c>
    </row>
    <row r="3283" spans="1:27">
      <c r="A3283" s="83" t="str">
        <f t="shared" si="358"/>
        <v/>
      </c>
      <c r="B3283" s="83" t="str">
        <f t="shared" si="359"/>
        <v/>
      </c>
      <c r="S3283" s="83" t="str">
        <f t="shared" si="360"/>
        <v/>
      </c>
      <c r="T3283" s="83" t="str">
        <f t="shared" si="357"/>
        <v/>
      </c>
      <c r="Y3283" s="60">
        <f t="shared" si="361"/>
        <v>0</v>
      </c>
      <c r="Z3283" s="49">
        <f t="shared" si="362"/>
        <v>0</v>
      </c>
      <c r="AA3283" s="60">
        <f t="shared" si="363"/>
        <v>0</v>
      </c>
    </row>
    <row r="3284" spans="1:27">
      <c r="A3284" s="83" t="str">
        <f t="shared" si="358"/>
        <v/>
      </c>
      <c r="B3284" s="83" t="str">
        <f t="shared" si="359"/>
        <v/>
      </c>
      <c r="S3284" s="83" t="str">
        <f t="shared" si="360"/>
        <v/>
      </c>
      <c r="T3284" s="83" t="str">
        <f t="shared" si="357"/>
        <v/>
      </c>
      <c r="Y3284" s="60">
        <f t="shared" si="361"/>
        <v>0</v>
      </c>
      <c r="Z3284" s="49">
        <f t="shared" si="362"/>
        <v>0</v>
      </c>
      <c r="AA3284" s="60">
        <f t="shared" si="363"/>
        <v>0</v>
      </c>
    </row>
    <row r="3285" spans="1:27">
      <c r="A3285" s="83" t="str">
        <f t="shared" si="358"/>
        <v/>
      </c>
      <c r="B3285" s="83" t="str">
        <f t="shared" si="359"/>
        <v/>
      </c>
      <c r="S3285" s="83" t="str">
        <f t="shared" si="360"/>
        <v/>
      </c>
      <c r="T3285" s="83" t="str">
        <f t="shared" si="357"/>
        <v/>
      </c>
      <c r="Y3285" s="60">
        <f t="shared" si="361"/>
        <v>0</v>
      </c>
      <c r="Z3285" s="49">
        <f t="shared" si="362"/>
        <v>0</v>
      </c>
      <c r="AA3285" s="60">
        <f t="shared" si="363"/>
        <v>0</v>
      </c>
    </row>
    <row r="3286" spans="1:27">
      <c r="A3286" s="83" t="str">
        <f t="shared" si="358"/>
        <v/>
      </c>
      <c r="B3286" s="83" t="str">
        <f t="shared" si="359"/>
        <v/>
      </c>
      <c r="S3286" s="83" t="str">
        <f t="shared" si="360"/>
        <v/>
      </c>
      <c r="T3286" s="83" t="str">
        <f t="shared" si="357"/>
        <v/>
      </c>
      <c r="Y3286" s="60">
        <f t="shared" si="361"/>
        <v>0</v>
      </c>
      <c r="Z3286" s="49">
        <f t="shared" si="362"/>
        <v>0</v>
      </c>
      <c r="AA3286" s="60">
        <f t="shared" si="363"/>
        <v>0</v>
      </c>
    </row>
    <row r="3287" spans="1:27">
      <c r="A3287" s="83" t="str">
        <f t="shared" si="358"/>
        <v/>
      </c>
      <c r="B3287" s="83" t="str">
        <f t="shared" si="359"/>
        <v/>
      </c>
      <c r="S3287" s="83" t="str">
        <f t="shared" si="360"/>
        <v/>
      </c>
      <c r="T3287" s="83" t="str">
        <f t="shared" si="357"/>
        <v/>
      </c>
      <c r="Y3287" s="60">
        <f t="shared" si="361"/>
        <v>0</v>
      </c>
      <c r="Z3287" s="49">
        <f t="shared" si="362"/>
        <v>0</v>
      </c>
      <c r="AA3287" s="60">
        <f t="shared" si="363"/>
        <v>0</v>
      </c>
    </row>
    <row r="3288" spans="1:27">
      <c r="A3288" s="83" t="str">
        <f t="shared" si="358"/>
        <v/>
      </c>
      <c r="B3288" s="83" t="str">
        <f t="shared" si="359"/>
        <v/>
      </c>
      <c r="S3288" s="83" t="str">
        <f t="shared" si="360"/>
        <v/>
      </c>
      <c r="T3288" s="83" t="str">
        <f t="shared" si="357"/>
        <v/>
      </c>
      <c r="Y3288" s="60">
        <f t="shared" si="361"/>
        <v>0</v>
      </c>
      <c r="Z3288" s="49">
        <f t="shared" si="362"/>
        <v>0</v>
      </c>
      <c r="AA3288" s="60">
        <f t="shared" si="363"/>
        <v>0</v>
      </c>
    </row>
    <row r="3289" spans="1:27">
      <c r="A3289" s="83" t="str">
        <f t="shared" si="358"/>
        <v/>
      </c>
      <c r="B3289" s="83" t="str">
        <f t="shared" si="359"/>
        <v/>
      </c>
      <c r="S3289" s="83" t="str">
        <f t="shared" si="360"/>
        <v/>
      </c>
      <c r="T3289" s="83" t="str">
        <f t="shared" si="357"/>
        <v/>
      </c>
      <c r="Y3289" s="60">
        <f t="shared" si="361"/>
        <v>0</v>
      </c>
      <c r="Z3289" s="49">
        <f t="shared" si="362"/>
        <v>0</v>
      </c>
      <c r="AA3289" s="60">
        <f t="shared" si="363"/>
        <v>0</v>
      </c>
    </row>
    <row r="3290" spans="1:27">
      <c r="A3290" s="83" t="str">
        <f t="shared" si="358"/>
        <v/>
      </c>
      <c r="B3290" s="83" t="str">
        <f t="shared" si="359"/>
        <v/>
      </c>
      <c r="S3290" s="83" t="str">
        <f t="shared" si="360"/>
        <v/>
      </c>
      <c r="T3290" s="83" t="str">
        <f t="shared" si="357"/>
        <v/>
      </c>
      <c r="Y3290" s="60">
        <f t="shared" si="361"/>
        <v>0</v>
      </c>
      <c r="Z3290" s="49">
        <f t="shared" si="362"/>
        <v>0</v>
      </c>
      <c r="AA3290" s="60">
        <f t="shared" si="363"/>
        <v>0</v>
      </c>
    </row>
    <row r="3291" spans="1:27">
      <c r="A3291" s="83" t="str">
        <f t="shared" si="358"/>
        <v/>
      </c>
      <c r="B3291" s="83" t="str">
        <f t="shared" si="359"/>
        <v/>
      </c>
      <c r="S3291" s="83" t="str">
        <f t="shared" si="360"/>
        <v/>
      </c>
      <c r="T3291" s="83" t="str">
        <f t="shared" si="357"/>
        <v/>
      </c>
      <c r="Y3291" s="60">
        <f t="shared" si="361"/>
        <v>0</v>
      </c>
      <c r="Z3291" s="49">
        <f t="shared" si="362"/>
        <v>0</v>
      </c>
      <c r="AA3291" s="60">
        <f t="shared" si="363"/>
        <v>0</v>
      </c>
    </row>
    <row r="3292" spans="1:27">
      <c r="A3292" s="83" t="str">
        <f t="shared" si="358"/>
        <v/>
      </c>
      <c r="B3292" s="83" t="str">
        <f t="shared" si="359"/>
        <v/>
      </c>
      <c r="S3292" s="83" t="str">
        <f t="shared" si="360"/>
        <v/>
      </c>
      <c r="T3292" s="83" t="str">
        <f t="shared" si="357"/>
        <v/>
      </c>
      <c r="Y3292" s="60">
        <f t="shared" si="361"/>
        <v>0</v>
      </c>
      <c r="Z3292" s="49">
        <f t="shared" si="362"/>
        <v>0</v>
      </c>
      <c r="AA3292" s="60">
        <f t="shared" si="363"/>
        <v>0</v>
      </c>
    </row>
    <row r="3293" spans="1:27">
      <c r="A3293" s="83" t="str">
        <f t="shared" si="358"/>
        <v/>
      </c>
      <c r="B3293" s="83" t="str">
        <f t="shared" si="359"/>
        <v/>
      </c>
      <c r="S3293" s="83" t="str">
        <f t="shared" si="360"/>
        <v/>
      </c>
      <c r="T3293" s="83" t="str">
        <f t="shared" si="357"/>
        <v/>
      </c>
      <c r="Y3293" s="60">
        <f t="shared" si="361"/>
        <v>0</v>
      </c>
      <c r="Z3293" s="49">
        <f t="shared" si="362"/>
        <v>0</v>
      </c>
      <c r="AA3293" s="60">
        <f t="shared" si="363"/>
        <v>0</v>
      </c>
    </row>
    <row r="3294" spans="1:27">
      <c r="A3294" s="83" t="str">
        <f t="shared" si="358"/>
        <v/>
      </c>
      <c r="B3294" s="83" t="str">
        <f t="shared" si="359"/>
        <v/>
      </c>
      <c r="S3294" s="83" t="str">
        <f t="shared" si="360"/>
        <v/>
      </c>
      <c r="T3294" s="83" t="str">
        <f t="shared" si="357"/>
        <v/>
      </c>
      <c r="Y3294" s="60">
        <f t="shared" si="361"/>
        <v>0</v>
      </c>
      <c r="Z3294" s="49">
        <f t="shared" si="362"/>
        <v>0</v>
      </c>
      <c r="AA3294" s="60">
        <f t="shared" si="363"/>
        <v>0</v>
      </c>
    </row>
    <row r="3295" spans="1:27">
      <c r="A3295" s="83" t="str">
        <f t="shared" si="358"/>
        <v/>
      </c>
      <c r="B3295" s="83" t="str">
        <f t="shared" si="359"/>
        <v/>
      </c>
      <c r="S3295" s="83" t="str">
        <f t="shared" si="360"/>
        <v/>
      </c>
      <c r="T3295" s="83" t="str">
        <f t="shared" si="357"/>
        <v/>
      </c>
      <c r="Y3295" s="60">
        <f t="shared" si="361"/>
        <v>0</v>
      </c>
      <c r="Z3295" s="49">
        <f t="shared" si="362"/>
        <v>0</v>
      </c>
      <c r="AA3295" s="60">
        <f t="shared" si="363"/>
        <v>0</v>
      </c>
    </row>
    <row r="3296" spans="1:27">
      <c r="A3296" s="83" t="str">
        <f t="shared" si="358"/>
        <v/>
      </c>
      <c r="B3296" s="83" t="str">
        <f t="shared" si="359"/>
        <v/>
      </c>
      <c r="S3296" s="83" t="str">
        <f t="shared" si="360"/>
        <v/>
      </c>
      <c r="T3296" s="83" t="str">
        <f t="shared" si="357"/>
        <v/>
      </c>
      <c r="Y3296" s="60">
        <f t="shared" si="361"/>
        <v>0</v>
      </c>
      <c r="Z3296" s="49">
        <f t="shared" si="362"/>
        <v>0</v>
      </c>
      <c r="AA3296" s="60">
        <f t="shared" si="363"/>
        <v>0</v>
      </c>
    </row>
    <row r="3297" spans="1:27">
      <c r="A3297" s="83" t="str">
        <f t="shared" si="358"/>
        <v/>
      </c>
      <c r="B3297" s="83" t="str">
        <f t="shared" si="359"/>
        <v/>
      </c>
      <c r="S3297" s="83" t="str">
        <f t="shared" si="360"/>
        <v/>
      </c>
      <c r="T3297" s="83" t="str">
        <f t="shared" si="357"/>
        <v/>
      </c>
      <c r="Y3297" s="60">
        <f t="shared" si="361"/>
        <v>0</v>
      </c>
      <c r="Z3297" s="49">
        <f t="shared" si="362"/>
        <v>0</v>
      </c>
      <c r="AA3297" s="60">
        <f t="shared" si="363"/>
        <v>0</v>
      </c>
    </row>
    <row r="3298" spans="1:27">
      <c r="A3298" s="83" t="str">
        <f t="shared" si="358"/>
        <v/>
      </c>
      <c r="B3298" s="83" t="str">
        <f t="shared" si="359"/>
        <v/>
      </c>
      <c r="S3298" s="83" t="str">
        <f t="shared" si="360"/>
        <v/>
      </c>
      <c r="T3298" s="83" t="str">
        <f t="shared" si="357"/>
        <v/>
      </c>
      <c r="Y3298" s="60">
        <f t="shared" si="361"/>
        <v>0</v>
      </c>
      <c r="Z3298" s="49">
        <f t="shared" si="362"/>
        <v>0</v>
      </c>
      <c r="AA3298" s="60">
        <f t="shared" si="363"/>
        <v>0</v>
      </c>
    </row>
    <row r="3299" spans="1:27">
      <c r="A3299" s="83" t="str">
        <f t="shared" si="358"/>
        <v/>
      </c>
      <c r="B3299" s="83" t="str">
        <f t="shared" si="359"/>
        <v/>
      </c>
      <c r="S3299" s="83" t="str">
        <f t="shared" si="360"/>
        <v/>
      </c>
      <c r="T3299" s="83" t="str">
        <f t="shared" si="357"/>
        <v/>
      </c>
      <c r="Y3299" s="60">
        <f t="shared" si="361"/>
        <v>0</v>
      </c>
      <c r="Z3299" s="49">
        <f t="shared" si="362"/>
        <v>0</v>
      </c>
      <c r="AA3299" s="60">
        <f t="shared" si="363"/>
        <v>0</v>
      </c>
    </row>
    <row r="3300" spans="1:27">
      <c r="A3300" s="83" t="str">
        <f t="shared" si="358"/>
        <v/>
      </c>
      <c r="B3300" s="83" t="str">
        <f t="shared" si="359"/>
        <v/>
      </c>
      <c r="S3300" s="83" t="str">
        <f t="shared" si="360"/>
        <v/>
      </c>
      <c r="T3300" s="83" t="str">
        <f t="shared" si="357"/>
        <v/>
      </c>
      <c r="Y3300" s="60">
        <f t="shared" si="361"/>
        <v>0</v>
      </c>
      <c r="Z3300" s="49">
        <f t="shared" si="362"/>
        <v>0</v>
      </c>
      <c r="AA3300" s="60">
        <f t="shared" si="363"/>
        <v>0</v>
      </c>
    </row>
    <row r="3301" spans="1:27">
      <c r="A3301" s="83" t="str">
        <f t="shared" si="358"/>
        <v/>
      </c>
      <c r="B3301" s="83" t="str">
        <f t="shared" si="359"/>
        <v/>
      </c>
      <c r="S3301" s="83" t="str">
        <f t="shared" si="360"/>
        <v/>
      </c>
      <c r="T3301" s="83" t="str">
        <f t="shared" si="357"/>
        <v/>
      </c>
      <c r="Y3301" s="60">
        <f t="shared" si="361"/>
        <v>0</v>
      </c>
      <c r="Z3301" s="49">
        <f t="shared" si="362"/>
        <v>0</v>
      </c>
      <c r="AA3301" s="60">
        <f t="shared" si="363"/>
        <v>0</v>
      </c>
    </row>
    <row r="3302" spans="1:27">
      <c r="A3302" s="83" t="str">
        <f t="shared" si="358"/>
        <v/>
      </c>
      <c r="B3302" s="83" t="str">
        <f t="shared" si="359"/>
        <v/>
      </c>
      <c r="S3302" s="83" t="str">
        <f t="shared" si="360"/>
        <v/>
      </c>
      <c r="T3302" s="83" t="str">
        <f t="shared" si="357"/>
        <v/>
      </c>
      <c r="Y3302" s="60">
        <f t="shared" si="361"/>
        <v>0</v>
      </c>
      <c r="Z3302" s="49">
        <f t="shared" si="362"/>
        <v>0</v>
      </c>
      <c r="AA3302" s="60">
        <f t="shared" si="363"/>
        <v>0</v>
      </c>
    </row>
    <row r="3303" spans="1:27">
      <c r="A3303" s="83" t="str">
        <f t="shared" si="358"/>
        <v/>
      </c>
      <c r="B3303" s="83" t="str">
        <f t="shared" si="359"/>
        <v/>
      </c>
      <c r="S3303" s="83" t="str">
        <f t="shared" si="360"/>
        <v/>
      </c>
      <c r="T3303" s="83" t="str">
        <f t="shared" si="357"/>
        <v/>
      </c>
      <c r="Y3303" s="60">
        <f t="shared" si="361"/>
        <v>0</v>
      </c>
      <c r="Z3303" s="49">
        <f t="shared" si="362"/>
        <v>0</v>
      </c>
      <c r="AA3303" s="60">
        <f t="shared" si="363"/>
        <v>0</v>
      </c>
    </row>
    <row r="3304" spans="1:27">
      <c r="A3304" s="83" t="str">
        <f t="shared" si="358"/>
        <v/>
      </c>
      <c r="B3304" s="83" t="str">
        <f t="shared" si="359"/>
        <v/>
      </c>
      <c r="S3304" s="83" t="str">
        <f t="shared" si="360"/>
        <v/>
      </c>
      <c r="T3304" s="83" t="str">
        <f t="shared" si="357"/>
        <v/>
      </c>
      <c r="Y3304" s="60">
        <f t="shared" si="361"/>
        <v>0</v>
      </c>
      <c r="Z3304" s="49">
        <f t="shared" si="362"/>
        <v>0</v>
      </c>
      <c r="AA3304" s="60">
        <f t="shared" si="363"/>
        <v>0</v>
      </c>
    </row>
    <row r="3305" spans="1:27">
      <c r="A3305" s="83" t="str">
        <f t="shared" si="358"/>
        <v/>
      </c>
      <c r="B3305" s="83" t="str">
        <f t="shared" si="359"/>
        <v/>
      </c>
      <c r="S3305" s="83" t="str">
        <f t="shared" si="360"/>
        <v/>
      </c>
      <c r="T3305" s="83" t="str">
        <f t="shared" si="357"/>
        <v/>
      </c>
      <c r="Y3305" s="60">
        <f t="shared" si="361"/>
        <v>0</v>
      </c>
      <c r="Z3305" s="49">
        <f t="shared" si="362"/>
        <v>0</v>
      </c>
      <c r="AA3305" s="60">
        <f t="shared" si="363"/>
        <v>0</v>
      </c>
    </row>
    <row r="3306" spans="1:27">
      <c r="A3306" s="83" t="str">
        <f t="shared" si="358"/>
        <v/>
      </c>
      <c r="B3306" s="83" t="str">
        <f t="shared" si="359"/>
        <v/>
      </c>
      <c r="S3306" s="83" t="str">
        <f t="shared" si="360"/>
        <v/>
      </c>
      <c r="T3306" s="83" t="str">
        <f t="shared" si="357"/>
        <v/>
      </c>
      <c r="Y3306" s="60">
        <f t="shared" si="361"/>
        <v>0</v>
      </c>
      <c r="Z3306" s="49">
        <f t="shared" si="362"/>
        <v>0</v>
      </c>
      <c r="AA3306" s="60">
        <f t="shared" si="363"/>
        <v>0</v>
      </c>
    </row>
    <row r="3307" spans="1:27">
      <c r="A3307" s="83" t="str">
        <f t="shared" si="358"/>
        <v/>
      </c>
      <c r="B3307" s="83" t="str">
        <f t="shared" si="359"/>
        <v/>
      </c>
      <c r="S3307" s="83" t="str">
        <f t="shared" si="360"/>
        <v/>
      </c>
      <c r="T3307" s="83" t="str">
        <f t="shared" si="357"/>
        <v/>
      </c>
      <c r="Y3307" s="60">
        <f t="shared" si="361"/>
        <v>0</v>
      </c>
      <c r="Z3307" s="49">
        <f t="shared" si="362"/>
        <v>0</v>
      </c>
      <c r="AA3307" s="60">
        <f t="shared" si="363"/>
        <v>0</v>
      </c>
    </row>
    <row r="3308" spans="1:27">
      <c r="A3308" s="83" t="str">
        <f t="shared" si="358"/>
        <v/>
      </c>
      <c r="B3308" s="83" t="str">
        <f t="shared" si="359"/>
        <v/>
      </c>
      <c r="S3308" s="83" t="str">
        <f t="shared" si="360"/>
        <v/>
      </c>
      <c r="T3308" s="83" t="str">
        <f t="shared" si="357"/>
        <v/>
      </c>
      <c r="Y3308" s="60">
        <f t="shared" si="361"/>
        <v>0</v>
      </c>
      <c r="Z3308" s="49">
        <f t="shared" si="362"/>
        <v>0</v>
      </c>
      <c r="AA3308" s="60">
        <f t="shared" si="363"/>
        <v>0</v>
      </c>
    </row>
    <row r="3309" spans="1:27">
      <c r="A3309" s="83" t="str">
        <f t="shared" si="358"/>
        <v/>
      </c>
      <c r="B3309" s="83" t="str">
        <f t="shared" si="359"/>
        <v/>
      </c>
      <c r="S3309" s="83" t="str">
        <f t="shared" si="360"/>
        <v/>
      </c>
      <c r="T3309" s="83" t="str">
        <f t="shared" si="357"/>
        <v/>
      </c>
      <c r="Y3309" s="60">
        <f t="shared" si="361"/>
        <v>0</v>
      </c>
      <c r="Z3309" s="49">
        <f t="shared" si="362"/>
        <v>0</v>
      </c>
      <c r="AA3309" s="60">
        <f t="shared" si="363"/>
        <v>0</v>
      </c>
    </row>
    <row r="3310" spans="1:27">
      <c r="A3310" s="83" t="str">
        <f t="shared" si="358"/>
        <v/>
      </c>
      <c r="B3310" s="83" t="str">
        <f t="shared" si="359"/>
        <v/>
      </c>
      <c r="S3310" s="83" t="str">
        <f t="shared" si="360"/>
        <v/>
      </c>
      <c r="T3310" s="83" t="str">
        <f t="shared" si="357"/>
        <v/>
      </c>
      <c r="Y3310" s="60">
        <f t="shared" si="361"/>
        <v>0</v>
      </c>
      <c r="Z3310" s="49">
        <f t="shared" si="362"/>
        <v>0</v>
      </c>
      <c r="AA3310" s="60">
        <f t="shared" si="363"/>
        <v>0</v>
      </c>
    </row>
    <row r="3311" spans="1:27">
      <c r="A3311" s="83" t="str">
        <f t="shared" si="358"/>
        <v/>
      </c>
      <c r="B3311" s="83" t="str">
        <f t="shared" si="359"/>
        <v/>
      </c>
      <c r="S3311" s="83" t="str">
        <f t="shared" si="360"/>
        <v/>
      </c>
      <c r="T3311" s="83" t="str">
        <f t="shared" si="357"/>
        <v/>
      </c>
      <c r="Y3311" s="60">
        <f t="shared" si="361"/>
        <v>0</v>
      </c>
      <c r="Z3311" s="49">
        <f t="shared" si="362"/>
        <v>0</v>
      </c>
      <c r="AA3311" s="60">
        <f t="shared" si="363"/>
        <v>0</v>
      </c>
    </row>
    <row r="3312" spans="1:27">
      <c r="A3312" s="83" t="str">
        <f t="shared" si="358"/>
        <v/>
      </c>
      <c r="B3312" s="83" t="str">
        <f t="shared" si="359"/>
        <v/>
      </c>
      <c r="S3312" s="83" t="str">
        <f t="shared" si="360"/>
        <v/>
      </c>
      <c r="T3312" s="83" t="str">
        <f t="shared" si="357"/>
        <v/>
      </c>
      <c r="Y3312" s="60">
        <f t="shared" si="361"/>
        <v>0</v>
      </c>
      <c r="Z3312" s="49">
        <f t="shared" si="362"/>
        <v>0</v>
      </c>
      <c r="AA3312" s="60">
        <f t="shared" si="363"/>
        <v>0</v>
      </c>
    </row>
    <row r="3313" spans="1:27">
      <c r="A3313" s="83" t="str">
        <f t="shared" si="358"/>
        <v/>
      </c>
      <c r="B3313" s="83" t="str">
        <f t="shared" si="359"/>
        <v/>
      </c>
      <c r="S3313" s="83" t="str">
        <f t="shared" si="360"/>
        <v/>
      </c>
      <c r="T3313" s="83" t="str">
        <f t="shared" si="357"/>
        <v/>
      </c>
      <c r="Y3313" s="60">
        <f t="shared" si="361"/>
        <v>0</v>
      </c>
      <c r="Z3313" s="49">
        <f t="shared" si="362"/>
        <v>0</v>
      </c>
      <c r="AA3313" s="60">
        <f t="shared" si="363"/>
        <v>0</v>
      </c>
    </row>
    <row r="3314" spans="1:27">
      <c r="A3314" s="83" t="str">
        <f t="shared" si="358"/>
        <v/>
      </c>
      <c r="B3314" s="83" t="str">
        <f t="shared" si="359"/>
        <v/>
      </c>
      <c r="S3314" s="83" t="str">
        <f t="shared" si="360"/>
        <v/>
      </c>
      <c r="T3314" s="83" t="str">
        <f t="shared" si="357"/>
        <v/>
      </c>
      <c r="Y3314" s="60">
        <f t="shared" si="361"/>
        <v>0</v>
      </c>
      <c r="Z3314" s="49">
        <f t="shared" si="362"/>
        <v>0</v>
      </c>
      <c r="AA3314" s="60">
        <f t="shared" si="363"/>
        <v>0</v>
      </c>
    </row>
    <row r="3315" spans="1:27">
      <c r="A3315" s="83" t="str">
        <f t="shared" si="358"/>
        <v/>
      </c>
      <c r="B3315" s="83" t="str">
        <f t="shared" si="359"/>
        <v/>
      </c>
      <c r="S3315" s="83" t="str">
        <f t="shared" si="360"/>
        <v/>
      </c>
      <c r="T3315" s="83" t="str">
        <f t="shared" si="357"/>
        <v/>
      </c>
      <c r="Y3315" s="60">
        <f t="shared" si="361"/>
        <v>0</v>
      </c>
      <c r="Z3315" s="49">
        <f t="shared" si="362"/>
        <v>0</v>
      </c>
      <c r="AA3315" s="60">
        <f t="shared" si="363"/>
        <v>0</v>
      </c>
    </row>
    <row r="3316" spans="1:27">
      <c r="A3316" s="83" t="str">
        <f t="shared" si="358"/>
        <v/>
      </c>
      <c r="B3316" s="83" t="str">
        <f t="shared" si="359"/>
        <v/>
      </c>
      <c r="S3316" s="83" t="str">
        <f t="shared" si="360"/>
        <v/>
      </c>
      <c r="T3316" s="83" t="str">
        <f t="shared" si="357"/>
        <v/>
      </c>
      <c r="Y3316" s="60">
        <f t="shared" si="361"/>
        <v>0</v>
      </c>
      <c r="Z3316" s="49">
        <f t="shared" si="362"/>
        <v>0</v>
      </c>
      <c r="AA3316" s="60">
        <f t="shared" si="363"/>
        <v>0</v>
      </c>
    </row>
    <row r="3317" spans="1:27">
      <c r="A3317" s="83" t="str">
        <f t="shared" si="358"/>
        <v/>
      </c>
      <c r="B3317" s="83" t="str">
        <f t="shared" si="359"/>
        <v/>
      </c>
      <c r="S3317" s="83" t="str">
        <f t="shared" si="360"/>
        <v/>
      </c>
      <c r="T3317" s="83" t="str">
        <f t="shared" si="357"/>
        <v/>
      </c>
      <c r="Y3317" s="60">
        <f t="shared" si="361"/>
        <v>0</v>
      </c>
      <c r="Z3317" s="49">
        <f t="shared" si="362"/>
        <v>0</v>
      </c>
      <c r="AA3317" s="60">
        <f t="shared" si="363"/>
        <v>0</v>
      </c>
    </row>
    <row r="3318" spans="1:27">
      <c r="A3318" s="83" t="str">
        <f t="shared" si="358"/>
        <v/>
      </c>
      <c r="B3318" s="83" t="str">
        <f t="shared" si="359"/>
        <v/>
      </c>
      <c r="S3318" s="83" t="str">
        <f t="shared" si="360"/>
        <v/>
      </c>
      <c r="T3318" s="83" t="str">
        <f t="shared" si="357"/>
        <v/>
      </c>
      <c r="Y3318" s="60">
        <f t="shared" si="361"/>
        <v>0</v>
      </c>
      <c r="Z3318" s="49">
        <f t="shared" si="362"/>
        <v>0</v>
      </c>
      <c r="AA3318" s="60">
        <f t="shared" si="363"/>
        <v>0</v>
      </c>
    </row>
    <row r="3319" spans="1:27">
      <c r="A3319" s="83" t="str">
        <f t="shared" si="358"/>
        <v/>
      </c>
      <c r="B3319" s="83" t="str">
        <f t="shared" si="359"/>
        <v/>
      </c>
      <c r="S3319" s="83" t="str">
        <f t="shared" si="360"/>
        <v/>
      </c>
      <c r="T3319" s="83" t="str">
        <f t="shared" si="357"/>
        <v/>
      </c>
      <c r="Y3319" s="60">
        <f t="shared" si="361"/>
        <v>0</v>
      </c>
      <c r="Z3319" s="49">
        <f t="shared" si="362"/>
        <v>0</v>
      </c>
      <c r="AA3319" s="60">
        <f t="shared" si="363"/>
        <v>0</v>
      </c>
    </row>
    <row r="3320" spans="1:27">
      <c r="A3320" s="83" t="str">
        <f t="shared" si="358"/>
        <v/>
      </c>
      <c r="B3320" s="83" t="str">
        <f t="shared" si="359"/>
        <v/>
      </c>
      <c r="S3320" s="83" t="str">
        <f t="shared" si="360"/>
        <v/>
      </c>
      <c r="T3320" s="83" t="str">
        <f t="shared" si="357"/>
        <v/>
      </c>
      <c r="Y3320" s="60">
        <f t="shared" si="361"/>
        <v>0</v>
      </c>
      <c r="Z3320" s="49">
        <f t="shared" si="362"/>
        <v>0</v>
      </c>
      <c r="AA3320" s="60">
        <f t="shared" si="363"/>
        <v>0</v>
      </c>
    </row>
    <row r="3321" spans="1:27">
      <c r="A3321" s="83" t="str">
        <f t="shared" si="358"/>
        <v/>
      </c>
      <c r="B3321" s="83" t="str">
        <f t="shared" si="359"/>
        <v/>
      </c>
      <c r="S3321" s="83" t="str">
        <f t="shared" si="360"/>
        <v/>
      </c>
      <c r="T3321" s="83" t="str">
        <f t="shared" si="357"/>
        <v/>
      </c>
      <c r="Y3321" s="60">
        <f t="shared" si="361"/>
        <v>0</v>
      </c>
      <c r="Z3321" s="49">
        <f t="shared" si="362"/>
        <v>0</v>
      </c>
      <c r="AA3321" s="60">
        <f t="shared" si="363"/>
        <v>0</v>
      </c>
    </row>
    <row r="3322" spans="1:27">
      <c r="A3322" s="83" t="str">
        <f t="shared" si="358"/>
        <v/>
      </c>
      <c r="B3322" s="83" t="str">
        <f t="shared" si="359"/>
        <v/>
      </c>
      <c r="S3322" s="83" t="str">
        <f t="shared" si="360"/>
        <v/>
      </c>
      <c r="T3322" s="83" t="str">
        <f t="shared" si="357"/>
        <v/>
      </c>
      <c r="Y3322" s="60">
        <f t="shared" si="361"/>
        <v>0</v>
      </c>
      <c r="Z3322" s="49">
        <f t="shared" si="362"/>
        <v>0</v>
      </c>
      <c r="AA3322" s="60">
        <f t="shared" si="363"/>
        <v>0</v>
      </c>
    </row>
    <row r="3323" spans="1:27">
      <c r="A3323" s="83" t="str">
        <f t="shared" si="358"/>
        <v/>
      </c>
      <c r="B3323" s="83" t="str">
        <f t="shared" si="359"/>
        <v/>
      </c>
      <c r="S3323" s="83" t="str">
        <f t="shared" si="360"/>
        <v/>
      </c>
      <c r="T3323" s="83" t="str">
        <f t="shared" si="357"/>
        <v/>
      </c>
      <c r="Y3323" s="60">
        <f t="shared" si="361"/>
        <v>0</v>
      </c>
      <c r="Z3323" s="49">
        <f t="shared" si="362"/>
        <v>0</v>
      </c>
      <c r="AA3323" s="60">
        <f t="shared" si="363"/>
        <v>0</v>
      </c>
    </row>
    <row r="3324" spans="1:27">
      <c r="A3324" s="83" t="str">
        <f t="shared" si="358"/>
        <v/>
      </c>
      <c r="B3324" s="83" t="str">
        <f t="shared" si="359"/>
        <v/>
      </c>
      <c r="S3324" s="83" t="str">
        <f t="shared" si="360"/>
        <v/>
      </c>
      <c r="T3324" s="83" t="str">
        <f t="shared" si="357"/>
        <v/>
      </c>
      <c r="Y3324" s="60">
        <f t="shared" si="361"/>
        <v>0</v>
      </c>
      <c r="Z3324" s="49">
        <f t="shared" si="362"/>
        <v>0</v>
      </c>
      <c r="AA3324" s="60">
        <f t="shared" si="363"/>
        <v>0</v>
      </c>
    </row>
    <row r="3325" spans="1:27">
      <c r="A3325" s="83" t="str">
        <f t="shared" si="358"/>
        <v/>
      </c>
      <c r="B3325" s="83" t="str">
        <f t="shared" si="359"/>
        <v/>
      </c>
      <c r="S3325" s="83" t="str">
        <f t="shared" si="360"/>
        <v/>
      </c>
      <c r="T3325" s="83" t="str">
        <f t="shared" si="357"/>
        <v/>
      </c>
      <c r="Y3325" s="60">
        <f t="shared" si="361"/>
        <v>0</v>
      </c>
      <c r="Z3325" s="49">
        <f t="shared" si="362"/>
        <v>0</v>
      </c>
      <c r="AA3325" s="60">
        <f t="shared" si="363"/>
        <v>0</v>
      </c>
    </row>
    <row r="3326" spans="1:27">
      <c r="A3326" s="83" t="str">
        <f t="shared" si="358"/>
        <v/>
      </c>
      <c r="B3326" s="83" t="str">
        <f t="shared" si="359"/>
        <v/>
      </c>
      <c r="S3326" s="83" t="str">
        <f t="shared" si="360"/>
        <v/>
      </c>
      <c r="T3326" s="83" t="str">
        <f t="shared" si="357"/>
        <v/>
      </c>
      <c r="Y3326" s="60">
        <f t="shared" si="361"/>
        <v>0</v>
      </c>
      <c r="Z3326" s="49">
        <f t="shared" si="362"/>
        <v>0</v>
      </c>
      <c r="AA3326" s="60">
        <f t="shared" si="363"/>
        <v>0</v>
      </c>
    </row>
    <row r="3327" spans="1:27">
      <c r="A3327" s="83" t="str">
        <f t="shared" si="358"/>
        <v/>
      </c>
      <c r="B3327" s="83" t="str">
        <f t="shared" si="359"/>
        <v/>
      </c>
      <c r="S3327" s="83" t="str">
        <f t="shared" si="360"/>
        <v/>
      </c>
      <c r="T3327" s="83" t="str">
        <f t="shared" si="357"/>
        <v/>
      </c>
      <c r="Y3327" s="60">
        <f t="shared" si="361"/>
        <v>0</v>
      </c>
      <c r="Z3327" s="49">
        <f t="shared" si="362"/>
        <v>0</v>
      </c>
      <c r="AA3327" s="60">
        <f t="shared" si="363"/>
        <v>0</v>
      </c>
    </row>
    <row r="3328" spans="1:27">
      <c r="A3328" s="83" t="str">
        <f t="shared" si="358"/>
        <v/>
      </c>
      <c r="B3328" s="83" t="str">
        <f t="shared" si="359"/>
        <v/>
      </c>
      <c r="S3328" s="83" t="str">
        <f t="shared" si="360"/>
        <v/>
      </c>
      <c r="T3328" s="83" t="str">
        <f t="shared" si="357"/>
        <v/>
      </c>
      <c r="Y3328" s="60">
        <f t="shared" si="361"/>
        <v>0</v>
      </c>
      <c r="Z3328" s="49">
        <f t="shared" si="362"/>
        <v>0</v>
      </c>
      <c r="AA3328" s="60">
        <f t="shared" si="363"/>
        <v>0</v>
      </c>
    </row>
    <row r="3329" spans="1:27">
      <c r="A3329" s="83" t="str">
        <f t="shared" si="358"/>
        <v/>
      </c>
      <c r="B3329" s="83" t="str">
        <f t="shared" si="359"/>
        <v/>
      </c>
      <c r="S3329" s="83" t="str">
        <f t="shared" si="360"/>
        <v/>
      </c>
      <c r="T3329" s="83" t="str">
        <f t="shared" si="357"/>
        <v/>
      </c>
      <c r="Y3329" s="60">
        <f t="shared" si="361"/>
        <v>0</v>
      </c>
      <c r="Z3329" s="49">
        <f t="shared" si="362"/>
        <v>0</v>
      </c>
      <c r="AA3329" s="60">
        <f t="shared" si="363"/>
        <v>0</v>
      </c>
    </row>
    <row r="3330" spans="1:27">
      <c r="A3330" s="83" t="str">
        <f t="shared" si="358"/>
        <v/>
      </c>
      <c r="B3330" s="83" t="str">
        <f t="shared" si="359"/>
        <v/>
      </c>
      <c r="S3330" s="83" t="str">
        <f t="shared" si="360"/>
        <v/>
      </c>
      <c r="T3330" s="83" t="str">
        <f t="shared" ref="T3330:T3393" si="364">IF(A3330&lt;&gt;"",IF(FIND(" ",G3330)&gt;=1,MID(G3330,FIND(" ",G3330)+1,LEN(G3330)),""),"")</f>
        <v/>
      </c>
      <c r="Y3330" s="60">
        <f t="shared" si="361"/>
        <v>0</v>
      </c>
      <c r="Z3330" s="49">
        <f t="shared" si="362"/>
        <v>0</v>
      </c>
      <c r="AA3330" s="60">
        <f t="shared" si="363"/>
        <v>0</v>
      </c>
    </row>
    <row r="3331" spans="1:27">
      <c r="A3331" s="83" t="str">
        <f t="shared" ref="A3331:A3394" si="365">IF(G3331&amp;Q3331&lt;&gt;"",S3331&amp;Q3331,"")</f>
        <v/>
      </c>
      <c r="B3331" s="83" t="str">
        <f t="shared" ref="B3331:B3394" si="366">IF(C3331&lt;&gt;"",LEFT(C3331,9),"")</f>
        <v/>
      </c>
      <c r="S3331" s="83" t="str">
        <f t="shared" ref="S3331:S3394" si="367">IF(G3331&lt;&gt;"",IF(FIND(" ",G3331)&gt;=1,MID(G3331,1,FIND(" ",G3331)-1),G3331),"")</f>
        <v/>
      </c>
      <c r="T3331" s="83" t="str">
        <f t="shared" si="364"/>
        <v/>
      </c>
      <c r="Y3331" s="60">
        <f t="shared" ref="Y3331:Y3394" si="368">IFERROR(VALUE(MID($C3331,1,2)),0)</f>
        <v>0</v>
      </c>
      <c r="Z3331" s="49">
        <f t="shared" ref="Z3331:Z3394" si="369">IFERROR(VALUE(MID($C3331,4,3)),0)</f>
        <v>0</v>
      </c>
      <c r="AA3331" s="60">
        <f t="shared" ref="AA3331:AA3394" si="370">VALUE(RIGHT("00"&amp;Y3331,2)&amp;RIGHT("000"&amp;Z3331,3))</f>
        <v>0</v>
      </c>
    </row>
    <row r="3332" spans="1:27">
      <c r="A3332" s="83" t="str">
        <f t="shared" si="365"/>
        <v/>
      </c>
      <c r="B3332" s="83" t="str">
        <f t="shared" si="366"/>
        <v/>
      </c>
      <c r="S3332" s="83" t="str">
        <f t="shared" si="367"/>
        <v/>
      </c>
      <c r="T3332" s="83" t="str">
        <f t="shared" si="364"/>
        <v/>
      </c>
      <c r="Y3332" s="60">
        <f t="shared" si="368"/>
        <v>0</v>
      </c>
      <c r="Z3332" s="49">
        <f t="shared" si="369"/>
        <v>0</v>
      </c>
      <c r="AA3332" s="60">
        <f t="shared" si="370"/>
        <v>0</v>
      </c>
    </row>
    <row r="3333" spans="1:27">
      <c r="A3333" s="83" t="str">
        <f t="shared" si="365"/>
        <v/>
      </c>
      <c r="B3333" s="83" t="str">
        <f t="shared" si="366"/>
        <v/>
      </c>
      <c r="S3333" s="83" t="str">
        <f t="shared" si="367"/>
        <v/>
      </c>
      <c r="T3333" s="83" t="str">
        <f t="shared" si="364"/>
        <v/>
      </c>
      <c r="Y3333" s="60">
        <f t="shared" si="368"/>
        <v>0</v>
      </c>
      <c r="Z3333" s="49">
        <f t="shared" si="369"/>
        <v>0</v>
      </c>
      <c r="AA3333" s="60">
        <f t="shared" si="370"/>
        <v>0</v>
      </c>
    </row>
    <row r="3334" spans="1:27">
      <c r="A3334" s="83" t="str">
        <f t="shared" si="365"/>
        <v/>
      </c>
      <c r="B3334" s="83" t="str">
        <f t="shared" si="366"/>
        <v/>
      </c>
      <c r="S3334" s="83" t="str">
        <f t="shared" si="367"/>
        <v/>
      </c>
      <c r="T3334" s="83" t="str">
        <f t="shared" si="364"/>
        <v/>
      </c>
      <c r="Y3334" s="60">
        <f t="shared" si="368"/>
        <v>0</v>
      </c>
      <c r="Z3334" s="49">
        <f t="shared" si="369"/>
        <v>0</v>
      </c>
      <c r="AA3334" s="60">
        <f t="shared" si="370"/>
        <v>0</v>
      </c>
    </row>
    <row r="3335" spans="1:27">
      <c r="A3335" s="83" t="str">
        <f t="shared" si="365"/>
        <v/>
      </c>
      <c r="B3335" s="83" t="str">
        <f t="shared" si="366"/>
        <v/>
      </c>
      <c r="S3335" s="83" t="str">
        <f t="shared" si="367"/>
        <v/>
      </c>
      <c r="T3335" s="83" t="str">
        <f t="shared" si="364"/>
        <v/>
      </c>
      <c r="Y3335" s="60">
        <f t="shared" si="368"/>
        <v>0</v>
      </c>
      <c r="Z3335" s="49">
        <f t="shared" si="369"/>
        <v>0</v>
      </c>
      <c r="AA3335" s="60">
        <f t="shared" si="370"/>
        <v>0</v>
      </c>
    </row>
    <row r="3336" spans="1:27">
      <c r="A3336" s="83" t="str">
        <f t="shared" si="365"/>
        <v/>
      </c>
      <c r="B3336" s="83" t="str">
        <f t="shared" si="366"/>
        <v/>
      </c>
      <c r="S3336" s="83" t="str">
        <f t="shared" si="367"/>
        <v/>
      </c>
      <c r="T3336" s="83" t="str">
        <f t="shared" si="364"/>
        <v/>
      </c>
      <c r="Y3336" s="60">
        <f t="shared" si="368"/>
        <v>0</v>
      </c>
      <c r="Z3336" s="49">
        <f t="shared" si="369"/>
        <v>0</v>
      </c>
      <c r="AA3336" s="60">
        <f t="shared" si="370"/>
        <v>0</v>
      </c>
    </row>
    <row r="3337" spans="1:27">
      <c r="A3337" s="83" t="str">
        <f t="shared" si="365"/>
        <v/>
      </c>
      <c r="B3337" s="83" t="str">
        <f t="shared" si="366"/>
        <v/>
      </c>
      <c r="S3337" s="83" t="str">
        <f t="shared" si="367"/>
        <v/>
      </c>
      <c r="T3337" s="83" t="str">
        <f t="shared" si="364"/>
        <v/>
      </c>
      <c r="Y3337" s="60">
        <f t="shared" si="368"/>
        <v>0</v>
      </c>
      <c r="Z3337" s="49">
        <f t="shared" si="369"/>
        <v>0</v>
      </c>
      <c r="AA3337" s="60">
        <f t="shared" si="370"/>
        <v>0</v>
      </c>
    </row>
    <row r="3338" spans="1:27">
      <c r="A3338" s="83" t="str">
        <f t="shared" si="365"/>
        <v/>
      </c>
      <c r="B3338" s="83" t="str">
        <f t="shared" si="366"/>
        <v/>
      </c>
      <c r="S3338" s="83" t="str">
        <f t="shared" si="367"/>
        <v/>
      </c>
      <c r="T3338" s="83" t="str">
        <f t="shared" si="364"/>
        <v/>
      </c>
      <c r="Y3338" s="60">
        <f t="shared" si="368"/>
        <v>0</v>
      </c>
      <c r="Z3338" s="49">
        <f t="shared" si="369"/>
        <v>0</v>
      </c>
      <c r="AA3338" s="60">
        <f t="shared" si="370"/>
        <v>0</v>
      </c>
    </row>
    <row r="3339" spans="1:27">
      <c r="A3339" s="83" t="str">
        <f t="shared" si="365"/>
        <v/>
      </c>
      <c r="B3339" s="83" t="str">
        <f t="shared" si="366"/>
        <v/>
      </c>
      <c r="S3339" s="83" t="str">
        <f t="shared" si="367"/>
        <v/>
      </c>
      <c r="T3339" s="83" t="str">
        <f t="shared" si="364"/>
        <v/>
      </c>
      <c r="Y3339" s="60">
        <f t="shared" si="368"/>
        <v>0</v>
      </c>
      <c r="Z3339" s="49">
        <f t="shared" si="369"/>
        <v>0</v>
      </c>
      <c r="AA3339" s="60">
        <f t="shared" si="370"/>
        <v>0</v>
      </c>
    </row>
    <row r="3340" spans="1:27">
      <c r="A3340" s="83" t="str">
        <f t="shared" si="365"/>
        <v/>
      </c>
      <c r="B3340" s="83" t="str">
        <f t="shared" si="366"/>
        <v/>
      </c>
      <c r="S3340" s="83" t="str">
        <f t="shared" si="367"/>
        <v/>
      </c>
      <c r="T3340" s="83" t="str">
        <f t="shared" si="364"/>
        <v/>
      </c>
      <c r="Y3340" s="60">
        <f t="shared" si="368"/>
        <v>0</v>
      </c>
      <c r="Z3340" s="49">
        <f t="shared" si="369"/>
        <v>0</v>
      </c>
      <c r="AA3340" s="60">
        <f t="shared" si="370"/>
        <v>0</v>
      </c>
    </row>
    <row r="3341" spans="1:27">
      <c r="A3341" s="83" t="str">
        <f t="shared" si="365"/>
        <v/>
      </c>
      <c r="B3341" s="83" t="str">
        <f t="shared" si="366"/>
        <v/>
      </c>
      <c r="S3341" s="83" t="str">
        <f t="shared" si="367"/>
        <v/>
      </c>
      <c r="T3341" s="83" t="str">
        <f t="shared" si="364"/>
        <v/>
      </c>
      <c r="Y3341" s="60">
        <f t="shared" si="368"/>
        <v>0</v>
      </c>
      <c r="Z3341" s="49">
        <f t="shared" si="369"/>
        <v>0</v>
      </c>
      <c r="AA3341" s="60">
        <f t="shared" si="370"/>
        <v>0</v>
      </c>
    </row>
    <row r="3342" spans="1:27">
      <c r="A3342" s="83" t="str">
        <f t="shared" si="365"/>
        <v/>
      </c>
      <c r="B3342" s="83" t="str">
        <f t="shared" si="366"/>
        <v/>
      </c>
      <c r="S3342" s="83" t="str">
        <f t="shared" si="367"/>
        <v/>
      </c>
      <c r="T3342" s="83" t="str">
        <f t="shared" si="364"/>
        <v/>
      </c>
      <c r="Y3342" s="60">
        <f t="shared" si="368"/>
        <v>0</v>
      </c>
      <c r="Z3342" s="49">
        <f t="shared" si="369"/>
        <v>0</v>
      </c>
      <c r="AA3342" s="60">
        <f t="shared" si="370"/>
        <v>0</v>
      </c>
    </row>
    <row r="3343" spans="1:27">
      <c r="A3343" s="83" t="str">
        <f t="shared" si="365"/>
        <v/>
      </c>
      <c r="B3343" s="83" t="str">
        <f t="shared" si="366"/>
        <v/>
      </c>
      <c r="S3343" s="83" t="str">
        <f t="shared" si="367"/>
        <v/>
      </c>
      <c r="T3343" s="83" t="str">
        <f t="shared" si="364"/>
        <v/>
      </c>
      <c r="Y3343" s="60">
        <f t="shared" si="368"/>
        <v>0</v>
      </c>
      <c r="Z3343" s="49">
        <f t="shared" si="369"/>
        <v>0</v>
      </c>
      <c r="AA3343" s="60">
        <f t="shared" si="370"/>
        <v>0</v>
      </c>
    </row>
    <row r="3344" spans="1:27">
      <c r="A3344" s="83" t="str">
        <f t="shared" si="365"/>
        <v/>
      </c>
      <c r="B3344" s="83" t="str">
        <f t="shared" si="366"/>
        <v/>
      </c>
      <c r="S3344" s="83" t="str">
        <f t="shared" si="367"/>
        <v/>
      </c>
      <c r="T3344" s="83" t="str">
        <f t="shared" si="364"/>
        <v/>
      </c>
      <c r="Y3344" s="60">
        <f t="shared" si="368"/>
        <v>0</v>
      </c>
      <c r="Z3344" s="49">
        <f t="shared" si="369"/>
        <v>0</v>
      </c>
      <c r="AA3344" s="60">
        <f t="shared" si="370"/>
        <v>0</v>
      </c>
    </row>
    <row r="3345" spans="1:27">
      <c r="A3345" s="83" t="str">
        <f t="shared" si="365"/>
        <v/>
      </c>
      <c r="B3345" s="83" t="str">
        <f t="shared" si="366"/>
        <v/>
      </c>
      <c r="S3345" s="83" t="str">
        <f t="shared" si="367"/>
        <v/>
      </c>
      <c r="T3345" s="83" t="str">
        <f t="shared" si="364"/>
        <v/>
      </c>
      <c r="Y3345" s="60">
        <f t="shared" si="368"/>
        <v>0</v>
      </c>
      <c r="Z3345" s="49">
        <f t="shared" si="369"/>
        <v>0</v>
      </c>
      <c r="AA3345" s="60">
        <f t="shared" si="370"/>
        <v>0</v>
      </c>
    </row>
    <row r="3346" spans="1:27">
      <c r="A3346" s="83" t="str">
        <f t="shared" si="365"/>
        <v/>
      </c>
      <c r="B3346" s="83" t="str">
        <f t="shared" si="366"/>
        <v/>
      </c>
      <c r="S3346" s="83" t="str">
        <f t="shared" si="367"/>
        <v/>
      </c>
      <c r="T3346" s="83" t="str">
        <f t="shared" si="364"/>
        <v/>
      </c>
      <c r="Y3346" s="60">
        <f t="shared" si="368"/>
        <v>0</v>
      </c>
      <c r="Z3346" s="49">
        <f t="shared" si="369"/>
        <v>0</v>
      </c>
      <c r="AA3346" s="60">
        <f t="shared" si="370"/>
        <v>0</v>
      </c>
    </row>
    <row r="3347" spans="1:27">
      <c r="A3347" s="83" t="str">
        <f t="shared" si="365"/>
        <v/>
      </c>
      <c r="B3347" s="83" t="str">
        <f t="shared" si="366"/>
        <v/>
      </c>
      <c r="S3347" s="83" t="str">
        <f t="shared" si="367"/>
        <v/>
      </c>
      <c r="T3347" s="83" t="str">
        <f t="shared" si="364"/>
        <v/>
      </c>
      <c r="Y3347" s="60">
        <f t="shared" si="368"/>
        <v>0</v>
      </c>
      <c r="Z3347" s="49">
        <f t="shared" si="369"/>
        <v>0</v>
      </c>
      <c r="AA3347" s="60">
        <f t="shared" si="370"/>
        <v>0</v>
      </c>
    </row>
    <row r="3348" spans="1:27">
      <c r="A3348" s="83" t="str">
        <f t="shared" si="365"/>
        <v/>
      </c>
      <c r="B3348" s="83" t="str">
        <f t="shared" si="366"/>
        <v/>
      </c>
      <c r="S3348" s="83" t="str">
        <f t="shared" si="367"/>
        <v/>
      </c>
      <c r="T3348" s="83" t="str">
        <f t="shared" si="364"/>
        <v/>
      </c>
      <c r="Y3348" s="60">
        <f t="shared" si="368"/>
        <v>0</v>
      </c>
      <c r="Z3348" s="49">
        <f t="shared" si="369"/>
        <v>0</v>
      </c>
      <c r="AA3348" s="60">
        <f t="shared" si="370"/>
        <v>0</v>
      </c>
    </row>
    <row r="3349" spans="1:27">
      <c r="A3349" s="83" t="str">
        <f t="shared" si="365"/>
        <v/>
      </c>
      <c r="B3349" s="83" t="str">
        <f t="shared" si="366"/>
        <v/>
      </c>
      <c r="S3349" s="83" t="str">
        <f t="shared" si="367"/>
        <v/>
      </c>
      <c r="T3349" s="83" t="str">
        <f t="shared" si="364"/>
        <v/>
      </c>
      <c r="Y3349" s="60">
        <f t="shared" si="368"/>
        <v>0</v>
      </c>
      <c r="Z3349" s="49">
        <f t="shared" si="369"/>
        <v>0</v>
      </c>
      <c r="AA3349" s="60">
        <f t="shared" si="370"/>
        <v>0</v>
      </c>
    </row>
    <row r="3350" spans="1:27">
      <c r="A3350" s="83" t="str">
        <f t="shared" si="365"/>
        <v/>
      </c>
      <c r="B3350" s="83" t="str">
        <f t="shared" si="366"/>
        <v/>
      </c>
      <c r="S3350" s="83" t="str">
        <f t="shared" si="367"/>
        <v/>
      </c>
      <c r="T3350" s="83" t="str">
        <f t="shared" si="364"/>
        <v/>
      </c>
      <c r="Y3350" s="60">
        <f t="shared" si="368"/>
        <v>0</v>
      </c>
      <c r="Z3350" s="49">
        <f t="shared" si="369"/>
        <v>0</v>
      </c>
      <c r="AA3350" s="60">
        <f t="shared" si="370"/>
        <v>0</v>
      </c>
    </row>
    <row r="3351" spans="1:27">
      <c r="A3351" s="83" t="str">
        <f t="shared" si="365"/>
        <v/>
      </c>
      <c r="B3351" s="83" t="str">
        <f t="shared" si="366"/>
        <v/>
      </c>
      <c r="S3351" s="83" t="str">
        <f t="shared" si="367"/>
        <v/>
      </c>
      <c r="T3351" s="83" t="str">
        <f t="shared" si="364"/>
        <v/>
      </c>
      <c r="Y3351" s="60">
        <f t="shared" si="368"/>
        <v>0</v>
      </c>
      <c r="Z3351" s="49">
        <f t="shared" si="369"/>
        <v>0</v>
      </c>
      <c r="AA3351" s="60">
        <f t="shared" si="370"/>
        <v>0</v>
      </c>
    </row>
    <row r="3352" spans="1:27">
      <c r="A3352" s="83" t="str">
        <f t="shared" si="365"/>
        <v/>
      </c>
      <c r="B3352" s="83" t="str">
        <f t="shared" si="366"/>
        <v/>
      </c>
      <c r="S3352" s="83" t="str">
        <f t="shared" si="367"/>
        <v/>
      </c>
      <c r="T3352" s="83" t="str">
        <f t="shared" si="364"/>
        <v/>
      </c>
      <c r="Y3352" s="60">
        <f t="shared" si="368"/>
        <v>0</v>
      </c>
      <c r="Z3352" s="49">
        <f t="shared" si="369"/>
        <v>0</v>
      </c>
      <c r="AA3352" s="60">
        <f t="shared" si="370"/>
        <v>0</v>
      </c>
    </row>
    <row r="3353" spans="1:27">
      <c r="A3353" s="83" t="str">
        <f t="shared" si="365"/>
        <v/>
      </c>
      <c r="B3353" s="83" t="str">
        <f t="shared" si="366"/>
        <v/>
      </c>
      <c r="S3353" s="83" t="str">
        <f t="shared" si="367"/>
        <v/>
      </c>
      <c r="T3353" s="83" t="str">
        <f t="shared" si="364"/>
        <v/>
      </c>
      <c r="Y3353" s="60">
        <f t="shared" si="368"/>
        <v>0</v>
      </c>
      <c r="Z3353" s="49">
        <f t="shared" si="369"/>
        <v>0</v>
      </c>
      <c r="AA3353" s="60">
        <f t="shared" si="370"/>
        <v>0</v>
      </c>
    </row>
    <row r="3354" spans="1:27">
      <c r="A3354" s="83" t="str">
        <f t="shared" si="365"/>
        <v/>
      </c>
      <c r="B3354" s="83" t="str">
        <f t="shared" si="366"/>
        <v/>
      </c>
      <c r="S3354" s="83" t="str">
        <f t="shared" si="367"/>
        <v/>
      </c>
      <c r="T3354" s="83" t="str">
        <f t="shared" si="364"/>
        <v/>
      </c>
      <c r="Y3354" s="60">
        <f t="shared" si="368"/>
        <v>0</v>
      </c>
      <c r="Z3354" s="49">
        <f t="shared" si="369"/>
        <v>0</v>
      </c>
      <c r="AA3354" s="60">
        <f t="shared" si="370"/>
        <v>0</v>
      </c>
    </row>
    <row r="3355" spans="1:27">
      <c r="A3355" s="83" t="str">
        <f t="shared" si="365"/>
        <v/>
      </c>
      <c r="B3355" s="83" t="str">
        <f t="shared" si="366"/>
        <v/>
      </c>
      <c r="S3355" s="83" t="str">
        <f t="shared" si="367"/>
        <v/>
      </c>
      <c r="T3355" s="83" t="str">
        <f t="shared" si="364"/>
        <v/>
      </c>
      <c r="Y3355" s="60">
        <f t="shared" si="368"/>
        <v>0</v>
      </c>
      <c r="Z3355" s="49">
        <f t="shared" si="369"/>
        <v>0</v>
      </c>
      <c r="AA3355" s="60">
        <f t="shared" si="370"/>
        <v>0</v>
      </c>
    </row>
    <row r="3356" spans="1:27">
      <c r="A3356" s="83" t="str">
        <f t="shared" si="365"/>
        <v/>
      </c>
      <c r="B3356" s="83" t="str">
        <f t="shared" si="366"/>
        <v/>
      </c>
      <c r="S3356" s="83" t="str">
        <f t="shared" si="367"/>
        <v/>
      </c>
      <c r="T3356" s="83" t="str">
        <f t="shared" si="364"/>
        <v/>
      </c>
      <c r="Y3356" s="60">
        <f t="shared" si="368"/>
        <v>0</v>
      </c>
      <c r="Z3356" s="49">
        <f t="shared" si="369"/>
        <v>0</v>
      </c>
      <c r="AA3356" s="60">
        <f t="shared" si="370"/>
        <v>0</v>
      </c>
    </row>
    <row r="3357" spans="1:27">
      <c r="A3357" s="83" t="str">
        <f t="shared" si="365"/>
        <v/>
      </c>
      <c r="B3357" s="83" t="str">
        <f t="shared" si="366"/>
        <v/>
      </c>
      <c r="S3357" s="83" t="str">
        <f t="shared" si="367"/>
        <v/>
      </c>
      <c r="T3357" s="83" t="str">
        <f t="shared" si="364"/>
        <v/>
      </c>
      <c r="Y3357" s="60">
        <f t="shared" si="368"/>
        <v>0</v>
      </c>
      <c r="Z3357" s="49">
        <f t="shared" si="369"/>
        <v>0</v>
      </c>
      <c r="AA3357" s="60">
        <f t="shared" si="370"/>
        <v>0</v>
      </c>
    </row>
    <row r="3358" spans="1:27">
      <c r="A3358" s="83" t="str">
        <f t="shared" si="365"/>
        <v/>
      </c>
      <c r="B3358" s="83" t="str">
        <f t="shared" si="366"/>
        <v/>
      </c>
      <c r="S3358" s="83" t="str">
        <f t="shared" si="367"/>
        <v/>
      </c>
      <c r="T3358" s="83" t="str">
        <f t="shared" si="364"/>
        <v/>
      </c>
      <c r="Y3358" s="60">
        <f t="shared" si="368"/>
        <v>0</v>
      </c>
      <c r="Z3358" s="49">
        <f t="shared" si="369"/>
        <v>0</v>
      </c>
      <c r="AA3358" s="60">
        <f t="shared" si="370"/>
        <v>0</v>
      </c>
    </row>
    <row r="3359" spans="1:27">
      <c r="A3359" s="83" t="str">
        <f t="shared" si="365"/>
        <v/>
      </c>
      <c r="B3359" s="83" t="str">
        <f t="shared" si="366"/>
        <v/>
      </c>
      <c r="S3359" s="83" t="str">
        <f t="shared" si="367"/>
        <v/>
      </c>
      <c r="T3359" s="83" t="str">
        <f t="shared" si="364"/>
        <v/>
      </c>
      <c r="Y3359" s="60">
        <f t="shared" si="368"/>
        <v>0</v>
      </c>
      <c r="Z3359" s="49">
        <f t="shared" si="369"/>
        <v>0</v>
      </c>
      <c r="AA3359" s="60">
        <f t="shared" si="370"/>
        <v>0</v>
      </c>
    </row>
    <row r="3360" spans="1:27">
      <c r="A3360" s="83" t="str">
        <f t="shared" si="365"/>
        <v/>
      </c>
      <c r="B3360" s="83" t="str">
        <f t="shared" si="366"/>
        <v/>
      </c>
      <c r="S3360" s="83" t="str">
        <f t="shared" si="367"/>
        <v/>
      </c>
      <c r="T3360" s="83" t="str">
        <f t="shared" si="364"/>
        <v/>
      </c>
      <c r="Y3360" s="60">
        <f t="shared" si="368"/>
        <v>0</v>
      </c>
      <c r="Z3360" s="49">
        <f t="shared" si="369"/>
        <v>0</v>
      </c>
      <c r="AA3360" s="60">
        <f t="shared" si="370"/>
        <v>0</v>
      </c>
    </row>
    <row r="3361" spans="1:27">
      <c r="A3361" s="83" t="str">
        <f t="shared" si="365"/>
        <v/>
      </c>
      <c r="B3361" s="83" t="str">
        <f t="shared" si="366"/>
        <v/>
      </c>
      <c r="S3361" s="83" t="str">
        <f t="shared" si="367"/>
        <v/>
      </c>
      <c r="T3361" s="83" t="str">
        <f t="shared" si="364"/>
        <v/>
      </c>
      <c r="Y3361" s="60">
        <f t="shared" si="368"/>
        <v>0</v>
      </c>
      <c r="Z3361" s="49">
        <f t="shared" si="369"/>
        <v>0</v>
      </c>
      <c r="AA3361" s="60">
        <f t="shared" si="370"/>
        <v>0</v>
      </c>
    </row>
    <row r="3362" spans="1:27">
      <c r="A3362" s="83" t="str">
        <f t="shared" si="365"/>
        <v/>
      </c>
      <c r="B3362" s="83" t="str">
        <f t="shared" si="366"/>
        <v/>
      </c>
      <c r="S3362" s="83" t="str">
        <f t="shared" si="367"/>
        <v/>
      </c>
      <c r="T3362" s="83" t="str">
        <f t="shared" si="364"/>
        <v/>
      </c>
      <c r="Y3362" s="60">
        <f t="shared" si="368"/>
        <v>0</v>
      </c>
      <c r="Z3362" s="49">
        <f t="shared" si="369"/>
        <v>0</v>
      </c>
      <c r="AA3362" s="60">
        <f t="shared" si="370"/>
        <v>0</v>
      </c>
    </row>
    <row r="3363" spans="1:27">
      <c r="A3363" s="83" t="str">
        <f t="shared" si="365"/>
        <v/>
      </c>
      <c r="B3363" s="83" t="str">
        <f t="shared" si="366"/>
        <v/>
      </c>
      <c r="S3363" s="83" t="str">
        <f t="shared" si="367"/>
        <v/>
      </c>
      <c r="T3363" s="83" t="str">
        <f t="shared" si="364"/>
        <v/>
      </c>
      <c r="Y3363" s="60">
        <f t="shared" si="368"/>
        <v>0</v>
      </c>
      <c r="Z3363" s="49">
        <f t="shared" si="369"/>
        <v>0</v>
      </c>
      <c r="AA3363" s="60">
        <f t="shared" si="370"/>
        <v>0</v>
      </c>
    </row>
    <row r="3364" spans="1:27">
      <c r="A3364" s="83" t="str">
        <f t="shared" si="365"/>
        <v/>
      </c>
      <c r="B3364" s="83" t="str">
        <f t="shared" si="366"/>
        <v/>
      </c>
      <c r="S3364" s="83" t="str">
        <f t="shared" si="367"/>
        <v/>
      </c>
      <c r="T3364" s="83" t="str">
        <f t="shared" si="364"/>
        <v/>
      </c>
      <c r="Y3364" s="60">
        <f t="shared" si="368"/>
        <v>0</v>
      </c>
      <c r="Z3364" s="49">
        <f t="shared" si="369"/>
        <v>0</v>
      </c>
      <c r="AA3364" s="60">
        <f t="shared" si="370"/>
        <v>0</v>
      </c>
    </row>
    <row r="3365" spans="1:27">
      <c r="A3365" s="83" t="str">
        <f t="shared" si="365"/>
        <v/>
      </c>
      <c r="B3365" s="83" t="str">
        <f t="shared" si="366"/>
        <v/>
      </c>
      <c r="S3365" s="83" t="str">
        <f t="shared" si="367"/>
        <v/>
      </c>
      <c r="T3365" s="83" t="str">
        <f t="shared" si="364"/>
        <v/>
      </c>
      <c r="Y3365" s="60">
        <f t="shared" si="368"/>
        <v>0</v>
      </c>
      <c r="Z3365" s="49">
        <f t="shared" si="369"/>
        <v>0</v>
      </c>
      <c r="AA3365" s="60">
        <f t="shared" si="370"/>
        <v>0</v>
      </c>
    </row>
    <row r="3366" spans="1:27">
      <c r="A3366" s="83" t="str">
        <f t="shared" si="365"/>
        <v/>
      </c>
      <c r="B3366" s="83" t="str">
        <f t="shared" si="366"/>
        <v/>
      </c>
      <c r="S3366" s="83" t="str">
        <f t="shared" si="367"/>
        <v/>
      </c>
      <c r="T3366" s="83" t="str">
        <f t="shared" si="364"/>
        <v/>
      </c>
      <c r="Y3366" s="60">
        <f t="shared" si="368"/>
        <v>0</v>
      </c>
      <c r="Z3366" s="49">
        <f t="shared" si="369"/>
        <v>0</v>
      </c>
      <c r="AA3366" s="60">
        <f t="shared" si="370"/>
        <v>0</v>
      </c>
    </row>
    <row r="3367" spans="1:27">
      <c r="A3367" s="83" t="str">
        <f t="shared" si="365"/>
        <v/>
      </c>
      <c r="B3367" s="83" t="str">
        <f t="shared" si="366"/>
        <v/>
      </c>
      <c r="S3367" s="83" t="str">
        <f t="shared" si="367"/>
        <v/>
      </c>
      <c r="T3367" s="83" t="str">
        <f t="shared" si="364"/>
        <v/>
      </c>
      <c r="Y3367" s="60">
        <f t="shared" si="368"/>
        <v>0</v>
      </c>
      <c r="Z3367" s="49">
        <f t="shared" si="369"/>
        <v>0</v>
      </c>
      <c r="AA3367" s="60">
        <f t="shared" si="370"/>
        <v>0</v>
      </c>
    </row>
    <row r="3368" spans="1:27">
      <c r="A3368" s="83" t="str">
        <f t="shared" si="365"/>
        <v/>
      </c>
      <c r="B3368" s="83" t="str">
        <f t="shared" si="366"/>
        <v/>
      </c>
      <c r="S3368" s="83" t="str">
        <f t="shared" si="367"/>
        <v/>
      </c>
      <c r="T3368" s="83" t="str">
        <f t="shared" si="364"/>
        <v/>
      </c>
      <c r="Y3368" s="60">
        <f t="shared" si="368"/>
        <v>0</v>
      </c>
      <c r="Z3368" s="49">
        <f t="shared" si="369"/>
        <v>0</v>
      </c>
      <c r="AA3368" s="60">
        <f t="shared" si="370"/>
        <v>0</v>
      </c>
    </row>
    <row r="3369" spans="1:27">
      <c r="A3369" s="83" t="str">
        <f t="shared" si="365"/>
        <v/>
      </c>
      <c r="B3369" s="83" t="str">
        <f t="shared" si="366"/>
        <v/>
      </c>
      <c r="S3369" s="83" t="str">
        <f t="shared" si="367"/>
        <v/>
      </c>
      <c r="T3369" s="83" t="str">
        <f t="shared" si="364"/>
        <v/>
      </c>
      <c r="Y3369" s="60">
        <f t="shared" si="368"/>
        <v>0</v>
      </c>
      <c r="Z3369" s="49">
        <f t="shared" si="369"/>
        <v>0</v>
      </c>
      <c r="AA3369" s="60">
        <f t="shared" si="370"/>
        <v>0</v>
      </c>
    </row>
    <row r="3370" spans="1:27">
      <c r="A3370" s="83" t="str">
        <f t="shared" si="365"/>
        <v/>
      </c>
      <c r="B3370" s="83" t="str">
        <f t="shared" si="366"/>
        <v/>
      </c>
      <c r="S3370" s="83" t="str">
        <f t="shared" si="367"/>
        <v/>
      </c>
      <c r="T3370" s="83" t="str">
        <f t="shared" si="364"/>
        <v/>
      </c>
      <c r="Y3370" s="60">
        <f t="shared" si="368"/>
        <v>0</v>
      </c>
      <c r="Z3370" s="49">
        <f t="shared" si="369"/>
        <v>0</v>
      </c>
      <c r="AA3370" s="60">
        <f t="shared" si="370"/>
        <v>0</v>
      </c>
    </row>
    <row r="3371" spans="1:27">
      <c r="A3371" s="83" t="str">
        <f t="shared" si="365"/>
        <v/>
      </c>
      <c r="B3371" s="83" t="str">
        <f t="shared" si="366"/>
        <v/>
      </c>
      <c r="S3371" s="83" t="str">
        <f t="shared" si="367"/>
        <v/>
      </c>
      <c r="T3371" s="83" t="str">
        <f t="shared" si="364"/>
        <v/>
      </c>
      <c r="Y3371" s="60">
        <f t="shared" si="368"/>
        <v>0</v>
      </c>
      <c r="Z3371" s="49">
        <f t="shared" si="369"/>
        <v>0</v>
      </c>
      <c r="AA3371" s="60">
        <f t="shared" si="370"/>
        <v>0</v>
      </c>
    </row>
    <row r="3372" spans="1:27">
      <c r="A3372" s="83" t="str">
        <f t="shared" si="365"/>
        <v/>
      </c>
      <c r="B3372" s="83" t="str">
        <f t="shared" si="366"/>
        <v/>
      </c>
      <c r="S3372" s="83" t="str">
        <f t="shared" si="367"/>
        <v/>
      </c>
      <c r="T3372" s="83" t="str">
        <f t="shared" si="364"/>
        <v/>
      </c>
      <c r="Y3372" s="60">
        <f t="shared" si="368"/>
        <v>0</v>
      </c>
      <c r="Z3372" s="49">
        <f t="shared" si="369"/>
        <v>0</v>
      </c>
      <c r="AA3372" s="60">
        <f t="shared" si="370"/>
        <v>0</v>
      </c>
    </row>
    <row r="3373" spans="1:27">
      <c r="A3373" s="83" t="str">
        <f t="shared" si="365"/>
        <v/>
      </c>
      <c r="B3373" s="83" t="str">
        <f t="shared" si="366"/>
        <v/>
      </c>
      <c r="S3373" s="83" t="str">
        <f t="shared" si="367"/>
        <v/>
      </c>
      <c r="T3373" s="83" t="str">
        <f t="shared" si="364"/>
        <v/>
      </c>
      <c r="Y3373" s="60">
        <f t="shared" si="368"/>
        <v>0</v>
      </c>
      <c r="Z3373" s="49">
        <f t="shared" si="369"/>
        <v>0</v>
      </c>
      <c r="AA3373" s="60">
        <f t="shared" si="370"/>
        <v>0</v>
      </c>
    </row>
    <row r="3374" spans="1:27">
      <c r="A3374" s="83" t="str">
        <f t="shared" si="365"/>
        <v/>
      </c>
      <c r="B3374" s="83" t="str">
        <f t="shared" si="366"/>
        <v/>
      </c>
      <c r="S3374" s="83" t="str">
        <f t="shared" si="367"/>
        <v/>
      </c>
      <c r="T3374" s="83" t="str">
        <f t="shared" si="364"/>
        <v/>
      </c>
      <c r="Y3374" s="60">
        <f t="shared" si="368"/>
        <v>0</v>
      </c>
      <c r="Z3374" s="49">
        <f t="shared" si="369"/>
        <v>0</v>
      </c>
      <c r="AA3374" s="60">
        <f t="shared" si="370"/>
        <v>0</v>
      </c>
    </row>
    <row r="3375" spans="1:27">
      <c r="A3375" s="83" t="str">
        <f t="shared" si="365"/>
        <v/>
      </c>
      <c r="B3375" s="83" t="str">
        <f t="shared" si="366"/>
        <v/>
      </c>
      <c r="S3375" s="83" t="str">
        <f t="shared" si="367"/>
        <v/>
      </c>
      <c r="T3375" s="83" t="str">
        <f t="shared" si="364"/>
        <v/>
      </c>
      <c r="Y3375" s="60">
        <f t="shared" si="368"/>
        <v>0</v>
      </c>
      <c r="Z3375" s="49">
        <f t="shared" si="369"/>
        <v>0</v>
      </c>
      <c r="AA3375" s="60">
        <f t="shared" si="370"/>
        <v>0</v>
      </c>
    </row>
    <row r="3376" spans="1:27">
      <c r="A3376" s="83" t="str">
        <f t="shared" si="365"/>
        <v/>
      </c>
      <c r="B3376" s="83" t="str">
        <f t="shared" si="366"/>
        <v/>
      </c>
      <c r="S3376" s="83" t="str">
        <f t="shared" si="367"/>
        <v/>
      </c>
      <c r="T3376" s="83" t="str">
        <f t="shared" si="364"/>
        <v/>
      </c>
      <c r="Y3376" s="60">
        <f t="shared" si="368"/>
        <v>0</v>
      </c>
      <c r="Z3376" s="49">
        <f t="shared" si="369"/>
        <v>0</v>
      </c>
      <c r="AA3376" s="60">
        <f t="shared" si="370"/>
        <v>0</v>
      </c>
    </row>
    <row r="3377" spans="1:27">
      <c r="A3377" s="83" t="str">
        <f t="shared" si="365"/>
        <v/>
      </c>
      <c r="B3377" s="83" t="str">
        <f t="shared" si="366"/>
        <v/>
      </c>
      <c r="S3377" s="83" t="str">
        <f t="shared" si="367"/>
        <v/>
      </c>
      <c r="T3377" s="83" t="str">
        <f t="shared" si="364"/>
        <v/>
      </c>
      <c r="Y3377" s="60">
        <f t="shared" si="368"/>
        <v>0</v>
      </c>
      <c r="Z3377" s="49">
        <f t="shared" si="369"/>
        <v>0</v>
      </c>
      <c r="AA3377" s="60">
        <f t="shared" si="370"/>
        <v>0</v>
      </c>
    </row>
    <row r="3378" spans="1:27">
      <c r="A3378" s="83" t="str">
        <f t="shared" si="365"/>
        <v/>
      </c>
      <c r="B3378" s="83" t="str">
        <f t="shared" si="366"/>
        <v/>
      </c>
      <c r="S3378" s="83" t="str">
        <f t="shared" si="367"/>
        <v/>
      </c>
      <c r="T3378" s="83" t="str">
        <f t="shared" si="364"/>
        <v/>
      </c>
      <c r="Y3378" s="60">
        <f t="shared" si="368"/>
        <v>0</v>
      </c>
      <c r="Z3378" s="49">
        <f t="shared" si="369"/>
        <v>0</v>
      </c>
      <c r="AA3378" s="60">
        <f t="shared" si="370"/>
        <v>0</v>
      </c>
    </row>
    <row r="3379" spans="1:27">
      <c r="A3379" s="83" t="str">
        <f t="shared" si="365"/>
        <v/>
      </c>
      <c r="B3379" s="83" t="str">
        <f t="shared" si="366"/>
        <v/>
      </c>
      <c r="S3379" s="83" t="str">
        <f t="shared" si="367"/>
        <v/>
      </c>
      <c r="T3379" s="83" t="str">
        <f t="shared" si="364"/>
        <v/>
      </c>
      <c r="Y3379" s="60">
        <f t="shared" si="368"/>
        <v>0</v>
      </c>
      <c r="Z3379" s="49">
        <f t="shared" si="369"/>
        <v>0</v>
      </c>
      <c r="AA3379" s="60">
        <f t="shared" si="370"/>
        <v>0</v>
      </c>
    </row>
    <row r="3380" spans="1:27">
      <c r="A3380" s="83" t="str">
        <f t="shared" si="365"/>
        <v/>
      </c>
      <c r="B3380" s="83" t="str">
        <f t="shared" si="366"/>
        <v/>
      </c>
      <c r="S3380" s="83" t="str">
        <f t="shared" si="367"/>
        <v/>
      </c>
      <c r="T3380" s="83" t="str">
        <f t="shared" si="364"/>
        <v/>
      </c>
      <c r="Y3380" s="60">
        <f t="shared" si="368"/>
        <v>0</v>
      </c>
      <c r="Z3380" s="49">
        <f t="shared" si="369"/>
        <v>0</v>
      </c>
      <c r="AA3380" s="60">
        <f t="shared" si="370"/>
        <v>0</v>
      </c>
    </row>
    <row r="3381" spans="1:27">
      <c r="A3381" s="83" t="str">
        <f t="shared" si="365"/>
        <v/>
      </c>
      <c r="B3381" s="83" t="str">
        <f t="shared" si="366"/>
        <v/>
      </c>
      <c r="S3381" s="83" t="str">
        <f t="shared" si="367"/>
        <v/>
      </c>
      <c r="T3381" s="83" t="str">
        <f t="shared" si="364"/>
        <v/>
      </c>
      <c r="Y3381" s="60">
        <f t="shared" si="368"/>
        <v>0</v>
      </c>
      <c r="Z3381" s="49">
        <f t="shared" si="369"/>
        <v>0</v>
      </c>
      <c r="AA3381" s="60">
        <f t="shared" si="370"/>
        <v>0</v>
      </c>
    </row>
    <row r="3382" spans="1:27">
      <c r="A3382" s="83" t="str">
        <f t="shared" si="365"/>
        <v/>
      </c>
      <c r="B3382" s="83" t="str">
        <f t="shared" si="366"/>
        <v/>
      </c>
      <c r="S3382" s="83" t="str">
        <f t="shared" si="367"/>
        <v/>
      </c>
      <c r="T3382" s="83" t="str">
        <f t="shared" si="364"/>
        <v/>
      </c>
      <c r="Y3382" s="60">
        <f t="shared" si="368"/>
        <v>0</v>
      </c>
      <c r="Z3382" s="49">
        <f t="shared" si="369"/>
        <v>0</v>
      </c>
      <c r="AA3382" s="60">
        <f t="shared" si="370"/>
        <v>0</v>
      </c>
    </row>
    <row r="3383" spans="1:27">
      <c r="A3383" s="83" t="str">
        <f t="shared" si="365"/>
        <v/>
      </c>
      <c r="B3383" s="83" t="str">
        <f t="shared" si="366"/>
        <v/>
      </c>
      <c r="S3383" s="83" t="str">
        <f t="shared" si="367"/>
        <v/>
      </c>
      <c r="T3383" s="83" t="str">
        <f t="shared" si="364"/>
        <v/>
      </c>
      <c r="Y3383" s="60">
        <f t="shared" si="368"/>
        <v>0</v>
      </c>
      <c r="Z3383" s="49">
        <f t="shared" si="369"/>
        <v>0</v>
      </c>
      <c r="AA3383" s="60">
        <f t="shared" si="370"/>
        <v>0</v>
      </c>
    </row>
    <row r="3384" spans="1:27">
      <c r="A3384" s="83" t="str">
        <f t="shared" si="365"/>
        <v/>
      </c>
      <c r="B3384" s="83" t="str">
        <f t="shared" si="366"/>
        <v/>
      </c>
      <c r="S3384" s="83" t="str">
        <f t="shared" si="367"/>
        <v/>
      </c>
      <c r="T3384" s="83" t="str">
        <f t="shared" si="364"/>
        <v/>
      </c>
      <c r="Y3384" s="60">
        <f t="shared" si="368"/>
        <v>0</v>
      </c>
      <c r="Z3384" s="49">
        <f t="shared" si="369"/>
        <v>0</v>
      </c>
      <c r="AA3384" s="60">
        <f t="shared" si="370"/>
        <v>0</v>
      </c>
    </row>
    <row r="3385" spans="1:27">
      <c r="A3385" s="83" t="str">
        <f t="shared" si="365"/>
        <v/>
      </c>
      <c r="B3385" s="83" t="str">
        <f t="shared" si="366"/>
        <v/>
      </c>
      <c r="S3385" s="83" t="str">
        <f t="shared" si="367"/>
        <v/>
      </c>
      <c r="T3385" s="83" t="str">
        <f t="shared" si="364"/>
        <v/>
      </c>
      <c r="Y3385" s="60">
        <f t="shared" si="368"/>
        <v>0</v>
      </c>
      <c r="Z3385" s="49">
        <f t="shared" si="369"/>
        <v>0</v>
      </c>
      <c r="AA3385" s="60">
        <f t="shared" si="370"/>
        <v>0</v>
      </c>
    </row>
    <row r="3386" spans="1:27">
      <c r="A3386" s="83" t="str">
        <f t="shared" si="365"/>
        <v/>
      </c>
      <c r="B3386" s="83" t="str">
        <f t="shared" si="366"/>
        <v/>
      </c>
      <c r="S3386" s="83" t="str">
        <f t="shared" si="367"/>
        <v/>
      </c>
      <c r="T3386" s="83" t="str">
        <f t="shared" si="364"/>
        <v/>
      </c>
      <c r="Y3386" s="60">
        <f t="shared" si="368"/>
        <v>0</v>
      </c>
      <c r="Z3386" s="49">
        <f t="shared" si="369"/>
        <v>0</v>
      </c>
      <c r="AA3386" s="60">
        <f t="shared" si="370"/>
        <v>0</v>
      </c>
    </row>
    <row r="3387" spans="1:27">
      <c r="A3387" s="83" t="str">
        <f t="shared" si="365"/>
        <v/>
      </c>
      <c r="B3387" s="83" t="str">
        <f t="shared" si="366"/>
        <v/>
      </c>
      <c r="S3387" s="83" t="str">
        <f t="shared" si="367"/>
        <v/>
      </c>
      <c r="T3387" s="83" t="str">
        <f t="shared" si="364"/>
        <v/>
      </c>
      <c r="Y3387" s="60">
        <f t="shared" si="368"/>
        <v>0</v>
      </c>
      <c r="Z3387" s="49">
        <f t="shared" si="369"/>
        <v>0</v>
      </c>
      <c r="AA3387" s="60">
        <f t="shared" si="370"/>
        <v>0</v>
      </c>
    </row>
    <row r="3388" spans="1:27">
      <c r="A3388" s="83" t="str">
        <f t="shared" si="365"/>
        <v/>
      </c>
      <c r="B3388" s="83" t="str">
        <f t="shared" si="366"/>
        <v/>
      </c>
      <c r="S3388" s="83" t="str">
        <f t="shared" si="367"/>
        <v/>
      </c>
      <c r="T3388" s="83" t="str">
        <f t="shared" si="364"/>
        <v/>
      </c>
      <c r="Y3388" s="60">
        <f t="shared" si="368"/>
        <v>0</v>
      </c>
      <c r="Z3388" s="49">
        <f t="shared" si="369"/>
        <v>0</v>
      </c>
      <c r="AA3388" s="60">
        <f t="shared" si="370"/>
        <v>0</v>
      </c>
    </row>
    <row r="3389" spans="1:27">
      <c r="A3389" s="83" t="str">
        <f t="shared" si="365"/>
        <v/>
      </c>
      <c r="B3389" s="83" t="str">
        <f t="shared" si="366"/>
        <v/>
      </c>
      <c r="S3389" s="83" t="str">
        <f t="shared" si="367"/>
        <v/>
      </c>
      <c r="T3389" s="83" t="str">
        <f t="shared" si="364"/>
        <v/>
      </c>
      <c r="Y3389" s="60">
        <f t="shared" si="368"/>
        <v>0</v>
      </c>
      <c r="Z3389" s="49">
        <f t="shared" si="369"/>
        <v>0</v>
      </c>
      <c r="AA3389" s="60">
        <f t="shared" si="370"/>
        <v>0</v>
      </c>
    </row>
    <row r="3390" spans="1:27">
      <c r="A3390" s="83" t="str">
        <f t="shared" si="365"/>
        <v/>
      </c>
      <c r="B3390" s="83" t="str">
        <f t="shared" si="366"/>
        <v/>
      </c>
      <c r="S3390" s="83" t="str">
        <f t="shared" si="367"/>
        <v/>
      </c>
      <c r="T3390" s="83" t="str">
        <f t="shared" si="364"/>
        <v/>
      </c>
      <c r="Y3390" s="60">
        <f t="shared" si="368"/>
        <v>0</v>
      </c>
      <c r="Z3390" s="49">
        <f t="shared" si="369"/>
        <v>0</v>
      </c>
      <c r="AA3390" s="60">
        <f t="shared" si="370"/>
        <v>0</v>
      </c>
    </row>
    <row r="3391" spans="1:27">
      <c r="A3391" s="83" t="str">
        <f t="shared" si="365"/>
        <v/>
      </c>
      <c r="B3391" s="83" t="str">
        <f t="shared" si="366"/>
        <v/>
      </c>
      <c r="S3391" s="83" t="str">
        <f t="shared" si="367"/>
        <v/>
      </c>
      <c r="T3391" s="83" t="str">
        <f t="shared" si="364"/>
        <v/>
      </c>
      <c r="Y3391" s="60">
        <f t="shared" si="368"/>
        <v>0</v>
      </c>
      <c r="Z3391" s="49">
        <f t="shared" si="369"/>
        <v>0</v>
      </c>
      <c r="AA3391" s="60">
        <f t="shared" si="370"/>
        <v>0</v>
      </c>
    </row>
    <row r="3392" spans="1:27">
      <c r="A3392" s="83" t="str">
        <f t="shared" si="365"/>
        <v/>
      </c>
      <c r="B3392" s="83" t="str">
        <f t="shared" si="366"/>
        <v/>
      </c>
      <c r="S3392" s="83" t="str">
        <f t="shared" si="367"/>
        <v/>
      </c>
      <c r="T3392" s="83" t="str">
        <f t="shared" si="364"/>
        <v/>
      </c>
      <c r="Y3392" s="60">
        <f t="shared" si="368"/>
        <v>0</v>
      </c>
      <c r="Z3392" s="49">
        <f t="shared" si="369"/>
        <v>0</v>
      </c>
      <c r="AA3392" s="60">
        <f t="shared" si="370"/>
        <v>0</v>
      </c>
    </row>
    <row r="3393" spans="1:27">
      <c r="A3393" s="83" t="str">
        <f t="shared" si="365"/>
        <v/>
      </c>
      <c r="B3393" s="83" t="str">
        <f t="shared" si="366"/>
        <v/>
      </c>
      <c r="S3393" s="83" t="str">
        <f t="shared" si="367"/>
        <v/>
      </c>
      <c r="T3393" s="83" t="str">
        <f t="shared" si="364"/>
        <v/>
      </c>
      <c r="Y3393" s="60">
        <f t="shared" si="368"/>
        <v>0</v>
      </c>
      <c r="Z3393" s="49">
        <f t="shared" si="369"/>
        <v>0</v>
      </c>
      <c r="AA3393" s="60">
        <f t="shared" si="370"/>
        <v>0</v>
      </c>
    </row>
    <row r="3394" spans="1:27">
      <c r="A3394" s="83" t="str">
        <f t="shared" si="365"/>
        <v/>
      </c>
      <c r="B3394" s="83" t="str">
        <f t="shared" si="366"/>
        <v/>
      </c>
      <c r="S3394" s="83" t="str">
        <f t="shared" si="367"/>
        <v/>
      </c>
      <c r="T3394" s="83" t="str">
        <f t="shared" ref="T3394:T3457" si="371">IF(A3394&lt;&gt;"",IF(FIND(" ",G3394)&gt;=1,MID(G3394,FIND(" ",G3394)+1,LEN(G3394)),""),"")</f>
        <v/>
      </c>
      <c r="Y3394" s="60">
        <f t="shared" si="368"/>
        <v>0</v>
      </c>
      <c r="Z3394" s="49">
        <f t="shared" si="369"/>
        <v>0</v>
      </c>
      <c r="AA3394" s="60">
        <f t="shared" si="370"/>
        <v>0</v>
      </c>
    </row>
    <row r="3395" spans="1:27">
      <c r="A3395" s="83" t="str">
        <f t="shared" ref="A3395:A3458" si="372">IF(G3395&amp;Q3395&lt;&gt;"",S3395&amp;Q3395,"")</f>
        <v/>
      </c>
      <c r="B3395" s="83" t="str">
        <f t="shared" ref="B3395:B3424" si="373">IF(C3395&lt;&gt;"",LEFT(C3395,9),"")</f>
        <v/>
      </c>
      <c r="S3395" s="83" t="str">
        <f t="shared" ref="S3395:S3458" si="374">IF(G3395&lt;&gt;"",IF(FIND(" ",G3395)&gt;=1,MID(G3395,1,FIND(" ",G3395)-1),G3395),"")</f>
        <v/>
      </c>
      <c r="T3395" s="83" t="str">
        <f t="shared" si="371"/>
        <v/>
      </c>
      <c r="Y3395" s="60">
        <f t="shared" ref="Y3395:Y3458" si="375">IFERROR(VALUE(MID($C3395,1,2)),0)</f>
        <v>0</v>
      </c>
      <c r="Z3395" s="49">
        <f t="shared" ref="Z3395:Z3458" si="376">IFERROR(VALUE(MID($C3395,4,3)),0)</f>
        <v>0</v>
      </c>
      <c r="AA3395" s="60">
        <f t="shared" ref="AA3395:AA3458" si="377">VALUE(RIGHT("00"&amp;Y3395,2)&amp;RIGHT("000"&amp;Z3395,3))</f>
        <v>0</v>
      </c>
    </row>
    <row r="3396" spans="1:27">
      <c r="A3396" s="83" t="str">
        <f t="shared" si="372"/>
        <v/>
      </c>
      <c r="B3396" s="83" t="str">
        <f t="shared" si="373"/>
        <v/>
      </c>
      <c r="S3396" s="83" t="str">
        <f t="shared" si="374"/>
        <v/>
      </c>
      <c r="T3396" s="83" t="str">
        <f t="shared" si="371"/>
        <v/>
      </c>
      <c r="Y3396" s="60">
        <f t="shared" si="375"/>
        <v>0</v>
      </c>
      <c r="Z3396" s="49">
        <f t="shared" si="376"/>
        <v>0</v>
      </c>
      <c r="AA3396" s="60">
        <f t="shared" si="377"/>
        <v>0</v>
      </c>
    </row>
    <row r="3397" spans="1:27">
      <c r="A3397" s="83" t="str">
        <f t="shared" si="372"/>
        <v/>
      </c>
      <c r="B3397" s="83" t="str">
        <f t="shared" si="373"/>
        <v/>
      </c>
      <c r="S3397" s="83" t="str">
        <f t="shared" si="374"/>
        <v/>
      </c>
      <c r="T3397" s="83" t="str">
        <f t="shared" si="371"/>
        <v/>
      </c>
      <c r="Y3397" s="60">
        <f t="shared" si="375"/>
        <v>0</v>
      </c>
      <c r="Z3397" s="49">
        <f t="shared" si="376"/>
        <v>0</v>
      </c>
      <c r="AA3397" s="60">
        <f t="shared" si="377"/>
        <v>0</v>
      </c>
    </row>
    <row r="3398" spans="1:27">
      <c r="A3398" s="83" t="str">
        <f t="shared" si="372"/>
        <v/>
      </c>
      <c r="B3398" s="83" t="str">
        <f t="shared" si="373"/>
        <v/>
      </c>
      <c r="S3398" s="83" t="str">
        <f t="shared" si="374"/>
        <v/>
      </c>
      <c r="T3398" s="83" t="str">
        <f t="shared" si="371"/>
        <v/>
      </c>
      <c r="Y3398" s="60">
        <f t="shared" si="375"/>
        <v>0</v>
      </c>
      <c r="Z3398" s="49">
        <f t="shared" si="376"/>
        <v>0</v>
      </c>
      <c r="AA3398" s="60">
        <f t="shared" si="377"/>
        <v>0</v>
      </c>
    </row>
    <row r="3399" spans="1:27">
      <c r="A3399" s="83" t="str">
        <f t="shared" si="372"/>
        <v/>
      </c>
      <c r="B3399" s="83" t="str">
        <f t="shared" si="373"/>
        <v/>
      </c>
      <c r="S3399" s="83" t="str">
        <f t="shared" si="374"/>
        <v/>
      </c>
      <c r="T3399" s="83" t="str">
        <f t="shared" si="371"/>
        <v/>
      </c>
      <c r="Y3399" s="60">
        <f t="shared" si="375"/>
        <v>0</v>
      </c>
      <c r="Z3399" s="49">
        <f t="shared" si="376"/>
        <v>0</v>
      </c>
      <c r="AA3399" s="60">
        <f t="shared" si="377"/>
        <v>0</v>
      </c>
    </row>
    <row r="3400" spans="1:27">
      <c r="A3400" s="83" t="str">
        <f t="shared" si="372"/>
        <v/>
      </c>
      <c r="B3400" s="83" t="str">
        <f t="shared" si="373"/>
        <v/>
      </c>
      <c r="S3400" s="83" t="str">
        <f t="shared" si="374"/>
        <v/>
      </c>
      <c r="T3400" s="83" t="str">
        <f t="shared" si="371"/>
        <v/>
      </c>
      <c r="Y3400" s="60">
        <f t="shared" si="375"/>
        <v>0</v>
      </c>
      <c r="Z3400" s="49">
        <f t="shared" si="376"/>
        <v>0</v>
      </c>
      <c r="AA3400" s="60">
        <f t="shared" si="377"/>
        <v>0</v>
      </c>
    </row>
    <row r="3401" spans="1:27">
      <c r="A3401" s="83" t="str">
        <f t="shared" si="372"/>
        <v/>
      </c>
      <c r="B3401" s="83" t="str">
        <f t="shared" si="373"/>
        <v/>
      </c>
      <c r="S3401" s="83" t="str">
        <f t="shared" si="374"/>
        <v/>
      </c>
      <c r="T3401" s="83" t="str">
        <f t="shared" si="371"/>
        <v/>
      </c>
      <c r="Y3401" s="60">
        <f t="shared" si="375"/>
        <v>0</v>
      </c>
      <c r="Z3401" s="49">
        <f t="shared" si="376"/>
        <v>0</v>
      </c>
      <c r="AA3401" s="60">
        <f t="shared" si="377"/>
        <v>0</v>
      </c>
    </row>
    <row r="3402" spans="1:27">
      <c r="A3402" s="83" t="str">
        <f t="shared" si="372"/>
        <v/>
      </c>
      <c r="B3402" s="83" t="str">
        <f t="shared" si="373"/>
        <v/>
      </c>
      <c r="S3402" s="83" t="str">
        <f t="shared" si="374"/>
        <v/>
      </c>
      <c r="T3402" s="83" t="str">
        <f t="shared" si="371"/>
        <v/>
      </c>
      <c r="Y3402" s="60">
        <f t="shared" si="375"/>
        <v>0</v>
      </c>
      <c r="Z3402" s="49">
        <f t="shared" si="376"/>
        <v>0</v>
      </c>
      <c r="AA3402" s="60">
        <f t="shared" si="377"/>
        <v>0</v>
      </c>
    </row>
    <row r="3403" spans="1:27">
      <c r="A3403" s="83" t="str">
        <f t="shared" si="372"/>
        <v/>
      </c>
      <c r="B3403" s="83" t="str">
        <f t="shared" si="373"/>
        <v/>
      </c>
      <c r="S3403" s="83" t="str">
        <f t="shared" si="374"/>
        <v/>
      </c>
      <c r="T3403" s="83" t="str">
        <f t="shared" si="371"/>
        <v/>
      </c>
      <c r="Y3403" s="60">
        <f t="shared" si="375"/>
        <v>0</v>
      </c>
      <c r="Z3403" s="49">
        <f t="shared" si="376"/>
        <v>0</v>
      </c>
      <c r="AA3403" s="60">
        <f t="shared" si="377"/>
        <v>0</v>
      </c>
    </row>
    <row r="3404" spans="1:27">
      <c r="A3404" s="83" t="str">
        <f t="shared" si="372"/>
        <v/>
      </c>
      <c r="B3404" s="83" t="str">
        <f t="shared" si="373"/>
        <v/>
      </c>
      <c r="S3404" s="83" t="str">
        <f t="shared" si="374"/>
        <v/>
      </c>
      <c r="T3404" s="83" t="str">
        <f t="shared" si="371"/>
        <v/>
      </c>
      <c r="Y3404" s="60">
        <f t="shared" si="375"/>
        <v>0</v>
      </c>
      <c r="Z3404" s="49">
        <f t="shared" si="376"/>
        <v>0</v>
      </c>
      <c r="AA3404" s="60">
        <f t="shared" si="377"/>
        <v>0</v>
      </c>
    </row>
    <row r="3405" spans="1:27">
      <c r="A3405" s="83" t="str">
        <f t="shared" si="372"/>
        <v/>
      </c>
      <c r="B3405" s="83" t="str">
        <f t="shared" si="373"/>
        <v/>
      </c>
      <c r="S3405" s="83" t="str">
        <f t="shared" si="374"/>
        <v/>
      </c>
      <c r="T3405" s="83" t="str">
        <f t="shared" si="371"/>
        <v/>
      </c>
      <c r="Y3405" s="60">
        <f t="shared" si="375"/>
        <v>0</v>
      </c>
      <c r="Z3405" s="49">
        <f t="shared" si="376"/>
        <v>0</v>
      </c>
      <c r="AA3405" s="60">
        <f t="shared" si="377"/>
        <v>0</v>
      </c>
    </row>
    <row r="3406" spans="1:27">
      <c r="A3406" s="83" t="str">
        <f t="shared" si="372"/>
        <v/>
      </c>
      <c r="B3406" s="83" t="str">
        <f t="shared" si="373"/>
        <v/>
      </c>
      <c r="S3406" s="83" t="str">
        <f t="shared" si="374"/>
        <v/>
      </c>
      <c r="T3406" s="83" t="str">
        <f t="shared" si="371"/>
        <v/>
      </c>
      <c r="Y3406" s="60">
        <f t="shared" si="375"/>
        <v>0</v>
      </c>
      <c r="Z3406" s="49">
        <f t="shared" si="376"/>
        <v>0</v>
      </c>
      <c r="AA3406" s="60">
        <f t="shared" si="377"/>
        <v>0</v>
      </c>
    </row>
    <row r="3407" spans="1:27">
      <c r="A3407" s="83" t="str">
        <f t="shared" si="372"/>
        <v/>
      </c>
      <c r="B3407" s="83" t="str">
        <f t="shared" si="373"/>
        <v/>
      </c>
      <c r="S3407" s="83" t="str">
        <f t="shared" si="374"/>
        <v/>
      </c>
      <c r="T3407" s="83" t="str">
        <f t="shared" si="371"/>
        <v/>
      </c>
      <c r="Y3407" s="60">
        <f t="shared" si="375"/>
        <v>0</v>
      </c>
      <c r="Z3407" s="49">
        <f t="shared" si="376"/>
        <v>0</v>
      </c>
      <c r="AA3407" s="60">
        <f t="shared" si="377"/>
        <v>0</v>
      </c>
    </row>
    <row r="3408" spans="1:27">
      <c r="A3408" s="83" t="str">
        <f t="shared" si="372"/>
        <v/>
      </c>
      <c r="B3408" s="83" t="str">
        <f t="shared" si="373"/>
        <v/>
      </c>
      <c r="S3408" s="83" t="str">
        <f t="shared" si="374"/>
        <v/>
      </c>
      <c r="T3408" s="83" t="str">
        <f t="shared" si="371"/>
        <v/>
      </c>
      <c r="Y3408" s="60">
        <f t="shared" si="375"/>
        <v>0</v>
      </c>
      <c r="Z3408" s="49">
        <f t="shared" si="376"/>
        <v>0</v>
      </c>
      <c r="AA3408" s="60">
        <f t="shared" si="377"/>
        <v>0</v>
      </c>
    </row>
    <row r="3409" spans="1:27">
      <c r="A3409" s="83" t="str">
        <f t="shared" si="372"/>
        <v/>
      </c>
      <c r="B3409" s="83" t="str">
        <f t="shared" si="373"/>
        <v/>
      </c>
      <c r="S3409" s="83" t="str">
        <f t="shared" si="374"/>
        <v/>
      </c>
      <c r="T3409" s="83" t="str">
        <f t="shared" si="371"/>
        <v/>
      </c>
      <c r="Y3409" s="60">
        <f t="shared" si="375"/>
        <v>0</v>
      </c>
      <c r="Z3409" s="49">
        <f t="shared" si="376"/>
        <v>0</v>
      </c>
      <c r="AA3409" s="60">
        <f t="shared" si="377"/>
        <v>0</v>
      </c>
    </row>
    <row r="3410" spans="1:27">
      <c r="A3410" s="83" t="str">
        <f t="shared" si="372"/>
        <v/>
      </c>
      <c r="B3410" s="83" t="str">
        <f t="shared" si="373"/>
        <v/>
      </c>
      <c r="S3410" s="83" t="str">
        <f t="shared" si="374"/>
        <v/>
      </c>
      <c r="T3410" s="83" t="str">
        <f t="shared" si="371"/>
        <v/>
      </c>
      <c r="Y3410" s="60">
        <f t="shared" si="375"/>
        <v>0</v>
      </c>
      <c r="Z3410" s="49">
        <f t="shared" si="376"/>
        <v>0</v>
      </c>
      <c r="AA3410" s="60">
        <f t="shared" si="377"/>
        <v>0</v>
      </c>
    </row>
    <row r="3411" spans="1:27">
      <c r="A3411" s="83" t="str">
        <f t="shared" si="372"/>
        <v/>
      </c>
      <c r="B3411" s="83" t="str">
        <f t="shared" si="373"/>
        <v/>
      </c>
      <c r="S3411" s="83" t="str">
        <f t="shared" si="374"/>
        <v/>
      </c>
      <c r="T3411" s="83" t="str">
        <f t="shared" si="371"/>
        <v/>
      </c>
      <c r="Y3411" s="60">
        <f t="shared" si="375"/>
        <v>0</v>
      </c>
      <c r="Z3411" s="49">
        <f t="shared" si="376"/>
        <v>0</v>
      </c>
      <c r="AA3411" s="60">
        <f t="shared" si="377"/>
        <v>0</v>
      </c>
    </row>
    <row r="3412" spans="1:27">
      <c r="A3412" s="83" t="str">
        <f t="shared" si="372"/>
        <v/>
      </c>
      <c r="B3412" s="83" t="str">
        <f t="shared" si="373"/>
        <v/>
      </c>
      <c r="S3412" s="83" t="str">
        <f t="shared" si="374"/>
        <v/>
      </c>
      <c r="T3412" s="83" t="str">
        <f t="shared" si="371"/>
        <v/>
      </c>
      <c r="Y3412" s="60">
        <f t="shared" si="375"/>
        <v>0</v>
      </c>
      <c r="Z3412" s="49">
        <f t="shared" si="376"/>
        <v>0</v>
      </c>
      <c r="AA3412" s="60">
        <f t="shared" si="377"/>
        <v>0</v>
      </c>
    </row>
    <row r="3413" spans="1:27">
      <c r="A3413" s="83" t="str">
        <f t="shared" si="372"/>
        <v/>
      </c>
      <c r="B3413" s="83" t="str">
        <f t="shared" si="373"/>
        <v/>
      </c>
      <c r="S3413" s="83" t="str">
        <f t="shared" si="374"/>
        <v/>
      </c>
      <c r="T3413" s="83" t="str">
        <f t="shared" si="371"/>
        <v/>
      </c>
      <c r="Y3413" s="60">
        <f t="shared" si="375"/>
        <v>0</v>
      </c>
      <c r="Z3413" s="49">
        <f t="shared" si="376"/>
        <v>0</v>
      </c>
      <c r="AA3413" s="60">
        <f t="shared" si="377"/>
        <v>0</v>
      </c>
    </row>
    <row r="3414" spans="1:27">
      <c r="A3414" s="83" t="str">
        <f t="shared" si="372"/>
        <v/>
      </c>
      <c r="B3414" s="83" t="str">
        <f t="shared" si="373"/>
        <v/>
      </c>
      <c r="S3414" s="83" t="str">
        <f t="shared" si="374"/>
        <v/>
      </c>
      <c r="T3414" s="83" t="str">
        <f t="shared" si="371"/>
        <v/>
      </c>
      <c r="Y3414" s="60">
        <f t="shared" si="375"/>
        <v>0</v>
      </c>
      <c r="Z3414" s="49">
        <f t="shared" si="376"/>
        <v>0</v>
      </c>
      <c r="AA3414" s="60">
        <f t="shared" si="377"/>
        <v>0</v>
      </c>
    </row>
    <row r="3415" spans="1:27">
      <c r="A3415" s="83" t="str">
        <f t="shared" si="372"/>
        <v/>
      </c>
      <c r="B3415" s="83" t="str">
        <f t="shared" si="373"/>
        <v/>
      </c>
      <c r="S3415" s="83" t="str">
        <f t="shared" si="374"/>
        <v/>
      </c>
      <c r="T3415" s="83" t="str">
        <f t="shared" si="371"/>
        <v/>
      </c>
      <c r="Y3415" s="60">
        <f t="shared" si="375"/>
        <v>0</v>
      </c>
      <c r="Z3415" s="49">
        <f t="shared" si="376"/>
        <v>0</v>
      </c>
      <c r="AA3415" s="60">
        <f t="shared" si="377"/>
        <v>0</v>
      </c>
    </row>
    <row r="3416" spans="1:27">
      <c r="A3416" s="83" t="str">
        <f t="shared" si="372"/>
        <v/>
      </c>
      <c r="B3416" s="83" t="str">
        <f t="shared" si="373"/>
        <v/>
      </c>
      <c r="S3416" s="83" t="str">
        <f t="shared" si="374"/>
        <v/>
      </c>
      <c r="T3416" s="83" t="str">
        <f t="shared" si="371"/>
        <v/>
      </c>
      <c r="Y3416" s="60">
        <f t="shared" si="375"/>
        <v>0</v>
      </c>
      <c r="Z3416" s="49">
        <f t="shared" si="376"/>
        <v>0</v>
      </c>
      <c r="AA3416" s="60">
        <f t="shared" si="377"/>
        <v>0</v>
      </c>
    </row>
    <row r="3417" spans="1:27">
      <c r="A3417" s="83" t="str">
        <f t="shared" si="372"/>
        <v/>
      </c>
      <c r="B3417" s="83" t="str">
        <f t="shared" si="373"/>
        <v/>
      </c>
      <c r="S3417" s="83" t="str">
        <f t="shared" si="374"/>
        <v/>
      </c>
      <c r="T3417" s="83" t="str">
        <f t="shared" si="371"/>
        <v/>
      </c>
      <c r="Y3417" s="60">
        <f t="shared" si="375"/>
        <v>0</v>
      </c>
      <c r="Z3417" s="49">
        <f t="shared" si="376"/>
        <v>0</v>
      </c>
      <c r="AA3417" s="60">
        <f t="shared" si="377"/>
        <v>0</v>
      </c>
    </row>
    <row r="3418" spans="1:27">
      <c r="A3418" s="83" t="str">
        <f t="shared" si="372"/>
        <v/>
      </c>
      <c r="B3418" s="83" t="str">
        <f t="shared" si="373"/>
        <v/>
      </c>
      <c r="S3418" s="83" t="str">
        <f t="shared" si="374"/>
        <v/>
      </c>
      <c r="T3418" s="83" t="str">
        <f t="shared" si="371"/>
        <v/>
      </c>
      <c r="Y3418" s="60">
        <f t="shared" si="375"/>
        <v>0</v>
      </c>
      <c r="Z3418" s="49">
        <f t="shared" si="376"/>
        <v>0</v>
      </c>
      <c r="AA3418" s="60">
        <f t="shared" si="377"/>
        <v>0</v>
      </c>
    </row>
    <row r="3419" spans="1:27">
      <c r="A3419" s="83" t="str">
        <f t="shared" si="372"/>
        <v/>
      </c>
      <c r="B3419" s="83" t="str">
        <f t="shared" si="373"/>
        <v/>
      </c>
      <c r="S3419" s="83" t="str">
        <f t="shared" si="374"/>
        <v/>
      </c>
      <c r="T3419" s="83" t="str">
        <f t="shared" si="371"/>
        <v/>
      </c>
      <c r="Y3419" s="60">
        <f t="shared" si="375"/>
        <v>0</v>
      </c>
      <c r="Z3419" s="49">
        <f t="shared" si="376"/>
        <v>0</v>
      </c>
      <c r="AA3419" s="60">
        <f t="shared" si="377"/>
        <v>0</v>
      </c>
    </row>
    <row r="3420" spans="1:27">
      <c r="A3420" s="83" t="str">
        <f t="shared" si="372"/>
        <v/>
      </c>
      <c r="B3420" s="83" t="str">
        <f t="shared" si="373"/>
        <v/>
      </c>
      <c r="S3420" s="83" t="str">
        <f t="shared" si="374"/>
        <v/>
      </c>
      <c r="T3420" s="83" t="str">
        <f t="shared" si="371"/>
        <v/>
      </c>
      <c r="Y3420" s="60">
        <f t="shared" si="375"/>
        <v>0</v>
      </c>
      <c r="Z3420" s="49">
        <f t="shared" si="376"/>
        <v>0</v>
      </c>
      <c r="AA3420" s="60">
        <f t="shared" si="377"/>
        <v>0</v>
      </c>
    </row>
    <row r="3421" spans="1:27">
      <c r="A3421" s="83" t="str">
        <f t="shared" si="372"/>
        <v/>
      </c>
      <c r="B3421" s="83" t="str">
        <f t="shared" si="373"/>
        <v/>
      </c>
      <c r="S3421" s="83" t="str">
        <f t="shared" si="374"/>
        <v/>
      </c>
      <c r="T3421" s="83" t="str">
        <f t="shared" si="371"/>
        <v/>
      </c>
      <c r="Y3421" s="60">
        <f t="shared" si="375"/>
        <v>0</v>
      </c>
      <c r="Z3421" s="49">
        <f t="shared" si="376"/>
        <v>0</v>
      </c>
      <c r="AA3421" s="60">
        <f t="shared" si="377"/>
        <v>0</v>
      </c>
    </row>
    <row r="3422" spans="1:27">
      <c r="A3422" s="83" t="str">
        <f t="shared" si="372"/>
        <v/>
      </c>
      <c r="B3422" s="83" t="str">
        <f t="shared" si="373"/>
        <v/>
      </c>
      <c r="S3422" s="83" t="str">
        <f t="shared" si="374"/>
        <v/>
      </c>
      <c r="T3422" s="83" t="str">
        <f t="shared" si="371"/>
        <v/>
      </c>
      <c r="Y3422" s="60">
        <f t="shared" si="375"/>
        <v>0</v>
      </c>
      <c r="Z3422" s="49">
        <f t="shared" si="376"/>
        <v>0</v>
      </c>
      <c r="AA3422" s="60">
        <f t="shared" si="377"/>
        <v>0</v>
      </c>
    </row>
    <row r="3423" spans="1:27">
      <c r="A3423" s="83" t="str">
        <f t="shared" si="372"/>
        <v/>
      </c>
      <c r="B3423" s="83" t="str">
        <f t="shared" si="373"/>
        <v/>
      </c>
      <c r="S3423" s="83" t="str">
        <f t="shared" si="374"/>
        <v/>
      </c>
      <c r="T3423" s="83" t="str">
        <f t="shared" si="371"/>
        <v/>
      </c>
      <c r="Y3423" s="60">
        <f t="shared" si="375"/>
        <v>0</v>
      </c>
      <c r="Z3423" s="49">
        <f t="shared" si="376"/>
        <v>0</v>
      </c>
      <c r="AA3423" s="60">
        <f t="shared" si="377"/>
        <v>0</v>
      </c>
    </row>
    <row r="3424" spans="1:27">
      <c r="A3424" s="83" t="str">
        <f t="shared" si="372"/>
        <v/>
      </c>
      <c r="B3424" s="83" t="str">
        <f t="shared" si="373"/>
        <v/>
      </c>
      <c r="S3424" s="83" t="str">
        <f t="shared" si="374"/>
        <v/>
      </c>
      <c r="T3424" s="83" t="str">
        <f t="shared" si="371"/>
        <v/>
      </c>
      <c r="Y3424" s="60">
        <f t="shared" si="375"/>
        <v>0</v>
      </c>
      <c r="Z3424" s="49">
        <f t="shared" si="376"/>
        <v>0</v>
      </c>
      <c r="AA3424" s="60">
        <f t="shared" si="377"/>
        <v>0</v>
      </c>
    </row>
    <row r="3425" spans="1:27">
      <c r="A3425" s="83" t="str">
        <f t="shared" si="372"/>
        <v/>
      </c>
      <c r="B3425" s="83" t="str">
        <f t="shared" ref="B3425:B3488" si="378">IF(C3425&lt;&gt;"",LEFT(C3425,9),"")</f>
        <v/>
      </c>
      <c r="S3425" s="83" t="str">
        <f t="shared" si="374"/>
        <v/>
      </c>
      <c r="T3425" s="83" t="str">
        <f t="shared" si="371"/>
        <v/>
      </c>
      <c r="Y3425" s="60">
        <f t="shared" si="375"/>
        <v>0</v>
      </c>
      <c r="Z3425" s="49">
        <f t="shared" si="376"/>
        <v>0</v>
      </c>
      <c r="AA3425" s="60">
        <f t="shared" si="377"/>
        <v>0</v>
      </c>
    </row>
    <row r="3426" spans="1:27">
      <c r="A3426" s="83" t="str">
        <f t="shared" si="372"/>
        <v/>
      </c>
      <c r="B3426" s="83" t="str">
        <f t="shared" si="378"/>
        <v/>
      </c>
      <c r="S3426" s="83" t="str">
        <f t="shared" si="374"/>
        <v/>
      </c>
      <c r="T3426" s="83" t="str">
        <f t="shared" si="371"/>
        <v/>
      </c>
      <c r="Y3426" s="60">
        <f t="shared" si="375"/>
        <v>0</v>
      </c>
      <c r="Z3426" s="49">
        <f t="shared" si="376"/>
        <v>0</v>
      </c>
      <c r="AA3426" s="60">
        <f t="shared" si="377"/>
        <v>0</v>
      </c>
    </row>
    <row r="3427" spans="1:27">
      <c r="A3427" s="83" t="str">
        <f t="shared" si="372"/>
        <v/>
      </c>
      <c r="B3427" s="83" t="str">
        <f t="shared" si="378"/>
        <v/>
      </c>
      <c r="S3427" s="83" t="str">
        <f t="shared" si="374"/>
        <v/>
      </c>
      <c r="T3427" s="83" t="str">
        <f t="shared" si="371"/>
        <v/>
      </c>
      <c r="Y3427" s="60">
        <f t="shared" si="375"/>
        <v>0</v>
      </c>
      <c r="Z3427" s="49">
        <f t="shared" si="376"/>
        <v>0</v>
      </c>
      <c r="AA3427" s="60">
        <f t="shared" si="377"/>
        <v>0</v>
      </c>
    </row>
    <row r="3428" spans="1:27">
      <c r="A3428" s="83" t="str">
        <f t="shared" si="372"/>
        <v/>
      </c>
      <c r="B3428" s="83" t="str">
        <f t="shared" si="378"/>
        <v/>
      </c>
      <c r="S3428" s="83" t="str">
        <f t="shared" si="374"/>
        <v/>
      </c>
      <c r="T3428" s="83" t="str">
        <f t="shared" si="371"/>
        <v/>
      </c>
      <c r="Y3428" s="60">
        <f t="shared" si="375"/>
        <v>0</v>
      </c>
      <c r="Z3428" s="49">
        <f t="shared" si="376"/>
        <v>0</v>
      </c>
      <c r="AA3428" s="60">
        <f t="shared" si="377"/>
        <v>0</v>
      </c>
    </row>
    <row r="3429" spans="1:27">
      <c r="A3429" s="83" t="str">
        <f t="shared" si="372"/>
        <v/>
      </c>
      <c r="B3429" s="83" t="str">
        <f t="shared" si="378"/>
        <v/>
      </c>
      <c r="S3429" s="83" t="str">
        <f t="shared" si="374"/>
        <v/>
      </c>
      <c r="T3429" s="83" t="str">
        <f t="shared" si="371"/>
        <v/>
      </c>
      <c r="Y3429" s="60">
        <f t="shared" si="375"/>
        <v>0</v>
      </c>
      <c r="Z3429" s="49">
        <f t="shared" si="376"/>
        <v>0</v>
      </c>
      <c r="AA3429" s="60">
        <f t="shared" si="377"/>
        <v>0</v>
      </c>
    </row>
    <row r="3430" spans="1:27">
      <c r="A3430" s="83" t="str">
        <f t="shared" si="372"/>
        <v/>
      </c>
      <c r="B3430" s="83" t="str">
        <f t="shared" si="378"/>
        <v/>
      </c>
      <c r="S3430" s="83" t="str">
        <f t="shared" si="374"/>
        <v/>
      </c>
      <c r="T3430" s="83" t="str">
        <f t="shared" si="371"/>
        <v/>
      </c>
      <c r="Y3430" s="60">
        <f t="shared" si="375"/>
        <v>0</v>
      </c>
      <c r="Z3430" s="49">
        <f t="shared" si="376"/>
        <v>0</v>
      </c>
      <c r="AA3430" s="60">
        <f t="shared" si="377"/>
        <v>0</v>
      </c>
    </row>
    <row r="3431" spans="1:27">
      <c r="A3431" s="83" t="str">
        <f t="shared" si="372"/>
        <v/>
      </c>
      <c r="B3431" s="83" t="str">
        <f t="shared" si="378"/>
        <v/>
      </c>
      <c r="S3431" s="83" t="str">
        <f t="shared" si="374"/>
        <v/>
      </c>
      <c r="T3431" s="83" t="str">
        <f t="shared" si="371"/>
        <v/>
      </c>
      <c r="Y3431" s="60">
        <f t="shared" si="375"/>
        <v>0</v>
      </c>
      <c r="Z3431" s="49">
        <f t="shared" si="376"/>
        <v>0</v>
      </c>
      <c r="AA3431" s="60">
        <f t="shared" si="377"/>
        <v>0</v>
      </c>
    </row>
    <row r="3432" spans="1:27">
      <c r="A3432" s="83" t="str">
        <f t="shared" si="372"/>
        <v/>
      </c>
      <c r="B3432" s="83" t="str">
        <f t="shared" si="378"/>
        <v/>
      </c>
      <c r="S3432" s="83" t="str">
        <f t="shared" si="374"/>
        <v/>
      </c>
      <c r="T3432" s="83" t="str">
        <f t="shared" si="371"/>
        <v/>
      </c>
      <c r="Y3432" s="60">
        <f t="shared" si="375"/>
        <v>0</v>
      </c>
      <c r="Z3432" s="49">
        <f t="shared" si="376"/>
        <v>0</v>
      </c>
      <c r="AA3432" s="60">
        <f t="shared" si="377"/>
        <v>0</v>
      </c>
    </row>
    <row r="3433" spans="1:27">
      <c r="A3433" s="83" t="str">
        <f t="shared" si="372"/>
        <v/>
      </c>
      <c r="B3433" s="83" t="str">
        <f t="shared" si="378"/>
        <v/>
      </c>
      <c r="S3433" s="83" t="str">
        <f t="shared" si="374"/>
        <v/>
      </c>
      <c r="T3433" s="83" t="str">
        <f t="shared" si="371"/>
        <v/>
      </c>
      <c r="Y3433" s="60">
        <f t="shared" si="375"/>
        <v>0</v>
      </c>
      <c r="Z3433" s="49">
        <f t="shared" si="376"/>
        <v>0</v>
      </c>
      <c r="AA3433" s="60">
        <f t="shared" si="377"/>
        <v>0</v>
      </c>
    </row>
    <row r="3434" spans="1:27">
      <c r="A3434" s="83" t="str">
        <f t="shared" si="372"/>
        <v/>
      </c>
      <c r="B3434" s="83" t="str">
        <f t="shared" si="378"/>
        <v/>
      </c>
      <c r="S3434" s="83" t="str">
        <f t="shared" si="374"/>
        <v/>
      </c>
      <c r="T3434" s="83" t="str">
        <f t="shared" si="371"/>
        <v/>
      </c>
      <c r="Y3434" s="60">
        <f t="shared" si="375"/>
        <v>0</v>
      </c>
      <c r="Z3434" s="49">
        <f t="shared" si="376"/>
        <v>0</v>
      </c>
      <c r="AA3434" s="60">
        <f t="shared" si="377"/>
        <v>0</v>
      </c>
    </row>
    <row r="3435" spans="1:27">
      <c r="A3435" s="83" t="str">
        <f t="shared" si="372"/>
        <v/>
      </c>
      <c r="B3435" s="83" t="str">
        <f t="shared" si="378"/>
        <v/>
      </c>
      <c r="S3435" s="83" t="str">
        <f t="shared" si="374"/>
        <v/>
      </c>
      <c r="T3435" s="83" t="str">
        <f t="shared" si="371"/>
        <v/>
      </c>
      <c r="Y3435" s="60">
        <f t="shared" si="375"/>
        <v>0</v>
      </c>
      <c r="Z3435" s="49">
        <f t="shared" si="376"/>
        <v>0</v>
      </c>
      <c r="AA3435" s="60">
        <f t="shared" si="377"/>
        <v>0</v>
      </c>
    </row>
    <row r="3436" spans="1:27">
      <c r="A3436" s="83" t="str">
        <f t="shared" si="372"/>
        <v/>
      </c>
      <c r="B3436" s="83" t="str">
        <f t="shared" si="378"/>
        <v/>
      </c>
      <c r="S3436" s="83" t="str">
        <f t="shared" si="374"/>
        <v/>
      </c>
      <c r="T3436" s="83" t="str">
        <f t="shared" si="371"/>
        <v/>
      </c>
      <c r="Y3436" s="60">
        <f t="shared" si="375"/>
        <v>0</v>
      </c>
      <c r="Z3436" s="49">
        <f t="shared" si="376"/>
        <v>0</v>
      </c>
      <c r="AA3436" s="60">
        <f t="shared" si="377"/>
        <v>0</v>
      </c>
    </row>
    <row r="3437" spans="1:27">
      <c r="A3437" s="83" t="str">
        <f t="shared" si="372"/>
        <v/>
      </c>
      <c r="B3437" s="83" t="str">
        <f t="shared" si="378"/>
        <v/>
      </c>
      <c r="S3437" s="83" t="str">
        <f t="shared" si="374"/>
        <v/>
      </c>
      <c r="T3437" s="83" t="str">
        <f t="shared" si="371"/>
        <v/>
      </c>
      <c r="Y3437" s="60">
        <f t="shared" si="375"/>
        <v>0</v>
      </c>
      <c r="Z3437" s="49">
        <f t="shared" si="376"/>
        <v>0</v>
      </c>
      <c r="AA3437" s="60">
        <f t="shared" si="377"/>
        <v>0</v>
      </c>
    </row>
    <row r="3438" spans="1:27">
      <c r="A3438" s="83" t="str">
        <f t="shared" si="372"/>
        <v/>
      </c>
      <c r="B3438" s="83" t="str">
        <f t="shared" si="378"/>
        <v/>
      </c>
      <c r="S3438" s="83" t="str">
        <f t="shared" si="374"/>
        <v/>
      </c>
      <c r="T3438" s="83" t="str">
        <f t="shared" si="371"/>
        <v/>
      </c>
      <c r="Y3438" s="60">
        <f t="shared" si="375"/>
        <v>0</v>
      </c>
      <c r="Z3438" s="49">
        <f t="shared" si="376"/>
        <v>0</v>
      </c>
      <c r="AA3438" s="60">
        <f t="shared" si="377"/>
        <v>0</v>
      </c>
    </row>
    <row r="3439" spans="1:27">
      <c r="A3439" s="83" t="str">
        <f t="shared" si="372"/>
        <v/>
      </c>
      <c r="B3439" s="83" t="str">
        <f t="shared" si="378"/>
        <v/>
      </c>
      <c r="S3439" s="83" t="str">
        <f t="shared" si="374"/>
        <v/>
      </c>
      <c r="T3439" s="83" t="str">
        <f t="shared" si="371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>
      <c r="A3440" s="83" t="str">
        <f t="shared" si="372"/>
        <v/>
      </c>
      <c r="B3440" s="83" t="str">
        <f t="shared" si="378"/>
        <v/>
      </c>
      <c r="S3440" s="83" t="str">
        <f t="shared" si="374"/>
        <v/>
      </c>
      <c r="T3440" s="83" t="str">
        <f t="shared" si="371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>
      <c r="A3441" s="83" t="str">
        <f t="shared" si="372"/>
        <v/>
      </c>
      <c r="B3441" s="83" t="str">
        <f t="shared" si="378"/>
        <v/>
      </c>
      <c r="S3441" s="83" t="str">
        <f t="shared" si="374"/>
        <v/>
      </c>
      <c r="T3441" s="83" t="str">
        <f t="shared" si="371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>
      <c r="A3442" s="83" t="str">
        <f t="shared" si="372"/>
        <v/>
      </c>
      <c r="B3442" s="83" t="str">
        <f t="shared" si="378"/>
        <v/>
      </c>
      <c r="S3442" s="83" t="str">
        <f t="shared" si="374"/>
        <v/>
      </c>
      <c r="T3442" s="83" t="str">
        <f t="shared" si="371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>
      <c r="A3443" s="83" t="str">
        <f t="shared" si="372"/>
        <v/>
      </c>
      <c r="B3443" s="83" t="str">
        <f t="shared" si="378"/>
        <v/>
      </c>
      <c r="S3443" s="83" t="str">
        <f t="shared" si="374"/>
        <v/>
      </c>
      <c r="T3443" s="83" t="str">
        <f t="shared" si="371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>
      <c r="A3444" s="83" t="str">
        <f t="shared" si="372"/>
        <v/>
      </c>
      <c r="B3444" s="83" t="str">
        <f t="shared" si="378"/>
        <v/>
      </c>
      <c r="S3444" s="83" t="str">
        <f t="shared" si="374"/>
        <v/>
      </c>
      <c r="T3444" s="83" t="str">
        <f t="shared" si="371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>
      <c r="A3445" s="83" t="str">
        <f t="shared" si="372"/>
        <v/>
      </c>
      <c r="B3445" s="83" t="str">
        <f t="shared" si="378"/>
        <v/>
      </c>
      <c r="S3445" s="83" t="str">
        <f t="shared" si="374"/>
        <v/>
      </c>
      <c r="T3445" s="83" t="str">
        <f t="shared" si="371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>
      <c r="A3446" s="83" t="str">
        <f t="shared" si="372"/>
        <v/>
      </c>
      <c r="B3446" s="83" t="str">
        <f t="shared" si="378"/>
        <v/>
      </c>
      <c r="S3446" s="83" t="str">
        <f t="shared" si="374"/>
        <v/>
      </c>
      <c r="T3446" s="83" t="str">
        <f t="shared" si="371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>
      <c r="A3447" s="83" t="str">
        <f t="shared" si="372"/>
        <v/>
      </c>
      <c r="B3447" s="83" t="str">
        <f t="shared" si="378"/>
        <v/>
      </c>
      <c r="S3447" s="83" t="str">
        <f t="shared" si="374"/>
        <v/>
      </c>
      <c r="T3447" s="83" t="str">
        <f t="shared" si="371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>
      <c r="A3448" s="83" t="str">
        <f t="shared" si="372"/>
        <v/>
      </c>
      <c r="B3448" s="83" t="str">
        <f t="shared" si="378"/>
        <v/>
      </c>
      <c r="S3448" s="83" t="str">
        <f t="shared" si="374"/>
        <v/>
      </c>
      <c r="T3448" s="83" t="str">
        <f t="shared" si="371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>
      <c r="A3449" s="83" t="str">
        <f t="shared" si="372"/>
        <v/>
      </c>
      <c r="B3449" s="83" t="str">
        <f t="shared" si="378"/>
        <v/>
      </c>
      <c r="S3449" s="83" t="str">
        <f t="shared" si="374"/>
        <v/>
      </c>
      <c r="T3449" s="83" t="str">
        <f t="shared" si="371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>
      <c r="A3450" s="83" t="str">
        <f t="shared" si="372"/>
        <v/>
      </c>
      <c r="B3450" s="83" t="str">
        <f t="shared" si="378"/>
        <v/>
      </c>
      <c r="S3450" s="83" t="str">
        <f t="shared" si="374"/>
        <v/>
      </c>
      <c r="T3450" s="83" t="str">
        <f t="shared" si="371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>
      <c r="A3451" s="83" t="str">
        <f t="shared" si="372"/>
        <v/>
      </c>
      <c r="B3451" s="83" t="str">
        <f t="shared" si="378"/>
        <v/>
      </c>
      <c r="S3451" s="83" t="str">
        <f t="shared" si="374"/>
        <v/>
      </c>
      <c r="T3451" s="83" t="str">
        <f t="shared" si="371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>
      <c r="A3452" s="83" t="str">
        <f t="shared" si="372"/>
        <v/>
      </c>
      <c r="B3452" s="83" t="str">
        <f t="shared" si="378"/>
        <v/>
      </c>
      <c r="S3452" s="83" t="str">
        <f t="shared" si="374"/>
        <v/>
      </c>
      <c r="T3452" s="83" t="str">
        <f t="shared" si="371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>
      <c r="A3453" s="83" t="str">
        <f t="shared" si="372"/>
        <v/>
      </c>
      <c r="B3453" s="83" t="str">
        <f t="shared" si="378"/>
        <v/>
      </c>
      <c r="S3453" s="83" t="str">
        <f t="shared" si="374"/>
        <v/>
      </c>
      <c r="T3453" s="83" t="str">
        <f t="shared" si="371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>
      <c r="A3454" s="83" t="str">
        <f t="shared" si="372"/>
        <v/>
      </c>
      <c r="B3454" s="83" t="str">
        <f t="shared" si="378"/>
        <v/>
      </c>
      <c r="S3454" s="83" t="str">
        <f t="shared" si="374"/>
        <v/>
      </c>
      <c r="T3454" s="83" t="str">
        <f t="shared" si="371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>
      <c r="A3455" s="83" t="str">
        <f t="shared" si="372"/>
        <v/>
      </c>
      <c r="B3455" s="83" t="str">
        <f t="shared" si="378"/>
        <v/>
      </c>
      <c r="S3455" s="83" t="str">
        <f t="shared" si="374"/>
        <v/>
      </c>
      <c r="T3455" s="83" t="str">
        <f t="shared" si="371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>
      <c r="A3456" s="83" t="str">
        <f t="shared" si="372"/>
        <v/>
      </c>
      <c r="B3456" s="83" t="str">
        <f t="shared" si="378"/>
        <v/>
      </c>
      <c r="S3456" s="83" t="str">
        <f t="shared" si="374"/>
        <v/>
      </c>
      <c r="T3456" s="83" t="str">
        <f t="shared" si="371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>
      <c r="A3457" s="83" t="str">
        <f t="shared" si="372"/>
        <v/>
      </c>
      <c r="B3457" s="83" t="str">
        <f t="shared" si="378"/>
        <v/>
      </c>
      <c r="S3457" s="83" t="str">
        <f t="shared" si="374"/>
        <v/>
      </c>
      <c r="T3457" s="83" t="str">
        <f t="shared" si="371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>
      <c r="A3458" s="83" t="str">
        <f t="shared" si="372"/>
        <v/>
      </c>
      <c r="B3458" s="83" t="str">
        <f t="shared" si="378"/>
        <v/>
      </c>
      <c r="S3458" s="83" t="str">
        <f t="shared" si="374"/>
        <v/>
      </c>
      <c r="T3458" s="83" t="str">
        <f t="shared" ref="T3458:T3521" si="379">IF(A3458&lt;&gt;"",IF(FIND(" ",G3458)&gt;=1,MID(G3458,FIND(" ",G3458)+1,LEN(G3458)),""),"")</f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>
      <c r="A3459" s="83" t="str">
        <f t="shared" ref="A3459:A3522" si="380">IF(G3459&amp;Q3459&lt;&gt;"",S3459&amp;Q3459,"")</f>
        <v/>
      </c>
      <c r="B3459" s="83" t="str">
        <f t="shared" si="378"/>
        <v/>
      </c>
      <c r="S3459" s="83" t="str">
        <f t="shared" ref="S3459:S3522" si="381">IF(G3459&lt;&gt;"",IF(FIND(" ",G3459)&gt;=1,MID(G3459,1,FIND(" ",G3459)-1),G3459),"")</f>
        <v/>
      </c>
      <c r="T3459" s="83" t="str">
        <f t="shared" si="379"/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>
      <c r="A3460" s="83" t="str">
        <f t="shared" si="380"/>
        <v/>
      </c>
      <c r="B3460" s="83" t="str">
        <f t="shared" si="378"/>
        <v/>
      </c>
      <c r="S3460" s="83" t="str">
        <f t="shared" si="381"/>
        <v/>
      </c>
      <c r="T3460" s="83" t="str">
        <f t="shared" si="379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>
      <c r="A3461" s="83" t="str">
        <f t="shared" si="380"/>
        <v/>
      </c>
      <c r="B3461" s="83" t="str">
        <f t="shared" si="378"/>
        <v/>
      </c>
      <c r="S3461" s="83" t="str">
        <f t="shared" si="381"/>
        <v/>
      </c>
      <c r="T3461" s="83" t="str">
        <f t="shared" si="379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>
      <c r="A3462" s="83" t="str">
        <f t="shared" si="380"/>
        <v/>
      </c>
      <c r="B3462" s="83" t="str">
        <f t="shared" si="378"/>
        <v/>
      </c>
      <c r="S3462" s="83" t="str">
        <f t="shared" si="381"/>
        <v/>
      </c>
      <c r="T3462" s="83" t="str">
        <f t="shared" si="379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>
      <c r="A3463" s="83" t="str">
        <f t="shared" si="380"/>
        <v/>
      </c>
      <c r="B3463" s="83" t="str">
        <f t="shared" si="378"/>
        <v/>
      </c>
      <c r="S3463" s="83" t="str">
        <f t="shared" si="381"/>
        <v/>
      </c>
      <c r="T3463" s="83" t="str">
        <f t="shared" si="379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>
      <c r="A3464" s="83" t="str">
        <f t="shared" si="380"/>
        <v/>
      </c>
      <c r="B3464" s="83" t="str">
        <f t="shared" si="378"/>
        <v/>
      </c>
      <c r="S3464" s="83" t="str">
        <f t="shared" si="381"/>
        <v/>
      </c>
      <c r="T3464" s="83" t="str">
        <f t="shared" si="379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>
      <c r="A3465" s="83" t="str">
        <f t="shared" si="380"/>
        <v/>
      </c>
      <c r="B3465" s="83" t="str">
        <f t="shared" si="378"/>
        <v/>
      </c>
      <c r="S3465" s="83" t="str">
        <f t="shared" si="381"/>
        <v/>
      </c>
      <c r="T3465" s="83" t="str">
        <f t="shared" si="379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>
      <c r="A3466" s="83" t="str">
        <f t="shared" si="380"/>
        <v/>
      </c>
      <c r="B3466" s="83" t="str">
        <f t="shared" si="378"/>
        <v/>
      </c>
      <c r="S3466" s="83" t="str">
        <f t="shared" si="381"/>
        <v/>
      </c>
      <c r="T3466" s="83" t="str">
        <f t="shared" si="379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>
      <c r="A3467" s="83" t="str">
        <f t="shared" si="380"/>
        <v/>
      </c>
      <c r="B3467" s="83" t="str">
        <f t="shared" si="378"/>
        <v/>
      </c>
      <c r="S3467" s="83" t="str">
        <f t="shared" si="381"/>
        <v/>
      </c>
      <c r="T3467" s="83" t="str">
        <f t="shared" si="379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>
      <c r="A3468" s="83" t="str">
        <f t="shared" si="380"/>
        <v/>
      </c>
      <c r="B3468" s="83" t="str">
        <f t="shared" si="378"/>
        <v/>
      </c>
      <c r="S3468" s="83" t="str">
        <f t="shared" si="381"/>
        <v/>
      </c>
      <c r="T3468" s="83" t="str">
        <f t="shared" si="379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>
      <c r="A3469" s="83" t="str">
        <f t="shared" si="380"/>
        <v/>
      </c>
      <c r="B3469" s="83" t="str">
        <f t="shared" si="378"/>
        <v/>
      </c>
      <c r="S3469" s="83" t="str">
        <f t="shared" si="381"/>
        <v/>
      </c>
      <c r="T3469" s="83" t="str">
        <f t="shared" si="379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>
      <c r="A3470" s="83" t="str">
        <f t="shared" si="380"/>
        <v/>
      </c>
      <c r="B3470" s="83" t="str">
        <f t="shared" si="378"/>
        <v/>
      </c>
      <c r="S3470" s="83" t="str">
        <f t="shared" si="381"/>
        <v/>
      </c>
      <c r="T3470" s="83" t="str">
        <f t="shared" si="379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>
      <c r="A3471" s="83" t="str">
        <f t="shared" si="380"/>
        <v/>
      </c>
      <c r="B3471" s="83" t="str">
        <f t="shared" si="378"/>
        <v/>
      </c>
      <c r="S3471" s="83" t="str">
        <f t="shared" si="381"/>
        <v/>
      </c>
      <c r="T3471" s="83" t="str">
        <f t="shared" si="379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>
      <c r="A3472" s="83" t="str">
        <f t="shared" si="380"/>
        <v/>
      </c>
      <c r="B3472" s="83" t="str">
        <f t="shared" si="378"/>
        <v/>
      </c>
      <c r="S3472" s="83" t="str">
        <f t="shared" si="381"/>
        <v/>
      </c>
      <c r="T3472" s="83" t="str">
        <f t="shared" si="379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>
      <c r="A3473" s="83" t="str">
        <f t="shared" si="380"/>
        <v/>
      </c>
      <c r="B3473" s="83" t="str">
        <f t="shared" si="378"/>
        <v/>
      </c>
      <c r="S3473" s="83" t="str">
        <f t="shared" si="381"/>
        <v/>
      </c>
      <c r="T3473" s="83" t="str">
        <f t="shared" si="379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>
      <c r="A3474" s="83" t="str">
        <f t="shared" si="380"/>
        <v/>
      </c>
      <c r="B3474" s="83" t="str">
        <f t="shared" si="378"/>
        <v/>
      </c>
      <c r="S3474" s="83" t="str">
        <f t="shared" si="381"/>
        <v/>
      </c>
      <c r="T3474" s="83" t="str">
        <f t="shared" si="379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>
      <c r="A3475" s="83" t="str">
        <f t="shared" si="380"/>
        <v/>
      </c>
      <c r="B3475" s="83" t="str">
        <f t="shared" si="378"/>
        <v/>
      </c>
      <c r="S3475" s="83" t="str">
        <f t="shared" si="381"/>
        <v/>
      </c>
      <c r="T3475" s="83" t="str">
        <f t="shared" si="379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>
      <c r="A3476" s="83" t="str">
        <f t="shared" si="380"/>
        <v/>
      </c>
      <c r="B3476" s="83" t="str">
        <f t="shared" si="378"/>
        <v/>
      </c>
      <c r="S3476" s="83" t="str">
        <f t="shared" si="381"/>
        <v/>
      </c>
      <c r="T3476" s="83" t="str">
        <f t="shared" si="379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>
      <c r="A3477" s="83" t="str">
        <f t="shared" si="380"/>
        <v/>
      </c>
      <c r="B3477" s="83" t="str">
        <f t="shared" si="378"/>
        <v/>
      </c>
      <c r="S3477" s="83" t="str">
        <f t="shared" si="381"/>
        <v/>
      </c>
      <c r="T3477" s="83" t="str">
        <f t="shared" si="379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>
      <c r="A3478" s="83" t="str">
        <f t="shared" si="380"/>
        <v/>
      </c>
      <c r="B3478" s="83" t="str">
        <f t="shared" si="378"/>
        <v/>
      </c>
      <c r="S3478" s="83" t="str">
        <f t="shared" si="381"/>
        <v/>
      </c>
      <c r="T3478" s="83" t="str">
        <f t="shared" si="379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>
      <c r="A3479" s="83" t="str">
        <f t="shared" si="380"/>
        <v/>
      </c>
      <c r="B3479" s="83" t="str">
        <f t="shared" si="378"/>
        <v/>
      </c>
      <c r="S3479" s="83" t="str">
        <f t="shared" si="381"/>
        <v/>
      </c>
      <c r="T3479" s="83" t="str">
        <f t="shared" si="379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>
      <c r="A3480" s="83" t="str">
        <f t="shared" si="380"/>
        <v/>
      </c>
      <c r="B3480" s="83" t="str">
        <f t="shared" si="378"/>
        <v/>
      </c>
      <c r="S3480" s="83" t="str">
        <f t="shared" si="381"/>
        <v/>
      </c>
      <c r="T3480" s="83" t="str">
        <f t="shared" si="379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>
      <c r="A3481" s="83" t="str">
        <f t="shared" si="380"/>
        <v/>
      </c>
      <c r="B3481" s="83" t="str">
        <f t="shared" si="378"/>
        <v/>
      </c>
      <c r="S3481" s="83" t="str">
        <f t="shared" si="381"/>
        <v/>
      </c>
      <c r="T3481" s="83" t="str">
        <f t="shared" si="379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>
      <c r="A3482" s="83" t="str">
        <f t="shared" si="380"/>
        <v/>
      </c>
      <c r="B3482" s="83" t="str">
        <f t="shared" si="378"/>
        <v/>
      </c>
      <c r="S3482" s="83" t="str">
        <f t="shared" si="381"/>
        <v/>
      </c>
      <c r="T3482" s="83" t="str">
        <f t="shared" si="379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>
      <c r="A3483" s="83" t="str">
        <f t="shared" si="380"/>
        <v/>
      </c>
      <c r="B3483" s="83" t="str">
        <f t="shared" si="378"/>
        <v/>
      </c>
      <c r="S3483" s="83" t="str">
        <f t="shared" si="381"/>
        <v/>
      </c>
      <c r="T3483" s="83" t="str">
        <f t="shared" si="379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>
      <c r="A3484" s="83" t="str">
        <f t="shared" si="380"/>
        <v/>
      </c>
      <c r="B3484" s="83" t="str">
        <f t="shared" si="378"/>
        <v/>
      </c>
      <c r="S3484" s="83" t="str">
        <f t="shared" si="381"/>
        <v/>
      </c>
      <c r="T3484" s="83" t="str">
        <f t="shared" si="379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>
      <c r="A3485" s="83" t="str">
        <f t="shared" si="380"/>
        <v/>
      </c>
      <c r="B3485" s="83" t="str">
        <f t="shared" si="378"/>
        <v/>
      </c>
      <c r="S3485" s="83" t="str">
        <f t="shared" si="381"/>
        <v/>
      </c>
      <c r="T3485" s="83" t="str">
        <f t="shared" si="379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>
      <c r="A3486" s="83" t="str">
        <f t="shared" si="380"/>
        <v/>
      </c>
      <c r="B3486" s="83" t="str">
        <f t="shared" si="378"/>
        <v/>
      </c>
      <c r="S3486" s="83" t="str">
        <f t="shared" si="381"/>
        <v/>
      </c>
      <c r="T3486" s="83" t="str">
        <f t="shared" si="379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>
      <c r="A3487" s="83" t="str">
        <f t="shared" si="380"/>
        <v/>
      </c>
      <c r="B3487" s="83" t="str">
        <f t="shared" si="378"/>
        <v/>
      </c>
      <c r="S3487" s="83" t="str">
        <f t="shared" si="381"/>
        <v/>
      </c>
      <c r="T3487" s="83" t="str">
        <f t="shared" si="379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>
      <c r="A3488" s="83" t="str">
        <f t="shared" si="380"/>
        <v/>
      </c>
      <c r="B3488" s="83" t="str">
        <f t="shared" si="378"/>
        <v/>
      </c>
      <c r="S3488" s="83" t="str">
        <f t="shared" si="381"/>
        <v/>
      </c>
      <c r="T3488" s="83" t="str">
        <f t="shared" si="379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>
      <c r="A3489" s="83" t="str">
        <f t="shared" si="380"/>
        <v/>
      </c>
      <c r="B3489" s="83" t="str">
        <f t="shared" ref="B3489:B3552" si="385">IF(C3489&lt;&gt;"",LEFT(C3489,9),"")</f>
        <v/>
      </c>
      <c r="S3489" s="83" t="str">
        <f t="shared" si="381"/>
        <v/>
      </c>
      <c r="T3489" s="83" t="str">
        <f t="shared" si="379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>
      <c r="A3490" s="83" t="str">
        <f t="shared" si="380"/>
        <v/>
      </c>
      <c r="B3490" s="83" t="str">
        <f t="shared" si="385"/>
        <v/>
      </c>
      <c r="S3490" s="83" t="str">
        <f t="shared" si="381"/>
        <v/>
      </c>
      <c r="T3490" s="83" t="str">
        <f t="shared" si="379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>
      <c r="A3491" s="83" t="str">
        <f t="shared" si="380"/>
        <v/>
      </c>
      <c r="B3491" s="83" t="str">
        <f t="shared" si="385"/>
        <v/>
      </c>
      <c r="S3491" s="83" t="str">
        <f t="shared" si="381"/>
        <v/>
      </c>
      <c r="T3491" s="83" t="str">
        <f t="shared" si="379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>
      <c r="A3492" s="83" t="str">
        <f t="shared" si="380"/>
        <v/>
      </c>
      <c r="B3492" s="83" t="str">
        <f t="shared" si="385"/>
        <v/>
      </c>
      <c r="S3492" s="83" t="str">
        <f t="shared" si="381"/>
        <v/>
      </c>
      <c r="T3492" s="83" t="str">
        <f t="shared" si="379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>
      <c r="A3493" s="83" t="str">
        <f t="shared" si="380"/>
        <v/>
      </c>
      <c r="B3493" s="83" t="str">
        <f t="shared" si="385"/>
        <v/>
      </c>
      <c r="S3493" s="83" t="str">
        <f t="shared" si="381"/>
        <v/>
      </c>
      <c r="T3493" s="83" t="str">
        <f t="shared" si="379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>
      <c r="A3494" s="83" t="str">
        <f t="shared" si="380"/>
        <v/>
      </c>
      <c r="B3494" s="83" t="str">
        <f t="shared" si="385"/>
        <v/>
      </c>
      <c r="S3494" s="83" t="str">
        <f t="shared" si="381"/>
        <v/>
      </c>
      <c r="T3494" s="83" t="str">
        <f t="shared" si="379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>
      <c r="A3495" s="83" t="str">
        <f t="shared" si="380"/>
        <v/>
      </c>
      <c r="B3495" s="83" t="str">
        <f t="shared" si="385"/>
        <v/>
      </c>
      <c r="S3495" s="83" t="str">
        <f t="shared" si="381"/>
        <v/>
      </c>
      <c r="T3495" s="83" t="str">
        <f t="shared" si="379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>
      <c r="A3496" s="83" t="str">
        <f t="shared" si="380"/>
        <v/>
      </c>
      <c r="B3496" s="83" t="str">
        <f t="shared" si="385"/>
        <v/>
      </c>
      <c r="S3496" s="83" t="str">
        <f t="shared" si="381"/>
        <v/>
      </c>
      <c r="T3496" s="83" t="str">
        <f t="shared" si="379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>
      <c r="A3497" s="83" t="str">
        <f t="shared" si="380"/>
        <v/>
      </c>
      <c r="B3497" s="83" t="str">
        <f t="shared" si="385"/>
        <v/>
      </c>
      <c r="S3497" s="83" t="str">
        <f t="shared" si="381"/>
        <v/>
      </c>
      <c r="T3497" s="83" t="str">
        <f t="shared" si="379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>
      <c r="A3498" s="83" t="str">
        <f t="shared" si="380"/>
        <v/>
      </c>
      <c r="B3498" s="83" t="str">
        <f t="shared" si="385"/>
        <v/>
      </c>
      <c r="S3498" s="83" t="str">
        <f t="shared" si="381"/>
        <v/>
      </c>
      <c r="T3498" s="83" t="str">
        <f t="shared" si="379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>
      <c r="A3499" s="83" t="str">
        <f t="shared" si="380"/>
        <v/>
      </c>
      <c r="B3499" s="83" t="str">
        <f t="shared" si="385"/>
        <v/>
      </c>
      <c r="S3499" s="83" t="str">
        <f t="shared" si="381"/>
        <v/>
      </c>
      <c r="T3499" s="83" t="str">
        <f t="shared" si="379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>
      <c r="A3500" s="83" t="str">
        <f t="shared" si="380"/>
        <v/>
      </c>
      <c r="B3500" s="83" t="str">
        <f t="shared" si="385"/>
        <v/>
      </c>
      <c r="S3500" s="83" t="str">
        <f t="shared" si="381"/>
        <v/>
      </c>
      <c r="T3500" s="83" t="str">
        <f t="shared" si="379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>
      <c r="A3501" s="83" t="str">
        <f t="shared" si="380"/>
        <v/>
      </c>
      <c r="B3501" s="83" t="str">
        <f t="shared" si="385"/>
        <v/>
      </c>
      <c r="S3501" s="83" t="str">
        <f t="shared" si="381"/>
        <v/>
      </c>
      <c r="T3501" s="83" t="str">
        <f t="shared" si="379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>
      <c r="A3502" s="83" t="str">
        <f t="shared" si="380"/>
        <v/>
      </c>
      <c r="B3502" s="83" t="str">
        <f t="shared" si="385"/>
        <v/>
      </c>
      <c r="S3502" s="83" t="str">
        <f t="shared" si="381"/>
        <v/>
      </c>
      <c r="T3502" s="83" t="str">
        <f t="shared" si="379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>
      <c r="A3503" s="83" t="str">
        <f t="shared" si="380"/>
        <v/>
      </c>
      <c r="B3503" s="83" t="str">
        <f t="shared" si="385"/>
        <v/>
      </c>
      <c r="S3503" s="83" t="str">
        <f t="shared" si="381"/>
        <v/>
      </c>
      <c r="T3503" s="83" t="str">
        <f t="shared" si="379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>
      <c r="A3504" s="83" t="str">
        <f t="shared" si="380"/>
        <v/>
      </c>
      <c r="B3504" s="83" t="str">
        <f t="shared" si="385"/>
        <v/>
      </c>
      <c r="S3504" s="83" t="str">
        <f t="shared" si="381"/>
        <v/>
      </c>
      <c r="T3504" s="83" t="str">
        <f t="shared" si="379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>
      <c r="A3505" s="83" t="str">
        <f t="shared" si="380"/>
        <v/>
      </c>
      <c r="B3505" s="83" t="str">
        <f t="shared" si="385"/>
        <v/>
      </c>
      <c r="S3505" s="83" t="str">
        <f t="shared" si="381"/>
        <v/>
      </c>
      <c r="T3505" s="83" t="str">
        <f t="shared" si="379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>
      <c r="A3506" s="83" t="str">
        <f t="shared" si="380"/>
        <v/>
      </c>
      <c r="B3506" s="83" t="str">
        <f t="shared" si="385"/>
        <v/>
      </c>
      <c r="S3506" s="83" t="str">
        <f t="shared" si="381"/>
        <v/>
      </c>
      <c r="T3506" s="83" t="str">
        <f t="shared" si="379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>
      <c r="A3507" s="83" t="str">
        <f t="shared" si="380"/>
        <v/>
      </c>
      <c r="B3507" s="83" t="str">
        <f t="shared" si="385"/>
        <v/>
      </c>
      <c r="S3507" s="83" t="str">
        <f t="shared" si="381"/>
        <v/>
      </c>
      <c r="T3507" s="83" t="str">
        <f t="shared" si="379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>
      <c r="A3508" s="83" t="str">
        <f t="shared" si="380"/>
        <v/>
      </c>
      <c r="B3508" s="83" t="str">
        <f t="shared" si="385"/>
        <v/>
      </c>
      <c r="S3508" s="83" t="str">
        <f t="shared" si="381"/>
        <v/>
      </c>
      <c r="T3508" s="83" t="str">
        <f t="shared" si="379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>
      <c r="A3509" s="83" t="str">
        <f t="shared" si="380"/>
        <v/>
      </c>
      <c r="B3509" s="83" t="str">
        <f t="shared" si="385"/>
        <v/>
      </c>
      <c r="S3509" s="83" t="str">
        <f t="shared" si="381"/>
        <v/>
      </c>
      <c r="T3509" s="83" t="str">
        <f t="shared" si="379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>
      <c r="A3510" s="83" t="str">
        <f t="shared" si="380"/>
        <v/>
      </c>
      <c r="B3510" s="83" t="str">
        <f t="shared" si="385"/>
        <v/>
      </c>
      <c r="S3510" s="83" t="str">
        <f t="shared" si="381"/>
        <v/>
      </c>
      <c r="T3510" s="83" t="str">
        <f t="shared" si="379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>
      <c r="A3511" s="83" t="str">
        <f t="shared" si="380"/>
        <v/>
      </c>
      <c r="B3511" s="83" t="str">
        <f t="shared" si="385"/>
        <v/>
      </c>
      <c r="S3511" s="83" t="str">
        <f t="shared" si="381"/>
        <v/>
      </c>
      <c r="T3511" s="83" t="str">
        <f t="shared" si="379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>
      <c r="A3512" s="83" t="str">
        <f t="shared" si="380"/>
        <v/>
      </c>
      <c r="B3512" s="83" t="str">
        <f t="shared" si="385"/>
        <v/>
      </c>
      <c r="S3512" s="83" t="str">
        <f t="shared" si="381"/>
        <v/>
      </c>
      <c r="T3512" s="83" t="str">
        <f t="shared" si="379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>
      <c r="A3513" s="83" t="str">
        <f t="shared" si="380"/>
        <v/>
      </c>
      <c r="B3513" s="83" t="str">
        <f t="shared" si="385"/>
        <v/>
      </c>
      <c r="S3513" s="83" t="str">
        <f t="shared" si="381"/>
        <v/>
      </c>
      <c r="T3513" s="83" t="str">
        <f t="shared" si="379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>
      <c r="A3514" s="83" t="str">
        <f t="shared" si="380"/>
        <v/>
      </c>
      <c r="B3514" s="83" t="str">
        <f t="shared" si="385"/>
        <v/>
      </c>
      <c r="S3514" s="83" t="str">
        <f t="shared" si="381"/>
        <v/>
      </c>
      <c r="T3514" s="83" t="str">
        <f t="shared" si="379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>
      <c r="A3515" s="83" t="str">
        <f t="shared" si="380"/>
        <v/>
      </c>
      <c r="B3515" s="83" t="str">
        <f t="shared" si="385"/>
        <v/>
      </c>
      <c r="S3515" s="83" t="str">
        <f t="shared" si="381"/>
        <v/>
      </c>
      <c r="T3515" s="83" t="str">
        <f t="shared" si="379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>
      <c r="A3516" s="83" t="str">
        <f t="shared" si="380"/>
        <v/>
      </c>
      <c r="B3516" s="83" t="str">
        <f t="shared" si="385"/>
        <v/>
      </c>
      <c r="S3516" s="83" t="str">
        <f t="shared" si="381"/>
        <v/>
      </c>
      <c r="T3516" s="83" t="str">
        <f t="shared" si="379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>
      <c r="A3517" s="83" t="str">
        <f t="shared" si="380"/>
        <v/>
      </c>
      <c r="B3517" s="83" t="str">
        <f t="shared" si="385"/>
        <v/>
      </c>
      <c r="S3517" s="83" t="str">
        <f t="shared" si="381"/>
        <v/>
      </c>
      <c r="T3517" s="83" t="str">
        <f t="shared" si="379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>
      <c r="A3518" s="83" t="str">
        <f t="shared" si="380"/>
        <v/>
      </c>
      <c r="B3518" s="83" t="str">
        <f t="shared" si="385"/>
        <v/>
      </c>
      <c r="S3518" s="83" t="str">
        <f t="shared" si="381"/>
        <v/>
      </c>
      <c r="T3518" s="83" t="str">
        <f t="shared" si="379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>
      <c r="A3519" s="83" t="str">
        <f t="shared" si="380"/>
        <v/>
      </c>
      <c r="B3519" s="83" t="str">
        <f t="shared" si="385"/>
        <v/>
      </c>
      <c r="S3519" s="83" t="str">
        <f t="shared" si="381"/>
        <v/>
      </c>
      <c r="T3519" s="83" t="str">
        <f t="shared" si="379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>
      <c r="A3520" s="83" t="str">
        <f t="shared" si="380"/>
        <v/>
      </c>
      <c r="B3520" s="83" t="str">
        <f t="shared" si="385"/>
        <v/>
      </c>
      <c r="S3520" s="83" t="str">
        <f t="shared" si="381"/>
        <v/>
      </c>
      <c r="T3520" s="83" t="str">
        <f t="shared" si="379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>
      <c r="A3521" s="83" t="str">
        <f t="shared" si="380"/>
        <v/>
      </c>
      <c r="B3521" s="83" t="str">
        <f t="shared" si="385"/>
        <v/>
      </c>
      <c r="S3521" s="83" t="str">
        <f t="shared" si="381"/>
        <v/>
      </c>
      <c r="T3521" s="83" t="str">
        <f t="shared" si="379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>
      <c r="A3522" s="83" t="str">
        <f t="shared" si="380"/>
        <v/>
      </c>
      <c r="B3522" s="83" t="str">
        <f t="shared" si="385"/>
        <v/>
      </c>
      <c r="S3522" s="83" t="str">
        <f t="shared" si="381"/>
        <v/>
      </c>
      <c r="T3522" s="83" t="str">
        <f t="shared" ref="T3522:T3585" si="386">IF(A3522&lt;&gt;"",IF(FIND(" ",G3522)&gt;=1,MID(G3522,FIND(" ",G3522)+1,LEN(G3522)),""),"")</f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>
      <c r="A3523" s="83" t="str">
        <f t="shared" ref="A3523:A3586" si="387">IF(G3523&amp;Q3523&lt;&gt;"",S3523&amp;Q3523,"")</f>
        <v/>
      </c>
      <c r="B3523" s="83" t="str">
        <f t="shared" si="385"/>
        <v/>
      </c>
      <c r="S3523" s="83" t="str">
        <f t="shared" ref="S3523:S3586" si="388">IF(G3523&lt;&gt;"",IF(FIND(" ",G3523)&gt;=1,MID(G3523,1,FIND(" ",G3523)-1),G3523),"")</f>
        <v/>
      </c>
      <c r="T3523" s="83" t="str">
        <f t="shared" si="386"/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>
      <c r="A3524" s="83" t="str">
        <f t="shared" si="387"/>
        <v/>
      </c>
      <c r="B3524" s="83" t="str">
        <f t="shared" si="385"/>
        <v/>
      </c>
      <c r="S3524" s="83" t="str">
        <f t="shared" si="388"/>
        <v/>
      </c>
      <c r="T3524" s="83" t="str">
        <f t="shared" si="386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>
      <c r="A3525" s="83" t="str">
        <f t="shared" si="387"/>
        <v/>
      </c>
      <c r="B3525" s="83" t="str">
        <f t="shared" si="385"/>
        <v/>
      </c>
      <c r="S3525" s="83" t="str">
        <f t="shared" si="388"/>
        <v/>
      </c>
      <c r="T3525" s="83" t="str">
        <f t="shared" si="386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>
      <c r="A3526" s="83" t="str">
        <f t="shared" si="387"/>
        <v/>
      </c>
      <c r="B3526" s="83" t="str">
        <f t="shared" si="385"/>
        <v/>
      </c>
      <c r="S3526" s="83" t="str">
        <f t="shared" si="388"/>
        <v/>
      </c>
      <c r="T3526" s="83" t="str">
        <f t="shared" si="386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>
      <c r="A3527" s="83" t="str">
        <f t="shared" si="387"/>
        <v/>
      </c>
      <c r="B3527" s="83" t="str">
        <f t="shared" si="385"/>
        <v/>
      </c>
      <c r="S3527" s="83" t="str">
        <f t="shared" si="388"/>
        <v/>
      </c>
      <c r="T3527" s="83" t="str">
        <f t="shared" si="386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>
      <c r="A3528" s="83" t="str">
        <f t="shared" si="387"/>
        <v/>
      </c>
      <c r="B3528" s="83" t="str">
        <f t="shared" si="385"/>
        <v/>
      </c>
      <c r="S3528" s="83" t="str">
        <f t="shared" si="388"/>
        <v/>
      </c>
      <c r="T3528" s="83" t="str">
        <f t="shared" si="386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>
      <c r="A3529" s="83" t="str">
        <f t="shared" si="387"/>
        <v/>
      </c>
      <c r="B3529" s="83" t="str">
        <f t="shared" si="385"/>
        <v/>
      </c>
      <c r="S3529" s="83" t="str">
        <f t="shared" si="388"/>
        <v/>
      </c>
      <c r="T3529" s="83" t="str">
        <f t="shared" si="386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>
      <c r="A3530" s="83" t="str">
        <f t="shared" si="387"/>
        <v/>
      </c>
      <c r="B3530" s="83" t="str">
        <f t="shared" si="385"/>
        <v/>
      </c>
      <c r="S3530" s="83" t="str">
        <f t="shared" si="388"/>
        <v/>
      </c>
      <c r="T3530" s="83" t="str">
        <f t="shared" si="386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>
      <c r="A3531" s="83" t="str">
        <f t="shared" si="387"/>
        <v/>
      </c>
      <c r="B3531" s="83" t="str">
        <f t="shared" si="385"/>
        <v/>
      </c>
      <c r="S3531" s="83" t="str">
        <f t="shared" si="388"/>
        <v/>
      </c>
      <c r="T3531" s="83" t="str">
        <f t="shared" si="386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>
      <c r="A3532" s="83" t="str">
        <f t="shared" si="387"/>
        <v/>
      </c>
      <c r="B3532" s="83" t="str">
        <f t="shared" si="385"/>
        <v/>
      </c>
      <c r="S3532" s="83" t="str">
        <f t="shared" si="388"/>
        <v/>
      </c>
      <c r="T3532" s="83" t="str">
        <f t="shared" si="386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>
      <c r="A3533" s="83" t="str">
        <f t="shared" si="387"/>
        <v/>
      </c>
      <c r="B3533" s="83" t="str">
        <f t="shared" si="385"/>
        <v/>
      </c>
      <c r="S3533" s="83" t="str">
        <f t="shared" si="388"/>
        <v/>
      </c>
      <c r="T3533" s="83" t="str">
        <f t="shared" si="386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>
      <c r="A3534" s="83" t="str">
        <f t="shared" si="387"/>
        <v/>
      </c>
      <c r="B3534" s="83" t="str">
        <f t="shared" si="385"/>
        <v/>
      </c>
      <c r="S3534" s="83" t="str">
        <f t="shared" si="388"/>
        <v/>
      </c>
      <c r="T3534" s="83" t="str">
        <f t="shared" si="386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>
      <c r="A3535" s="83" t="str">
        <f t="shared" si="387"/>
        <v/>
      </c>
      <c r="B3535" s="83" t="str">
        <f t="shared" si="385"/>
        <v/>
      </c>
      <c r="S3535" s="83" t="str">
        <f t="shared" si="388"/>
        <v/>
      </c>
      <c r="T3535" s="83" t="str">
        <f t="shared" si="386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>
      <c r="A3536" s="83" t="str">
        <f t="shared" si="387"/>
        <v/>
      </c>
      <c r="B3536" s="83" t="str">
        <f t="shared" si="385"/>
        <v/>
      </c>
      <c r="S3536" s="83" t="str">
        <f t="shared" si="388"/>
        <v/>
      </c>
      <c r="T3536" s="83" t="str">
        <f t="shared" si="386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>
      <c r="A3537" s="83" t="str">
        <f t="shared" si="387"/>
        <v/>
      </c>
      <c r="B3537" s="83" t="str">
        <f t="shared" si="385"/>
        <v/>
      </c>
      <c r="S3537" s="83" t="str">
        <f t="shared" si="388"/>
        <v/>
      </c>
      <c r="T3537" s="83" t="str">
        <f t="shared" si="386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>
      <c r="A3538" s="83" t="str">
        <f t="shared" si="387"/>
        <v/>
      </c>
      <c r="B3538" s="83" t="str">
        <f t="shared" si="385"/>
        <v/>
      </c>
      <c r="S3538" s="83" t="str">
        <f t="shared" si="388"/>
        <v/>
      </c>
      <c r="T3538" s="83" t="str">
        <f t="shared" si="386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>
      <c r="A3539" s="83" t="str">
        <f t="shared" si="387"/>
        <v/>
      </c>
      <c r="B3539" s="83" t="str">
        <f t="shared" si="385"/>
        <v/>
      </c>
      <c r="S3539" s="83" t="str">
        <f t="shared" si="388"/>
        <v/>
      </c>
      <c r="T3539" s="83" t="str">
        <f t="shared" si="386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>
      <c r="A3540" s="83" t="str">
        <f t="shared" si="387"/>
        <v/>
      </c>
      <c r="B3540" s="83" t="str">
        <f t="shared" si="385"/>
        <v/>
      </c>
      <c r="S3540" s="83" t="str">
        <f t="shared" si="388"/>
        <v/>
      </c>
      <c r="T3540" s="83" t="str">
        <f t="shared" si="386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>
      <c r="A3541" s="83" t="str">
        <f t="shared" si="387"/>
        <v/>
      </c>
      <c r="B3541" s="83" t="str">
        <f t="shared" si="385"/>
        <v/>
      </c>
      <c r="S3541" s="83" t="str">
        <f t="shared" si="388"/>
        <v/>
      </c>
      <c r="T3541" s="83" t="str">
        <f t="shared" si="386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>
      <c r="A3542" s="83" t="str">
        <f t="shared" si="387"/>
        <v/>
      </c>
      <c r="B3542" s="83" t="str">
        <f t="shared" si="385"/>
        <v/>
      </c>
      <c r="S3542" s="83" t="str">
        <f t="shared" si="388"/>
        <v/>
      </c>
      <c r="T3542" s="83" t="str">
        <f t="shared" si="386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>
      <c r="A3543" s="83" t="str">
        <f t="shared" si="387"/>
        <v/>
      </c>
      <c r="B3543" s="83" t="str">
        <f t="shared" si="385"/>
        <v/>
      </c>
      <c r="S3543" s="83" t="str">
        <f t="shared" si="388"/>
        <v/>
      </c>
      <c r="T3543" s="83" t="str">
        <f t="shared" si="386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>
      <c r="A3544" s="83" t="str">
        <f t="shared" si="387"/>
        <v/>
      </c>
      <c r="B3544" s="83" t="str">
        <f t="shared" si="385"/>
        <v/>
      </c>
      <c r="S3544" s="83" t="str">
        <f t="shared" si="388"/>
        <v/>
      </c>
      <c r="T3544" s="83" t="str">
        <f t="shared" si="386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>
      <c r="A3545" s="83" t="str">
        <f t="shared" si="387"/>
        <v/>
      </c>
      <c r="B3545" s="83" t="str">
        <f t="shared" si="385"/>
        <v/>
      </c>
      <c r="S3545" s="83" t="str">
        <f t="shared" si="388"/>
        <v/>
      </c>
      <c r="T3545" s="83" t="str">
        <f t="shared" si="386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>
      <c r="A3546" s="83" t="str">
        <f t="shared" si="387"/>
        <v/>
      </c>
      <c r="B3546" s="83" t="str">
        <f t="shared" si="385"/>
        <v/>
      </c>
      <c r="S3546" s="83" t="str">
        <f t="shared" si="388"/>
        <v/>
      </c>
      <c r="T3546" s="83" t="str">
        <f t="shared" si="386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>
      <c r="A3547" s="83" t="str">
        <f t="shared" si="387"/>
        <v/>
      </c>
      <c r="B3547" s="83" t="str">
        <f t="shared" si="385"/>
        <v/>
      </c>
      <c r="S3547" s="83" t="str">
        <f t="shared" si="388"/>
        <v/>
      </c>
      <c r="T3547" s="83" t="str">
        <f t="shared" si="386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>
      <c r="A3548" s="83" t="str">
        <f t="shared" si="387"/>
        <v/>
      </c>
      <c r="B3548" s="83" t="str">
        <f t="shared" si="385"/>
        <v/>
      </c>
      <c r="S3548" s="83" t="str">
        <f t="shared" si="388"/>
        <v/>
      </c>
      <c r="T3548" s="83" t="str">
        <f t="shared" si="386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>
      <c r="A3549" s="83" t="str">
        <f t="shared" si="387"/>
        <v/>
      </c>
      <c r="B3549" s="83" t="str">
        <f t="shared" si="385"/>
        <v/>
      </c>
      <c r="S3549" s="83" t="str">
        <f t="shared" si="388"/>
        <v/>
      </c>
      <c r="T3549" s="83" t="str">
        <f t="shared" si="386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>
      <c r="A3550" s="83" t="str">
        <f t="shared" si="387"/>
        <v/>
      </c>
      <c r="B3550" s="83" t="str">
        <f t="shared" si="385"/>
        <v/>
      </c>
      <c r="S3550" s="83" t="str">
        <f t="shared" si="388"/>
        <v/>
      </c>
      <c r="T3550" s="83" t="str">
        <f t="shared" si="386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>
      <c r="A3551" s="83" t="str">
        <f t="shared" si="387"/>
        <v/>
      </c>
      <c r="B3551" s="83" t="str">
        <f t="shared" si="385"/>
        <v/>
      </c>
      <c r="S3551" s="83" t="str">
        <f t="shared" si="388"/>
        <v/>
      </c>
      <c r="T3551" s="83" t="str">
        <f t="shared" si="386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>
      <c r="A3552" s="83" t="str">
        <f t="shared" si="387"/>
        <v/>
      </c>
      <c r="B3552" s="83" t="str">
        <f t="shared" si="385"/>
        <v/>
      </c>
      <c r="S3552" s="83" t="str">
        <f t="shared" si="388"/>
        <v/>
      </c>
      <c r="T3552" s="83" t="str">
        <f t="shared" si="386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>
      <c r="A3553" s="83" t="str">
        <f t="shared" si="387"/>
        <v/>
      </c>
      <c r="B3553" s="83" t="str">
        <f t="shared" ref="B3553:B3616" si="392">IF(C3553&lt;&gt;"",LEFT(C3553,9),"")</f>
        <v/>
      </c>
      <c r="S3553" s="83" t="str">
        <f t="shared" si="388"/>
        <v/>
      </c>
      <c r="T3553" s="83" t="str">
        <f t="shared" si="386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>
      <c r="A3554" s="83" t="str">
        <f t="shared" si="387"/>
        <v/>
      </c>
      <c r="B3554" s="83" t="str">
        <f t="shared" si="392"/>
        <v/>
      </c>
      <c r="S3554" s="83" t="str">
        <f t="shared" si="388"/>
        <v/>
      </c>
      <c r="T3554" s="83" t="str">
        <f t="shared" si="386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>
      <c r="A3555" s="83" t="str">
        <f t="shared" si="387"/>
        <v/>
      </c>
      <c r="B3555" s="83" t="str">
        <f t="shared" si="392"/>
        <v/>
      </c>
      <c r="S3555" s="83" t="str">
        <f t="shared" si="388"/>
        <v/>
      </c>
      <c r="T3555" s="83" t="str">
        <f t="shared" si="386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>
      <c r="A3556" s="83" t="str">
        <f t="shared" si="387"/>
        <v/>
      </c>
      <c r="B3556" s="83" t="str">
        <f t="shared" si="392"/>
        <v/>
      </c>
      <c r="S3556" s="83" t="str">
        <f t="shared" si="388"/>
        <v/>
      </c>
      <c r="T3556" s="83" t="str">
        <f t="shared" si="386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>
      <c r="A3557" s="83" t="str">
        <f t="shared" si="387"/>
        <v/>
      </c>
      <c r="B3557" s="83" t="str">
        <f t="shared" si="392"/>
        <v/>
      </c>
      <c r="S3557" s="83" t="str">
        <f t="shared" si="388"/>
        <v/>
      </c>
      <c r="T3557" s="83" t="str">
        <f t="shared" si="386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>
      <c r="A3558" s="83" t="str">
        <f t="shared" si="387"/>
        <v/>
      </c>
      <c r="B3558" s="83" t="str">
        <f t="shared" si="392"/>
        <v/>
      </c>
      <c r="S3558" s="83" t="str">
        <f t="shared" si="388"/>
        <v/>
      </c>
      <c r="T3558" s="83" t="str">
        <f t="shared" si="386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>
      <c r="A3559" s="83" t="str">
        <f t="shared" si="387"/>
        <v/>
      </c>
      <c r="B3559" s="83" t="str">
        <f t="shared" si="392"/>
        <v/>
      </c>
      <c r="S3559" s="83" t="str">
        <f t="shared" si="388"/>
        <v/>
      </c>
      <c r="T3559" s="83" t="str">
        <f t="shared" si="386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>
      <c r="A3560" s="83" t="str">
        <f t="shared" si="387"/>
        <v/>
      </c>
      <c r="B3560" s="83" t="str">
        <f t="shared" si="392"/>
        <v/>
      </c>
      <c r="S3560" s="83" t="str">
        <f t="shared" si="388"/>
        <v/>
      </c>
      <c r="T3560" s="83" t="str">
        <f t="shared" si="386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>
      <c r="A3561" s="83" t="str">
        <f t="shared" si="387"/>
        <v/>
      </c>
      <c r="B3561" s="83" t="str">
        <f t="shared" si="392"/>
        <v/>
      </c>
      <c r="S3561" s="83" t="str">
        <f t="shared" si="388"/>
        <v/>
      </c>
      <c r="T3561" s="83" t="str">
        <f t="shared" si="386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>
      <c r="A3562" s="83" t="str">
        <f t="shared" si="387"/>
        <v/>
      </c>
      <c r="B3562" s="83" t="str">
        <f t="shared" si="392"/>
        <v/>
      </c>
      <c r="S3562" s="83" t="str">
        <f t="shared" si="388"/>
        <v/>
      </c>
      <c r="T3562" s="83" t="str">
        <f t="shared" si="386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>
      <c r="A3563" s="83" t="str">
        <f t="shared" si="387"/>
        <v/>
      </c>
      <c r="B3563" s="83" t="str">
        <f t="shared" si="392"/>
        <v/>
      </c>
      <c r="S3563" s="83" t="str">
        <f t="shared" si="388"/>
        <v/>
      </c>
      <c r="T3563" s="83" t="str">
        <f t="shared" si="386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>
      <c r="A3564" s="83" t="str">
        <f t="shared" si="387"/>
        <v/>
      </c>
      <c r="B3564" s="83" t="str">
        <f t="shared" si="392"/>
        <v/>
      </c>
      <c r="S3564" s="83" t="str">
        <f t="shared" si="388"/>
        <v/>
      </c>
      <c r="T3564" s="83" t="str">
        <f t="shared" si="386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>
      <c r="A3565" s="83" t="str">
        <f t="shared" si="387"/>
        <v/>
      </c>
      <c r="B3565" s="83" t="str">
        <f t="shared" si="392"/>
        <v/>
      </c>
      <c r="S3565" s="83" t="str">
        <f t="shared" si="388"/>
        <v/>
      </c>
      <c r="T3565" s="83" t="str">
        <f t="shared" si="386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>
      <c r="A3566" s="83" t="str">
        <f t="shared" si="387"/>
        <v/>
      </c>
      <c r="B3566" s="83" t="str">
        <f t="shared" si="392"/>
        <v/>
      </c>
      <c r="S3566" s="83" t="str">
        <f t="shared" si="388"/>
        <v/>
      </c>
      <c r="T3566" s="83" t="str">
        <f t="shared" si="386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>
      <c r="A3567" s="83" t="str">
        <f t="shared" si="387"/>
        <v/>
      </c>
      <c r="B3567" s="83" t="str">
        <f t="shared" si="392"/>
        <v/>
      </c>
      <c r="S3567" s="83" t="str">
        <f t="shared" si="388"/>
        <v/>
      </c>
      <c r="T3567" s="83" t="str">
        <f t="shared" si="386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>
      <c r="A3568" s="83" t="str">
        <f t="shared" si="387"/>
        <v/>
      </c>
      <c r="B3568" s="83" t="str">
        <f t="shared" si="392"/>
        <v/>
      </c>
      <c r="S3568" s="83" t="str">
        <f t="shared" si="388"/>
        <v/>
      </c>
      <c r="T3568" s="83" t="str">
        <f t="shared" si="386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>
      <c r="A3569" s="83" t="str">
        <f t="shared" si="387"/>
        <v/>
      </c>
      <c r="B3569" s="83" t="str">
        <f t="shared" si="392"/>
        <v/>
      </c>
      <c r="S3569" s="83" t="str">
        <f t="shared" si="388"/>
        <v/>
      </c>
      <c r="T3569" s="83" t="str">
        <f t="shared" si="386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>
      <c r="A3570" s="83" t="str">
        <f t="shared" si="387"/>
        <v/>
      </c>
      <c r="B3570" s="83" t="str">
        <f t="shared" si="392"/>
        <v/>
      </c>
      <c r="S3570" s="83" t="str">
        <f t="shared" si="388"/>
        <v/>
      </c>
      <c r="T3570" s="83" t="str">
        <f t="shared" si="386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>
      <c r="A3571" s="83" t="str">
        <f t="shared" si="387"/>
        <v/>
      </c>
      <c r="B3571" s="83" t="str">
        <f t="shared" si="392"/>
        <v/>
      </c>
      <c r="S3571" s="83" t="str">
        <f t="shared" si="388"/>
        <v/>
      </c>
      <c r="T3571" s="83" t="str">
        <f t="shared" si="386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>
      <c r="A3572" s="83" t="str">
        <f t="shared" si="387"/>
        <v/>
      </c>
      <c r="B3572" s="83" t="str">
        <f t="shared" si="392"/>
        <v/>
      </c>
      <c r="S3572" s="83" t="str">
        <f t="shared" si="388"/>
        <v/>
      </c>
      <c r="T3572" s="83" t="str">
        <f t="shared" si="386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>
      <c r="A3573" s="83" t="str">
        <f t="shared" si="387"/>
        <v/>
      </c>
      <c r="B3573" s="83" t="str">
        <f t="shared" si="392"/>
        <v/>
      </c>
      <c r="S3573" s="83" t="str">
        <f t="shared" si="388"/>
        <v/>
      </c>
      <c r="T3573" s="83" t="str">
        <f t="shared" si="386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>
      <c r="A3574" s="83" t="str">
        <f t="shared" si="387"/>
        <v/>
      </c>
      <c r="B3574" s="83" t="str">
        <f t="shared" si="392"/>
        <v/>
      </c>
      <c r="S3574" s="83" t="str">
        <f t="shared" si="388"/>
        <v/>
      </c>
      <c r="T3574" s="83" t="str">
        <f t="shared" si="386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>
      <c r="A3575" s="83" t="str">
        <f t="shared" si="387"/>
        <v/>
      </c>
      <c r="B3575" s="83" t="str">
        <f t="shared" si="392"/>
        <v/>
      </c>
      <c r="S3575" s="83" t="str">
        <f t="shared" si="388"/>
        <v/>
      </c>
      <c r="T3575" s="83" t="str">
        <f t="shared" si="386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>
      <c r="A3576" s="83" t="str">
        <f t="shared" si="387"/>
        <v/>
      </c>
      <c r="B3576" s="83" t="str">
        <f t="shared" si="392"/>
        <v/>
      </c>
      <c r="S3576" s="83" t="str">
        <f t="shared" si="388"/>
        <v/>
      </c>
      <c r="T3576" s="83" t="str">
        <f t="shared" si="386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>
      <c r="A3577" s="83" t="str">
        <f t="shared" si="387"/>
        <v/>
      </c>
      <c r="B3577" s="83" t="str">
        <f t="shared" si="392"/>
        <v/>
      </c>
      <c r="S3577" s="83" t="str">
        <f t="shared" si="388"/>
        <v/>
      </c>
      <c r="T3577" s="83" t="str">
        <f t="shared" si="386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>
      <c r="A3578" s="83" t="str">
        <f t="shared" si="387"/>
        <v/>
      </c>
      <c r="B3578" s="83" t="str">
        <f t="shared" si="392"/>
        <v/>
      </c>
      <c r="S3578" s="83" t="str">
        <f t="shared" si="388"/>
        <v/>
      </c>
      <c r="T3578" s="83" t="str">
        <f t="shared" si="386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>
      <c r="A3579" s="83" t="str">
        <f t="shared" si="387"/>
        <v/>
      </c>
      <c r="B3579" s="83" t="str">
        <f t="shared" si="392"/>
        <v/>
      </c>
      <c r="S3579" s="83" t="str">
        <f t="shared" si="388"/>
        <v/>
      </c>
      <c r="T3579" s="83" t="str">
        <f t="shared" si="386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>
      <c r="A3580" s="83" t="str">
        <f t="shared" si="387"/>
        <v/>
      </c>
      <c r="B3580" s="83" t="str">
        <f t="shared" si="392"/>
        <v/>
      </c>
      <c r="S3580" s="83" t="str">
        <f t="shared" si="388"/>
        <v/>
      </c>
      <c r="T3580" s="83" t="str">
        <f t="shared" si="386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>
      <c r="A3581" s="83" t="str">
        <f t="shared" si="387"/>
        <v/>
      </c>
      <c r="B3581" s="83" t="str">
        <f t="shared" si="392"/>
        <v/>
      </c>
      <c r="S3581" s="83" t="str">
        <f t="shared" si="388"/>
        <v/>
      </c>
      <c r="T3581" s="83" t="str">
        <f t="shared" si="386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>
      <c r="A3582" s="83" t="str">
        <f t="shared" si="387"/>
        <v/>
      </c>
      <c r="B3582" s="83" t="str">
        <f t="shared" si="392"/>
        <v/>
      </c>
      <c r="S3582" s="83" t="str">
        <f t="shared" si="388"/>
        <v/>
      </c>
      <c r="T3582" s="83" t="str">
        <f t="shared" si="386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>
      <c r="A3583" s="83" t="str">
        <f t="shared" si="387"/>
        <v/>
      </c>
      <c r="B3583" s="83" t="str">
        <f t="shared" si="392"/>
        <v/>
      </c>
      <c r="S3583" s="83" t="str">
        <f t="shared" si="388"/>
        <v/>
      </c>
      <c r="T3583" s="83" t="str">
        <f t="shared" si="386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>
      <c r="A3584" s="83" t="str">
        <f t="shared" si="387"/>
        <v/>
      </c>
      <c r="B3584" s="83" t="str">
        <f t="shared" si="392"/>
        <v/>
      </c>
      <c r="S3584" s="83" t="str">
        <f t="shared" si="388"/>
        <v/>
      </c>
      <c r="T3584" s="83" t="str">
        <f t="shared" si="386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>
      <c r="A3585" s="83" t="str">
        <f t="shared" si="387"/>
        <v/>
      </c>
      <c r="B3585" s="83" t="str">
        <f t="shared" si="392"/>
        <v/>
      </c>
      <c r="S3585" s="83" t="str">
        <f t="shared" si="388"/>
        <v/>
      </c>
      <c r="T3585" s="83" t="str">
        <f t="shared" si="386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>
      <c r="A3586" s="83" t="str">
        <f t="shared" si="387"/>
        <v/>
      </c>
      <c r="B3586" s="83" t="str">
        <f t="shared" si="392"/>
        <v/>
      </c>
      <c r="S3586" s="83" t="str">
        <f t="shared" si="388"/>
        <v/>
      </c>
      <c r="T3586" s="83" t="str">
        <f t="shared" ref="T3586:T3649" si="393">IF(A3586&lt;&gt;"",IF(FIND(" ",G3586)&gt;=1,MID(G3586,FIND(" ",G3586)+1,LEN(G3586)),""),"")</f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>
      <c r="A3587" s="83" t="str">
        <f t="shared" ref="A3587:A3650" si="394">IF(G3587&amp;Q3587&lt;&gt;"",S3587&amp;Q3587,"")</f>
        <v/>
      </c>
      <c r="B3587" s="83" t="str">
        <f t="shared" si="392"/>
        <v/>
      </c>
      <c r="S3587" s="83" t="str">
        <f t="shared" ref="S3587:S3650" si="395">IF(G3587&lt;&gt;"",IF(FIND(" ",G3587)&gt;=1,MID(G3587,1,FIND(" ",G3587)-1),G3587),"")</f>
        <v/>
      </c>
      <c r="T3587" s="83" t="str">
        <f t="shared" si="393"/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>
      <c r="A3588" s="83" t="str">
        <f t="shared" si="394"/>
        <v/>
      </c>
      <c r="B3588" s="83" t="str">
        <f t="shared" si="392"/>
        <v/>
      </c>
      <c r="S3588" s="83" t="str">
        <f t="shared" si="395"/>
        <v/>
      </c>
      <c r="T3588" s="83" t="str">
        <f t="shared" si="393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>
      <c r="A3589" s="83" t="str">
        <f t="shared" si="394"/>
        <v/>
      </c>
      <c r="B3589" s="83" t="str">
        <f t="shared" si="392"/>
        <v/>
      </c>
      <c r="S3589" s="83" t="str">
        <f t="shared" si="395"/>
        <v/>
      </c>
      <c r="T3589" s="83" t="str">
        <f t="shared" si="393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>
      <c r="A3590" s="83" t="str">
        <f t="shared" si="394"/>
        <v/>
      </c>
      <c r="B3590" s="83" t="str">
        <f t="shared" si="392"/>
        <v/>
      </c>
      <c r="S3590" s="83" t="str">
        <f t="shared" si="395"/>
        <v/>
      </c>
      <c r="T3590" s="83" t="str">
        <f t="shared" si="393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>
      <c r="A3591" s="83" t="str">
        <f t="shared" si="394"/>
        <v/>
      </c>
      <c r="B3591" s="83" t="str">
        <f t="shared" si="392"/>
        <v/>
      </c>
      <c r="S3591" s="83" t="str">
        <f t="shared" si="395"/>
        <v/>
      </c>
      <c r="T3591" s="83" t="str">
        <f t="shared" si="393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>
      <c r="A3592" s="83" t="str">
        <f t="shared" si="394"/>
        <v/>
      </c>
      <c r="B3592" s="83" t="str">
        <f t="shared" si="392"/>
        <v/>
      </c>
      <c r="S3592" s="83" t="str">
        <f t="shared" si="395"/>
        <v/>
      </c>
      <c r="T3592" s="83" t="str">
        <f t="shared" si="393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>
      <c r="A3593" s="83" t="str">
        <f t="shared" si="394"/>
        <v/>
      </c>
      <c r="B3593" s="83" t="str">
        <f t="shared" si="392"/>
        <v/>
      </c>
      <c r="S3593" s="83" t="str">
        <f t="shared" si="395"/>
        <v/>
      </c>
      <c r="T3593" s="83" t="str">
        <f t="shared" si="393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>
      <c r="A3594" s="83" t="str">
        <f t="shared" si="394"/>
        <v/>
      </c>
      <c r="B3594" s="83" t="str">
        <f t="shared" si="392"/>
        <v/>
      </c>
      <c r="S3594" s="83" t="str">
        <f t="shared" si="395"/>
        <v/>
      </c>
      <c r="T3594" s="83" t="str">
        <f t="shared" si="393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>
      <c r="A3595" s="83" t="str">
        <f t="shared" si="394"/>
        <v/>
      </c>
      <c r="B3595" s="83" t="str">
        <f t="shared" si="392"/>
        <v/>
      </c>
      <c r="S3595" s="83" t="str">
        <f t="shared" si="395"/>
        <v/>
      </c>
      <c r="T3595" s="83" t="str">
        <f t="shared" si="393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>
      <c r="A3596" s="83" t="str">
        <f t="shared" si="394"/>
        <v/>
      </c>
      <c r="B3596" s="83" t="str">
        <f t="shared" si="392"/>
        <v/>
      </c>
      <c r="S3596" s="83" t="str">
        <f t="shared" si="395"/>
        <v/>
      </c>
      <c r="T3596" s="83" t="str">
        <f t="shared" si="393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>
      <c r="A3597" s="83" t="str">
        <f t="shared" si="394"/>
        <v/>
      </c>
      <c r="B3597" s="83" t="str">
        <f t="shared" si="392"/>
        <v/>
      </c>
      <c r="S3597" s="83" t="str">
        <f t="shared" si="395"/>
        <v/>
      </c>
      <c r="T3597" s="83" t="str">
        <f t="shared" si="393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>
      <c r="A3598" s="83" t="str">
        <f t="shared" si="394"/>
        <v/>
      </c>
      <c r="B3598" s="83" t="str">
        <f t="shared" si="392"/>
        <v/>
      </c>
      <c r="S3598" s="83" t="str">
        <f t="shared" si="395"/>
        <v/>
      </c>
      <c r="T3598" s="83" t="str">
        <f t="shared" si="393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>
      <c r="A3599" s="83" t="str">
        <f t="shared" si="394"/>
        <v/>
      </c>
      <c r="B3599" s="83" t="str">
        <f t="shared" si="392"/>
        <v/>
      </c>
      <c r="S3599" s="83" t="str">
        <f t="shared" si="395"/>
        <v/>
      </c>
      <c r="T3599" s="83" t="str">
        <f t="shared" si="393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>
      <c r="A3600" s="83" t="str">
        <f t="shared" si="394"/>
        <v/>
      </c>
      <c r="B3600" s="83" t="str">
        <f t="shared" si="392"/>
        <v/>
      </c>
      <c r="S3600" s="83" t="str">
        <f t="shared" si="395"/>
        <v/>
      </c>
      <c r="T3600" s="83" t="str">
        <f t="shared" si="393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>
      <c r="A3601" s="83" t="str">
        <f t="shared" si="394"/>
        <v/>
      </c>
      <c r="B3601" s="83" t="str">
        <f t="shared" si="392"/>
        <v/>
      </c>
      <c r="S3601" s="83" t="str">
        <f t="shared" si="395"/>
        <v/>
      </c>
      <c r="T3601" s="83" t="str">
        <f t="shared" si="393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>
      <c r="A3602" s="83" t="str">
        <f t="shared" si="394"/>
        <v/>
      </c>
      <c r="B3602" s="83" t="str">
        <f t="shared" si="392"/>
        <v/>
      </c>
      <c r="S3602" s="83" t="str">
        <f t="shared" si="395"/>
        <v/>
      </c>
      <c r="T3602" s="83" t="str">
        <f t="shared" si="393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>
      <c r="A3603" s="83" t="str">
        <f t="shared" si="394"/>
        <v/>
      </c>
      <c r="B3603" s="83" t="str">
        <f t="shared" si="392"/>
        <v/>
      </c>
      <c r="S3603" s="83" t="str">
        <f t="shared" si="395"/>
        <v/>
      </c>
      <c r="T3603" s="83" t="str">
        <f t="shared" si="393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>
      <c r="A3604" s="83" t="str">
        <f t="shared" si="394"/>
        <v/>
      </c>
      <c r="B3604" s="83" t="str">
        <f t="shared" si="392"/>
        <v/>
      </c>
      <c r="S3604" s="83" t="str">
        <f t="shared" si="395"/>
        <v/>
      </c>
      <c r="T3604" s="83" t="str">
        <f t="shared" si="393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>
      <c r="A3605" s="83" t="str">
        <f t="shared" si="394"/>
        <v/>
      </c>
      <c r="B3605" s="83" t="str">
        <f t="shared" si="392"/>
        <v/>
      </c>
      <c r="S3605" s="83" t="str">
        <f t="shared" si="395"/>
        <v/>
      </c>
      <c r="T3605" s="83" t="str">
        <f t="shared" si="393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>
      <c r="A3606" s="83" t="str">
        <f t="shared" si="394"/>
        <v/>
      </c>
      <c r="B3606" s="83" t="str">
        <f t="shared" si="392"/>
        <v/>
      </c>
      <c r="S3606" s="83" t="str">
        <f t="shared" si="395"/>
        <v/>
      </c>
      <c r="T3606" s="83" t="str">
        <f t="shared" si="393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>
      <c r="A3607" s="83" t="str">
        <f t="shared" si="394"/>
        <v/>
      </c>
      <c r="B3607" s="83" t="str">
        <f t="shared" si="392"/>
        <v/>
      </c>
      <c r="S3607" s="83" t="str">
        <f t="shared" si="395"/>
        <v/>
      </c>
      <c r="T3607" s="83" t="str">
        <f t="shared" si="393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>
      <c r="A3608" s="83" t="str">
        <f t="shared" si="394"/>
        <v/>
      </c>
      <c r="B3608" s="83" t="str">
        <f t="shared" si="392"/>
        <v/>
      </c>
      <c r="S3608" s="83" t="str">
        <f t="shared" si="395"/>
        <v/>
      </c>
      <c r="T3608" s="83" t="str">
        <f t="shared" si="393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>
      <c r="A3609" s="83" t="str">
        <f t="shared" si="394"/>
        <v/>
      </c>
      <c r="B3609" s="83" t="str">
        <f t="shared" si="392"/>
        <v/>
      </c>
      <c r="S3609" s="83" t="str">
        <f t="shared" si="395"/>
        <v/>
      </c>
      <c r="T3609" s="83" t="str">
        <f t="shared" si="393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>
      <c r="A3610" s="83" t="str">
        <f t="shared" si="394"/>
        <v/>
      </c>
      <c r="B3610" s="83" t="str">
        <f t="shared" si="392"/>
        <v/>
      </c>
      <c r="S3610" s="83" t="str">
        <f t="shared" si="395"/>
        <v/>
      </c>
      <c r="T3610" s="83" t="str">
        <f t="shared" si="393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>
      <c r="A3611" s="83" t="str">
        <f t="shared" si="394"/>
        <v/>
      </c>
      <c r="B3611" s="83" t="str">
        <f t="shared" si="392"/>
        <v/>
      </c>
      <c r="S3611" s="83" t="str">
        <f t="shared" si="395"/>
        <v/>
      </c>
      <c r="T3611" s="83" t="str">
        <f t="shared" si="393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>
      <c r="A3612" s="83" t="str">
        <f t="shared" si="394"/>
        <v/>
      </c>
      <c r="B3612" s="83" t="str">
        <f t="shared" si="392"/>
        <v/>
      </c>
      <c r="S3612" s="83" t="str">
        <f t="shared" si="395"/>
        <v/>
      </c>
      <c r="T3612" s="83" t="str">
        <f t="shared" si="393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>
      <c r="A3613" s="83" t="str">
        <f t="shared" si="394"/>
        <v/>
      </c>
      <c r="B3613" s="83" t="str">
        <f t="shared" si="392"/>
        <v/>
      </c>
      <c r="S3613" s="83" t="str">
        <f t="shared" si="395"/>
        <v/>
      </c>
      <c r="T3613" s="83" t="str">
        <f t="shared" si="393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>
      <c r="A3614" s="83" t="str">
        <f t="shared" si="394"/>
        <v/>
      </c>
      <c r="B3614" s="83" t="str">
        <f t="shared" si="392"/>
        <v/>
      </c>
      <c r="S3614" s="83" t="str">
        <f t="shared" si="395"/>
        <v/>
      </c>
      <c r="T3614" s="83" t="str">
        <f t="shared" si="393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>
      <c r="A3615" s="83" t="str">
        <f t="shared" si="394"/>
        <v/>
      </c>
      <c r="B3615" s="83" t="str">
        <f t="shared" si="392"/>
        <v/>
      </c>
      <c r="S3615" s="83" t="str">
        <f t="shared" si="395"/>
        <v/>
      </c>
      <c r="T3615" s="83" t="str">
        <f t="shared" si="393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>
      <c r="A3616" s="83" t="str">
        <f t="shared" si="394"/>
        <v/>
      </c>
      <c r="B3616" s="83" t="str">
        <f t="shared" si="392"/>
        <v/>
      </c>
      <c r="S3616" s="83" t="str">
        <f t="shared" si="395"/>
        <v/>
      </c>
      <c r="T3616" s="83" t="str">
        <f t="shared" si="393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>
      <c r="A3617" s="83" t="str">
        <f t="shared" si="394"/>
        <v/>
      </c>
      <c r="B3617" s="83" t="str">
        <f t="shared" ref="B3617:B3680" si="399">IF(C3617&lt;&gt;"",LEFT(C3617,9),"")</f>
        <v/>
      </c>
      <c r="S3617" s="83" t="str">
        <f t="shared" si="395"/>
        <v/>
      </c>
      <c r="T3617" s="83" t="str">
        <f t="shared" si="393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>
      <c r="A3618" s="83" t="str">
        <f t="shared" si="394"/>
        <v/>
      </c>
      <c r="B3618" s="83" t="str">
        <f t="shared" si="399"/>
        <v/>
      </c>
      <c r="S3618" s="83" t="str">
        <f t="shared" si="395"/>
        <v/>
      </c>
      <c r="T3618" s="83" t="str">
        <f t="shared" si="393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>
      <c r="A3619" s="83" t="str">
        <f t="shared" si="394"/>
        <v/>
      </c>
      <c r="B3619" s="83" t="str">
        <f t="shared" si="399"/>
        <v/>
      </c>
      <c r="S3619" s="83" t="str">
        <f t="shared" si="395"/>
        <v/>
      </c>
      <c r="T3619" s="83" t="str">
        <f t="shared" si="393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>
      <c r="A3620" s="83" t="str">
        <f t="shared" si="394"/>
        <v/>
      </c>
      <c r="B3620" s="83" t="str">
        <f t="shared" si="399"/>
        <v/>
      </c>
      <c r="S3620" s="83" t="str">
        <f t="shared" si="395"/>
        <v/>
      </c>
      <c r="T3620" s="83" t="str">
        <f t="shared" si="393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>
      <c r="A3621" s="83" t="str">
        <f t="shared" si="394"/>
        <v/>
      </c>
      <c r="B3621" s="83" t="str">
        <f t="shared" si="399"/>
        <v/>
      </c>
      <c r="S3621" s="83" t="str">
        <f t="shared" si="395"/>
        <v/>
      </c>
      <c r="T3621" s="83" t="str">
        <f t="shared" si="393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>
      <c r="A3622" s="83" t="str">
        <f t="shared" si="394"/>
        <v/>
      </c>
      <c r="B3622" s="83" t="str">
        <f t="shared" si="399"/>
        <v/>
      </c>
      <c r="S3622" s="83" t="str">
        <f t="shared" si="395"/>
        <v/>
      </c>
      <c r="T3622" s="83" t="str">
        <f t="shared" si="393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>
      <c r="A3623" s="83" t="str">
        <f t="shared" si="394"/>
        <v/>
      </c>
      <c r="B3623" s="83" t="str">
        <f t="shared" si="399"/>
        <v/>
      </c>
      <c r="S3623" s="83" t="str">
        <f t="shared" si="395"/>
        <v/>
      </c>
      <c r="T3623" s="83" t="str">
        <f t="shared" si="393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>
      <c r="A3624" s="83" t="str">
        <f t="shared" si="394"/>
        <v/>
      </c>
      <c r="B3624" s="83" t="str">
        <f t="shared" si="399"/>
        <v/>
      </c>
      <c r="S3624" s="83" t="str">
        <f t="shared" si="395"/>
        <v/>
      </c>
      <c r="T3624" s="83" t="str">
        <f t="shared" si="393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>
      <c r="A3625" s="83" t="str">
        <f t="shared" si="394"/>
        <v/>
      </c>
      <c r="B3625" s="83" t="str">
        <f t="shared" si="399"/>
        <v/>
      </c>
      <c r="S3625" s="83" t="str">
        <f t="shared" si="395"/>
        <v/>
      </c>
      <c r="T3625" s="83" t="str">
        <f t="shared" si="393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>
      <c r="A3626" s="83" t="str">
        <f t="shared" si="394"/>
        <v/>
      </c>
      <c r="B3626" s="83" t="str">
        <f t="shared" si="399"/>
        <v/>
      </c>
      <c r="S3626" s="83" t="str">
        <f t="shared" si="395"/>
        <v/>
      </c>
      <c r="T3626" s="83" t="str">
        <f t="shared" si="393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>
      <c r="A3627" s="83" t="str">
        <f t="shared" si="394"/>
        <v/>
      </c>
      <c r="B3627" s="83" t="str">
        <f t="shared" si="399"/>
        <v/>
      </c>
      <c r="S3627" s="83" t="str">
        <f t="shared" si="395"/>
        <v/>
      </c>
      <c r="T3627" s="83" t="str">
        <f t="shared" si="393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>
      <c r="A3628" s="83" t="str">
        <f t="shared" si="394"/>
        <v/>
      </c>
      <c r="B3628" s="83" t="str">
        <f t="shared" si="399"/>
        <v/>
      </c>
      <c r="S3628" s="83" t="str">
        <f t="shared" si="395"/>
        <v/>
      </c>
      <c r="T3628" s="83" t="str">
        <f t="shared" si="393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>
      <c r="A3629" s="83" t="str">
        <f t="shared" si="394"/>
        <v/>
      </c>
      <c r="B3629" s="83" t="str">
        <f t="shared" si="399"/>
        <v/>
      </c>
      <c r="S3629" s="83" t="str">
        <f t="shared" si="395"/>
        <v/>
      </c>
      <c r="T3629" s="83" t="str">
        <f t="shared" si="393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>
      <c r="A3630" s="83" t="str">
        <f t="shared" si="394"/>
        <v/>
      </c>
      <c r="B3630" s="83" t="str">
        <f t="shared" si="399"/>
        <v/>
      </c>
      <c r="S3630" s="83" t="str">
        <f t="shared" si="395"/>
        <v/>
      </c>
      <c r="T3630" s="83" t="str">
        <f t="shared" si="393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>
      <c r="A3631" s="83" t="str">
        <f t="shared" si="394"/>
        <v/>
      </c>
      <c r="B3631" s="83" t="str">
        <f t="shared" si="399"/>
        <v/>
      </c>
      <c r="S3631" s="83" t="str">
        <f t="shared" si="395"/>
        <v/>
      </c>
      <c r="T3631" s="83" t="str">
        <f t="shared" si="393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>
      <c r="A3632" s="83" t="str">
        <f t="shared" si="394"/>
        <v/>
      </c>
      <c r="B3632" s="83" t="str">
        <f t="shared" si="399"/>
        <v/>
      </c>
      <c r="S3632" s="83" t="str">
        <f t="shared" si="395"/>
        <v/>
      </c>
      <c r="T3632" s="83" t="str">
        <f t="shared" si="393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>
      <c r="A3633" s="83" t="str">
        <f t="shared" si="394"/>
        <v/>
      </c>
      <c r="B3633" s="83" t="str">
        <f t="shared" si="399"/>
        <v/>
      </c>
      <c r="S3633" s="83" t="str">
        <f t="shared" si="395"/>
        <v/>
      </c>
      <c r="T3633" s="83" t="str">
        <f t="shared" si="393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>
      <c r="A3634" s="83" t="str">
        <f t="shared" si="394"/>
        <v/>
      </c>
      <c r="B3634" s="83" t="str">
        <f t="shared" si="399"/>
        <v/>
      </c>
      <c r="S3634" s="83" t="str">
        <f t="shared" si="395"/>
        <v/>
      </c>
      <c r="T3634" s="83" t="str">
        <f t="shared" si="393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>
      <c r="A3635" s="83" t="str">
        <f t="shared" si="394"/>
        <v/>
      </c>
      <c r="B3635" s="83" t="str">
        <f t="shared" si="399"/>
        <v/>
      </c>
      <c r="S3635" s="83" t="str">
        <f t="shared" si="395"/>
        <v/>
      </c>
      <c r="T3635" s="83" t="str">
        <f t="shared" si="393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>
      <c r="A3636" s="83" t="str">
        <f t="shared" si="394"/>
        <v/>
      </c>
      <c r="B3636" s="83" t="str">
        <f t="shared" si="399"/>
        <v/>
      </c>
      <c r="S3636" s="83" t="str">
        <f t="shared" si="395"/>
        <v/>
      </c>
      <c r="T3636" s="83" t="str">
        <f t="shared" si="393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>
      <c r="A3637" s="83" t="str">
        <f t="shared" si="394"/>
        <v/>
      </c>
      <c r="B3637" s="83" t="str">
        <f t="shared" si="399"/>
        <v/>
      </c>
      <c r="S3637" s="83" t="str">
        <f t="shared" si="395"/>
        <v/>
      </c>
      <c r="T3637" s="83" t="str">
        <f t="shared" si="393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>
      <c r="A3638" s="83" t="str">
        <f t="shared" si="394"/>
        <v/>
      </c>
      <c r="B3638" s="83" t="str">
        <f t="shared" si="399"/>
        <v/>
      </c>
      <c r="S3638" s="83" t="str">
        <f t="shared" si="395"/>
        <v/>
      </c>
      <c r="T3638" s="83" t="str">
        <f t="shared" si="393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>
      <c r="A3639" s="83" t="str">
        <f t="shared" si="394"/>
        <v/>
      </c>
      <c r="B3639" s="83" t="str">
        <f t="shared" si="399"/>
        <v/>
      </c>
      <c r="S3639" s="83" t="str">
        <f t="shared" si="395"/>
        <v/>
      </c>
      <c r="T3639" s="83" t="str">
        <f t="shared" si="393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>
      <c r="A3640" s="83" t="str">
        <f t="shared" si="394"/>
        <v/>
      </c>
      <c r="B3640" s="83" t="str">
        <f t="shared" si="399"/>
        <v/>
      </c>
      <c r="S3640" s="83" t="str">
        <f t="shared" si="395"/>
        <v/>
      </c>
      <c r="T3640" s="83" t="str">
        <f t="shared" si="393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>
      <c r="A3641" s="83" t="str">
        <f t="shared" si="394"/>
        <v/>
      </c>
      <c r="B3641" s="83" t="str">
        <f t="shared" si="399"/>
        <v/>
      </c>
      <c r="S3641" s="83" t="str">
        <f t="shared" si="395"/>
        <v/>
      </c>
      <c r="T3641" s="83" t="str">
        <f t="shared" si="393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>
      <c r="A3642" s="83" t="str">
        <f t="shared" si="394"/>
        <v/>
      </c>
      <c r="B3642" s="83" t="str">
        <f t="shared" si="399"/>
        <v/>
      </c>
      <c r="S3642" s="83" t="str">
        <f t="shared" si="395"/>
        <v/>
      </c>
      <c r="T3642" s="83" t="str">
        <f t="shared" si="393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>
      <c r="A3643" s="83" t="str">
        <f t="shared" si="394"/>
        <v/>
      </c>
      <c r="B3643" s="83" t="str">
        <f t="shared" si="399"/>
        <v/>
      </c>
      <c r="S3643" s="83" t="str">
        <f t="shared" si="395"/>
        <v/>
      </c>
      <c r="T3643" s="83" t="str">
        <f t="shared" si="393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>
      <c r="A3644" s="83" t="str">
        <f t="shared" si="394"/>
        <v/>
      </c>
      <c r="B3644" s="83" t="str">
        <f t="shared" si="399"/>
        <v/>
      </c>
      <c r="S3644" s="83" t="str">
        <f t="shared" si="395"/>
        <v/>
      </c>
      <c r="T3644" s="83" t="str">
        <f t="shared" si="393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>
      <c r="A3645" s="83" t="str">
        <f t="shared" si="394"/>
        <v/>
      </c>
      <c r="B3645" s="83" t="str">
        <f t="shared" si="399"/>
        <v/>
      </c>
      <c r="S3645" s="83" t="str">
        <f t="shared" si="395"/>
        <v/>
      </c>
      <c r="T3645" s="83" t="str">
        <f t="shared" si="393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>
      <c r="A3646" s="83" t="str">
        <f t="shared" si="394"/>
        <v/>
      </c>
      <c r="B3646" s="83" t="str">
        <f t="shared" si="399"/>
        <v/>
      </c>
      <c r="S3646" s="83" t="str">
        <f t="shared" si="395"/>
        <v/>
      </c>
      <c r="T3646" s="83" t="str">
        <f t="shared" si="393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>
      <c r="A3647" s="83" t="str">
        <f t="shared" si="394"/>
        <v/>
      </c>
      <c r="B3647" s="83" t="str">
        <f t="shared" si="399"/>
        <v/>
      </c>
      <c r="S3647" s="83" t="str">
        <f t="shared" si="395"/>
        <v/>
      </c>
      <c r="T3647" s="83" t="str">
        <f t="shared" si="393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>
      <c r="A3648" s="83" t="str">
        <f t="shared" si="394"/>
        <v/>
      </c>
      <c r="B3648" s="83" t="str">
        <f t="shared" si="399"/>
        <v/>
      </c>
      <c r="S3648" s="83" t="str">
        <f t="shared" si="395"/>
        <v/>
      </c>
      <c r="T3648" s="83" t="str">
        <f t="shared" si="393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>
      <c r="A3649" s="83" t="str">
        <f t="shared" si="394"/>
        <v/>
      </c>
      <c r="B3649" s="83" t="str">
        <f t="shared" si="399"/>
        <v/>
      </c>
      <c r="S3649" s="83" t="str">
        <f t="shared" si="395"/>
        <v/>
      </c>
      <c r="T3649" s="83" t="str">
        <f t="shared" si="393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>
      <c r="A3650" s="83" t="str">
        <f t="shared" si="394"/>
        <v/>
      </c>
      <c r="B3650" s="83" t="str">
        <f t="shared" si="399"/>
        <v/>
      </c>
      <c r="S3650" s="83" t="str">
        <f t="shared" si="395"/>
        <v/>
      </c>
      <c r="T3650" s="83" t="str">
        <f t="shared" ref="T3650:T3713" si="400">IF(A3650&lt;&gt;"",IF(FIND(" ",G3650)&gt;=1,MID(G3650,FIND(" ",G3650)+1,LEN(G3650)),""),"")</f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>
      <c r="A3651" s="83" t="str">
        <f t="shared" ref="A3651:A3714" si="401">IF(G3651&amp;Q3651&lt;&gt;"",S3651&amp;Q3651,"")</f>
        <v/>
      </c>
      <c r="B3651" s="83" t="str">
        <f t="shared" si="399"/>
        <v/>
      </c>
      <c r="S3651" s="83" t="str">
        <f t="shared" ref="S3651:S3714" si="402">IF(G3651&lt;&gt;"",IF(FIND(" ",G3651)&gt;=1,MID(G3651,1,FIND(" ",G3651)-1),G3651),"")</f>
        <v/>
      </c>
      <c r="T3651" s="83" t="str">
        <f t="shared" si="400"/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>
      <c r="A3652" s="83" t="str">
        <f t="shared" si="401"/>
        <v/>
      </c>
      <c r="B3652" s="83" t="str">
        <f t="shared" si="399"/>
        <v/>
      </c>
      <c r="S3652" s="83" t="str">
        <f t="shared" si="402"/>
        <v/>
      </c>
      <c r="T3652" s="83" t="str">
        <f t="shared" si="400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>
      <c r="A3653" s="83" t="str">
        <f t="shared" si="401"/>
        <v/>
      </c>
      <c r="B3653" s="83" t="str">
        <f t="shared" si="399"/>
        <v/>
      </c>
      <c r="S3653" s="83" t="str">
        <f t="shared" si="402"/>
        <v/>
      </c>
      <c r="T3653" s="83" t="str">
        <f t="shared" si="400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>
      <c r="A3654" s="83" t="str">
        <f t="shared" si="401"/>
        <v/>
      </c>
      <c r="B3654" s="83" t="str">
        <f t="shared" si="399"/>
        <v/>
      </c>
      <c r="S3654" s="83" t="str">
        <f t="shared" si="402"/>
        <v/>
      </c>
      <c r="T3654" s="83" t="str">
        <f t="shared" si="400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>
      <c r="A3655" s="83" t="str">
        <f t="shared" si="401"/>
        <v/>
      </c>
      <c r="B3655" s="83" t="str">
        <f t="shared" si="399"/>
        <v/>
      </c>
      <c r="S3655" s="83" t="str">
        <f t="shared" si="402"/>
        <v/>
      </c>
      <c r="T3655" s="83" t="str">
        <f t="shared" si="400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>
      <c r="A3656" s="83" t="str">
        <f t="shared" si="401"/>
        <v/>
      </c>
      <c r="B3656" s="83" t="str">
        <f t="shared" si="399"/>
        <v/>
      </c>
      <c r="S3656" s="83" t="str">
        <f t="shared" si="402"/>
        <v/>
      </c>
      <c r="T3656" s="83" t="str">
        <f t="shared" si="400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>
      <c r="A3657" s="83" t="str">
        <f t="shared" si="401"/>
        <v/>
      </c>
      <c r="B3657" s="83" t="str">
        <f t="shared" si="399"/>
        <v/>
      </c>
      <c r="S3657" s="83" t="str">
        <f t="shared" si="402"/>
        <v/>
      </c>
      <c r="T3657" s="83" t="str">
        <f t="shared" si="400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>
      <c r="A3658" s="83" t="str">
        <f t="shared" si="401"/>
        <v/>
      </c>
      <c r="B3658" s="83" t="str">
        <f t="shared" si="399"/>
        <v/>
      </c>
      <c r="S3658" s="83" t="str">
        <f t="shared" si="402"/>
        <v/>
      </c>
      <c r="T3658" s="83" t="str">
        <f t="shared" si="400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>
      <c r="A3659" s="83" t="str">
        <f t="shared" si="401"/>
        <v/>
      </c>
      <c r="B3659" s="83" t="str">
        <f t="shared" si="399"/>
        <v/>
      </c>
      <c r="S3659" s="83" t="str">
        <f t="shared" si="402"/>
        <v/>
      </c>
      <c r="T3659" s="83" t="str">
        <f t="shared" si="400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>
      <c r="A3660" s="83" t="str">
        <f t="shared" si="401"/>
        <v/>
      </c>
      <c r="B3660" s="83" t="str">
        <f t="shared" si="399"/>
        <v/>
      </c>
      <c r="S3660" s="83" t="str">
        <f t="shared" si="402"/>
        <v/>
      </c>
      <c r="T3660" s="83" t="str">
        <f t="shared" si="400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>
      <c r="A3661" s="83" t="str">
        <f t="shared" si="401"/>
        <v/>
      </c>
      <c r="B3661" s="83" t="str">
        <f t="shared" si="399"/>
        <v/>
      </c>
      <c r="S3661" s="83" t="str">
        <f t="shared" si="402"/>
        <v/>
      </c>
      <c r="T3661" s="83" t="str">
        <f t="shared" si="400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>
      <c r="A3662" s="83" t="str">
        <f t="shared" si="401"/>
        <v/>
      </c>
      <c r="B3662" s="83" t="str">
        <f t="shared" si="399"/>
        <v/>
      </c>
      <c r="S3662" s="83" t="str">
        <f t="shared" si="402"/>
        <v/>
      </c>
      <c r="T3662" s="83" t="str">
        <f t="shared" si="400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>
      <c r="A3663" s="83" t="str">
        <f t="shared" si="401"/>
        <v/>
      </c>
      <c r="B3663" s="83" t="str">
        <f t="shared" si="399"/>
        <v/>
      </c>
      <c r="S3663" s="83" t="str">
        <f t="shared" si="402"/>
        <v/>
      </c>
      <c r="T3663" s="83" t="str">
        <f t="shared" si="400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>
      <c r="A3664" s="83" t="str">
        <f t="shared" si="401"/>
        <v/>
      </c>
      <c r="B3664" s="83" t="str">
        <f t="shared" si="399"/>
        <v/>
      </c>
      <c r="S3664" s="83" t="str">
        <f t="shared" si="402"/>
        <v/>
      </c>
      <c r="T3664" s="83" t="str">
        <f t="shared" si="400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>
      <c r="A3665" s="83" t="str">
        <f t="shared" si="401"/>
        <v/>
      </c>
      <c r="B3665" s="83" t="str">
        <f t="shared" si="399"/>
        <v/>
      </c>
      <c r="S3665" s="83" t="str">
        <f t="shared" si="402"/>
        <v/>
      </c>
      <c r="T3665" s="83" t="str">
        <f t="shared" si="400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>
      <c r="A3666" s="83" t="str">
        <f t="shared" si="401"/>
        <v/>
      </c>
      <c r="B3666" s="83" t="str">
        <f t="shared" si="399"/>
        <v/>
      </c>
      <c r="S3666" s="83" t="str">
        <f t="shared" si="402"/>
        <v/>
      </c>
      <c r="T3666" s="83" t="str">
        <f t="shared" si="400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>
      <c r="A3667" s="83" t="str">
        <f t="shared" si="401"/>
        <v/>
      </c>
      <c r="B3667" s="83" t="str">
        <f t="shared" si="399"/>
        <v/>
      </c>
      <c r="S3667" s="83" t="str">
        <f t="shared" si="402"/>
        <v/>
      </c>
      <c r="T3667" s="83" t="str">
        <f t="shared" si="400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>
      <c r="A3668" s="83" t="str">
        <f t="shared" si="401"/>
        <v/>
      </c>
      <c r="B3668" s="83" t="str">
        <f t="shared" si="399"/>
        <v/>
      </c>
      <c r="S3668" s="83" t="str">
        <f t="shared" si="402"/>
        <v/>
      </c>
      <c r="T3668" s="83" t="str">
        <f t="shared" si="400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>
      <c r="A3669" s="83" t="str">
        <f t="shared" si="401"/>
        <v/>
      </c>
      <c r="B3669" s="83" t="str">
        <f t="shared" si="399"/>
        <v/>
      </c>
      <c r="S3669" s="83" t="str">
        <f t="shared" si="402"/>
        <v/>
      </c>
      <c r="T3669" s="83" t="str">
        <f t="shared" si="400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>
      <c r="A3670" s="83" t="str">
        <f t="shared" si="401"/>
        <v/>
      </c>
      <c r="B3670" s="83" t="str">
        <f t="shared" si="399"/>
        <v/>
      </c>
      <c r="S3670" s="83" t="str">
        <f t="shared" si="402"/>
        <v/>
      </c>
      <c r="T3670" s="83" t="str">
        <f t="shared" si="400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>
      <c r="A3671" s="83" t="str">
        <f t="shared" si="401"/>
        <v/>
      </c>
      <c r="B3671" s="83" t="str">
        <f t="shared" si="399"/>
        <v/>
      </c>
      <c r="S3671" s="83" t="str">
        <f t="shared" si="402"/>
        <v/>
      </c>
      <c r="T3671" s="83" t="str">
        <f t="shared" si="400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>
      <c r="A3672" s="83" t="str">
        <f t="shared" si="401"/>
        <v/>
      </c>
      <c r="B3672" s="83" t="str">
        <f t="shared" si="399"/>
        <v/>
      </c>
      <c r="S3672" s="83" t="str">
        <f t="shared" si="402"/>
        <v/>
      </c>
      <c r="T3672" s="83" t="str">
        <f t="shared" si="400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>
      <c r="A3673" s="83" t="str">
        <f t="shared" si="401"/>
        <v/>
      </c>
      <c r="B3673" s="83" t="str">
        <f t="shared" si="399"/>
        <v/>
      </c>
      <c r="S3673" s="83" t="str">
        <f t="shared" si="402"/>
        <v/>
      </c>
      <c r="T3673" s="83" t="str">
        <f t="shared" si="400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>
      <c r="A3674" s="83" t="str">
        <f t="shared" si="401"/>
        <v/>
      </c>
      <c r="B3674" s="83" t="str">
        <f t="shared" si="399"/>
        <v/>
      </c>
      <c r="S3674" s="83" t="str">
        <f t="shared" si="402"/>
        <v/>
      </c>
      <c r="T3674" s="83" t="str">
        <f t="shared" si="400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>
      <c r="A3675" s="83" t="str">
        <f t="shared" si="401"/>
        <v/>
      </c>
      <c r="B3675" s="83" t="str">
        <f t="shared" si="399"/>
        <v/>
      </c>
      <c r="S3675" s="83" t="str">
        <f t="shared" si="402"/>
        <v/>
      </c>
      <c r="T3675" s="83" t="str">
        <f t="shared" si="400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>
      <c r="A3676" s="83" t="str">
        <f t="shared" si="401"/>
        <v/>
      </c>
      <c r="B3676" s="83" t="str">
        <f t="shared" si="399"/>
        <v/>
      </c>
      <c r="S3676" s="83" t="str">
        <f t="shared" si="402"/>
        <v/>
      </c>
      <c r="T3676" s="83" t="str">
        <f t="shared" si="400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>
      <c r="A3677" s="83" t="str">
        <f t="shared" si="401"/>
        <v/>
      </c>
      <c r="B3677" s="83" t="str">
        <f t="shared" si="399"/>
        <v/>
      </c>
      <c r="S3677" s="83" t="str">
        <f t="shared" si="402"/>
        <v/>
      </c>
      <c r="T3677" s="83" t="str">
        <f t="shared" si="400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>
      <c r="A3678" s="83" t="str">
        <f t="shared" si="401"/>
        <v/>
      </c>
      <c r="B3678" s="83" t="str">
        <f t="shared" si="399"/>
        <v/>
      </c>
      <c r="S3678" s="83" t="str">
        <f t="shared" si="402"/>
        <v/>
      </c>
      <c r="T3678" s="83" t="str">
        <f t="shared" si="400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>
      <c r="A3679" s="83" t="str">
        <f t="shared" si="401"/>
        <v/>
      </c>
      <c r="B3679" s="83" t="str">
        <f t="shared" si="399"/>
        <v/>
      </c>
      <c r="S3679" s="83" t="str">
        <f t="shared" si="402"/>
        <v/>
      </c>
      <c r="T3679" s="83" t="str">
        <f t="shared" si="400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>
      <c r="A3680" s="83" t="str">
        <f t="shared" si="401"/>
        <v/>
      </c>
      <c r="B3680" s="83" t="str">
        <f t="shared" si="399"/>
        <v/>
      </c>
      <c r="S3680" s="83" t="str">
        <f t="shared" si="402"/>
        <v/>
      </c>
      <c r="T3680" s="83" t="str">
        <f t="shared" si="400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>
      <c r="A3681" s="83" t="str">
        <f t="shared" si="401"/>
        <v/>
      </c>
      <c r="B3681" s="83" t="str">
        <f t="shared" ref="B3681:B3744" si="406">IF(C3681&lt;&gt;"",LEFT(C3681,9),"")</f>
        <v/>
      </c>
      <c r="S3681" s="83" t="str">
        <f t="shared" si="402"/>
        <v/>
      </c>
      <c r="T3681" s="83" t="str">
        <f t="shared" si="400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>
      <c r="A3682" s="83" t="str">
        <f t="shared" si="401"/>
        <v/>
      </c>
      <c r="B3682" s="83" t="str">
        <f t="shared" si="406"/>
        <v/>
      </c>
      <c r="S3682" s="83" t="str">
        <f t="shared" si="402"/>
        <v/>
      </c>
      <c r="T3682" s="83" t="str">
        <f t="shared" si="400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>
      <c r="A3683" s="83" t="str">
        <f t="shared" si="401"/>
        <v/>
      </c>
      <c r="B3683" s="83" t="str">
        <f t="shared" si="406"/>
        <v/>
      </c>
      <c r="S3683" s="83" t="str">
        <f t="shared" si="402"/>
        <v/>
      </c>
      <c r="T3683" s="83" t="str">
        <f t="shared" si="400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>
      <c r="A3684" s="83" t="str">
        <f t="shared" si="401"/>
        <v/>
      </c>
      <c r="B3684" s="83" t="str">
        <f t="shared" si="406"/>
        <v/>
      </c>
      <c r="S3684" s="83" t="str">
        <f t="shared" si="402"/>
        <v/>
      </c>
      <c r="T3684" s="83" t="str">
        <f t="shared" si="400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>
      <c r="A3685" s="83" t="str">
        <f t="shared" si="401"/>
        <v/>
      </c>
      <c r="B3685" s="83" t="str">
        <f t="shared" si="406"/>
        <v/>
      </c>
      <c r="S3685" s="83" t="str">
        <f t="shared" si="402"/>
        <v/>
      </c>
      <c r="T3685" s="83" t="str">
        <f t="shared" si="400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>
      <c r="A3686" s="83" t="str">
        <f t="shared" si="401"/>
        <v/>
      </c>
      <c r="B3686" s="83" t="str">
        <f t="shared" si="406"/>
        <v/>
      </c>
      <c r="S3686" s="83" t="str">
        <f t="shared" si="402"/>
        <v/>
      </c>
      <c r="T3686" s="83" t="str">
        <f t="shared" si="400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>
      <c r="A3687" s="83" t="str">
        <f t="shared" si="401"/>
        <v/>
      </c>
      <c r="B3687" s="83" t="str">
        <f t="shared" si="406"/>
        <v/>
      </c>
      <c r="S3687" s="83" t="str">
        <f t="shared" si="402"/>
        <v/>
      </c>
      <c r="T3687" s="83" t="str">
        <f t="shared" si="400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>
      <c r="A3688" s="83" t="str">
        <f t="shared" si="401"/>
        <v/>
      </c>
      <c r="B3688" s="83" t="str">
        <f t="shared" si="406"/>
        <v/>
      </c>
      <c r="S3688" s="83" t="str">
        <f t="shared" si="402"/>
        <v/>
      </c>
      <c r="T3688" s="83" t="str">
        <f t="shared" si="400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>
      <c r="A3689" s="83" t="str">
        <f t="shared" si="401"/>
        <v/>
      </c>
      <c r="B3689" s="83" t="str">
        <f t="shared" si="406"/>
        <v/>
      </c>
      <c r="S3689" s="83" t="str">
        <f t="shared" si="402"/>
        <v/>
      </c>
      <c r="T3689" s="83" t="str">
        <f t="shared" si="400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>
      <c r="A3690" s="83" t="str">
        <f t="shared" si="401"/>
        <v/>
      </c>
      <c r="B3690" s="83" t="str">
        <f t="shared" si="406"/>
        <v/>
      </c>
      <c r="S3690" s="83" t="str">
        <f t="shared" si="402"/>
        <v/>
      </c>
      <c r="T3690" s="83" t="str">
        <f t="shared" si="400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>
      <c r="A3691" s="83" t="str">
        <f t="shared" si="401"/>
        <v/>
      </c>
      <c r="B3691" s="83" t="str">
        <f t="shared" si="406"/>
        <v/>
      </c>
      <c r="S3691" s="83" t="str">
        <f t="shared" si="402"/>
        <v/>
      </c>
      <c r="T3691" s="83" t="str">
        <f t="shared" si="400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>
      <c r="A3692" s="83" t="str">
        <f t="shared" si="401"/>
        <v/>
      </c>
      <c r="B3692" s="83" t="str">
        <f t="shared" si="406"/>
        <v/>
      </c>
      <c r="S3692" s="83" t="str">
        <f t="shared" si="402"/>
        <v/>
      </c>
      <c r="T3692" s="83" t="str">
        <f t="shared" si="400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>
      <c r="A3693" s="83" t="str">
        <f t="shared" si="401"/>
        <v/>
      </c>
      <c r="B3693" s="83" t="str">
        <f t="shared" si="406"/>
        <v/>
      </c>
      <c r="S3693" s="83" t="str">
        <f t="shared" si="402"/>
        <v/>
      </c>
      <c r="T3693" s="83" t="str">
        <f t="shared" si="400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>
      <c r="A3694" s="83" t="str">
        <f t="shared" si="401"/>
        <v/>
      </c>
      <c r="B3694" s="83" t="str">
        <f t="shared" si="406"/>
        <v/>
      </c>
      <c r="S3694" s="83" t="str">
        <f t="shared" si="402"/>
        <v/>
      </c>
      <c r="T3694" s="83" t="str">
        <f t="shared" si="400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>
      <c r="A3695" s="83" t="str">
        <f t="shared" si="401"/>
        <v/>
      </c>
      <c r="B3695" s="83" t="str">
        <f t="shared" si="406"/>
        <v/>
      </c>
      <c r="S3695" s="83" t="str">
        <f t="shared" si="402"/>
        <v/>
      </c>
      <c r="T3695" s="83" t="str">
        <f t="shared" si="400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>
      <c r="A3696" s="83" t="str">
        <f t="shared" si="401"/>
        <v/>
      </c>
      <c r="B3696" s="83" t="str">
        <f t="shared" si="406"/>
        <v/>
      </c>
      <c r="S3696" s="83" t="str">
        <f t="shared" si="402"/>
        <v/>
      </c>
      <c r="T3696" s="83" t="str">
        <f t="shared" si="400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>
      <c r="A3697" s="83" t="str">
        <f t="shared" si="401"/>
        <v/>
      </c>
      <c r="B3697" s="83" t="str">
        <f t="shared" si="406"/>
        <v/>
      </c>
      <c r="S3697" s="83" t="str">
        <f t="shared" si="402"/>
        <v/>
      </c>
      <c r="T3697" s="83" t="str">
        <f t="shared" si="400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>
      <c r="A3698" s="83" t="str">
        <f t="shared" si="401"/>
        <v/>
      </c>
      <c r="B3698" s="83" t="str">
        <f t="shared" si="406"/>
        <v/>
      </c>
      <c r="S3698" s="83" t="str">
        <f t="shared" si="402"/>
        <v/>
      </c>
      <c r="T3698" s="83" t="str">
        <f t="shared" si="400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>
      <c r="A3699" s="83" t="str">
        <f t="shared" si="401"/>
        <v/>
      </c>
      <c r="B3699" s="83" t="str">
        <f t="shared" si="406"/>
        <v/>
      </c>
      <c r="S3699" s="83" t="str">
        <f t="shared" si="402"/>
        <v/>
      </c>
      <c r="T3699" s="83" t="str">
        <f t="shared" si="400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>
      <c r="A3700" s="83" t="str">
        <f t="shared" si="401"/>
        <v/>
      </c>
      <c r="B3700" s="83" t="str">
        <f t="shared" si="406"/>
        <v/>
      </c>
      <c r="S3700" s="83" t="str">
        <f t="shared" si="402"/>
        <v/>
      </c>
      <c r="T3700" s="83" t="str">
        <f t="shared" si="400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>
      <c r="A3701" s="83" t="str">
        <f t="shared" si="401"/>
        <v/>
      </c>
      <c r="B3701" s="83" t="str">
        <f t="shared" si="406"/>
        <v/>
      </c>
      <c r="S3701" s="83" t="str">
        <f t="shared" si="402"/>
        <v/>
      </c>
      <c r="T3701" s="83" t="str">
        <f t="shared" si="400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>
      <c r="A3702" s="83" t="str">
        <f t="shared" si="401"/>
        <v/>
      </c>
      <c r="B3702" s="83" t="str">
        <f t="shared" si="406"/>
        <v/>
      </c>
      <c r="S3702" s="83" t="str">
        <f t="shared" si="402"/>
        <v/>
      </c>
      <c r="T3702" s="83" t="str">
        <f t="shared" si="400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>
      <c r="A3703" s="83" t="str">
        <f t="shared" si="401"/>
        <v/>
      </c>
      <c r="B3703" s="83" t="str">
        <f t="shared" si="406"/>
        <v/>
      </c>
      <c r="S3703" s="83" t="str">
        <f t="shared" si="402"/>
        <v/>
      </c>
      <c r="T3703" s="83" t="str">
        <f t="shared" si="400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>
      <c r="A3704" s="83" t="str">
        <f t="shared" si="401"/>
        <v/>
      </c>
      <c r="B3704" s="83" t="str">
        <f t="shared" si="406"/>
        <v/>
      </c>
      <c r="S3704" s="83" t="str">
        <f t="shared" si="402"/>
        <v/>
      </c>
      <c r="T3704" s="83" t="str">
        <f t="shared" si="400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>
      <c r="A3705" s="83" t="str">
        <f t="shared" si="401"/>
        <v/>
      </c>
      <c r="B3705" s="83" t="str">
        <f t="shared" si="406"/>
        <v/>
      </c>
      <c r="S3705" s="83" t="str">
        <f t="shared" si="402"/>
        <v/>
      </c>
      <c r="T3705" s="83" t="str">
        <f t="shared" si="400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>
      <c r="A3706" s="83" t="str">
        <f t="shared" si="401"/>
        <v/>
      </c>
      <c r="B3706" s="83" t="str">
        <f t="shared" si="406"/>
        <v/>
      </c>
      <c r="S3706" s="83" t="str">
        <f t="shared" si="402"/>
        <v/>
      </c>
      <c r="T3706" s="83" t="str">
        <f t="shared" si="400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>
      <c r="A3707" s="83" t="str">
        <f t="shared" si="401"/>
        <v/>
      </c>
      <c r="B3707" s="83" t="str">
        <f t="shared" si="406"/>
        <v/>
      </c>
      <c r="S3707" s="83" t="str">
        <f t="shared" si="402"/>
        <v/>
      </c>
      <c r="T3707" s="83" t="str">
        <f t="shared" si="400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>
      <c r="A3708" s="83" t="str">
        <f t="shared" si="401"/>
        <v/>
      </c>
      <c r="B3708" s="83" t="str">
        <f t="shared" si="406"/>
        <v/>
      </c>
      <c r="S3708" s="83" t="str">
        <f t="shared" si="402"/>
        <v/>
      </c>
      <c r="T3708" s="83" t="str">
        <f t="shared" si="400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>
      <c r="A3709" s="83" t="str">
        <f t="shared" si="401"/>
        <v/>
      </c>
      <c r="B3709" s="83" t="str">
        <f t="shared" si="406"/>
        <v/>
      </c>
      <c r="S3709" s="83" t="str">
        <f t="shared" si="402"/>
        <v/>
      </c>
      <c r="T3709" s="83" t="str">
        <f t="shared" si="400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>
      <c r="A3710" s="83" t="str">
        <f t="shared" si="401"/>
        <v/>
      </c>
      <c r="B3710" s="83" t="str">
        <f t="shared" si="406"/>
        <v/>
      </c>
      <c r="S3710" s="83" t="str">
        <f t="shared" si="402"/>
        <v/>
      </c>
      <c r="T3710" s="83" t="str">
        <f t="shared" si="400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>
      <c r="A3711" s="83" t="str">
        <f t="shared" si="401"/>
        <v/>
      </c>
      <c r="B3711" s="83" t="str">
        <f t="shared" si="406"/>
        <v/>
      </c>
      <c r="S3711" s="83" t="str">
        <f t="shared" si="402"/>
        <v/>
      </c>
      <c r="T3711" s="83" t="str">
        <f t="shared" si="400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>
      <c r="A3712" s="83" t="str">
        <f t="shared" si="401"/>
        <v/>
      </c>
      <c r="B3712" s="83" t="str">
        <f t="shared" si="406"/>
        <v/>
      </c>
      <c r="S3712" s="83" t="str">
        <f t="shared" si="402"/>
        <v/>
      </c>
      <c r="T3712" s="83" t="str">
        <f t="shared" si="400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>
      <c r="A3713" s="83" t="str">
        <f t="shared" si="401"/>
        <v/>
      </c>
      <c r="B3713" s="83" t="str">
        <f t="shared" si="406"/>
        <v/>
      </c>
      <c r="S3713" s="83" t="str">
        <f t="shared" si="402"/>
        <v/>
      </c>
      <c r="T3713" s="83" t="str">
        <f t="shared" si="400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>
      <c r="A3714" s="83" t="str">
        <f t="shared" si="401"/>
        <v/>
      </c>
      <c r="B3714" s="83" t="str">
        <f t="shared" si="406"/>
        <v/>
      </c>
      <c r="S3714" s="83" t="str">
        <f t="shared" si="402"/>
        <v/>
      </c>
      <c r="T3714" s="83" t="str">
        <f t="shared" ref="T3714:T3777" si="407">IF(A3714&lt;&gt;"",IF(FIND(" ",G3714)&gt;=1,MID(G3714,FIND(" ",G3714)+1,LEN(G3714)),""),"")</f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>
      <c r="A3715" s="83" t="str">
        <f t="shared" ref="A3715:A3778" si="408">IF(G3715&amp;Q3715&lt;&gt;"",S3715&amp;Q3715,"")</f>
        <v/>
      </c>
      <c r="B3715" s="83" t="str">
        <f t="shared" si="406"/>
        <v/>
      </c>
      <c r="S3715" s="83" t="str">
        <f t="shared" ref="S3715:S3778" si="409">IF(G3715&lt;&gt;"",IF(FIND(" ",G3715)&gt;=1,MID(G3715,1,FIND(" ",G3715)-1),G3715),"")</f>
        <v/>
      </c>
      <c r="T3715" s="83" t="str">
        <f t="shared" si="407"/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>
      <c r="A3716" s="83" t="str">
        <f t="shared" si="408"/>
        <v/>
      </c>
      <c r="B3716" s="83" t="str">
        <f t="shared" si="406"/>
        <v/>
      </c>
      <c r="S3716" s="83" t="str">
        <f t="shared" si="409"/>
        <v/>
      </c>
      <c r="T3716" s="83" t="str">
        <f t="shared" si="407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>
      <c r="A3717" s="83" t="str">
        <f t="shared" si="408"/>
        <v/>
      </c>
      <c r="B3717" s="83" t="str">
        <f t="shared" si="406"/>
        <v/>
      </c>
      <c r="S3717" s="83" t="str">
        <f t="shared" si="409"/>
        <v/>
      </c>
      <c r="T3717" s="83" t="str">
        <f t="shared" si="407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>
      <c r="A3718" s="83" t="str">
        <f t="shared" si="408"/>
        <v/>
      </c>
      <c r="B3718" s="83" t="str">
        <f t="shared" si="406"/>
        <v/>
      </c>
      <c r="S3718" s="83" t="str">
        <f t="shared" si="409"/>
        <v/>
      </c>
      <c r="T3718" s="83" t="str">
        <f t="shared" si="407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>
      <c r="A3719" s="83" t="str">
        <f t="shared" si="408"/>
        <v/>
      </c>
      <c r="B3719" s="83" t="str">
        <f t="shared" si="406"/>
        <v/>
      </c>
      <c r="S3719" s="83" t="str">
        <f t="shared" si="409"/>
        <v/>
      </c>
      <c r="T3719" s="83" t="str">
        <f t="shared" si="407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>
      <c r="A3720" s="83" t="str">
        <f t="shared" si="408"/>
        <v/>
      </c>
      <c r="B3720" s="83" t="str">
        <f t="shared" si="406"/>
        <v/>
      </c>
      <c r="S3720" s="83" t="str">
        <f t="shared" si="409"/>
        <v/>
      </c>
      <c r="T3720" s="83" t="str">
        <f t="shared" si="407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>
      <c r="A3721" s="83" t="str">
        <f t="shared" si="408"/>
        <v/>
      </c>
      <c r="B3721" s="83" t="str">
        <f t="shared" si="406"/>
        <v/>
      </c>
      <c r="S3721" s="83" t="str">
        <f t="shared" si="409"/>
        <v/>
      </c>
      <c r="T3721" s="83" t="str">
        <f t="shared" si="407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>
      <c r="A3722" s="83" t="str">
        <f t="shared" si="408"/>
        <v/>
      </c>
      <c r="B3722" s="83" t="str">
        <f t="shared" si="406"/>
        <v/>
      </c>
      <c r="S3722" s="83" t="str">
        <f t="shared" si="409"/>
        <v/>
      </c>
      <c r="T3722" s="83" t="str">
        <f t="shared" si="407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>
      <c r="A3723" s="83" t="str">
        <f t="shared" si="408"/>
        <v/>
      </c>
      <c r="B3723" s="83" t="str">
        <f t="shared" si="406"/>
        <v/>
      </c>
      <c r="S3723" s="83" t="str">
        <f t="shared" si="409"/>
        <v/>
      </c>
      <c r="T3723" s="83" t="str">
        <f t="shared" si="407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8"/>
        <v/>
      </c>
      <c r="B3724" s="83" t="str">
        <f t="shared" si="406"/>
        <v/>
      </c>
      <c r="S3724" s="83" t="str">
        <f t="shared" si="409"/>
        <v/>
      </c>
      <c r="T3724" s="83" t="str">
        <f t="shared" si="407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8"/>
        <v/>
      </c>
      <c r="B3725" s="83" t="str">
        <f t="shared" si="406"/>
        <v/>
      </c>
      <c r="S3725" s="83" t="str">
        <f t="shared" si="409"/>
        <v/>
      </c>
      <c r="T3725" s="83" t="str">
        <f t="shared" si="407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8"/>
        <v/>
      </c>
      <c r="B3726" s="83" t="str">
        <f t="shared" si="406"/>
        <v/>
      </c>
      <c r="S3726" s="83" t="str">
        <f t="shared" si="409"/>
        <v/>
      </c>
      <c r="T3726" s="83" t="str">
        <f t="shared" si="407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8"/>
        <v/>
      </c>
      <c r="B3727" s="83" t="str">
        <f t="shared" si="406"/>
        <v/>
      </c>
      <c r="S3727" s="83" t="str">
        <f t="shared" si="409"/>
        <v/>
      </c>
      <c r="T3727" s="83" t="str">
        <f t="shared" si="407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8"/>
        <v/>
      </c>
      <c r="B3728" s="83" t="str">
        <f t="shared" si="406"/>
        <v/>
      </c>
      <c r="S3728" s="83" t="str">
        <f t="shared" si="409"/>
        <v/>
      </c>
      <c r="T3728" s="83" t="str">
        <f t="shared" si="407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8"/>
        <v/>
      </c>
      <c r="B3729" s="83" t="str">
        <f t="shared" si="406"/>
        <v/>
      </c>
      <c r="S3729" s="83" t="str">
        <f t="shared" si="409"/>
        <v/>
      </c>
      <c r="T3729" s="83" t="str">
        <f t="shared" si="407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8"/>
        <v/>
      </c>
      <c r="B3730" s="83" t="str">
        <f t="shared" si="406"/>
        <v/>
      </c>
      <c r="S3730" s="83" t="str">
        <f t="shared" si="409"/>
        <v/>
      </c>
      <c r="T3730" s="83" t="str">
        <f t="shared" si="407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8"/>
        <v/>
      </c>
      <c r="B3731" s="83" t="str">
        <f t="shared" si="406"/>
        <v/>
      </c>
      <c r="S3731" s="83" t="str">
        <f t="shared" si="409"/>
        <v/>
      </c>
      <c r="T3731" s="83" t="str">
        <f t="shared" si="407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8"/>
        <v/>
      </c>
      <c r="B3732" s="83" t="str">
        <f t="shared" si="406"/>
        <v/>
      </c>
      <c r="S3732" s="83" t="str">
        <f t="shared" si="409"/>
        <v/>
      </c>
      <c r="T3732" s="83" t="str">
        <f t="shared" si="407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8"/>
        <v/>
      </c>
      <c r="B3733" s="83" t="str">
        <f t="shared" si="406"/>
        <v/>
      </c>
      <c r="S3733" s="83" t="str">
        <f t="shared" si="409"/>
        <v/>
      </c>
      <c r="T3733" s="83" t="str">
        <f t="shared" si="407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8"/>
        <v/>
      </c>
      <c r="B3734" s="83" t="str">
        <f t="shared" si="406"/>
        <v/>
      </c>
      <c r="S3734" s="83" t="str">
        <f t="shared" si="409"/>
        <v/>
      </c>
      <c r="T3734" s="83" t="str">
        <f t="shared" si="407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8"/>
        <v/>
      </c>
      <c r="B3735" s="83" t="str">
        <f t="shared" si="406"/>
        <v/>
      </c>
      <c r="S3735" s="83" t="str">
        <f t="shared" si="409"/>
        <v/>
      </c>
      <c r="T3735" s="83" t="str">
        <f t="shared" si="407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8"/>
        <v/>
      </c>
      <c r="B3736" s="83" t="str">
        <f t="shared" si="406"/>
        <v/>
      </c>
      <c r="S3736" s="83" t="str">
        <f t="shared" si="409"/>
        <v/>
      </c>
      <c r="T3736" s="83" t="str">
        <f t="shared" si="407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8"/>
        <v/>
      </c>
      <c r="B3737" s="83" t="str">
        <f t="shared" si="406"/>
        <v/>
      </c>
      <c r="S3737" s="83" t="str">
        <f t="shared" si="409"/>
        <v/>
      </c>
      <c r="T3737" s="83" t="str">
        <f t="shared" si="407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8"/>
        <v/>
      </c>
      <c r="B3738" s="83" t="str">
        <f t="shared" si="406"/>
        <v/>
      </c>
      <c r="S3738" s="83" t="str">
        <f t="shared" si="409"/>
        <v/>
      </c>
      <c r="T3738" s="83" t="str">
        <f t="shared" si="407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8"/>
        <v/>
      </c>
      <c r="B3739" s="83" t="str">
        <f t="shared" si="406"/>
        <v/>
      </c>
      <c r="S3739" s="83" t="str">
        <f t="shared" si="409"/>
        <v/>
      </c>
      <c r="T3739" s="83" t="str">
        <f t="shared" si="407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8"/>
        <v/>
      </c>
      <c r="B3740" s="83" t="str">
        <f t="shared" si="406"/>
        <v/>
      </c>
      <c r="S3740" s="83" t="str">
        <f t="shared" si="409"/>
        <v/>
      </c>
      <c r="T3740" s="83" t="str">
        <f t="shared" si="407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8"/>
        <v/>
      </c>
      <c r="B3741" s="83" t="str">
        <f t="shared" si="406"/>
        <v/>
      </c>
      <c r="S3741" s="83" t="str">
        <f t="shared" si="409"/>
        <v/>
      </c>
      <c r="T3741" s="83" t="str">
        <f t="shared" si="407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8"/>
        <v/>
      </c>
      <c r="B3742" s="83" t="str">
        <f t="shared" si="406"/>
        <v/>
      </c>
      <c r="S3742" s="83" t="str">
        <f t="shared" si="409"/>
        <v/>
      </c>
      <c r="T3742" s="83" t="str">
        <f t="shared" si="407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8"/>
        <v/>
      </c>
      <c r="B3743" s="83" t="str">
        <f t="shared" si="406"/>
        <v/>
      </c>
      <c r="S3743" s="83" t="str">
        <f t="shared" si="409"/>
        <v/>
      </c>
      <c r="T3743" s="83" t="str">
        <f t="shared" si="407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8"/>
        <v/>
      </c>
      <c r="B3744" s="83" t="str">
        <f t="shared" si="406"/>
        <v/>
      </c>
      <c r="S3744" s="83" t="str">
        <f t="shared" si="409"/>
        <v/>
      </c>
      <c r="T3744" s="83" t="str">
        <f t="shared" si="407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8"/>
        <v/>
      </c>
      <c r="B3745" s="83" t="str">
        <f t="shared" ref="B3745:B3808" si="413">IF(C3745&lt;&gt;"",LEFT(C3745,9),"")</f>
        <v/>
      </c>
      <c r="S3745" s="83" t="str">
        <f t="shared" si="409"/>
        <v/>
      </c>
      <c r="T3745" s="83" t="str">
        <f t="shared" si="407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8"/>
        <v/>
      </c>
      <c r="B3746" s="83" t="str">
        <f t="shared" si="413"/>
        <v/>
      </c>
      <c r="S3746" s="83" t="str">
        <f t="shared" si="409"/>
        <v/>
      </c>
      <c r="T3746" s="83" t="str">
        <f t="shared" si="407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8"/>
        <v/>
      </c>
      <c r="B3747" s="83" t="str">
        <f t="shared" si="413"/>
        <v/>
      </c>
      <c r="S3747" s="83" t="str">
        <f t="shared" si="409"/>
        <v/>
      </c>
      <c r="T3747" s="83" t="str">
        <f t="shared" si="407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8"/>
        <v/>
      </c>
      <c r="B3748" s="83" t="str">
        <f t="shared" si="413"/>
        <v/>
      </c>
      <c r="S3748" s="83" t="str">
        <f t="shared" si="409"/>
        <v/>
      </c>
      <c r="T3748" s="83" t="str">
        <f t="shared" si="407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8"/>
        <v/>
      </c>
      <c r="B3749" s="83" t="str">
        <f t="shared" si="413"/>
        <v/>
      </c>
      <c r="S3749" s="83" t="str">
        <f t="shared" si="409"/>
        <v/>
      </c>
      <c r="T3749" s="83" t="str">
        <f t="shared" si="407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8"/>
        <v/>
      </c>
      <c r="B3750" s="83" t="str">
        <f t="shared" si="413"/>
        <v/>
      </c>
      <c r="S3750" s="83" t="str">
        <f t="shared" si="409"/>
        <v/>
      </c>
      <c r="T3750" s="83" t="str">
        <f t="shared" si="407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8"/>
        <v/>
      </c>
      <c r="B3751" s="83" t="str">
        <f t="shared" si="413"/>
        <v/>
      </c>
      <c r="S3751" s="83" t="str">
        <f t="shared" si="409"/>
        <v/>
      </c>
      <c r="T3751" s="83" t="str">
        <f t="shared" si="407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8"/>
        <v/>
      </c>
      <c r="B3752" s="83" t="str">
        <f t="shared" si="413"/>
        <v/>
      </c>
      <c r="S3752" s="83" t="str">
        <f t="shared" si="409"/>
        <v/>
      </c>
      <c r="T3752" s="83" t="str">
        <f t="shared" si="407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8"/>
        <v/>
      </c>
      <c r="B3753" s="83" t="str">
        <f t="shared" si="413"/>
        <v/>
      </c>
      <c r="S3753" s="83" t="str">
        <f t="shared" si="409"/>
        <v/>
      </c>
      <c r="T3753" s="83" t="str">
        <f t="shared" si="407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8"/>
        <v/>
      </c>
      <c r="B3754" s="83" t="str">
        <f t="shared" si="413"/>
        <v/>
      </c>
      <c r="S3754" s="83" t="str">
        <f t="shared" si="409"/>
        <v/>
      </c>
      <c r="T3754" s="83" t="str">
        <f t="shared" si="407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8"/>
        <v/>
      </c>
      <c r="B3755" s="83" t="str">
        <f t="shared" si="413"/>
        <v/>
      </c>
      <c r="S3755" s="83" t="str">
        <f t="shared" si="409"/>
        <v/>
      </c>
      <c r="T3755" s="83" t="str">
        <f t="shared" si="407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8"/>
        <v/>
      </c>
      <c r="B3756" s="83" t="str">
        <f t="shared" si="413"/>
        <v/>
      </c>
      <c r="S3756" s="83" t="str">
        <f t="shared" si="409"/>
        <v/>
      </c>
      <c r="T3756" s="83" t="str">
        <f t="shared" si="407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8"/>
        <v/>
      </c>
      <c r="B3757" s="83" t="str">
        <f t="shared" si="413"/>
        <v/>
      </c>
      <c r="S3757" s="83" t="str">
        <f t="shared" si="409"/>
        <v/>
      </c>
      <c r="T3757" s="83" t="str">
        <f t="shared" si="407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8"/>
        <v/>
      </c>
      <c r="B3758" s="83" t="str">
        <f t="shared" si="413"/>
        <v/>
      </c>
      <c r="S3758" s="83" t="str">
        <f t="shared" si="409"/>
        <v/>
      </c>
      <c r="T3758" s="83" t="str">
        <f t="shared" si="407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8"/>
        <v/>
      </c>
      <c r="B3759" s="83" t="str">
        <f t="shared" si="413"/>
        <v/>
      </c>
      <c r="S3759" s="83" t="str">
        <f t="shared" si="409"/>
        <v/>
      </c>
      <c r="T3759" s="83" t="str">
        <f t="shared" si="407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8"/>
        <v/>
      </c>
      <c r="B3760" s="83" t="str">
        <f t="shared" si="413"/>
        <v/>
      </c>
      <c r="S3760" s="83" t="str">
        <f t="shared" si="409"/>
        <v/>
      </c>
      <c r="T3760" s="83" t="str">
        <f t="shared" si="407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8"/>
        <v/>
      </c>
      <c r="B3761" s="83" t="str">
        <f t="shared" si="413"/>
        <v/>
      </c>
      <c r="S3761" s="83" t="str">
        <f t="shared" si="409"/>
        <v/>
      </c>
      <c r="T3761" s="83" t="str">
        <f t="shared" si="407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8"/>
        <v/>
      </c>
      <c r="B3762" s="83" t="str">
        <f t="shared" si="413"/>
        <v/>
      </c>
      <c r="S3762" s="83" t="str">
        <f t="shared" si="409"/>
        <v/>
      </c>
      <c r="T3762" s="83" t="str">
        <f t="shared" si="407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8"/>
        <v/>
      </c>
      <c r="B3763" s="83" t="str">
        <f t="shared" si="413"/>
        <v/>
      </c>
      <c r="S3763" s="83" t="str">
        <f t="shared" si="409"/>
        <v/>
      </c>
      <c r="T3763" s="83" t="str">
        <f t="shared" si="407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8"/>
        <v/>
      </c>
      <c r="B3764" s="83" t="str">
        <f t="shared" si="413"/>
        <v/>
      </c>
      <c r="S3764" s="83" t="str">
        <f t="shared" si="409"/>
        <v/>
      </c>
      <c r="T3764" s="83" t="str">
        <f t="shared" si="407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8"/>
        <v/>
      </c>
      <c r="B3765" s="83" t="str">
        <f t="shared" si="413"/>
        <v/>
      </c>
      <c r="S3765" s="83" t="str">
        <f t="shared" si="409"/>
        <v/>
      </c>
      <c r="T3765" s="83" t="str">
        <f t="shared" si="407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8"/>
        <v/>
      </c>
      <c r="B3766" s="83" t="str">
        <f t="shared" si="413"/>
        <v/>
      </c>
      <c r="S3766" s="83" t="str">
        <f t="shared" si="409"/>
        <v/>
      </c>
      <c r="T3766" s="83" t="str">
        <f t="shared" si="407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8"/>
        <v/>
      </c>
      <c r="B3767" s="83" t="str">
        <f t="shared" si="413"/>
        <v/>
      </c>
      <c r="S3767" s="83" t="str">
        <f t="shared" si="409"/>
        <v/>
      </c>
      <c r="T3767" s="83" t="str">
        <f t="shared" si="407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8"/>
        <v/>
      </c>
      <c r="B3768" s="83" t="str">
        <f t="shared" si="413"/>
        <v/>
      </c>
      <c r="S3768" s="83" t="str">
        <f t="shared" si="409"/>
        <v/>
      </c>
      <c r="T3768" s="83" t="str">
        <f t="shared" si="407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8"/>
        <v/>
      </c>
      <c r="B3769" s="83" t="str">
        <f t="shared" si="413"/>
        <v/>
      </c>
      <c r="S3769" s="83" t="str">
        <f t="shared" si="409"/>
        <v/>
      </c>
      <c r="T3769" s="83" t="str">
        <f t="shared" si="407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8"/>
        <v/>
      </c>
      <c r="B3770" s="83" t="str">
        <f t="shared" si="413"/>
        <v/>
      </c>
      <c r="S3770" s="83" t="str">
        <f t="shared" si="409"/>
        <v/>
      </c>
      <c r="T3770" s="83" t="str">
        <f t="shared" si="407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8"/>
        <v/>
      </c>
      <c r="B3771" s="83" t="str">
        <f t="shared" si="413"/>
        <v/>
      </c>
      <c r="S3771" s="83" t="str">
        <f t="shared" si="409"/>
        <v/>
      </c>
      <c r="T3771" s="83" t="str">
        <f t="shared" si="407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8"/>
        <v/>
      </c>
      <c r="B3772" s="83" t="str">
        <f t="shared" si="413"/>
        <v/>
      </c>
      <c r="S3772" s="83" t="str">
        <f t="shared" si="409"/>
        <v/>
      </c>
      <c r="T3772" s="83" t="str">
        <f t="shared" si="407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8"/>
        <v/>
      </c>
      <c r="B3773" s="83" t="str">
        <f t="shared" si="413"/>
        <v/>
      </c>
      <c r="S3773" s="83" t="str">
        <f t="shared" si="409"/>
        <v/>
      </c>
      <c r="T3773" s="83" t="str">
        <f t="shared" si="407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8"/>
        <v/>
      </c>
      <c r="B3774" s="83" t="str">
        <f t="shared" si="413"/>
        <v/>
      </c>
      <c r="S3774" s="83" t="str">
        <f t="shared" si="409"/>
        <v/>
      </c>
      <c r="T3774" s="83" t="str">
        <f t="shared" si="407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8"/>
        <v/>
      </c>
      <c r="B3775" s="83" t="str">
        <f t="shared" si="413"/>
        <v/>
      </c>
      <c r="S3775" s="83" t="str">
        <f t="shared" si="409"/>
        <v/>
      </c>
      <c r="T3775" s="83" t="str">
        <f t="shared" si="407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8"/>
        <v/>
      </c>
      <c r="B3776" s="83" t="str">
        <f t="shared" si="413"/>
        <v/>
      </c>
      <c r="S3776" s="83" t="str">
        <f t="shared" si="409"/>
        <v/>
      </c>
      <c r="T3776" s="83" t="str">
        <f t="shared" si="407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8"/>
        <v/>
      </c>
      <c r="B3777" s="83" t="str">
        <f t="shared" si="413"/>
        <v/>
      </c>
      <c r="S3777" s="83" t="str">
        <f t="shared" si="409"/>
        <v/>
      </c>
      <c r="T3777" s="83" t="str">
        <f t="shared" si="407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8"/>
        <v/>
      </c>
      <c r="B3778" s="83" t="str">
        <f t="shared" si="413"/>
        <v/>
      </c>
      <c r="S3778" s="83" t="str">
        <f t="shared" si="409"/>
        <v/>
      </c>
      <c r="T3778" s="83" t="str">
        <f t="shared" ref="T3778:T3841" si="414">IF(A3778&lt;&gt;"",IF(FIND(" ",G3778)&gt;=1,MID(G3778,FIND(" ",G3778)+1,LEN(G3778)),""),"")</f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5">IF(G3779&amp;Q3779&lt;&gt;"",S3779&amp;Q3779,"")</f>
        <v/>
      </c>
      <c r="B3779" s="83" t="str">
        <f t="shared" si="413"/>
        <v/>
      </c>
      <c r="S3779" s="83" t="str">
        <f t="shared" ref="S3779:S3842" si="416">IF(G3779&lt;&gt;"",IF(FIND(" ",G3779)&gt;=1,MID(G3779,1,FIND(" ",G3779)-1),G3779),"")</f>
        <v/>
      </c>
      <c r="T3779" s="83" t="str">
        <f t="shared" si="414"/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5"/>
        <v/>
      </c>
      <c r="B3780" s="83" t="str">
        <f t="shared" si="413"/>
        <v/>
      </c>
      <c r="S3780" s="83" t="str">
        <f t="shared" si="416"/>
        <v/>
      </c>
      <c r="T3780" s="83" t="str">
        <f t="shared" si="414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5"/>
        <v/>
      </c>
      <c r="B3781" s="83" t="str">
        <f t="shared" si="413"/>
        <v/>
      </c>
      <c r="S3781" s="83" t="str">
        <f t="shared" si="416"/>
        <v/>
      </c>
      <c r="T3781" s="83" t="str">
        <f t="shared" si="414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5"/>
        <v/>
      </c>
      <c r="B3782" s="83" t="str">
        <f t="shared" si="413"/>
        <v/>
      </c>
      <c r="S3782" s="83" t="str">
        <f t="shared" si="416"/>
        <v/>
      </c>
      <c r="T3782" s="83" t="str">
        <f t="shared" si="414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5"/>
        <v/>
      </c>
      <c r="B3783" s="83" t="str">
        <f t="shared" si="413"/>
        <v/>
      </c>
      <c r="S3783" s="83" t="str">
        <f t="shared" si="416"/>
        <v/>
      </c>
      <c r="T3783" s="83" t="str">
        <f t="shared" si="414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5"/>
        <v/>
      </c>
      <c r="B3784" s="83" t="str">
        <f t="shared" si="413"/>
        <v/>
      </c>
      <c r="S3784" s="83" t="str">
        <f t="shared" si="416"/>
        <v/>
      </c>
      <c r="T3784" s="83" t="str">
        <f t="shared" si="414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5"/>
        <v/>
      </c>
      <c r="B3785" s="83" t="str">
        <f t="shared" si="413"/>
        <v/>
      </c>
      <c r="S3785" s="83" t="str">
        <f t="shared" si="416"/>
        <v/>
      </c>
      <c r="T3785" s="83" t="str">
        <f t="shared" si="414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5"/>
        <v/>
      </c>
      <c r="B3786" s="83" t="str">
        <f t="shared" si="413"/>
        <v/>
      </c>
      <c r="S3786" s="83" t="str">
        <f t="shared" si="416"/>
        <v/>
      </c>
      <c r="T3786" s="83" t="str">
        <f t="shared" si="414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5"/>
        <v/>
      </c>
      <c r="B3787" s="83" t="str">
        <f t="shared" si="413"/>
        <v/>
      </c>
      <c r="S3787" s="83" t="str">
        <f t="shared" si="416"/>
        <v/>
      </c>
      <c r="T3787" s="83" t="str">
        <f t="shared" si="414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5"/>
        <v/>
      </c>
      <c r="B3788" s="83" t="str">
        <f t="shared" si="413"/>
        <v/>
      </c>
      <c r="S3788" s="83" t="str">
        <f t="shared" si="416"/>
        <v/>
      </c>
      <c r="T3788" s="83" t="str">
        <f t="shared" si="414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5"/>
        <v/>
      </c>
      <c r="B3789" s="83" t="str">
        <f t="shared" si="413"/>
        <v/>
      </c>
      <c r="S3789" s="83" t="str">
        <f t="shared" si="416"/>
        <v/>
      </c>
      <c r="T3789" s="83" t="str">
        <f t="shared" si="414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5"/>
        <v/>
      </c>
      <c r="B3790" s="83" t="str">
        <f t="shared" si="413"/>
        <v/>
      </c>
      <c r="S3790" s="83" t="str">
        <f t="shared" si="416"/>
        <v/>
      </c>
      <c r="T3790" s="83" t="str">
        <f t="shared" si="414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5"/>
        <v/>
      </c>
      <c r="B3791" s="83" t="str">
        <f t="shared" si="413"/>
        <v/>
      </c>
      <c r="S3791" s="83" t="str">
        <f t="shared" si="416"/>
        <v/>
      </c>
      <c r="T3791" s="83" t="str">
        <f t="shared" si="414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5"/>
        <v/>
      </c>
      <c r="B3792" s="83" t="str">
        <f t="shared" si="413"/>
        <v/>
      </c>
      <c r="S3792" s="83" t="str">
        <f t="shared" si="416"/>
        <v/>
      </c>
      <c r="T3792" s="83" t="str">
        <f t="shared" si="414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5"/>
        <v/>
      </c>
      <c r="B3793" s="83" t="str">
        <f t="shared" si="413"/>
        <v/>
      </c>
      <c r="S3793" s="83" t="str">
        <f t="shared" si="416"/>
        <v/>
      </c>
      <c r="T3793" s="83" t="str">
        <f t="shared" si="414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5"/>
        <v/>
      </c>
      <c r="B3794" s="83" t="str">
        <f t="shared" si="413"/>
        <v/>
      </c>
      <c r="S3794" s="83" t="str">
        <f t="shared" si="416"/>
        <v/>
      </c>
      <c r="T3794" s="83" t="str">
        <f t="shared" si="414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5"/>
        <v/>
      </c>
      <c r="B3795" s="83" t="str">
        <f t="shared" si="413"/>
        <v/>
      </c>
      <c r="S3795" s="83" t="str">
        <f t="shared" si="416"/>
        <v/>
      </c>
      <c r="T3795" s="83" t="str">
        <f t="shared" si="414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5"/>
        <v/>
      </c>
      <c r="B3796" s="83" t="str">
        <f t="shared" si="413"/>
        <v/>
      </c>
      <c r="S3796" s="83" t="str">
        <f t="shared" si="416"/>
        <v/>
      </c>
      <c r="T3796" s="83" t="str">
        <f t="shared" si="414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5"/>
        <v/>
      </c>
      <c r="B3797" s="83" t="str">
        <f t="shared" si="413"/>
        <v/>
      </c>
      <c r="S3797" s="83" t="str">
        <f t="shared" si="416"/>
        <v/>
      </c>
      <c r="T3797" s="83" t="str">
        <f t="shared" si="414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5"/>
        <v/>
      </c>
      <c r="B3798" s="83" t="str">
        <f t="shared" si="413"/>
        <v/>
      </c>
      <c r="S3798" s="83" t="str">
        <f t="shared" si="416"/>
        <v/>
      </c>
      <c r="T3798" s="83" t="str">
        <f t="shared" si="414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5"/>
        <v/>
      </c>
      <c r="B3799" s="83" t="str">
        <f t="shared" si="413"/>
        <v/>
      </c>
      <c r="S3799" s="83" t="str">
        <f t="shared" si="416"/>
        <v/>
      </c>
      <c r="T3799" s="83" t="str">
        <f t="shared" si="414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5"/>
        <v/>
      </c>
      <c r="B3800" s="83" t="str">
        <f t="shared" si="413"/>
        <v/>
      </c>
      <c r="S3800" s="83" t="str">
        <f t="shared" si="416"/>
        <v/>
      </c>
      <c r="T3800" s="83" t="str">
        <f t="shared" si="414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5"/>
        <v/>
      </c>
      <c r="B3801" s="83" t="str">
        <f t="shared" si="413"/>
        <v/>
      </c>
      <c r="S3801" s="83" t="str">
        <f t="shared" si="416"/>
        <v/>
      </c>
      <c r="T3801" s="83" t="str">
        <f t="shared" si="414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5"/>
        <v/>
      </c>
      <c r="B3802" s="83" t="str">
        <f t="shared" si="413"/>
        <v/>
      </c>
      <c r="S3802" s="83" t="str">
        <f t="shared" si="416"/>
        <v/>
      </c>
      <c r="T3802" s="83" t="str">
        <f t="shared" si="414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5"/>
        <v/>
      </c>
      <c r="B3803" s="83" t="str">
        <f t="shared" si="413"/>
        <v/>
      </c>
      <c r="S3803" s="83" t="str">
        <f t="shared" si="416"/>
        <v/>
      </c>
      <c r="T3803" s="83" t="str">
        <f t="shared" si="414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5"/>
        <v/>
      </c>
      <c r="B3804" s="83" t="str">
        <f t="shared" si="413"/>
        <v/>
      </c>
      <c r="S3804" s="83" t="str">
        <f t="shared" si="416"/>
        <v/>
      </c>
      <c r="T3804" s="83" t="str">
        <f t="shared" si="414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5"/>
        <v/>
      </c>
      <c r="B3805" s="83" t="str">
        <f t="shared" si="413"/>
        <v/>
      </c>
      <c r="S3805" s="83" t="str">
        <f t="shared" si="416"/>
        <v/>
      </c>
      <c r="T3805" s="83" t="str">
        <f t="shared" si="414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5"/>
        <v/>
      </c>
      <c r="B3806" s="83" t="str">
        <f t="shared" si="413"/>
        <v/>
      </c>
      <c r="S3806" s="83" t="str">
        <f t="shared" si="416"/>
        <v/>
      </c>
      <c r="T3806" s="83" t="str">
        <f t="shared" si="414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5"/>
        <v/>
      </c>
      <c r="B3807" s="83" t="str">
        <f t="shared" si="413"/>
        <v/>
      </c>
      <c r="S3807" s="83" t="str">
        <f t="shared" si="416"/>
        <v/>
      </c>
      <c r="T3807" s="83" t="str">
        <f t="shared" si="414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5"/>
        <v/>
      </c>
      <c r="B3808" s="83" t="str">
        <f t="shared" si="413"/>
        <v/>
      </c>
      <c r="S3808" s="83" t="str">
        <f t="shared" si="416"/>
        <v/>
      </c>
      <c r="T3808" s="83" t="str">
        <f t="shared" si="414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5"/>
        <v/>
      </c>
      <c r="B3809" s="83" t="str">
        <f t="shared" ref="B3809:B3872" si="420">IF(C3809&lt;&gt;"",LEFT(C3809,9),"")</f>
        <v/>
      </c>
      <c r="S3809" s="83" t="str">
        <f t="shared" si="416"/>
        <v/>
      </c>
      <c r="T3809" s="83" t="str">
        <f t="shared" si="414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5"/>
        <v/>
      </c>
      <c r="B3810" s="83" t="str">
        <f t="shared" si="420"/>
        <v/>
      </c>
      <c r="S3810" s="83" t="str">
        <f t="shared" si="416"/>
        <v/>
      </c>
      <c r="T3810" s="83" t="str">
        <f t="shared" si="414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5"/>
        <v/>
      </c>
      <c r="B3811" s="83" t="str">
        <f t="shared" si="420"/>
        <v/>
      </c>
      <c r="S3811" s="83" t="str">
        <f t="shared" si="416"/>
        <v/>
      </c>
      <c r="T3811" s="83" t="str">
        <f t="shared" si="414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5"/>
        <v/>
      </c>
      <c r="B3812" s="83" t="str">
        <f t="shared" si="420"/>
        <v/>
      </c>
      <c r="S3812" s="83" t="str">
        <f t="shared" si="416"/>
        <v/>
      </c>
      <c r="T3812" s="83" t="str">
        <f t="shared" si="414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5"/>
        <v/>
      </c>
      <c r="B3813" s="83" t="str">
        <f t="shared" si="420"/>
        <v/>
      </c>
      <c r="S3813" s="83" t="str">
        <f t="shared" si="416"/>
        <v/>
      </c>
      <c r="T3813" s="83" t="str">
        <f t="shared" si="414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5"/>
        <v/>
      </c>
      <c r="B3814" s="83" t="str">
        <f t="shared" si="420"/>
        <v/>
      </c>
      <c r="S3814" s="83" t="str">
        <f t="shared" si="416"/>
        <v/>
      </c>
      <c r="T3814" s="83" t="str">
        <f t="shared" si="414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5"/>
        <v/>
      </c>
      <c r="B3815" s="83" t="str">
        <f t="shared" si="420"/>
        <v/>
      </c>
      <c r="S3815" s="83" t="str">
        <f t="shared" si="416"/>
        <v/>
      </c>
      <c r="T3815" s="83" t="str">
        <f t="shared" si="414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5"/>
        <v/>
      </c>
      <c r="B3816" s="83" t="str">
        <f t="shared" si="420"/>
        <v/>
      </c>
      <c r="S3816" s="83" t="str">
        <f t="shared" si="416"/>
        <v/>
      </c>
      <c r="T3816" s="83" t="str">
        <f t="shared" si="414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5"/>
        <v/>
      </c>
      <c r="B3817" s="83" t="str">
        <f t="shared" si="420"/>
        <v/>
      </c>
      <c r="S3817" s="83" t="str">
        <f t="shared" si="416"/>
        <v/>
      </c>
      <c r="T3817" s="83" t="str">
        <f t="shared" si="414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5"/>
        <v/>
      </c>
      <c r="B3818" s="83" t="str">
        <f t="shared" si="420"/>
        <v/>
      </c>
      <c r="S3818" s="83" t="str">
        <f t="shared" si="416"/>
        <v/>
      </c>
      <c r="T3818" s="83" t="str">
        <f t="shared" si="414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5"/>
        <v/>
      </c>
      <c r="B3819" s="83" t="str">
        <f t="shared" si="420"/>
        <v/>
      </c>
      <c r="S3819" s="83" t="str">
        <f t="shared" si="416"/>
        <v/>
      </c>
      <c r="T3819" s="83" t="str">
        <f t="shared" si="414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5"/>
        <v/>
      </c>
      <c r="B3820" s="83" t="str">
        <f t="shared" si="420"/>
        <v/>
      </c>
      <c r="S3820" s="83" t="str">
        <f t="shared" si="416"/>
        <v/>
      </c>
      <c r="T3820" s="83" t="str">
        <f t="shared" si="414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5"/>
        <v/>
      </c>
      <c r="B3821" s="83" t="str">
        <f t="shared" si="420"/>
        <v/>
      </c>
      <c r="S3821" s="83" t="str">
        <f t="shared" si="416"/>
        <v/>
      </c>
      <c r="T3821" s="83" t="str">
        <f t="shared" si="414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5"/>
        <v/>
      </c>
      <c r="B3822" s="83" t="str">
        <f t="shared" si="420"/>
        <v/>
      </c>
      <c r="S3822" s="83" t="str">
        <f t="shared" si="416"/>
        <v/>
      </c>
      <c r="T3822" s="83" t="str">
        <f t="shared" si="414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5"/>
        <v/>
      </c>
      <c r="B3823" s="83" t="str">
        <f t="shared" si="420"/>
        <v/>
      </c>
      <c r="S3823" s="83" t="str">
        <f t="shared" si="416"/>
        <v/>
      </c>
      <c r="T3823" s="83" t="str">
        <f t="shared" si="414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5"/>
        <v/>
      </c>
      <c r="B3824" s="83" t="str">
        <f t="shared" si="420"/>
        <v/>
      </c>
      <c r="S3824" s="83" t="str">
        <f t="shared" si="416"/>
        <v/>
      </c>
      <c r="T3824" s="83" t="str">
        <f t="shared" si="414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5"/>
        <v/>
      </c>
      <c r="B3825" s="83" t="str">
        <f t="shared" si="420"/>
        <v/>
      </c>
      <c r="S3825" s="83" t="str">
        <f t="shared" si="416"/>
        <v/>
      </c>
      <c r="T3825" s="83" t="str">
        <f t="shared" si="414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5"/>
        <v/>
      </c>
      <c r="B3826" s="83" t="str">
        <f t="shared" si="420"/>
        <v/>
      </c>
      <c r="S3826" s="83" t="str">
        <f t="shared" si="416"/>
        <v/>
      </c>
      <c r="T3826" s="83" t="str">
        <f t="shared" si="414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5"/>
        <v/>
      </c>
      <c r="B3827" s="83" t="str">
        <f t="shared" si="420"/>
        <v/>
      </c>
      <c r="S3827" s="83" t="str">
        <f t="shared" si="416"/>
        <v/>
      </c>
      <c r="T3827" s="83" t="str">
        <f t="shared" si="414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5"/>
        <v/>
      </c>
      <c r="B3828" s="83" t="str">
        <f t="shared" si="420"/>
        <v/>
      </c>
      <c r="S3828" s="83" t="str">
        <f t="shared" si="416"/>
        <v/>
      </c>
      <c r="T3828" s="83" t="str">
        <f t="shared" si="414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5"/>
        <v/>
      </c>
      <c r="B3829" s="83" t="str">
        <f t="shared" si="420"/>
        <v/>
      </c>
      <c r="S3829" s="83" t="str">
        <f t="shared" si="416"/>
        <v/>
      </c>
      <c r="T3829" s="83" t="str">
        <f t="shared" si="414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5"/>
        <v/>
      </c>
      <c r="B3830" s="83" t="str">
        <f t="shared" si="420"/>
        <v/>
      </c>
      <c r="S3830" s="83" t="str">
        <f t="shared" si="416"/>
        <v/>
      </c>
      <c r="T3830" s="83" t="str">
        <f t="shared" si="414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5"/>
        <v/>
      </c>
      <c r="B3831" s="83" t="str">
        <f t="shared" si="420"/>
        <v/>
      </c>
      <c r="S3831" s="83" t="str">
        <f t="shared" si="416"/>
        <v/>
      </c>
      <c r="T3831" s="83" t="str">
        <f t="shared" si="414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5"/>
        <v/>
      </c>
      <c r="B3832" s="83" t="str">
        <f t="shared" si="420"/>
        <v/>
      </c>
      <c r="S3832" s="83" t="str">
        <f t="shared" si="416"/>
        <v/>
      </c>
      <c r="T3832" s="83" t="str">
        <f t="shared" si="414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5"/>
        <v/>
      </c>
      <c r="B3833" s="83" t="str">
        <f t="shared" si="420"/>
        <v/>
      </c>
      <c r="S3833" s="83" t="str">
        <f t="shared" si="416"/>
        <v/>
      </c>
      <c r="T3833" s="83" t="str">
        <f t="shared" si="414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5"/>
        <v/>
      </c>
      <c r="B3834" s="83" t="str">
        <f t="shared" si="420"/>
        <v/>
      </c>
      <c r="S3834" s="83" t="str">
        <f t="shared" si="416"/>
        <v/>
      </c>
      <c r="T3834" s="83" t="str">
        <f t="shared" si="414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5"/>
        <v/>
      </c>
      <c r="B3835" s="83" t="str">
        <f t="shared" si="420"/>
        <v/>
      </c>
      <c r="S3835" s="83" t="str">
        <f t="shared" si="416"/>
        <v/>
      </c>
      <c r="T3835" s="83" t="str">
        <f t="shared" si="414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5"/>
        <v/>
      </c>
      <c r="B3836" s="83" t="str">
        <f t="shared" si="420"/>
        <v/>
      </c>
      <c r="S3836" s="83" t="str">
        <f t="shared" si="416"/>
        <v/>
      </c>
      <c r="T3836" s="83" t="str">
        <f t="shared" si="414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5"/>
        <v/>
      </c>
      <c r="B3837" s="83" t="str">
        <f t="shared" si="420"/>
        <v/>
      </c>
      <c r="S3837" s="83" t="str">
        <f t="shared" si="416"/>
        <v/>
      </c>
      <c r="T3837" s="83" t="str">
        <f t="shared" si="414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5"/>
        <v/>
      </c>
      <c r="B3838" s="83" t="str">
        <f t="shared" si="420"/>
        <v/>
      </c>
      <c r="S3838" s="83" t="str">
        <f t="shared" si="416"/>
        <v/>
      </c>
      <c r="T3838" s="83" t="str">
        <f t="shared" si="414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5"/>
        <v/>
      </c>
      <c r="B3839" s="83" t="str">
        <f t="shared" si="420"/>
        <v/>
      </c>
      <c r="S3839" s="83" t="str">
        <f t="shared" si="416"/>
        <v/>
      </c>
      <c r="T3839" s="83" t="str">
        <f t="shared" si="414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5"/>
        <v/>
      </c>
      <c r="B3840" s="83" t="str">
        <f t="shared" si="420"/>
        <v/>
      </c>
      <c r="S3840" s="83" t="str">
        <f t="shared" si="416"/>
        <v/>
      </c>
      <c r="T3840" s="83" t="str">
        <f t="shared" si="414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5"/>
        <v/>
      </c>
      <c r="B3841" s="83" t="str">
        <f t="shared" si="420"/>
        <v/>
      </c>
      <c r="S3841" s="83" t="str">
        <f t="shared" si="416"/>
        <v/>
      </c>
      <c r="T3841" s="83" t="str">
        <f t="shared" si="414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5"/>
        <v/>
      </c>
      <c r="B3842" s="83" t="str">
        <f t="shared" si="420"/>
        <v/>
      </c>
      <c r="S3842" s="83" t="str">
        <f t="shared" si="416"/>
        <v/>
      </c>
      <c r="T3842" s="83" t="str">
        <f t="shared" ref="T3842:T3905" si="421">IF(A3842&lt;&gt;"",IF(FIND(" ",G3842)&gt;=1,MID(G3842,FIND(" ",G3842)+1,LEN(G3842)),""),"")</f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2">IF(G3843&amp;Q3843&lt;&gt;"",S3843&amp;Q3843,"")</f>
        <v/>
      </c>
      <c r="B3843" s="83" t="str">
        <f t="shared" si="420"/>
        <v/>
      </c>
      <c r="S3843" s="83" t="str">
        <f t="shared" ref="S3843:S3906" si="423">IF(G3843&lt;&gt;"",IF(FIND(" ",G3843)&gt;=1,MID(G3843,1,FIND(" ",G3843)-1),G3843),"")</f>
        <v/>
      </c>
      <c r="T3843" s="83" t="str">
        <f t="shared" si="421"/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2"/>
        <v/>
      </c>
      <c r="B3844" s="83" t="str">
        <f t="shared" si="420"/>
        <v/>
      </c>
      <c r="S3844" s="83" t="str">
        <f t="shared" si="423"/>
        <v/>
      </c>
      <c r="T3844" s="83" t="str">
        <f t="shared" si="421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2"/>
        <v/>
      </c>
      <c r="B3845" s="83" t="str">
        <f t="shared" si="420"/>
        <v/>
      </c>
      <c r="S3845" s="83" t="str">
        <f t="shared" si="423"/>
        <v/>
      </c>
      <c r="T3845" s="83" t="str">
        <f t="shared" si="421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2"/>
        <v/>
      </c>
      <c r="B3846" s="83" t="str">
        <f t="shared" si="420"/>
        <v/>
      </c>
      <c r="S3846" s="83" t="str">
        <f t="shared" si="423"/>
        <v/>
      </c>
      <c r="T3846" s="83" t="str">
        <f t="shared" si="421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2"/>
        <v/>
      </c>
      <c r="B3847" s="83" t="str">
        <f t="shared" si="420"/>
        <v/>
      </c>
      <c r="S3847" s="83" t="str">
        <f t="shared" si="423"/>
        <v/>
      </c>
      <c r="T3847" s="83" t="str">
        <f t="shared" si="421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2"/>
        <v/>
      </c>
      <c r="B3848" s="83" t="str">
        <f t="shared" si="420"/>
        <v/>
      </c>
      <c r="S3848" s="83" t="str">
        <f t="shared" si="423"/>
        <v/>
      </c>
      <c r="T3848" s="83" t="str">
        <f t="shared" si="421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2"/>
        <v/>
      </c>
      <c r="B3849" s="83" t="str">
        <f t="shared" si="420"/>
        <v/>
      </c>
      <c r="S3849" s="83" t="str">
        <f t="shared" si="423"/>
        <v/>
      </c>
      <c r="T3849" s="83" t="str">
        <f t="shared" si="421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2"/>
        <v/>
      </c>
      <c r="B3850" s="83" t="str">
        <f t="shared" si="420"/>
        <v/>
      </c>
      <c r="S3850" s="83" t="str">
        <f t="shared" si="423"/>
        <v/>
      </c>
      <c r="T3850" s="83" t="str">
        <f t="shared" si="421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2"/>
        <v/>
      </c>
      <c r="B3851" s="83" t="str">
        <f t="shared" si="420"/>
        <v/>
      </c>
      <c r="S3851" s="83" t="str">
        <f t="shared" si="423"/>
        <v/>
      </c>
      <c r="T3851" s="83" t="str">
        <f t="shared" si="421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2"/>
        <v/>
      </c>
      <c r="B3852" s="83" t="str">
        <f t="shared" si="420"/>
        <v/>
      </c>
      <c r="S3852" s="83" t="str">
        <f t="shared" si="423"/>
        <v/>
      </c>
      <c r="T3852" s="83" t="str">
        <f t="shared" si="421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2"/>
        <v/>
      </c>
      <c r="B3853" s="83" t="str">
        <f t="shared" si="420"/>
        <v/>
      </c>
      <c r="S3853" s="83" t="str">
        <f t="shared" si="423"/>
        <v/>
      </c>
      <c r="T3853" s="83" t="str">
        <f t="shared" si="421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2"/>
        <v/>
      </c>
      <c r="B3854" s="83" t="str">
        <f t="shared" si="420"/>
        <v/>
      </c>
      <c r="S3854" s="83" t="str">
        <f t="shared" si="423"/>
        <v/>
      </c>
      <c r="T3854" s="83" t="str">
        <f t="shared" si="421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2"/>
        <v/>
      </c>
      <c r="B3855" s="83" t="str">
        <f t="shared" si="420"/>
        <v/>
      </c>
      <c r="S3855" s="83" t="str">
        <f t="shared" si="423"/>
        <v/>
      </c>
      <c r="T3855" s="83" t="str">
        <f t="shared" si="421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2"/>
        <v/>
      </c>
      <c r="B3856" s="83" t="str">
        <f t="shared" si="420"/>
        <v/>
      </c>
      <c r="S3856" s="83" t="str">
        <f t="shared" si="423"/>
        <v/>
      </c>
      <c r="T3856" s="83" t="str">
        <f t="shared" si="421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2"/>
        <v/>
      </c>
      <c r="B3857" s="83" t="str">
        <f t="shared" si="420"/>
        <v/>
      </c>
      <c r="S3857" s="83" t="str">
        <f t="shared" si="423"/>
        <v/>
      </c>
      <c r="T3857" s="83" t="str">
        <f t="shared" si="421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2"/>
        <v/>
      </c>
      <c r="B3858" s="83" t="str">
        <f t="shared" si="420"/>
        <v/>
      </c>
      <c r="S3858" s="83" t="str">
        <f t="shared" si="423"/>
        <v/>
      </c>
      <c r="T3858" s="83" t="str">
        <f t="shared" si="421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2"/>
        <v/>
      </c>
      <c r="B3859" s="83" t="str">
        <f t="shared" si="420"/>
        <v/>
      </c>
      <c r="S3859" s="83" t="str">
        <f t="shared" si="423"/>
        <v/>
      </c>
      <c r="T3859" s="83" t="str">
        <f t="shared" si="421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2"/>
        <v/>
      </c>
      <c r="B3860" s="83" t="str">
        <f t="shared" si="420"/>
        <v/>
      </c>
      <c r="S3860" s="83" t="str">
        <f t="shared" si="423"/>
        <v/>
      </c>
      <c r="T3860" s="83" t="str">
        <f t="shared" si="421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2"/>
        <v/>
      </c>
      <c r="B3861" s="83" t="str">
        <f t="shared" si="420"/>
        <v/>
      </c>
      <c r="S3861" s="83" t="str">
        <f t="shared" si="423"/>
        <v/>
      </c>
      <c r="T3861" s="83" t="str">
        <f t="shared" si="421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2"/>
        <v/>
      </c>
      <c r="B3862" s="83" t="str">
        <f t="shared" si="420"/>
        <v/>
      </c>
      <c r="S3862" s="83" t="str">
        <f t="shared" si="423"/>
        <v/>
      </c>
      <c r="T3862" s="83" t="str">
        <f t="shared" si="421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2"/>
        <v/>
      </c>
      <c r="B3863" s="83" t="str">
        <f t="shared" si="420"/>
        <v/>
      </c>
      <c r="S3863" s="83" t="str">
        <f t="shared" si="423"/>
        <v/>
      </c>
      <c r="T3863" s="83" t="str">
        <f t="shared" si="421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2"/>
        <v/>
      </c>
      <c r="B3864" s="83" t="str">
        <f t="shared" si="420"/>
        <v/>
      </c>
      <c r="S3864" s="83" t="str">
        <f t="shared" si="423"/>
        <v/>
      </c>
      <c r="T3864" s="83" t="str">
        <f t="shared" si="421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2"/>
        <v/>
      </c>
      <c r="B3865" s="83" t="str">
        <f t="shared" si="420"/>
        <v/>
      </c>
      <c r="S3865" s="83" t="str">
        <f t="shared" si="423"/>
        <v/>
      </c>
      <c r="T3865" s="83" t="str">
        <f t="shared" si="421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2"/>
        <v/>
      </c>
      <c r="B3866" s="83" t="str">
        <f t="shared" si="420"/>
        <v/>
      </c>
      <c r="S3866" s="83" t="str">
        <f t="shared" si="423"/>
        <v/>
      </c>
      <c r="T3866" s="83" t="str">
        <f t="shared" si="421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2"/>
        <v/>
      </c>
      <c r="B3867" s="83" t="str">
        <f t="shared" si="420"/>
        <v/>
      </c>
      <c r="S3867" s="83" t="str">
        <f t="shared" si="423"/>
        <v/>
      </c>
      <c r="T3867" s="83" t="str">
        <f t="shared" si="421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2"/>
        <v/>
      </c>
      <c r="B3868" s="83" t="str">
        <f t="shared" si="420"/>
        <v/>
      </c>
      <c r="S3868" s="83" t="str">
        <f t="shared" si="423"/>
        <v/>
      </c>
      <c r="T3868" s="83" t="str">
        <f t="shared" si="421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2"/>
        <v/>
      </c>
      <c r="B3869" s="83" t="str">
        <f t="shared" si="420"/>
        <v/>
      </c>
      <c r="S3869" s="83" t="str">
        <f t="shared" si="423"/>
        <v/>
      </c>
      <c r="T3869" s="83" t="str">
        <f t="shared" si="421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2"/>
        <v/>
      </c>
      <c r="B3870" s="83" t="str">
        <f t="shared" si="420"/>
        <v/>
      </c>
      <c r="S3870" s="83" t="str">
        <f t="shared" si="423"/>
        <v/>
      </c>
      <c r="T3870" s="83" t="str">
        <f t="shared" si="421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2"/>
        <v/>
      </c>
      <c r="B3871" s="83" t="str">
        <f t="shared" si="420"/>
        <v/>
      </c>
      <c r="S3871" s="83" t="str">
        <f t="shared" si="423"/>
        <v/>
      </c>
      <c r="T3871" s="83" t="str">
        <f t="shared" si="421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2"/>
        <v/>
      </c>
      <c r="B3872" s="83" t="str">
        <f t="shared" si="420"/>
        <v/>
      </c>
      <c r="S3872" s="83" t="str">
        <f t="shared" si="423"/>
        <v/>
      </c>
      <c r="T3872" s="83" t="str">
        <f t="shared" si="421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2"/>
        <v/>
      </c>
      <c r="B3873" s="83" t="str">
        <f t="shared" ref="B3873:B3936" si="427">IF(C3873&lt;&gt;"",LEFT(C3873,9),"")</f>
        <v/>
      </c>
      <c r="S3873" s="83" t="str">
        <f t="shared" si="423"/>
        <v/>
      </c>
      <c r="T3873" s="83" t="str">
        <f t="shared" si="421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2"/>
        <v/>
      </c>
      <c r="B3874" s="83" t="str">
        <f t="shared" si="427"/>
        <v/>
      </c>
      <c r="S3874" s="83" t="str">
        <f t="shared" si="423"/>
        <v/>
      </c>
      <c r="T3874" s="83" t="str">
        <f t="shared" si="421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2"/>
        <v/>
      </c>
      <c r="B3875" s="83" t="str">
        <f t="shared" si="427"/>
        <v/>
      </c>
      <c r="S3875" s="83" t="str">
        <f t="shared" si="423"/>
        <v/>
      </c>
      <c r="T3875" s="83" t="str">
        <f t="shared" si="421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2"/>
        <v/>
      </c>
      <c r="B3876" s="83" t="str">
        <f t="shared" si="427"/>
        <v/>
      </c>
      <c r="S3876" s="83" t="str">
        <f t="shared" si="423"/>
        <v/>
      </c>
      <c r="T3876" s="83" t="str">
        <f t="shared" si="421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2"/>
        <v/>
      </c>
      <c r="B3877" s="83" t="str">
        <f t="shared" si="427"/>
        <v/>
      </c>
      <c r="S3877" s="83" t="str">
        <f t="shared" si="423"/>
        <v/>
      </c>
      <c r="T3877" s="83" t="str">
        <f t="shared" si="421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2"/>
        <v/>
      </c>
      <c r="B3878" s="83" t="str">
        <f t="shared" si="427"/>
        <v/>
      </c>
      <c r="S3878" s="83" t="str">
        <f t="shared" si="423"/>
        <v/>
      </c>
      <c r="T3878" s="83" t="str">
        <f t="shared" si="421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2"/>
        <v/>
      </c>
      <c r="B3879" s="83" t="str">
        <f t="shared" si="427"/>
        <v/>
      </c>
      <c r="S3879" s="83" t="str">
        <f t="shared" si="423"/>
        <v/>
      </c>
      <c r="T3879" s="83" t="str">
        <f t="shared" si="421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2"/>
        <v/>
      </c>
      <c r="B3880" s="83" t="str">
        <f t="shared" si="427"/>
        <v/>
      </c>
      <c r="S3880" s="83" t="str">
        <f t="shared" si="423"/>
        <v/>
      </c>
      <c r="T3880" s="83" t="str">
        <f t="shared" si="421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2"/>
        <v/>
      </c>
      <c r="B3881" s="83" t="str">
        <f t="shared" si="427"/>
        <v/>
      </c>
      <c r="S3881" s="83" t="str">
        <f t="shared" si="423"/>
        <v/>
      </c>
      <c r="T3881" s="83" t="str">
        <f t="shared" si="421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2"/>
        <v/>
      </c>
      <c r="B3882" s="83" t="str">
        <f t="shared" si="427"/>
        <v/>
      </c>
      <c r="S3882" s="83" t="str">
        <f t="shared" si="423"/>
        <v/>
      </c>
      <c r="T3882" s="83" t="str">
        <f t="shared" si="421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2"/>
        <v/>
      </c>
      <c r="B3883" s="83" t="str">
        <f t="shared" si="427"/>
        <v/>
      </c>
      <c r="S3883" s="83" t="str">
        <f t="shared" si="423"/>
        <v/>
      </c>
      <c r="T3883" s="83" t="str">
        <f t="shared" si="421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2"/>
        <v/>
      </c>
      <c r="B3884" s="83" t="str">
        <f t="shared" si="427"/>
        <v/>
      </c>
      <c r="S3884" s="83" t="str">
        <f t="shared" si="423"/>
        <v/>
      </c>
      <c r="T3884" s="83" t="str">
        <f t="shared" si="421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2"/>
        <v/>
      </c>
      <c r="B3885" s="83" t="str">
        <f t="shared" si="427"/>
        <v/>
      </c>
      <c r="S3885" s="83" t="str">
        <f t="shared" si="423"/>
        <v/>
      </c>
      <c r="T3885" s="83" t="str">
        <f t="shared" si="421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2"/>
        <v/>
      </c>
      <c r="B3886" s="83" t="str">
        <f t="shared" si="427"/>
        <v/>
      </c>
      <c r="S3886" s="83" t="str">
        <f t="shared" si="423"/>
        <v/>
      </c>
      <c r="T3886" s="83" t="str">
        <f t="shared" si="421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2"/>
        <v/>
      </c>
      <c r="B3887" s="83" t="str">
        <f t="shared" si="427"/>
        <v/>
      </c>
      <c r="S3887" s="83" t="str">
        <f t="shared" si="423"/>
        <v/>
      </c>
      <c r="T3887" s="83" t="str">
        <f t="shared" si="421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2"/>
        <v/>
      </c>
      <c r="B3888" s="83" t="str">
        <f t="shared" si="427"/>
        <v/>
      </c>
      <c r="S3888" s="83" t="str">
        <f t="shared" si="423"/>
        <v/>
      </c>
      <c r="T3888" s="83" t="str">
        <f t="shared" si="421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2"/>
        <v/>
      </c>
      <c r="B3889" s="83" t="str">
        <f t="shared" si="427"/>
        <v/>
      </c>
      <c r="S3889" s="83" t="str">
        <f t="shared" si="423"/>
        <v/>
      </c>
      <c r="T3889" s="83" t="str">
        <f t="shared" si="421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2"/>
        <v/>
      </c>
      <c r="B3890" s="83" t="str">
        <f t="shared" si="427"/>
        <v/>
      </c>
      <c r="S3890" s="83" t="str">
        <f t="shared" si="423"/>
        <v/>
      </c>
      <c r="T3890" s="83" t="str">
        <f t="shared" si="421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2"/>
        <v/>
      </c>
      <c r="B3891" s="83" t="str">
        <f t="shared" si="427"/>
        <v/>
      </c>
      <c r="S3891" s="83" t="str">
        <f t="shared" si="423"/>
        <v/>
      </c>
      <c r="T3891" s="83" t="str">
        <f t="shared" si="421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2"/>
        <v/>
      </c>
      <c r="B3892" s="83" t="str">
        <f t="shared" si="427"/>
        <v/>
      </c>
      <c r="S3892" s="83" t="str">
        <f t="shared" si="423"/>
        <v/>
      </c>
      <c r="T3892" s="83" t="str">
        <f t="shared" si="421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2"/>
        <v/>
      </c>
      <c r="B3893" s="83" t="str">
        <f t="shared" si="427"/>
        <v/>
      </c>
      <c r="S3893" s="83" t="str">
        <f t="shared" si="423"/>
        <v/>
      </c>
      <c r="T3893" s="83" t="str">
        <f t="shared" si="421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2"/>
        <v/>
      </c>
      <c r="B3894" s="83" t="str">
        <f t="shared" si="427"/>
        <v/>
      </c>
      <c r="S3894" s="83" t="str">
        <f t="shared" si="423"/>
        <v/>
      </c>
      <c r="T3894" s="83" t="str">
        <f t="shared" si="421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2"/>
        <v/>
      </c>
      <c r="B3895" s="83" t="str">
        <f t="shared" si="427"/>
        <v/>
      </c>
      <c r="S3895" s="83" t="str">
        <f t="shared" si="423"/>
        <v/>
      </c>
      <c r="T3895" s="83" t="str">
        <f t="shared" si="421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2"/>
        <v/>
      </c>
      <c r="B3896" s="83" t="str">
        <f t="shared" si="427"/>
        <v/>
      </c>
      <c r="S3896" s="83" t="str">
        <f t="shared" si="423"/>
        <v/>
      </c>
      <c r="T3896" s="83" t="str">
        <f t="shared" si="421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2"/>
        <v/>
      </c>
      <c r="B3897" s="83" t="str">
        <f t="shared" si="427"/>
        <v/>
      </c>
      <c r="S3897" s="83" t="str">
        <f t="shared" si="423"/>
        <v/>
      </c>
      <c r="T3897" s="83" t="str">
        <f t="shared" si="421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2"/>
        <v/>
      </c>
      <c r="B3898" s="83" t="str">
        <f t="shared" si="427"/>
        <v/>
      </c>
      <c r="S3898" s="83" t="str">
        <f t="shared" si="423"/>
        <v/>
      </c>
      <c r="T3898" s="83" t="str">
        <f t="shared" si="421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2"/>
        <v/>
      </c>
      <c r="B3899" s="83" t="str">
        <f t="shared" si="427"/>
        <v/>
      </c>
      <c r="S3899" s="83" t="str">
        <f t="shared" si="423"/>
        <v/>
      </c>
      <c r="T3899" s="83" t="str">
        <f t="shared" si="421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2"/>
        <v/>
      </c>
      <c r="B3900" s="83" t="str">
        <f t="shared" si="427"/>
        <v/>
      </c>
      <c r="S3900" s="83" t="str">
        <f t="shared" si="423"/>
        <v/>
      </c>
      <c r="T3900" s="83" t="str">
        <f t="shared" si="421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2"/>
        <v/>
      </c>
      <c r="B3901" s="83" t="str">
        <f t="shared" si="427"/>
        <v/>
      </c>
      <c r="S3901" s="83" t="str">
        <f t="shared" si="423"/>
        <v/>
      </c>
      <c r="T3901" s="83" t="str">
        <f t="shared" si="421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2"/>
        <v/>
      </c>
      <c r="B3902" s="83" t="str">
        <f t="shared" si="427"/>
        <v/>
      </c>
      <c r="S3902" s="83" t="str">
        <f t="shared" si="423"/>
        <v/>
      </c>
      <c r="T3902" s="83" t="str">
        <f t="shared" si="421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2"/>
        <v/>
      </c>
      <c r="B3903" s="83" t="str">
        <f t="shared" si="427"/>
        <v/>
      </c>
      <c r="S3903" s="83" t="str">
        <f t="shared" si="423"/>
        <v/>
      </c>
      <c r="T3903" s="83" t="str">
        <f t="shared" si="421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2"/>
        <v/>
      </c>
      <c r="B3904" s="83" t="str">
        <f t="shared" si="427"/>
        <v/>
      </c>
      <c r="S3904" s="83" t="str">
        <f t="shared" si="423"/>
        <v/>
      </c>
      <c r="T3904" s="83" t="str">
        <f t="shared" si="421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2"/>
        <v/>
      </c>
      <c r="B3905" s="83" t="str">
        <f t="shared" si="427"/>
        <v/>
      </c>
      <c r="S3905" s="83" t="str">
        <f t="shared" si="423"/>
        <v/>
      </c>
      <c r="T3905" s="83" t="str">
        <f t="shared" si="421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2"/>
        <v/>
      </c>
      <c r="B3906" s="83" t="str">
        <f t="shared" si="427"/>
        <v/>
      </c>
      <c r="S3906" s="83" t="str">
        <f t="shared" si="423"/>
        <v/>
      </c>
      <c r="T3906" s="83" t="str">
        <f t="shared" ref="T3906:T3969" si="428">IF(A3906&lt;&gt;"",IF(FIND(" ",G3906)&gt;=1,MID(G3906,FIND(" ",G3906)+1,LEN(G3906)),""),"")</f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9">IF(G3907&amp;Q3907&lt;&gt;"",S3907&amp;Q3907,"")</f>
        <v/>
      </c>
      <c r="B3907" s="83" t="str">
        <f t="shared" si="427"/>
        <v/>
      </c>
      <c r="S3907" s="83" t="str">
        <f t="shared" ref="S3907:S3970" si="430">IF(G3907&lt;&gt;"",IF(FIND(" ",G3907)&gt;=1,MID(G3907,1,FIND(" ",G3907)-1),G3907),"")</f>
        <v/>
      </c>
      <c r="T3907" s="83" t="str">
        <f t="shared" si="428"/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9"/>
        <v/>
      </c>
      <c r="B3908" s="83" t="str">
        <f t="shared" si="427"/>
        <v/>
      </c>
      <c r="S3908" s="83" t="str">
        <f t="shared" si="430"/>
        <v/>
      </c>
      <c r="T3908" s="83" t="str">
        <f t="shared" si="428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9"/>
        <v/>
      </c>
      <c r="B3909" s="83" t="str">
        <f t="shared" si="427"/>
        <v/>
      </c>
      <c r="S3909" s="83" t="str">
        <f t="shared" si="430"/>
        <v/>
      </c>
      <c r="T3909" s="83" t="str">
        <f t="shared" si="428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9"/>
        <v/>
      </c>
      <c r="B3910" s="83" t="str">
        <f t="shared" si="427"/>
        <v/>
      </c>
      <c r="S3910" s="83" t="str">
        <f t="shared" si="430"/>
        <v/>
      </c>
      <c r="T3910" s="83" t="str">
        <f t="shared" si="428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9"/>
        <v/>
      </c>
      <c r="B3911" s="83" t="str">
        <f t="shared" si="427"/>
        <v/>
      </c>
      <c r="S3911" s="83" t="str">
        <f t="shared" si="430"/>
        <v/>
      </c>
      <c r="T3911" s="83" t="str">
        <f t="shared" si="428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9"/>
        <v/>
      </c>
      <c r="B3912" s="83" t="str">
        <f t="shared" si="427"/>
        <v/>
      </c>
      <c r="S3912" s="83" t="str">
        <f t="shared" si="430"/>
        <v/>
      </c>
      <c r="T3912" s="83" t="str">
        <f t="shared" si="428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9"/>
        <v/>
      </c>
      <c r="B3913" s="83" t="str">
        <f t="shared" si="427"/>
        <v/>
      </c>
      <c r="S3913" s="83" t="str">
        <f t="shared" si="430"/>
        <v/>
      </c>
      <c r="T3913" s="83" t="str">
        <f t="shared" si="428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9"/>
        <v/>
      </c>
      <c r="B3914" s="83" t="str">
        <f t="shared" si="427"/>
        <v/>
      </c>
      <c r="S3914" s="83" t="str">
        <f t="shared" si="430"/>
        <v/>
      </c>
      <c r="T3914" s="83" t="str">
        <f t="shared" si="428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9"/>
        <v/>
      </c>
      <c r="B3915" s="83" t="str">
        <f t="shared" si="427"/>
        <v/>
      </c>
      <c r="S3915" s="83" t="str">
        <f t="shared" si="430"/>
        <v/>
      </c>
      <c r="T3915" s="83" t="str">
        <f t="shared" si="428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9"/>
        <v/>
      </c>
      <c r="B3916" s="83" t="str">
        <f t="shared" si="427"/>
        <v/>
      </c>
      <c r="S3916" s="83" t="str">
        <f t="shared" si="430"/>
        <v/>
      </c>
      <c r="T3916" s="83" t="str">
        <f t="shared" si="428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9"/>
        <v/>
      </c>
      <c r="B3917" s="83" t="str">
        <f t="shared" si="427"/>
        <v/>
      </c>
      <c r="S3917" s="83" t="str">
        <f t="shared" si="430"/>
        <v/>
      </c>
      <c r="T3917" s="83" t="str">
        <f t="shared" si="428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9"/>
        <v/>
      </c>
      <c r="B3918" s="83" t="str">
        <f t="shared" si="427"/>
        <v/>
      </c>
      <c r="S3918" s="83" t="str">
        <f t="shared" si="430"/>
        <v/>
      </c>
      <c r="T3918" s="83" t="str">
        <f t="shared" si="428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9"/>
        <v/>
      </c>
      <c r="B3919" s="83" t="str">
        <f t="shared" si="427"/>
        <v/>
      </c>
      <c r="S3919" s="83" t="str">
        <f t="shared" si="430"/>
        <v/>
      </c>
      <c r="T3919" s="83" t="str">
        <f t="shared" si="428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9"/>
        <v/>
      </c>
      <c r="B3920" s="83" t="str">
        <f t="shared" si="427"/>
        <v/>
      </c>
      <c r="S3920" s="83" t="str">
        <f t="shared" si="430"/>
        <v/>
      </c>
      <c r="T3920" s="83" t="str">
        <f t="shared" si="428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9"/>
        <v/>
      </c>
      <c r="B3921" s="83" t="str">
        <f t="shared" si="427"/>
        <v/>
      </c>
      <c r="S3921" s="83" t="str">
        <f t="shared" si="430"/>
        <v/>
      </c>
      <c r="T3921" s="83" t="str">
        <f t="shared" si="428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9"/>
        <v/>
      </c>
      <c r="B3922" s="83" t="str">
        <f t="shared" si="427"/>
        <v/>
      </c>
      <c r="S3922" s="83" t="str">
        <f t="shared" si="430"/>
        <v/>
      </c>
      <c r="T3922" s="83" t="str">
        <f t="shared" si="428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9"/>
        <v/>
      </c>
      <c r="B3923" s="83" t="str">
        <f t="shared" si="427"/>
        <v/>
      </c>
      <c r="S3923" s="83" t="str">
        <f t="shared" si="430"/>
        <v/>
      </c>
      <c r="T3923" s="83" t="str">
        <f t="shared" si="428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9"/>
        <v/>
      </c>
      <c r="B3924" s="83" t="str">
        <f t="shared" si="427"/>
        <v/>
      </c>
      <c r="S3924" s="83" t="str">
        <f t="shared" si="430"/>
        <v/>
      </c>
      <c r="T3924" s="83" t="str">
        <f t="shared" si="428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9"/>
        <v/>
      </c>
      <c r="B3925" s="83" t="str">
        <f t="shared" si="427"/>
        <v/>
      </c>
      <c r="S3925" s="83" t="str">
        <f t="shared" si="430"/>
        <v/>
      </c>
      <c r="T3925" s="83" t="str">
        <f t="shared" si="428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9"/>
        <v/>
      </c>
      <c r="B3926" s="83" t="str">
        <f t="shared" si="427"/>
        <v/>
      </c>
      <c r="S3926" s="83" t="str">
        <f t="shared" si="430"/>
        <v/>
      </c>
      <c r="T3926" s="83" t="str">
        <f t="shared" si="428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9"/>
        <v/>
      </c>
      <c r="B3927" s="83" t="str">
        <f t="shared" si="427"/>
        <v/>
      </c>
      <c r="S3927" s="83" t="str">
        <f t="shared" si="430"/>
        <v/>
      </c>
      <c r="T3927" s="83" t="str">
        <f t="shared" si="428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9"/>
        <v/>
      </c>
      <c r="B3928" s="83" t="str">
        <f t="shared" si="427"/>
        <v/>
      </c>
      <c r="S3928" s="83" t="str">
        <f t="shared" si="430"/>
        <v/>
      </c>
      <c r="T3928" s="83" t="str">
        <f t="shared" si="428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9"/>
        <v/>
      </c>
      <c r="B3929" s="83" t="str">
        <f t="shared" si="427"/>
        <v/>
      </c>
      <c r="S3929" s="83" t="str">
        <f t="shared" si="430"/>
        <v/>
      </c>
      <c r="T3929" s="83" t="str">
        <f t="shared" si="428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9"/>
        <v/>
      </c>
      <c r="B3930" s="83" t="str">
        <f t="shared" si="427"/>
        <v/>
      </c>
      <c r="S3930" s="83" t="str">
        <f t="shared" si="430"/>
        <v/>
      </c>
      <c r="T3930" s="83" t="str">
        <f t="shared" si="428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9"/>
        <v/>
      </c>
      <c r="B3931" s="83" t="str">
        <f t="shared" si="427"/>
        <v/>
      </c>
      <c r="S3931" s="83" t="str">
        <f t="shared" si="430"/>
        <v/>
      </c>
      <c r="T3931" s="83" t="str">
        <f t="shared" si="428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9"/>
        <v/>
      </c>
      <c r="B3932" s="83" t="str">
        <f t="shared" si="427"/>
        <v/>
      </c>
      <c r="S3932" s="83" t="str">
        <f t="shared" si="430"/>
        <v/>
      </c>
      <c r="T3932" s="83" t="str">
        <f t="shared" si="428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9"/>
        <v/>
      </c>
      <c r="B3933" s="83" t="str">
        <f t="shared" si="427"/>
        <v/>
      </c>
      <c r="S3933" s="83" t="str">
        <f t="shared" si="430"/>
        <v/>
      </c>
      <c r="T3933" s="83" t="str">
        <f t="shared" si="428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9"/>
        <v/>
      </c>
      <c r="B3934" s="83" t="str">
        <f t="shared" si="427"/>
        <v/>
      </c>
      <c r="S3934" s="83" t="str">
        <f t="shared" si="430"/>
        <v/>
      </c>
      <c r="T3934" s="83" t="str">
        <f t="shared" si="428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9"/>
        <v/>
      </c>
      <c r="B3935" s="83" t="str">
        <f t="shared" si="427"/>
        <v/>
      </c>
      <c r="S3935" s="83" t="str">
        <f t="shared" si="430"/>
        <v/>
      </c>
      <c r="T3935" s="83" t="str">
        <f t="shared" si="428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9"/>
        <v/>
      </c>
      <c r="B3936" s="83" t="str">
        <f t="shared" si="427"/>
        <v/>
      </c>
      <c r="S3936" s="83" t="str">
        <f t="shared" si="430"/>
        <v/>
      </c>
      <c r="T3936" s="83" t="str">
        <f t="shared" si="428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9"/>
        <v/>
      </c>
      <c r="B3937" s="83" t="str">
        <f t="shared" ref="B3937:B4000" si="434">IF(C3937&lt;&gt;"",LEFT(C3937,9),"")</f>
        <v/>
      </c>
      <c r="S3937" s="83" t="str">
        <f t="shared" si="430"/>
        <v/>
      </c>
      <c r="T3937" s="83" t="str">
        <f t="shared" si="428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9"/>
        <v/>
      </c>
      <c r="B3938" s="83" t="str">
        <f t="shared" si="434"/>
        <v/>
      </c>
      <c r="S3938" s="83" t="str">
        <f t="shared" si="430"/>
        <v/>
      </c>
      <c r="T3938" s="83" t="str">
        <f t="shared" si="428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9"/>
        <v/>
      </c>
      <c r="B3939" s="83" t="str">
        <f t="shared" si="434"/>
        <v/>
      </c>
      <c r="S3939" s="83" t="str">
        <f t="shared" si="430"/>
        <v/>
      </c>
      <c r="T3939" s="83" t="str">
        <f t="shared" si="428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9"/>
        <v/>
      </c>
      <c r="B3940" s="83" t="str">
        <f t="shared" si="434"/>
        <v/>
      </c>
      <c r="S3940" s="83" t="str">
        <f t="shared" si="430"/>
        <v/>
      </c>
      <c r="T3940" s="83" t="str">
        <f t="shared" si="428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9"/>
        <v/>
      </c>
      <c r="B3941" s="83" t="str">
        <f t="shared" si="434"/>
        <v/>
      </c>
      <c r="S3941" s="83" t="str">
        <f t="shared" si="430"/>
        <v/>
      </c>
      <c r="T3941" s="83" t="str">
        <f t="shared" si="428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9"/>
        <v/>
      </c>
      <c r="B3942" s="83" t="str">
        <f t="shared" si="434"/>
        <v/>
      </c>
      <c r="S3942" s="83" t="str">
        <f t="shared" si="430"/>
        <v/>
      </c>
      <c r="T3942" s="83" t="str">
        <f t="shared" si="428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9"/>
        <v/>
      </c>
      <c r="B3943" s="83" t="str">
        <f t="shared" si="434"/>
        <v/>
      </c>
      <c r="S3943" s="83" t="str">
        <f t="shared" si="430"/>
        <v/>
      </c>
      <c r="T3943" s="83" t="str">
        <f t="shared" si="428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9"/>
        <v/>
      </c>
      <c r="B3944" s="83" t="str">
        <f t="shared" si="434"/>
        <v/>
      </c>
      <c r="S3944" s="83" t="str">
        <f t="shared" si="430"/>
        <v/>
      </c>
      <c r="T3944" s="83" t="str">
        <f t="shared" si="428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9"/>
        <v/>
      </c>
      <c r="B3945" s="83" t="str">
        <f t="shared" si="434"/>
        <v/>
      </c>
      <c r="S3945" s="83" t="str">
        <f t="shared" si="430"/>
        <v/>
      </c>
      <c r="T3945" s="83" t="str">
        <f t="shared" si="428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9"/>
        <v/>
      </c>
      <c r="B3946" s="83" t="str">
        <f t="shared" si="434"/>
        <v/>
      </c>
      <c r="S3946" s="83" t="str">
        <f t="shared" si="430"/>
        <v/>
      </c>
      <c r="T3946" s="83" t="str">
        <f t="shared" si="428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9"/>
        <v/>
      </c>
      <c r="B3947" s="83" t="str">
        <f t="shared" si="434"/>
        <v/>
      </c>
      <c r="S3947" s="83" t="str">
        <f t="shared" si="430"/>
        <v/>
      </c>
      <c r="T3947" s="83" t="str">
        <f t="shared" si="428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9"/>
        <v/>
      </c>
      <c r="B3948" s="83" t="str">
        <f t="shared" si="434"/>
        <v/>
      </c>
      <c r="S3948" s="83" t="str">
        <f t="shared" si="430"/>
        <v/>
      </c>
      <c r="T3948" s="83" t="str">
        <f t="shared" si="428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9"/>
        <v/>
      </c>
      <c r="B3949" s="83" t="str">
        <f t="shared" si="434"/>
        <v/>
      </c>
      <c r="S3949" s="83" t="str">
        <f t="shared" si="430"/>
        <v/>
      </c>
      <c r="T3949" s="83" t="str">
        <f t="shared" si="428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9"/>
        <v/>
      </c>
      <c r="B3950" s="83" t="str">
        <f t="shared" si="434"/>
        <v/>
      </c>
      <c r="S3950" s="83" t="str">
        <f t="shared" si="430"/>
        <v/>
      </c>
      <c r="T3950" s="83" t="str">
        <f t="shared" si="428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9"/>
        <v/>
      </c>
      <c r="B3951" s="83" t="str">
        <f t="shared" si="434"/>
        <v/>
      </c>
      <c r="S3951" s="83" t="str">
        <f t="shared" si="430"/>
        <v/>
      </c>
      <c r="T3951" s="83" t="str">
        <f t="shared" si="428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9"/>
        <v/>
      </c>
      <c r="B3952" s="83" t="str">
        <f t="shared" si="434"/>
        <v/>
      </c>
      <c r="S3952" s="83" t="str">
        <f t="shared" si="430"/>
        <v/>
      </c>
      <c r="T3952" s="83" t="str">
        <f t="shared" si="428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9"/>
        <v/>
      </c>
      <c r="B3953" s="83" t="str">
        <f t="shared" si="434"/>
        <v/>
      </c>
      <c r="S3953" s="83" t="str">
        <f t="shared" si="430"/>
        <v/>
      </c>
      <c r="T3953" s="83" t="str">
        <f t="shared" si="428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9"/>
        <v/>
      </c>
      <c r="B3954" s="83" t="str">
        <f t="shared" si="434"/>
        <v/>
      </c>
      <c r="S3954" s="83" t="str">
        <f t="shared" si="430"/>
        <v/>
      </c>
      <c r="T3954" s="83" t="str">
        <f t="shared" si="428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9"/>
        <v/>
      </c>
      <c r="B3955" s="83" t="str">
        <f t="shared" si="434"/>
        <v/>
      </c>
      <c r="S3955" s="83" t="str">
        <f t="shared" si="430"/>
        <v/>
      </c>
      <c r="T3955" s="83" t="str">
        <f t="shared" si="428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9"/>
        <v/>
      </c>
      <c r="B3956" s="83" t="str">
        <f t="shared" si="434"/>
        <v/>
      </c>
      <c r="S3956" s="83" t="str">
        <f t="shared" si="430"/>
        <v/>
      </c>
      <c r="T3956" s="83" t="str">
        <f t="shared" si="428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9"/>
        <v/>
      </c>
      <c r="B3957" s="83" t="str">
        <f t="shared" si="434"/>
        <v/>
      </c>
      <c r="S3957" s="83" t="str">
        <f t="shared" si="430"/>
        <v/>
      </c>
      <c r="T3957" s="83" t="str">
        <f t="shared" si="428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9"/>
        <v/>
      </c>
      <c r="B3958" s="83" t="str">
        <f t="shared" si="434"/>
        <v/>
      </c>
      <c r="S3958" s="83" t="str">
        <f t="shared" si="430"/>
        <v/>
      </c>
      <c r="T3958" s="83" t="str">
        <f t="shared" si="428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9"/>
        <v/>
      </c>
      <c r="B3959" s="83" t="str">
        <f t="shared" si="434"/>
        <v/>
      </c>
      <c r="S3959" s="83" t="str">
        <f t="shared" si="430"/>
        <v/>
      </c>
      <c r="T3959" s="83" t="str">
        <f t="shared" si="428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9"/>
        <v/>
      </c>
      <c r="B3960" s="83" t="str">
        <f t="shared" si="434"/>
        <v/>
      </c>
      <c r="S3960" s="83" t="str">
        <f t="shared" si="430"/>
        <v/>
      </c>
      <c r="T3960" s="83" t="str">
        <f t="shared" si="428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9"/>
        <v/>
      </c>
      <c r="B3961" s="83" t="str">
        <f t="shared" si="434"/>
        <v/>
      </c>
      <c r="S3961" s="83" t="str">
        <f t="shared" si="430"/>
        <v/>
      </c>
      <c r="T3961" s="83" t="str">
        <f t="shared" si="428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9"/>
        <v/>
      </c>
      <c r="B3962" s="83" t="str">
        <f t="shared" si="434"/>
        <v/>
      </c>
      <c r="S3962" s="83" t="str">
        <f t="shared" si="430"/>
        <v/>
      </c>
      <c r="T3962" s="83" t="str">
        <f t="shared" si="428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9"/>
        <v/>
      </c>
      <c r="B3963" s="83" t="str">
        <f t="shared" si="434"/>
        <v/>
      </c>
      <c r="S3963" s="83" t="str">
        <f t="shared" si="430"/>
        <v/>
      </c>
      <c r="T3963" s="83" t="str">
        <f t="shared" si="428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9"/>
        <v/>
      </c>
      <c r="B3964" s="83" t="str">
        <f t="shared" si="434"/>
        <v/>
      </c>
      <c r="S3964" s="83" t="str">
        <f t="shared" si="430"/>
        <v/>
      </c>
      <c r="T3964" s="83" t="str">
        <f t="shared" si="428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9"/>
        <v/>
      </c>
      <c r="B3965" s="83" t="str">
        <f t="shared" si="434"/>
        <v/>
      </c>
      <c r="S3965" s="83" t="str">
        <f t="shared" si="430"/>
        <v/>
      </c>
      <c r="T3965" s="83" t="str">
        <f t="shared" si="428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9"/>
        <v/>
      </c>
      <c r="B3966" s="83" t="str">
        <f t="shared" si="434"/>
        <v/>
      </c>
      <c r="S3966" s="83" t="str">
        <f t="shared" si="430"/>
        <v/>
      </c>
      <c r="T3966" s="83" t="str">
        <f t="shared" si="428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9"/>
        <v/>
      </c>
      <c r="B3967" s="83" t="str">
        <f t="shared" si="434"/>
        <v/>
      </c>
      <c r="S3967" s="83" t="str">
        <f t="shared" si="430"/>
        <v/>
      </c>
      <c r="T3967" s="83" t="str">
        <f t="shared" si="428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9"/>
        <v/>
      </c>
      <c r="B3968" s="83" t="str">
        <f t="shared" si="434"/>
        <v/>
      </c>
      <c r="S3968" s="83" t="str">
        <f t="shared" si="430"/>
        <v/>
      </c>
      <c r="T3968" s="83" t="str">
        <f t="shared" si="428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9"/>
        <v/>
      </c>
      <c r="B3969" s="83" t="str">
        <f t="shared" si="434"/>
        <v/>
      </c>
      <c r="S3969" s="83" t="str">
        <f t="shared" si="430"/>
        <v/>
      </c>
      <c r="T3969" s="83" t="str">
        <f t="shared" si="428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9"/>
        <v/>
      </c>
      <c r="B3970" s="83" t="str">
        <f t="shared" si="434"/>
        <v/>
      </c>
      <c r="S3970" s="83" t="str">
        <f t="shared" si="430"/>
        <v/>
      </c>
      <c r="T3970" s="83" t="str">
        <f t="shared" ref="T3970:T4033" si="435">IF(A3970&lt;&gt;"",IF(FIND(" ",G3970)&gt;=1,MID(G3970,FIND(" ",G3970)+1,LEN(G3970)),""),"")</f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6">IF(G3971&amp;Q3971&lt;&gt;"",S3971&amp;Q3971,"")</f>
        <v/>
      </c>
      <c r="B3971" s="83" t="str">
        <f t="shared" si="434"/>
        <v/>
      </c>
      <c r="S3971" s="83" t="str">
        <f t="shared" ref="S3971:S4034" si="437">IF(G3971&lt;&gt;"",IF(FIND(" ",G3971)&gt;=1,MID(G3971,1,FIND(" ",G3971)-1),G3971),"")</f>
        <v/>
      </c>
      <c r="T3971" s="83" t="str">
        <f t="shared" si="435"/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6"/>
        <v/>
      </c>
      <c r="B3972" s="83" t="str">
        <f t="shared" si="434"/>
        <v/>
      </c>
      <c r="S3972" s="83" t="str">
        <f t="shared" si="437"/>
        <v/>
      </c>
      <c r="T3972" s="83" t="str">
        <f t="shared" si="435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6"/>
        <v/>
      </c>
      <c r="B3973" s="83" t="str">
        <f t="shared" si="434"/>
        <v/>
      </c>
      <c r="S3973" s="83" t="str">
        <f t="shared" si="437"/>
        <v/>
      </c>
      <c r="T3973" s="83" t="str">
        <f t="shared" si="435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6"/>
        <v/>
      </c>
      <c r="B3974" s="83" t="str">
        <f t="shared" si="434"/>
        <v/>
      </c>
      <c r="S3974" s="83" t="str">
        <f t="shared" si="437"/>
        <v/>
      </c>
      <c r="T3974" s="83" t="str">
        <f t="shared" si="435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6"/>
        <v/>
      </c>
      <c r="B3975" s="83" t="str">
        <f t="shared" si="434"/>
        <v/>
      </c>
      <c r="S3975" s="83" t="str">
        <f t="shared" si="437"/>
        <v/>
      </c>
      <c r="T3975" s="83" t="str">
        <f t="shared" si="435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6"/>
        <v/>
      </c>
      <c r="B3976" s="83" t="str">
        <f t="shared" si="434"/>
        <v/>
      </c>
      <c r="S3976" s="83" t="str">
        <f t="shared" si="437"/>
        <v/>
      </c>
      <c r="T3976" s="83" t="str">
        <f t="shared" si="435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6"/>
        <v/>
      </c>
      <c r="B3977" s="83" t="str">
        <f t="shared" si="434"/>
        <v/>
      </c>
      <c r="S3977" s="83" t="str">
        <f t="shared" si="437"/>
        <v/>
      </c>
      <c r="T3977" s="83" t="str">
        <f t="shared" si="435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6"/>
        <v/>
      </c>
      <c r="B3978" s="83" t="str">
        <f t="shared" si="434"/>
        <v/>
      </c>
      <c r="S3978" s="83" t="str">
        <f t="shared" si="437"/>
        <v/>
      </c>
      <c r="T3978" s="83" t="str">
        <f t="shared" si="435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6"/>
        <v/>
      </c>
      <c r="B3979" s="83" t="str">
        <f t="shared" si="434"/>
        <v/>
      </c>
      <c r="S3979" s="83" t="str">
        <f t="shared" si="437"/>
        <v/>
      </c>
      <c r="T3979" s="83" t="str">
        <f t="shared" si="435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6"/>
        <v/>
      </c>
      <c r="B3980" s="83" t="str">
        <f t="shared" si="434"/>
        <v/>
      </c>
      <c r="S3980" s="83" t="str">
        <f t="shared" si="437"/>
        <v/>
      </c>
      <c r="T3980" s="83" t="str">
        <f t="shared" si="435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6"/>
        <v/>
      </c>
      <c r="B3981" s="83" t="str">
        <f t="shared" si="434"/>
        <v/>
      </c>
      <c r="S3981" s="83" t="str">
        <f t="shared" si="437"/>
        <v/>
      </c>
      <c r="T3981" s="83" t="str">
        <f t="shared" si="435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6"/>
        <v/>
      </c>
      <c r="B3982" s="83" t="str">
        <f t="shared" si="434"/>
        <v/>
      </c>
      <c r="S3982" s="83" t="str">
        <f t="shared" si="437"/>
        <v/>
      </c>
      <c r="T3982" s="83" t="str">
        <f t="shared" si="435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6"/>
        <v/>
      </c>
      <c r="B3983" s="83" t="str">
        <f t="shared" si="434"/>
        <v/>
      </c>
      <c r="S3983" s="83" t="str">
        <f t="shared" si="437"/>
        <v/>
      </c>
      <c r="T3983" s="83" t="str">
        <f t="shared" si="435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6"/>
        <v/>
      </c>
      <c r="B3984" s="83" t="str">
        <f t="shared" si="434"/>
        <v/>
      </c>
      <c r="S3984" s="83" t="str">
        <f t="shared" si="437"/>
        <v/>
      </c>
      <c r="T3984" s="83" t="str">
        <f t="shared" si="435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6"/>
        <v/>
      </c>
      <c r="B3985" s="83" t="str">
        <f t="shared" si="434"/>
        <v/>
      </c>
      <c r="S3985" s="83" t="str">
        <f t="shared" si="437"/>
        <v/>
      </c>
      <c r="T3985" s="83" t="str">
        <f t="shared" si="435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6"/>
        <v/>
      </c>
      <c r="B3986" s="83" t="str">
        <f t="shared" si="434"/>
        <v/>
      </c>
      <c r="S3986" s="83" t="str">
        <f t="shared" si="437"/>
        <v/>
      </c>
      <c r="T3986" s="83" t="str">
        <f t="shared" si="435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6"/>
        <v/>
      </c>
      <c r="B3987" s="83" t="str">
        <f t="shared" si="434"/>
        <v/>
      </c>
      <c r="S3987" s="83" t="str">
        <f t="shared" si="437"/>
        <v/>
      </c>
      <c r="T3987" s="83" t="str">
        <f t="shared" si="435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6"/>
        <v/>
      </c>
      <c r="B3988" s="83" t="str">
        <f t="shared" si="434"/>
        <v/>
      </c>
      <c r="S3988" s="83" t="str">
        <f t="shared" si="437"/>
        <v/>
      </c>
      <c r="T3988" s="83" t="str">
        <f t="shared" si="435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6"/>
        <v/>
      </c>
      <c r="B3989" s="83" t="str">
        <f t="shared" si="434"/>
        <v/>
      </c>
      <c r="S3989" s="83" t="str">
        <f t="shared" si="437"/>
        <v/>
      </c>
      <c r="T3989" s="83" t="str">
        <f t="shared" si="435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6"/>
        <v/>
      </c>
      <c r="B3990" s="83" t="str">
        <f t="shared" si="434"/>
        <v/>
      </c>
      <c r="S3990" s="83" t="str">
        <f t="shared" si="437"/>
        <v/>
      </c>
      <c r="T3990" s="83" t="str">
        <f t="shared" si="435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6"/>
        <v/>
      </c>
      <c r="B3991" s="83" t="str">
        <f t="shared" si="434"/>
        <v/>
      </c>
      <c r="S3991" s="83" t="str">
        <f t="shared" si="437"/>
        <v/>
      </c>
      <c r="T3991" s="83" t="str">
        <f t="shared" si="435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6"/>
        <v/>
      </c>
      <c r="B3992" s="83" t="str">
        <f t="shared" si="434"/>
        <v/>
      </c>
      <c r="S3992" s="83" t="str">
        <f t="shared" si="437"/>
        <v/>
      </c>
      <c r="T3992" s="83" t="str">
        <f t="shared" si="435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6"/>
        <v/>
      </c>
      <c r="B3993" s="83" t="str">
        <f t="shared" si="434"/>
        <v/>
      </c>
      <c r="S3993" s="83" t="str">
        <f t="shared" si="437"/>
        <v/>
      </c>
      <c r="T3993" s="83" t="str">
        <f t="shared" si="435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6"/>
        <v/>
      </c>
      <c r="B3994" s="83" t="str">
        <f t="shared" si="434"/>
        <v/>
      </c>
      <c r="S3994" s="83" t="str">
        <f t="shared" si="437"/>
        <v/>
      </c>
      <c r="T3994" s="83" t="str">
        <f t="shared" si="435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6"/>
        <v/>
      </c>
      <c r="B3995" s="83" t="str">
        <f t="shared" si="434"/>
        <v/>
      </c>
      <c r="S3995" s="83" t="str">
        <f t="shared" si="437"/>
        <v/>
      </c>
      <c r="T3995" s="83" t="str">
        <f t="shared" si="435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6"/>
        <v/>
      </c>
      <c r="B3996" s="83" t="str">
        <f t="shared" si="434"/>
        <v/>
      </c>
      <c r="S3996" s="83" t="str">
        <f t="shared" si="437"/>
        <v/>
      </c>
      <c r="T3996" s="83" t="str">
        <f t="shared" si="435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6"/>
        <v/>
      </c>
      <c r="B3997" s="83" t="str">
        <f t="shared" si="434"/>
        <v/>
      </c>
      <c r="S3997" s="83" t="str">
        <f t="shared" si="437"/>
        <v/>
      </c>
      <c r="T3997" s="83" t="str">
        <f t="shared" si="435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6"/>
        <v/>
      </c>
      <c r="B3998" s="83" t="str">
        <f t="shared" si="434"/>
        <v/>
      </c>
      <c r="S3998" s="83" t="str">
        <f t="shared" si="437"/>
        <v/>
      </c>
      <c r="T3998" s="83" t="str">
        <f t="shared" si="435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6"/>
        <v/>
      </c>
      <c r="B3999" s="83" t="str">
        <f t="shared" si="434"/>
        <v/>
      </c>
      <c r="S3999" s="83" t="str">
        <f t="shared" si="437"/>
        <v/>
      </c>
      <c r="T3999" s="83" t="str">
        <f t="shared" si="435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6"/>
        <v/>
      </c>
      <c r="B4000" s="83" t="str">
        <f t="shared" si="434"/>
        <v/>
      </c>
      <c r="S4000" s="83" t="str">
        <f t="shared" si="437"/>
        <v/>
      </c>
      <c r="T4000" s="83" t="str">
        <f t="shared" si="435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6"/>
        <v/>
      </c>
      <c r="B4001" s="83" t="str">
        <f t="shared" ref="B4001:B4064" si="441">IF(C4001&lt;&gt;"",LEFT(C4001,9),"")</f>
        <v/>
      </c>
      <c r="S4001" s="83" t="str">
        <f t="shared" si="437"/>
        <v/>
      </c>
      <c r="T4001" s="83" t="str">
        <f t="shared" si="435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6"/>
        <v/>
      </c>
      <c r="B4002" s="83" t="str">
        <f t="shared" si="441"/>
        <v/>
      </c>
      <c r="S4002" s="83" t="str">
        <f t="shared" si="437"/>
        <v/>
      </c>
      <c r="T4002" s="83" t="str">
        <f t="shared" si="435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6"/>
        <v/>
      </c>
      <c r="B4003" s="83" t="str">
        <f t="shared" si="441"/>
        <v/>
      </c>
      <c r="S4003" s="83" t="str">
        <f t="shared" si="437"/>
        <v/>
      </c>
      <c r="T4003" s="83" t="str">
        <f t="shared" si="435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6"/>
        <v/>
      </c>
      <c r="B4004" s="83" t="str">
        <f t="shared" si="441"/>
        <v/>
      </c>
      <c r="S4004" s="83" t="str">
        <f t="shared" si="437"/>
        <v/>
      </c>
      <c r="T4004" s="83" t="str">
        <f t="shared" si="435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6"/>
        <v/>
      </c>
      <c r="B4005" s="83" t="str">
        <f t="shared" si="441"/>
        <v/>
      </c>
      <c r="S4005" s="83" t="str">
        <f t="shared" si="437"/>
        <v/>
      </c>
      <c r="T4005" s="83" t="str">
        <f t="shared" si="435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6"/>
        <v/>
      </c>
      <c r="B4006" s="83" t="str">
        <f t="shared" si="441"/>
        <v/>
      </c>
      <c r="S4006" s="83" t="str">
        <f t="shared" si="437"/>
        <v/>
      </c>
      <c r="T4006" s="83" t="str">
        <f t="shared" si="435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6"/>
        <v/>
      </c>
      <c r="B4007" s="83" t="str">
        <f t="shared" si="441"/>
        <v/>
      </c>
      <c r="S4007" s="83" t="str">
        <f t="shared" si="437"/>
        <v/>
      </c>
      <c r="T4007" s="83" t="str">
        <f t="shared" si="435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6"/>
        <v/>
      </c>
      <c r="B4008" s="83" t="str">
        <f t="shared" si="441"/>
        <v/>
      </c>
      <c r="S4008" s="83" t="str">
        <f t="shared" si="437"/>
        <v/>
      </c>
      <c r="T4008" s="83" t="str">
        <f t="shared" si="435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6"/>
        <v/>
      </c>
      <c r="B4009" s="83" t="str">
        <f t="shared" si="441"/>
        <v/>
      </c>
      <c r="S4009" s="83" t="str">
        <f t="shared" si="437"/>
        <v/>
      </c>
      <c r="T4009" s="83" t="str">
        <f t="shared" si="435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6"/>
        <v/>
      </c>
      <c r="B4010" s="83" t="str">
        <f t="shared" si="441"/>
        <v/>
      </c>
      <c r="S4010" s="83" t="str">
        <f t="shared" si="437"/>
        <v/>
      </c>
      <c r="T4010" s="83" t="str">
        <f t="shared" si="435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6"/>
        <v/>
      </c>
      <c r="B4011" s="83" t="str">
        <f t="shared" si="441"/>
        <v/>
      </c>
      <c r="S4011" s="83" t="str">
        <f t="shared" si="437"/>
        <v/>
      </c>
      <c r="T4011" s="83" t="str">
        <f t="shared" si="435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6"/>
        <v/>
      </c>
      <c r="B4012" s="83" t="str">
        <f t="shared" si="441"/>
        <v/>
      </c>
      <c r="S4012" s="83" t="str">
        <f t="shared" si="437"/>
        <v/>
      </c>
      <c r="T4012" s="83" t="str">
        <f t="shared" si="435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6"/>
        <v/>
      </c>
      <c r="B4013" s="83" t="str">
        <f t="shared" si="441"/>
        <v/>
      </c>
      <c r="S4013" s="83" t="str">
        <f t="shared" si="437"/>
        <v/>
      </c>
      <c r="T4013" s="83" t="str">
        <f t="shared" si="435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6"/>
        <v/>
      </c>
      <c r="B4014" s="83" t="str">
        <f t="shared" si="441"/>
        <v/>
      </c>
      <c r="S4014" s="83" t="str">
        <f t="shared" si="437"/>
        <v/>
      </c>
      <c r="T4014" s="83" t="str">
        <f t="shared" si="435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6"/>
        <v/>
      </c>
      <c r="B4015" s="83" t="str">
        <f t="shared" si="441"/>
        <v/>
      </c>
      <c r="S4015" s="83" t="str">
        <f t="shared" si="437"/>
        <v/>
      </c>
      <c r="T4015" s="83" t="str">
        <f t="shared" si="435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6"/>
        <v/>
      </c>
      <c r="B4016" s="83" t="str">
        <f t="shared" si="441"/>
        <v/>
      </c>
      <c r="S4016" s="83" t="str">
        <f t="shared" si="437"/>
        <v/>
      </c>
      <c r="T4016" s="83" t="str">
        <f t="shared" si="435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6"/>
        <v/>
      </c>
      <c r="B4017" s="83" t="str">
        <f t="shared" si="441"/>
        <v/>
      </c>
      <c r="S4017" s="83" t="str">
        <f t="shared" si="437"/>
        <v/>
      </c>
      <c r="T4017" s="83" t="str">
        <f t="shared" si="435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6"/>
        <v/>
      </c>
      <c r="B4018" s="83" t="str">
        <f t="shared" si="441"/>
        <v/>
      </c>
      <c r="S4018" s="83" t="str">
        <f t="shared" si="437"/>
        <v/>
      </c>
      <c r="T4018" s="83" t="str">
        <f t="shared" si="435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6"/>
        <v/>
      </c>
      <c r="B4019" s="83" t="str">
        <f t="shared" si="441"/>
        <v/>
      </c>
      <c r="S4019" s="83" t="str">
        <f t="shared" si="437"/>
        <v/>
      </c>
      <c r="T4019" s="83" t="str">
        <f t="shared" si="435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6"/>
        <v/>
      </c>
      <c r="B4020" s="83" t="str">
        <f t="shared" si="441"/>
        <v/>
      </c>
      <c r="S4020" s="83" t="str">
        <f t="shared" si="437"/>
        <v/>
      </c>
      <c r="T4020" s="83" t="str">
        <f t="shared" si="435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6"/>
        <v/>
      </c>
      <c r="B4021" s="83" t="str">
        <f t="shared" si="441"/>
        <v/>
      </c>
      <c r="S4021" s="83" t="str">
        <f t="shared" si="437"/>
        <v/>
      </c>
      <c r="T4021" s="83" t="str">
        <f t="shared" si="435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6"/>
        <v/>
      </c>
      <c r="B4022" s="83" t="str">
        <f t="shared" si="441"/>
        <v/>
      </c>
      <c r="S4022" s="83" t="str">
        <f t="shared" si="437"/>
        <v/>
      </c>
      <c r="T4022" s="83" t="str">
        <f t="shared" si="435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6"/>
        <v/>
      </c>
      <c r="B4023" s="83" t="str">
        <f t="shared" si="441"/>
        <v/>
      </c>
      <c r="S4023" s="83" t="str">
        <f t="shared" si="437"/>
        <v/>
      </c>
      <c r="T4023" s="83" t="str">
        <f t="shared" si="435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6"/>
        <v/>
      </c>
      <c r="B4024" s="83" t="str">
        <f t="shared" si="441"/>
        <v/>
      </c>
      <c r="S4024" s="83" t="str">
        <f t="shared" si="437"/>
        <v/>
      </c>
      <c r="T4024" s="83" t="str">
        <f t="shared" si="435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6"/>
        <v/>
      </c>
      <c r="B4025" s="83" t="str">
        <f t="shared" si="441"/>
        <v/>
      </c>
      <c r="S4025" s="83" t="str">
        <f t="shared" si="437"/>
        <v/>
      </c>
      <c r="T4025" s="83" t="str">
        <f t="shared" si="435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6"/>
        <v/>
      </c>
      <c r="B4026" s="83" t="str">
        <f t="shared" si="441"/>
        <v/>
      </c>
      <c r="S4026" s="83" t="str">
        <f t="shared" si="437"/>
        <v/>
      </c>
      <c r="T4026" s="83" t="str">
        <f t="shared" si="435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6"/>
        <v/>
      </c>
      <c r="B4027" s="83" t="str">
        <f t="shared" si="441"/>
        <v/>
      </c>
      <c r="S4027" s="83" t="str">
        <f t="shared" si="437"/>
        <v/>
      </c>
      <c r="T4027" s="83" t="str">
        <f t="shared" si="435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6"/>
        <v/>
      </c>
      <c r="B4028" s="83" t="str">
        <f t="shared" si="441"/>
        <v/>
      </c>
      <c r="S4028" s="83" t="str">
        <f t="shared" si="437"/>
        <v/>
      </c>
      <c r="T4028" s="83" t="str">
        <f t="shared" si="435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6"/>
        <v/>
      </c>
      <c r="B4029" s="83" t="str">
        <f t="shared" si="441"/>
        <v/>
      </c>
      <c r="S4029" s="83" t="str">
        <f t="shared" si="437"/>
        <v/>
      </c>
      <c r="T4029" s="83" t="str">
        <f t="shared" si="435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6"/>
        <v/>
      </c>
      <c r="B4030" s="83" t="str">
        <f t="shared" si="441"/>
        <v/>
      </c>
      <c r="S4030" s="83" t="str">
        <f t="shared" si="437"/>
        <v/>
      </c>
      <c r="T4030" s="83" t="str">
        <f t="shared" si="435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6"/>
        <v/>
      </c>
      <c r="B4031" s="83" t="str">
        <f t="shared" si="441"/>
        <v/>
      </c>
      <c r="S4031" s="83" t="str">
        <f t="shared" si="437"/>
        <v/>
      </c>
      <c r="T4031" s="83" t="str">
        <f t="shared" si="435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6"/>
        <v/>
      </c>
      <c r="B4032" s="83" t="str">
        <f t="shared" si="441"/>
        <v/>
      </c>
      <c r="S4032" s="83" t="str">
        <f t="shared" si="437"/>
        <v/>
      </c>
      <c r="T4032" s="83" t="str">
        <f t="shared" si="435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6"/>
        <v/>
      </c>
      <c r="B4033" s="83" t="str">
        <f t="shared" si="441"/>
        <v/>
      </c>
      <c r="S4033" s="83" t="str">
        <f t="shared" si="437"/>
        <v/>
      </c>
      <c r="T4033" s="83" t="str">
        <f t="shared" si="435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6"/>
        <v/>
      </c>
      <c r="B4034" s="83" t="str">
        <f t="shared" si="441"/>
        <v/>
      </c>
      <c r="S4034" s="83" t="str">
        <f t="shared" si="437"/>
        <v/>
      </c>
      <c r="T4034" s="83" t="str">
        <f t="shared" ref="T4034:T4097" si="442">IF(A4034&lt;&gt;"",IF(FIND(" ",G4034)&gt;=1,MID(G4034,FIND(" ",G4034)+1,LEN(G4034)),""),"")</f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3">IF(G4035&amp;Q4035&lt;&gt;"",S4035&amp;Q4035,"")</f>
        <v/>
      </c>
      <c r="B4035" s="83" t="str">
        <f t="shared" si="441"/>
        <v/>
      </c>
      <c r="S4035" s="83" t="str">
        <f t="shared" ref="S4035:S4098" si="444">IF(G4035&lt;&gt;"",IF(FIND(" ",G4035)&gt;=1,MID(G4035,1,FIND(" ",G4035)-1),G4035),"")</f>
        <v/>
      </c>
      <c r="T4035" s="83" t="str">
        <f t="shared" si="442"/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3"/>
        <v/>
      </c>
      <c r="B4036" s="83" t="str">
        <f t="shared" si="441"/>
        <v/>
      </c>
      <c r="S4036" s="83" t="str">
        <f t="shared" si="444"/>
        <v/>
      </c>
      <c r="T4036" s="83" t="str">
        <f t="shared" si="442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3"/>
        <v/>
      </c>
      <c r="B4037" s="83" t="str">
        <f t="shared" si="441"/>
        <v/>
      </c>
      <c r="S4037" s="83" t="str">
        <f t="shared" si="444"/>
        <v/>
      </c>
      <c r="T4037" s="83" t="str">
        <f t="shared" si="442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3"/>
        <v/>
      </c>
      <c r="B4038" s="83" t="str">
        <f t="shared" si="441"/>
        <v/>
      </c>
      <c r="S4038" s="83" t="str">
        <f t="shared" si="444"/>
        <v/>
      </c>
      <c r="T4038" s="83" t="str">
        <f t="shared" si="442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3"/>
        <v/>
      </c>
      <c r="B4039" s="83" t="str">
        <f t="shared" si="441"/>
        <v/>
      </c>
      <c r="S4039" s="83" t="str">
        <f t="shared" si="444"/>
        <v/>
      </c>
      <c r="T4039" s="83" t="str">
        <f t="shared" si="442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3"/>
        <v/>
      </c>
      <c r="B4040" s="83" t="str">
        <f t="shared" si="441"/>
        <v/>
      </c>
      <c r="S4040" s="83" t="str">
        <f t="shared" si="444"/>
        <v/>
      </c>
      <c r="T4040" s="83" t="str">
        <f t="shared" si="442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3"/>
        <v/>
      </c>
      <c r="B4041" s="83" t="str">
        <f t="shared" si="441"/>
        <v/>
      </c>
      <c r="S4041" s="83" t="str">
        <f t="shared" si="444"/>
        <v/>
      </c>
      <c r="T4041" s="83" t="str">
        <f t="shared" si="442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3"/>
        <v/>
      </c>
      <c r="B4042" s="83" t="str">
        <f t="shared" si="441"/>
        <v/>
      </c>
      <c r="S4042" s="83" t="str">
        <f t="shared" si="444"/>
        <v/>
      </c>
      <c r="T4042" s="83" t="str">
        <f t="shared" si="442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3"/>
        <v/>
      </c>
      <c r="B4043" s="83" t="str">
        <f t="shared" si="441"/>
        <v/>
      </c>
      <c r="S4043" s="83" t="str">
        <f t="shared" si="444"/>
        <v/>
      </c>
      <c r="T4043" s="83" t="str">
        <f t="shared" si="442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3"/>
        <v/>
      </c>
      <c r="B4044" s="83" t="str">
        <f t="shared" si="441"/>
        <v/>
      </c>
      <c r="S4044" s="83" t="str">
        <f t="shared" si="444"/>
        <v/>
      </c>
      <c r="T4044" s="83" t="str">
        <f t="shared" si="442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3"/>
        <v/>
      </c>
      <c r="B4045" s="83" t="str">
        <f t="shared" si="441"/>
        <v/>
      </c>
      <c r="S4045" s="83" t="str">
        <f t="shared" si="444"/>
        <v/>
      </c>
      <c r="T4045" s="83" t="str">
        <f t="shared" si="442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3"/>
        <v/>
      </c>
      <c r="B4046" s="83" t="str">
        <f t="shared" si="441"/>
        <v/>
      </c>
      <c r="S4046" s="83" t="str">
        <f t="shared" si="444"/>
        <v/>
      </c>
      <c r="T4046" s="83" t="str">
        <f t="shared" si="442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3"/>
        <v/>
      </c>
      <c r="B4047" s="83" t="str">
        <f t="shared" si="441"/>
        <v/>
      </c>
      <c r="S4047" s="83" t="str">
        <f t="shared" si="444"/>
        <v/>
      </c>
      <c r="T4047" s="83" t="str">
        <f t="shared" si="442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3"/>
        <v/>
      </c>
      <c r="B4048" s="83" t="str">
        <f t="shared" si="441"/>
        <v/>
      </c>
      <c r="S4048" s="83" t="str">
        <f t="shared" si="444"/>
        <v/>
      </c>
      <c r="T4048" s="83" t="str">
        <f t="shared" si="442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3"/>
        <v/>
      </c>
      <c r="B4049" s="83" t="str">
        <f t="shared" si="441"/>
        <v/>
      </c>
      <c r="S4049" s="83" t="str">
        <f t="shared" si="444"/>
        <v/>
      </c>
      <c r="T4049" s="83" t="str">
        <f t="shared" si="442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3"/>
        <v/>
      </c>
      <c r="B4050" s="83" t="str">
        <f t="shared" si="441"/>
        <v/>
      </c>
      <c r="S4050" s="83" t="str">
        <f t="shared" si="444"/>
        <v/>
      </c>
      <c r="T4050" s="83" t="str">
        <f t="shared" si="442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3"/>
        <v/>
      </c>
      <c r="B4051" s="83" t="str">
        <f t="shared" si="441"/>
        <v/>
      </c>
      <c r="S4051" s="83" t="str">
        <f t="shared" si="444"/>
        <v/>
      </c>
      <c r="T4051" s="83" t="str">
        <f t="shared" si="442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3"/>
        <v/>
      </c>
      <c r="B4052" s="83" t="str">
        <f t="shared" si="441"/>
        <v/>
      </c>
      <c r="S4052" s="83" t="str">
        <f t="shared" si="444"/>
        <v/>
      </c>
      <c r="T4052" s="83" t="str">
        <f t="shared" si="442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3"/>
        <v/>
      </c>
      <c r="B4053" s="83" t="str">
        <f t="shared" si="441"/>
        <v/>
      </c>
      <c r="S4053" s="83" t="str">
        <f t="shared" si="444"/>
        <v/>
      </c>
      <c r="T4053" s="83" t="str">
        <f t="shared" si="442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3"/>
        <v/>
      </c>
      <c r="B4054" s="83" t="str">
        <f t="shared" si="441"/>
        <v/>
      </c>
      <c r="S4054" s="83" t="str">
        <f t="shared" si="444"/>
        <v/>
      </c>
      <c r="T4054" s="83" t="str">
        <f t="shared" si="442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3"/>
        <v/>
      </c>
      <c r="B4055" s="83" t="str">
        <f t="shared" si="441"/>
        <v/>
      </c>
      <c r="S4055" s="83" t="str">
        <f t="shared" si="444"/>
        <v/>
      </c>
      <c r="T4055" s="83" t="str">
        <f t="shared" si="442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3"/>
        <v/>
      </c>
      <c r="B4056" s="83" t="str">
        <f t="shared" si="441"/>
        <v/>
      </c>
      <c r="S4056" s="83" t="str">
        <f t="shared" si="444"/>
        <v/>
      </c>
      <c r="T4056" s="83" t="str">
        <f t="shared" si="442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3"/>
        <v/>
      </c>
      <c r="B4057" s="83" t="str">
        <f t="shared" si="441"/>
        <v/>
      </c>
      <c r="S4057" s="83" t="str">
        <f t="shared" si="444"/>
        <v/>
      </c>
      <c r="T4057" s="83" t="str">
        <f t="shared" si="442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3"/>
        <v/>
      </c>
      <c r="B4058" s="83" t="str">
        <f t="shared" si="441"/>
        <v/>
      </c>
      <c r="S4058" s="83" t="str">
        <f t="shared" si="444"/>
        <v/>
      </c>
      <c r="T4058" s="83" t="str">
        <f t="shared" si="442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3"/>
        <v/>
      </c>
      <c r="B4059" s="83" t="str">
        <f t="shared" si="441"/>
        <v/>
      </c>
      <c r="S4059" s="83" t="str">
        <f t="shared" si="444"/>
        <v/>
      </c>
      <c r="T4059" s="83" t="str">
        <f t="shared" si="442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3"/>
        <v/>
      </c>
      <c r="B4060" s="83" t="str">
        <f t="shared" si="441"/>
        <v/>
      </c>
      <c r="S4060" s="83" t="str">
        <f t="shared" si="444"/>
        <v/>
      </c>
      <c r="T4060" s="83" t="str">
        <f t="shared" si="442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3"/>
        <v/>
      </c>
      <c r="B4061" s="83" t="str">
        <f t="shared" si="441"/>
        <v/>
      </c>
      <c r="S4061" s="83" t="str">
        <f t="shared" si="444"/>
        <v/>
      </c>
      <c r="T4061" s="83" t="str">
        <f t="shared" si="442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3"/>
        <v/>
      </c>
      <c r="B4062" s="83" t="str">
        <f t="shared" si="441"/>
        <v/>
      </c>
      <c r="S4062" s="83" t="str">
        <f t="shared" si="444"/>
        <v/>
      </c>
      <c r="T4062" s="83" t="str">
        <f t="shared" si="442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3"/>
        <v/>
      </c>
      <c r="B4063" s="83" t="str">
        <f t="shared" si="441"/>
        <v/>
      </c>
      <c r="S4063" s="83" t="str">
        <f t="shared" si="444"/>
        <v/>
      </c>
      <c r="T4063" s="83" t="str">
        <f t="shared" si="442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3"/>
        <v/>
      </c>
      <c r="B4064" s="83" t="str">
        <f t="shared" si="441"/>
        <v/>
      </c>
      <c r="S4064" s="83" t="str">
        <f t="shared" si="444"/>
        <v/>
      </c>
      <c r="T4064" s="83" t="str">
        <f t="shared" si="442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3"/>
        <v/>
      </c>
      <c r="B4065" s="83" t="str">
        <f t="shared" ref="B4065:B4128" si="448">IF(C4065&lt;&gt;"",LEFT(C4065,9),"")</f>
        <v/>
      </c>
      <c r="S4065" s="83" t="str">
        <f t="shared" si="444"/>
        <v/>
      </c>
      <c r="T4065" s="83" t="str">
        <f t="shared" si="442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3"/>
        <v/>
      </c>
      <c r="B4066" s="83" t="str">
        <f t="shared" si="448"/>
        <v/>
      </c>
      <c r="S4066" s="83" t="str">
        <f t="shared" si="444"/>
        <v/>
      </c>
      <c r="T4066" s="83" t="str">
        <f t="shared" si="442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3"/>
        <v/>
      </c>
      <c r="B4067" s="83" t="str">
        <f t="shared" si="448"/>
        <v/>
      </c>
      <c r="S4067" s="83" t="str">
        <f t="shared" si="444"/>
        <v/>
      </c>
      <c r="T4067" s="83" t="str">
        <f t="shared" si="442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3"/>
        <v/>
      </c>
      <c r="B4068" s="83" t="str">
        <f t="shared" si="448"/>
        <v/>
      </c>
      <c r="S4068" s="83" t="str">
        <f t="shared" si="444"/>
        <v/>
      </c>
      <c r="T4068" s="83" t="str">
        <f t="shared" si="442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3"/>
        <v/>
      </c>
      <c r="B4069" s="83" t="str">
        <f t="shared" si="448"/>
        <v/>
      </c>
      <c r="S4069" s="83" t="str">
        <f t="shared" si="444"/>
        <v/>
      </c>
      <c r="T4069" s="83" t="str">
        <f t="shared" si="442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3"/>
        <v/>
      </c>
      <c r="B4070" s="83" t="str">
        <f t="shared" si="448"/>
        <v/>
      </c>
      <c r="S4070" s="83" t="str">
        <f t="shared" si="444"/>
        <v/>
      </c>
      <c r="T4070" s="83" t="str">
        <f t="shared" si="442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3"/>
        <v/>
      </c>
      <c r="B4071" s="83" t="str">
        <f t="shared" si="448"/>
        <v/>
      </c>
      <c r="S4071" s="83" t="str">
        <f t="shared" si="444"/>
        <v/>
      </c>
      <c r="T4071" s="83" t="str">
        <f t="shared" si="442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3"/>
        <v/>
      </c>
      <c r="B4072" s="83" t="str">
        <f t="shared" si="448"/>
        <v/>
      </c>
      <c r="S4072" s="83" t="str">
        <f t="shared" si="444"/>
        <v/>
      </c>
      <c r="T4072" s="83" t="str">
        <f t="shared" si="442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3"/>
        <v/>
      </c>
      <c r="B4073" s="83" t="str">
        <f t="shared" si="448"/>
        <v/>
      </c>
      <c r="S4073" s="83" t="str">
        <f t="shared" si="444"/>
        <v/>
      </c>
      <c r="T4073" s="83" t="str">
        <f t="shared" si="442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3"/>
        <v/>
      </c>
      <c r="B4074" s="83" t="str">
        <f t="shared" si="448"/>
        <v/>
      </c>
      <c r="S4074" s="83" t="str">
        <f t="shared" si="444"/>
        <v/>
      </c>
      <c r="T4074" s="83" t="str">
        <f t="shared" si="442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3"/>
        <v/>
      </c>
      <c r="B4075" s="83" t="str">
        <f t="shared" si="448"/>
        <v/>
      </c>
      <c r="S4075" s="83" t="str">
        <f t="shared" si="444"/>
        <v/>
      </c>
      <c r="T4075" s="83" t="str">
        <f t="shared" si="442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3"/>
        <v/>
      </c>
      <c r="B4076" s="83" t="str">
        <f t="shared" si="448"/>
        <v/>
      </c>
      <c r="S4076" s="83" t="str">
        <f t="shared" si="444"/>
        <v/>
      </c>
      <c r="T4076" s="83" t="str">
        <f t="shared" si="442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3"/>
        <v/>
      </c>
      <c r="B4077" s="83" t="str">
        <f t="shared" si="448"/>
        <v/>
      </c>
      <c r="S4077" s="83" t="str">
        <f t="shared" si="444"/>
        <v/>
      </c>
      <c r="T4077" s="83" t="str">
        <f t="shared" si="442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3"/>
        <v/>
      </c>
      <c r="B4078" s="83" t="str">
        <f t="shared" si="448"/>
        <v/>
      </c>
      <c r="S4078" s="83" t="str">
        <f t="shared" si="444"/>
        <v/>
      </c>
      <c r="T4078" s="83" t="str">
        <f t="shared" si="442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3"/>
        <v/>
      </c>
      <c r="B4079" s="83" t="str">
        <f t="shared" si="448"/>
        <v/>
      </c>
      <c r="S4079" s="83" t="str">
        <f t="shared" si="444"/>
        <v/>
      </c>
      <c r="T4079" s="83" t="str">
        <f t="shared" si="442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3"/>
        <v/>
      </c>
      <c r="B4080" s="83" t="str">
        <f t="shared" si="448"/>
        <v/>
      </c>
      <c r="S4080" s="83" t="str">
        <f t="shared" si="444"/>
        <v/>
      </c>
      <c r="T4080" s="83" t="str">
        <f t="shared" si="442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3"/>
        <v/>
      </c>
      <c r="B4081" s="83" t="str">
        <f t="shared" si="448"/>
        <v/>
      </c>
      <c r="S4081" s="83" t="str">
        <f t="shared" si="444"/>
        <v/>
      </c>
      <c r="T4081" s="83" t="str">
        <f t="shared" si="442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3"/>
        <v/>
      </c>
      <c r="B4082" s="83" t="str">
        <f t="shared" si="448"/>
        <v/>
      </c>
      <c r="S4082" s="83" t="str">
        <f t="shared" si="444"/>
        <v/>
      </c>
      <c r="T4082" s="83" t="str">
        <f t="shared" si="442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3"/>
        <v/>
      </c>
      <c r="B4083" s="83" t="str">
        <f t="shared" si="448"/>
        <v/>
      </c>
      <c r="S4083" s="83" t="str">
        <f t="shared" si="444"/>
        <v/>
      </c>
      <c r="T4083" s="83" t="str">
        <f t="shared" si="442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3"/>
        <v/>
      </c>
      <c r="B4084" s="83" t="str">
        <f t="shared" si="448"/>
        <v/>
      </c>
      <c r="S4084" s="83" t="str">
        <f t="shared" si="444"/>
        <v/>
      </c>
      <c r="T4084" s="83" t="str">
        <f t="shared" si="442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3"/>
        <v/>
      </c>
      <c r="B4085" s="83" t="str">
        <f t="shared" si="448"/>
        <v/>
      </c>
      <c r="S4085" s="83" t="str">
        <f t="shared" si="444"/>
        <v/>
      </c>
      <c r="T4085" s="83" t="str">
        <f t="shared" si="442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3"/>
        <v/>
      </c>
      <c r="B4086" s="83" t="str">
        <f t="shared" si="448"/>
        <v/>
      </c>
      <c r="S4086" s="83" t="str">
        <f t="shared" si="444"/>
        <v/>
      </c>
      <c r="T4086" s="83" t="str">
        <f t="shared" si="442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3"/>
        <v/>
      </c>
      <c r="B4087" s="83" t="str">
        <f t="shared" si="448"/>
        <v/>
      </c>
      <c r="S4087" s="83" t="str">
        <f t="shared" si="444"/>
        <v/>
      </c>
      <c r="T4087" s="83" t="str">
        <f t="shared" si="442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3"/>
        <v/>
      </c>
      <c r="B4088" s="83" t="str">
        <f t="shared" si="448"/>
        <v/>
      </c>
      <c r="S4088" s="83" t="str">
        <f t="shared" si="444"/>
        <v/>
      </c>
      <c r="T4088" s="83" t="str">
        <f t="shared" si="442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3"/>
        <v/>
      </c>
      <c r="B4089" s="83" t="str">
        <f t="shared" si="448"/>
        <v/>
      </c>
      <c r="S4089" s="83" t="str">
        <f t="shared" si="444"/>
        <v/>
      </c>
      <c r="T4089" s="83" t="str">
        <f t="shared" si="442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3"/>
        <v/>
      </c>
      <c r="B4090" s="83" t="str">
        <f t="shared" si="448"/>
        <v/>
      </c>
      <c r="S4090" s="83" t="str">
        <f t="shared" si="444"/>
        <v/>
      </c>
      <c r="T4090" s="83" t="str">
        <f t="shared" si="442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3"/>
        <v/>
      </c>
      <c r="B4091" s="83" t="str">
        <f t="shared" si="448"/>
        <v/>
      </c>
      <c r="S4091" s="83" t="str">
        <f t="shared" si="444"/>
        <v/>
      </c>
      <c r="T4091" s="83" t="str">
        <f t="shared" si="442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3"/>
        <v/>
      </c>
      <c r="B4092" s="83" t="str">
        <f t="shared" si="448"/>
        <v/>
      </c>
      <c r="S4092" s="83" t="str">
        <f t="shared" si="444"/>
        <v/>
      </c>
      <c r="T4092" s="83" t="str">
        <f t="shared" si="442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3"/>
        <v/>
      </c>
      <c r="B4093" s="83" t="str">
        <f t="shared" si="448"/>
        <v/>
      </c>
      <c r="S4093" s="83" t="str">
        <f t="shared" si="444"/>
        <v/>
      </c>
      <c r="T4093" s="83" t="str">
        <f t="shared" si="442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3"/>
        <v/>
      </c>
      <c r="B4094" s="83" t="str">
        <f t="shared" si="448"/>
        <v/>
      </c>
      <c r="S4094" s="83" t="str">
        <f t="shared" si="444"/>
        <v/>
      </c>
      <c r="T4094" s="83" t="str">
        <f t="shared" si="442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3"/>
        <v/>
      </c>
      <c r="B4095" s="83" t="str">
        <f t="shared" si="448"/>
        <v/>
      </c>
      <c r="S4095" s="83" t="str">
        <f t="shared" si="444"/>
        <v/>
      </c>
      <c r="T4095" s="83" t="str">
        <f t="shared" si="442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3"/>
        <v/>
      </c>
      <c r="B4096" s="83" t="str">
        <f t="shared" si="448"/>
        <v/>
      </c>
      <c r="S4096" s="83" t="str">
        <f t="shared" si="444"/>
        <v/>
      </c>
      <c r="T4096" s="83" t="str">
        <f t="shared" si="442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3"/>
        <v/>
      </c>
      <c r="B4097" s="83" t="str">
        <f t="shared" si="448"/>
        <v/>
      </c>
      <c r="S4097" s="83" t="str">
        <f t="shared" si="444"/>
        <v/>
      </c>
      <c r="T4097" s="83" t="str">
        <f t="shared" si="442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3"/>
        <v/>
      </c>
      <c r="B4098" s="83" t="str">
        <f t="shared" si="448"/>
        <v/>
      </c>
      <c r="S4098" s="83" t="str">
        <f t="shared" si="444"/>
        <v/>
      </c>
      <c r="T4098" s="83" t="str">
        <f t="shared" ref="T4098:T4161" si="449">IF(A4098&lt;&gt;"",IF(FIND(" ",G4098)&gt;=1,MID(G4098,FIND(" ",G4098)+1,LEN(G4098)),""),"")</f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50">IF(G4099&amp;Q4099&lt;&gt;"",S4099&amp;Q4099,"")</f>
        <v/>
      </c>
      <c r="B4099" s="83" t="str">
        <f t="shared" si="448"/>
        <v/>
      </c>
      <c r="S4099" s="83" t="str">
        <f t="shared" ref="S4099:S4162" si="451">IF(G4099&lt;&gt;"",IF(FIND(" ",G4099)&gt;=1,MID(G4099,1,FIND(" ",G4099)-1),G4099),"")</f>
        <v/>
      </c>
      <c r="T4099" s="83" t="str">
        <f t="shared" si="449"/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50"/>
        <v/>
      </c>
      <c r="B4100" s="83" t="str">
        <f t="shared" si="448"/>
        <v/>
      </c>
      <c r="S4100" s="83" t="str">
        <f t="shared" si="451"/>
        <v/>
      </c>
      <c r="T4100" s="83" t="str">
        <f t="shared" si="449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50"/>
        <v/>
      </c>
      <c r="B4101" s="83" t="str">
        <f t="shared" si="448"/>
        <v/>
      </c>
      <c r="S4101" s="83" t="str">
        <f t="shared" si="451"/>
        <v/>
      </c>
      <c r="T4101" s="83" t="str">
        <f t="shared" si="449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50"/>
        <v/>
      </c>
      <c r="B4102" s="83" t="str">
        <f t="shared" si="448"/>
        <v/>
      </c>
      <c r="S4102" s="83" t="str">
        <f t="shared" si="451"/>
        <v/>
      </c>
      <c r="T4102" s="83" t="str">
        <f t="shared" si="449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50"/>
        <v/>
      </c>
      <c r="B4103" s="83" t="str">
        <f t="shared" si="448"/>
        <v/>
      </c>
      <c r="S4103" s="83" t="str">
        <f t="shared" si="451"/>
        <v/>
      </c>
      <c r="T4103" s="83" t="str">
        <f t="shared" si="449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50"/>
        <v/>
      </c>
      <c r="B4104" s="83" t="str">
        <f t="shared" si="448"/>
        <v/>
      </c>
      <c r="S4104" s="83" t="str">
        <f t="shared" si="451"/>
        <v/>
      </c>
      <c r="T4104" s="83" t="str">
        <f t="shared" si="449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50"/>
        <v/>
      </c>
      <c r="B4105" s="83" t="str">
        <f t="shared" si="448"/>
        <v/>
      </c>
      <c r="S4105" s="83" t="str">
        <f t="shared" si="451"/>
        <v/>
      </c>
      <c r="T4105" s="83" t="str">
        <f t="shared" si="449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50"/>
        <v/>
      </c>
      <c r="B4106" s="83" t="str">
        <f t="shared" si="448"/>
        <v/>
      </c>
      <c r="S4106" s="83" t="str">
        <f t="shared" si="451"/>
        <v/>
      </c>
      <c r="T4106" s="83" t="str">
        <f t="shared" si="449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50"/>
        <v/>
      </c>
      <c r="B4107" s="83" t="str">
        <f t="shared" si="448"/>
        <v/>
      </c>
      <c r="S4107" s="83" t="str">
        <f t="shared" si="451"/>
        <v/>
      </c>
      <c r="T4107" s="83" t="str">
        <f t="shared" si="449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50"/>
        <v/>
      </c>
      <c r="B4108" s="83" t="str">
        <f t="shared" si="448"/>
        <v/>
      </c>
      <c r="S4108" s="83" t="str">
        <f t="shared" si="451"/>
        <v/>
      </c>
      <c r="T4108" s="83" t="str">
        <f t="shared" si="449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50"/>
        <v/>
      </c>
      <c r="B4109" s="83" t="str">
        <f t="shared" si="448"/>
        <v/>
      </c>
      <c r="S4109" s="83" t="str">
        <f t="shared" si="451"/>
        <v/>
      </c>
      <c r="T4109" s="83" t="str">
        <f t="shared" si="449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50"/>
        <v/>
      </c>
      <c r="B4110" s="83" t="str">
        <f t="shared" si="448"/>
        <v/>
      </c>
      <c r="S4110" s="83" t="str">
        <f t="shared" si="451"/>
        <v/>
      </c>
      <c r="T4110" s="83" t="str">
        <f t="shared" si="449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50"/>
        <v/>
      </c>
      <c r="B4111" s="83" t="str">
        <f t="shared" si="448"/>
        <v/>
      </c>
      <c r="S4111" s="83" t="str">
        <f t="shared" si="451"/>
        <v/>
      </c>
      <c r="T4111" s="83" t="str">
        <f t="shared" si="449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50"/>
        <v/>
      </c>
      <c r="B4112" s="83" t="str">
        <f t="shared" si="448"/>
        <v/>
      </c>
      <c r="S4112" s="83" t="str">
        <f t="shared" si="451"/>
        <v/>
      </c>
      <c r="T4112" s="83" t="str">
        <f t="shared" si="449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50"/>
        <v/>
      </c>
      <c r="B4113" s="83" t="str">
        <f t="shared" si="448"/>
        <v/>
      </c>
      <c r="S4113" s="83" t="str">
        <f t="shared" si="451"/>
        <v/>
      </c>
      <c r="T4113" s="83" t="str">
        <f t="shared" si="449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50"/>
        <v/>
      </c>
      <c r="B4114" s="83" t="str">
        <f t="shared" si="448"/>
        <v/>
      </c>
      <c r="S4114" s="83" t="str">
        <f t="shared" si="451"/>
        <v/>
      </c>
      <c r="T4114" s="83" t="str">
        <f t="shared" si="449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50"/>
        <v/>
      </c>
      <c r="B4115" s="83" t="str">
        <f t="shared" si="448"/>
        <v/>
      </c>
      <c r="S4115" s="83" t="str">
        <f t="shared" si="451"/>
        <v/>
      </c>
      <c r="T4115" s="83" t="str">
        <f t="shared" si="449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50"/>
        <v/>
      </c>
      <c r="B4116" s="83" t="str">
        <f t="shared" si="448"/>
        <v/>
      </c>
      <c r="S4116" s="83" t="str">
        <f t="shared" si="451"/>
        <v/>
      </c>
      <c r="T4116" s="83" t="str">
        <f t="shared" si="449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50"/>
        <v/>
      </c>
      <c r="B4117" s="83" t="str">
        <f t="shared" si="448"/>
        <v/>
      </c>
      <c r="S4117" s="83" t="str">
        <f t="shared" si="451"/>
        <v/>
      </c>
      <c r="T4117" s="83" t="str">
        <f t="shared" si="449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50"/>
        <v/>
      </c>
      <c r="B4118" s="83" t="str">
        <f t="shared" si="448"/>
        <v/>
      </c>
      <c r="S4118" s="83" t="str">
        <f t="shared" si="451"/>
        <v/>
      </c>
      <c r="T4118" s="83" t="str">
        <f t="shared" si="449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50"/>
        <v/>
      </c>
      <c r="B4119" s="83" t="str">
        <f t="shared" si="448"/>
        <v/>
      </c>
      <c r="S4119" s="83" t="str">
        <f t="shared" si="451"/>
        <v/>
      </c>
      <c r="T4119" s="83" t="str">
        <f t="shared" si="449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50"/>
        <v/>
      </c>
      <c r="B4120" s="83" t="str">
        <f t="shared" si="448"/>
        <v/>
      </c>
      <c r="S4120" s="83" t="str">
        <f t="shared" si="451"/>
        <v/>
      </c>
      <c r="T4120" s="83" t="str">
        <f t="shared" si="449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50"/>
        <v/>
      </c>
      <c r="B4121" s="83" t="str">
        <f t="shared" si="448"/>
        <v/>
      </c>
      <c r="S4121" s="83" t="str">
        <f t="shared" si="451"/>
        <v/>
      </c>
      <c r="T4121" s="83" t="str">
        <f t="shared" si="449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50"/>
        <v/>
      </c>
      <c r="B4122" s="83" t="str">
        <f t="shared" si="448"/>
        <v/>
      </c>
      <c r="S4122" s="83" t="str">
        <f t="shared" si="451"/>
        <v/>
      </c>
      <c r="T4122" s="83" t="str">
        <f t="shared" si="449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50"/>
        <v/>
      </c>
      <c r="B4123" s="83" t="str">
        <f t="shared" si="448"/>
        <v/>
      </c>
      <c r="S4123" s="83" t="str">
        <f t="shared" si="451"/>
        <v/>
      </c>
      <c r="T4123" s="83" t="str">
        <f t="shared" si="449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50"/>
        <v/>
      </c>
      <c r="B4124" s="83" t="str">
        <f t="shared" si="448"/>
        <v/>
      </c>
      <c r="S4124" s="83" t="str">
        <f t="shared" si="451"/>
        <v/>
      </c>
      <c r="T4124" s="83" t="str">
        <f t="shared" si="449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50"/>
        <v/>
      </c>
      <c r="B4125" s="83" t="str">
        <f t="shared" si="448"/>
        <v/>
      </c>
      <c r="S4125" s="83" t="str">
        <f t="shared" si="451"/>
        <v/>
      </c>
      <c r="T4125" s="83" t="str">
        <f t="shared" si="449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50"/>
        <v/>
      </c>
      <c r="B4126" s="83" t="str">
        <f t="shared" si="448"/>
        <v/>
      </c>
      <c r="S4126" s="83" t="str">
        <f t="shared" si="451"/>
        <v/>
      </c>
      <c r="T4126" s="83" t="str">
        <f t="shared" si="449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50"/>
        <v/>
      </c>
      <c r="B4127" s="83" t="str">
        <f t="shared" si="448"/>
        <v/>
      </c>
      <c r="S4127" s="83" t="str">
        <f t="shared" si="451"/>
        <v/>
      </c>
      <c r="T4127" s="83" t="str">
        <f t="shared" si="449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50"/>
        <v/>
      </c>
      <c r="B4128" s="83" t="str">
        <f t="shared" si="448"/>
        <v/>
      </c>
      <c r="S4128" s="83" t="str">
        <f t="shared" si="451"/>
        <v/>
      </c>
      <c r="T4128" s="83" t="str">
        <f t="shared" si="449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50"/>
        <v/>
      </c>
      <c r="B4129" s="83" t="str">
        <f t="shared" ref="B4129:B4192" si="455">IF(C4129&lt;&gt;"",LEFT(C4129,9),"")</f>
        <v/>
      </c>
      <c r="S4129" s="83" t="str">
        <f t="shared" si="451"/>
        <v/>
      </c>
      <c r="T4129" s="83" t="str">
        <f t="shared" si="449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50"/>
        <v/>
      </c>
      <c r="B4130" s="83" t="str">
        <f t="shared" si="455"/>
        <v/>
      </c>
      <c r="S4130" s="83" t="str">
        <f t="shared" si="451"/>
        <v/>
      </c>
      <c r="T4130" s="83" t="str">
        <f t="shared" si="449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50"/>
        <v/>
      </c>
      <c r="B4131" s="83" t="str">
        <f t="shared" si="455"/>
        <v/>
      </c>
      <c r="S4131" s="83" t="str">
        <f t="shared" si="451"/>
        <v/>
      </c>
      <c r="T4131" s="83" t="str">
        <f t="shared" si="449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50"/>
        <v/>
      </c>
      <c r="B4132" s="83" t="str">
        <f t="shared" si="455"/>
        <v/>
      </c>
      <c r="S4132" s="83" t="str">
        <f t="shared" si="451"/>
        <v/>
      </c>
      <c r="T4132" s="83" t="str">
        <f t="shared" si="449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50"/>
        <v/>
      </c>
      <c r="B4133" s="83" t="str">
        <f t="shared" si="455"/>
        <v/>
      </c>
      <c r="S4133" s="83" t="str">
        <f t="shared" si="451"/>
        <v/>
      </c>
      <c r="T4133" s="83" t="str">
        <f t="shared" si="449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50"/>
        <v/>
      </c>
      <c r="B4134" s="83" t="str">
        <f t="shared" si="455"/>
        <v/>
      </c>
      <c r="S4134" s="83" t="str">
        <f t="shared" si="451"/>
        <v/>
      </c>
      <c r="T4134" s="83" t="str">
        <f t="shared" si="449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50"/>
        <v/>
      </c>
      <c r="B4135" s="83" t="str">
        <f t="shared" si="455"/>
        <v/>
      </c>
      <c r="S4135" s="83" t="str">
        <f t="shared" si="451"/>
        <v/>
      </c>
      <c r="T4135" s="83" t="str">
        <f t="shared" si="449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50"/>
        <v/>
      </c>
      <c r="B4136" s="83" t="str">
        <f t="shared" si="455"/>
        <v/>
      </c>
      <c r="S4136" s="83" t="str">
        <f t="shared" si="451"/>
        <v/>
      </c>
      <c r="T4136" s="83" t="str">
        <f t="shared" si="449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50"/>
        <v/>
      </c>
      <c r="B4137" s="83" t="str">
        <f t="shared" si="455"/>
        <v/>
      </c>
      <c r="S4137" s="83" t="str">
        <f t="shared" si="451"/>
        <v/>
      </c>
      <c r="T4137" s="83" t="str">
        <f t="shared" si="449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50"/>
        <v/>
      </c>
      <c r="B4138" s="83" t="str">
        <f t="shared" si="455"/>
        <v/>
      </c>
      <c r="S4138" s="83" t="str">
        <f t="shared" si="451"/>
        <v/>
      </c>
      <c r="T4138" s="83" t="str">
        <f t="shared" si="449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50"/>
        <v/>
      </c>
      <c r="B4139" s="83" t="str">
        <f t="shared" si="455"/>
        <v/>
      </c>
      <c r="S4139" s="83" t="str">
        <f t="shared" si="451"/>
        <v/>
      </c>
      <c r="T4139" s="83" t="str">
        <f t="shared" si="449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50"/>
        <v/>
      </c>
      <c r="B4140" s="83" t="str">
        <f t="shared" si="455"/>
        <v/>
      </c>
      <c r="S4140" s="83" t="str">
        <f t="shared" si="451"/>
        <v/>
      </c>
      <c r="T4140" s="83" t="str">
        <f t="shared" si="449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50"/>
        <v/>
      </c>
      <c r="B4141" s="83" t="str">
        <f t="shared" si="455"/>
        <v/>
      </c>
      <c r="S4141" s="83" t="str">
        <f t="shared" si="451"/>
        <v/>
      </c>
      <c r="T4141" s="83" t="str">
        <f t="shared" si="449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50"/>
        <v/>
      </c>
      <c r="B4142" s="83" t="str">
        <f t="shared" si="455"/>
        <v/>
      </c>
      <c r="S4142" s="83" t="str">
        <f t="shared" si="451"/>
        <v/>
      </c>
      <c r="T4142" s="83" t="str">
        <f t="shared" si="449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50"/>
        <v/>
      </c>
      <c r="B4143" s="83" t="str">
        <f t="shared" si="455"/>
        <v/>
      </c>
      <c r="S4143" s="83" t="str">
        <f t="shared" si="451"/>
        <v/>
      </c>
      <c r="T4143" s="83" t="str">
        <f t="shared" si="449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50"/>
        <v/>
      </c>
      <c r="B4144" s="83" t="str">
        <f t="shared" si="455"/>
        <v/>
      </c>
      <c r="S4144" s="83" t="str">
        <f t="shared" si="451"/>
        <v/>
      </c>
      <c r="T4144" s="83" t="str">
        <f t="shared" si="449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50"/>
        <v/>
      </c>
      <c r="B4145" s="83" t="str">
        <f t="shared" si="455"/>
        <v/>
      </c>
      <c r="S4145" s="83" t="str">
        <f t="shared" si="451"/>
        <v/>
      </c>
      <c r="T4145" s="83" t="str">
        <f t="shared" si="449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50"/>
        <v/>
      </c>
      <c r="B4146" s="83" t="str">
        <f t="shared" si="455"/>
        <v/>
      </c>
      <c r="S4146" s="83" t="str">
        <f t="shared" si="451"/>
        <v/>
      </c>
      <c r="T4146" s="83" t="str">
        <f t="shared" si="449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50"/>
        <v/>
      </c>
      <c r="B4147" s="83" t="str">
        <f t="shared" si="455"/>
        <v/>
      </c>
      <c r="S4147" s="83" t="str">
        <f t="shared" si="451"/>
        <v/>
      </c>
      <c r="T4147" s="83" t="str">
        <f t="shared" si="449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50"/>
        <v/>
      </c>
      <c r="B4148" s="83" t="str">
        <f t="shared" si="455"/>
        <v/>
      </c>
      <c r="S4148" s="83" t="str">
        <f t="shared" si="451"/>
        <v/>
      </c>
      <c r="T4148" s="83" t="str">
        <f t="shared" si="449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50"/>
        <v/>
      </c>
      <c r="B4149" s="83" t="str">
        <f t="shared" si="455"/>
        <v/>
      </c>
      <c r="S4149" s="83" t="str">
        <f t="shared" si="451"/>
        <v/>
      </c>
      <c r="T4149" s="83" t="str">
        <f t="shared" si="449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50"/>
        <v/>
      </c>
      <c r="B4150" s="83" t="str">
        <f t="shared" si="455"/>
        <v/>
      </c>
      <c r="S4150" s="83" t="str">
        <f t="shared" si="451"/>
        <v/>
      </c>
      <c r="T4150" s="83" t="str">
        <f t="shared" si="449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50"/>
        <v/>
      </c>
      <c r="B4151" s="83" t="str">
        <f t="shared" si="455"/>
        <v/>
      </c>
      <c r="S4151" s="83" t="str">
        <f t="shared" si="451"/>
        <v/>
      </c>
      <c r="T4151" s="83" t="str">
        <f t="shared" si="449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50"/>
        <v/>
      </c>
      <c r="B4152" s="83" t="str">
        <f t="shared" si="455"/>
        <v/>
      </c>
      <c r="S4152" s="83" t="str">
        <f t="shared" si="451"/>
        <v/>
      </c>
      <c r="T4152" s="83" t="str">
        <f t="shared" si="449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50"/>
        <v/>
      </c>
      <c r="B4153" s="83" t="str">
        <f t="shared" si="455"/>
        <v/>
      </c>
      <c r="S4153" s="83" t="str">
        <f t="shared" si="451"/>
        <v/>
      </c>
      <c r="T4153" s="83" t="str">
        <f t="shared" si="449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50"/>
        <v/>
      </c>
      <c r="B4154" s="83" t="str">
        <f t="shared" si="455"/>
        <v/>
      </c>
      <c r="S4154" s="83" t="str">
        <f t="shared" si="451"/>
        <v/>
      </c>
      <c r="T4154" s="83" t="str">
        <f t="shared" si="449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50"/>
        <v/>
      </c>
      <c r="B4155" s="83" t="str">
        <f t="shared" si="455"/>
        <v/>
      </c>
      <c r="S4155" s="83" t="str">
        <f t="shared" si="451"/>
        <v/>
      </c>
      <c r="T4155" s="83" t="str">
        <f t="shared" si="449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50"/>
        <v/>
      </c>
      <c r="B4156" s="83" t="str">
        <f t="shared" si="455"/>
        <v/>
      </c>
      <c r="S4156" s="83" t="str">
        <f t="shared" si="451"/>
        <v/>
      </c>
      <c r="T4156" s="83" t="str">
        <f t="shared" si="449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50"/>
        <v/>
      </c>
      <c r="B4157" s="83" t="str">
        <f t="shared" si="455"/>
        <v/>
      </c>
      <c r="S4157" s="83" t="str">
        <f t="shared" si="451"/>
        <v/>
      </c>
      <c r="T4157" s="83" t="str">
        <f t="shared" si="449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50"/>
        <v/>
      </c>
      <c r="B4158" s="83" t="str">
        <f t="shared" si="455"/>
        <v/>
      </c>
      <c r="S4158" s="83" t="str">
        <f t="shared" si="451"/>
        <v/>
      </c>
      <c r="T4158" s="83" t="str">
        <f t="shared" si="449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50"/>
        <v/>
      </c>
      <c r="B4159" s="83" t="str">
        <f t="shared" si="455"/>
        <v/>
      </c>
      <c r="S4159" s="83" t="str">
        <f t="shared" si="451"/>
        <v/>
      </c>
      <c r="T4159" s="83" t="str">
        <f t="shared" si="449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50"/>
        <v/>
      </c>
      <c r="B4160" s="83" t="str">
        <f t="shared" si="455"/>
        <v/>
      </c>
      <c r="S4160" s="83" t="str">
        <f t="shared" si="451"/>
        <v/>
      </c>
      <c r="T4160" s="83" t="str">
        <f t="shared" si="449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50"/>
        <v/>
      </c>
      <c r="B4161" s="83" t="str">
        <f t="shared" si="455"/>
        <v/>
      </c>
      <c r="S4161" s="83" t="str">
        <f t="shared" si="451"/>
        <v/>
      </c>
      <c r="T4161" s="83" t="str">
        <f t="shared" si="449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50"/>
        <v/>
      </c>
      <c r="B4162" s="83" t="str">
        <f t="shared" si="455"/>
        <v/>
      </c>
      <c r="S4162" s="83" t="str">
        <f t="shared" si="451"/>
        <v/>
      </c>
      <c r="T4162" s="83" t="str">
        <f t="shared" ref="T4162:T4225" si="456">IF(A4162&lt;&gt;"",IF(FIND(" ",G4162)&gt;=1,MID(G4162,FIND(" ",G4162)+1,LEN(G4162)),""),"")</f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7">IF(G4163&amp;Q4163&lt;&gt;"",S4163&amp;Q4163,"")</f>
        <v/>
      </c>
      <c r="B4163" s="83" t="str">
        <f t="shared" si="455"/>
        <v/>
      </c>
      <c r="S4163" s="83" t="str">
        <f t="shared" ref="S4163:S4226" si="458">IF(G4163&lt;&gt;"",IF(FIND(" ",G4163)&gt;=1,MID(G4163,1,FIND(" ",G4163)-1),G4163),"")</f>
        <v/>
      </c>
      <c r="T4163" s="83" t="str">
        <f t="shared" si="456"/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7"/>
        <v/>
      </c>
      <c r="B4164" s="83" t="str">
        <f t="shared" si="455"/>
        <v/>
      </c>
      <c r="S4164" s="83" t="str">
        <f t="shared" si="458"/>
        <v/>
      </c>
      <c r="T4164" s="83" t="str">
        <f t="shared" si="456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7"/>
        <v/>
      </c>
      <c r="B4165" s="83" t="str">
        <f t="shared" si="455"/>
        <v/>
      </c>
      <c r="S4165" s="83" t="str">
        <f t="shared" si="458"/>
        <v/>
      </c>
      <c r="T4165" s="83" t="str">
        <f t="shared" si="456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7"/>
        <v/>
      </c>
      <c r="B4166" s="83" t="str">
        <f t="shared" si="455"/>
        <v/>
      </c>
      <c r="S4166" s="83" t="str">
        <f t="shared" si="458"/>
        <v/>
      </c>
      <c r="T4166" s="83" t="str">
        <f t="shared" si="456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7"/>
        <v/>
      </c>
      <c r="B4167" s="83" t="str">
        <f t="shared" si="455"/>
        <v/>
      </c>
      <c r="S4167" s="83" t="str">
        <f t="shared" si="458"/>
        <v/>
      </c>
      <c r="T4167" s="83" t="str">
        <f t="shared" si="456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7"/>
        <v/>
      </c>
      <c r="B4168" s="83" t="str">
        <f t="shared" si="455"/>
        <v/>
      </c>
      <c r="S4168" s="83" t="str">
        <f t="shared" si="458"/>
        <v/>
      </c>
      <c r="T4168" s="83" t="str">
        <f t="shared" si="456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7"/>
        <v/>
      </c>
      <c r="B4169" s="83" t="str">
        <f t="shared" si="455"/>
        <v/>
      </c>
      <c r="S4169" s="83" t="str">
        <f t="shared" si="458"/>
        <v/>
      </c>
      <c r="T4169" s="83" t="str">
        <f t="shared" si="456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7"/>
        <v/>
      </c>
      <c r="B4170" s="83" t="str">
        <f t="shared" si="455"/>
        <v/>
      </c>
      <c r="S4170" s="83" t="str">
        <f t="shared" si="458"/>
        <v/>
      </c>
      <c r="T4170" s="83" t="str">
        <f t="shared" si="456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7"/>
        <v/>
      </c>
      <c r="B4171" s="83" t="str">
        <f t="shared" si="455"/>
        <v/>
      </c>
      <c r="S4171" s="83" t="str">
        <f t="shared" si="458"/>
        <v/>
      </c>
      <c r="T4171" s="83" t="str">
        <f t="shared" si="456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7"/>
        <v/>
      </c>
      <c r="B4172" s="83" t="str">
        <f t="shared" si="455"/>
        <v/>
      </c>
      <c r="S4172" s="83" t="str">
        <f t="shared" si="458"/>
        <v/>
      </c>
      <c r="T4172" s="83" t="str">
        <f t="shared" si="456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7"/>
        <v/>
      </c>
      <c r="B4173" s="83" t="str">
        <f t="shared" si="455"/>
        <v/>
      </c>
      <c r="S4173" s="83" t="str">
        <f t="shared" si="458"/>
        <v/>
      </c>
      <c r="T4173" s="83" t="str">
        <f t="shared" si="456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7"/>
        <v/>
      </c>
      <c r="B4174" s="83" t="str">
        <f t="shared" si="455"/>
        <v/>
      </c>
      <c r="S4174" s="83" t="str">
        <f t="shared" si="458"/>
        <v/>
      </c>
      <c r="T4174" s="83" t="str">
        <f t="shared" si="456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7"/>
        <v/>
      </c>
      <c r="B4175" s="83" t="str">
        <f t="shared" si="455"/>
        <v/>
      </c>
      <c r="S4175" s="83" t="str">
        <f t="shared" si="458"/>
        <v/>
      </c>
      <c r="T4175" s="83" t="str">
        <f t="shared" si="456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7"/>
        <v/>
      </c>
      <c r="B4176" s="83" t="str">
        <f t="shared" si="455"/>
        <v/>
      </c>
      <c r="S4176" s="83" t="str">
        <f t="shared" si="458"/>
        <v/>
      </c>
      <c r="T4176" s="83" t="str">
        <f t="shared" si="456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7"/>
        <v/>
      </c>
      <c r="B4177" s="83" t="str">
        <f t="shared" si="455"/>
        <v/>
      </c>
      <c r="S4177" s="83" t="str">
        <f t="shared" si="458"/>
        <v/>
      </c>
      <c r="T4177" s="83" t="str">
        <f t="shared" si="456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7"/>
        <v/>
      </c>
      <c r="B4178" s="83" t="str">
        <f t="shared" si="455"/>
        <v/>
      </c>
      <c r="S4178" s="83" t="str">
        <f t="shared" si="458"/>
        <v/>
      </c>
      <c r="T4178" s="83" t="str">
        <f t="shared" si="456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7"/>
        <v/>
      </c>
      <c r="B4179" s="83" t="str">
        <f t="shared" si="455"/>
        <v/>
      </c>
      <c r="S4179" s="83" t="str">
        <f t="shared" si="458"/>
        <v/>
      </c>
      <c r="T4179" s="83" t="str">
        <f t="shared" si="456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7"/>
        <v/>
      </c>
      <c r="B4180" s="83" t="str">
        <f t="shared" si="455"/>
        <v/>
      </c>
      <c r="S4180" s="83" t="str">
        <f t="shared" si="458"/>
        <v/>
      </c>
      <c r="T4180" s="83" t="str">
        <f t="shared" si="456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7"/>
        <v/>
      </c>
      <c r="B4181" s="83" t="str">
        <f t="shared" si="455"/>
        <v/>
      </c>
      <c r="S4181" s="83" t="str">
        <f t="shared" si="458"/>
        <v/>
      </c>
      <c r="T4181" s="83" t="str">
        <f t="shared" si="456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7"/>
        <v/>
      </c>
      <c r="B4182" s="83" t="str">
        <f t="shared" si="455"/>
        <v/>
      </c>
      <c r="S4182" s="83" t="str">
        <f t="shared" si="458"/>
        <v/>
      </c>
      <c r="T4182" s="83" t="str">
        <f t="shared" si="456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7"/>
        <v/>
      </c>
      <c r="B4183" s="83" t="str">
        <f t="shared" si="455"/>
        <v/>
      </c>
      <c r="S4183" s="83" t="str">
        <f t="shared" si="458"/>
        <v/>
      </c>
      <c r="T4183" s="83" t="str">
        <f t="shared" si="456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7"/>
        <v/>
      </c>
      <c r="B4184" s="83" t="str">
        <f t="shared" si="455"/>
        <v/>
      </c>
      <c r="S4184" s="83" t="str">
        <f t="shared" si="458"/>
        <v/>
      </c>
      <c r="T4184" s="83" t="str">
        <f t="shared" si="456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7"/>
        <v/>
      </c>
      <c r="B4185" s="83" t="str">
        <f t="shared" si="455"/>
        <v/>
      </c>
      <c r="S4185" s="83" t="str">
        <f t="shared" si="458"/>
        <v/>
      </c>
      <c r="T4185" s="83" t="str">
        <f t="shared" si="456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7"/>
        <v/>
      </c>
      <c r="B4186" s="83" t="str">
        <f t="shared" si="455"/>
        <v/>
      </c>
      <c r="S4186" s="83" t="str">
        <f t="shared" si="458"/>
        <v/>
      </c>
      <c r="T4186" s="83" t="str">
        <f t="shared" si="456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7"/>
        <v/>
      </c>
      <c r="B4187" s="83" t="str">
        <f t="shared" si="455"/>
        <v/>
      </c>
      <c r="S4187" s="83" t="str">
        <f t="shared" si="458"/>
        <v/>
      </c>
      <c r="T4187" s="83" t="str">
        <f t="shared" si="456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7"/>
        <v/>
      </c>
      <c r="B4188" s="83" t="str">
        <f t="shared" si="455"/>
        <v/>
      </c>
      <c r="S4188" s="83" t="str">
        <f t="shared" si="458"/>
        <v/>
      </c>
      <c r="T4188" s="83" t="str">
        <f t="shared" si="456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7"/>
        <v/>
      </c>
      <c r="B4189" s="83" t="str">
        <f t="shared" si="455"/>
        <v/>
      </c>
      <c r="S4189" s="83" t="str">
        <f t="shared" si="458"/>
        <v/>
      </c>
      <c r="T4189" s="83" t="str">
        <f t="shared" si="456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7"/>
        <v/>
      </c>
      <c r="B4190" s="83" t="str">
        <f t="shared" si="455"/>
        <v/>
      </c>
      <c r="S4190" s="83" t="str">
        <f t="shared" si="458"/>
        <v/>
      </c>
      <c r="T4190" s="83" t="str">
        <f t="shared" si="456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7"/>
        <v/>
      </c>
      <c r="B4191" s="83" t="str">
        <f t="shared" si="455"/>
        <v/>
      </c>
      <c r="S4191" s="83" t="str">
        <f t="shared" si="458"/>
        <v/>
      </c>
      <c r="T4191" s="83" t="str">
        <f t="shared" si="456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7"/>
        <v/>
      </c>
      <c r="B4192" s="83" t="str">
        <f t="shared" si="455"/>
        <v/>
      </c>
      <c r="S4192" s="83" t="str">
        <f t="shared" si="458"/>
        <v/>
      </c>
      <c r="T4192" s="83" t="str">
        <f t="shared" si="456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7"/>
        <v/>
      </c>
      <c r="B4193" s="83" t="str">
        <f t="shared" ref="B4193:B4256" si="462">IF(C4193&lt;&gt;"",LEFT(C4193,9),"")</f>
        <v/>
      </c>
      <c r="S4193" s="83" t="str">
        <f t="shared" si="458"/>
        <v/>
      </c>
      <c r="T4193" s="83" t="str">
        <f t="shared" si="456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7"/>
        <v/>
      </c>
      <c r="B4194" s="83" t="str">
        <f t="shared" si="462"/>
        <v/>
      </c>
      <c r="S4194" s="83" t="str">
        <f t="shared" si="458"/>
        <v/>
      </c>
      <c r="T4194" s="83" t="str">
        <f t="shared" si="456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7"/>
        <v/>
      </c>
      <c r="B4195" s="83" t="str">
        <f t="shared" si="462"/>
        <v/>
      </c>
      <c r="S4195" s="83" t="str">
        <f t="shared" si="458"/>
        <v/>
      </c>
      <c r="T4195" s="83" t="str">
        <f t="shared" si="456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7"/>
        <v/>
      </c>
      <c r="B4196" s="83" t="str">
        <f t="shared" si="462"/>
        <v/>
      </c>
      <c r="S4196" s="83" t="str">
        <f t="shared" si="458"/>
        <v/>
      </c>
      <c r="T4196" s="83" t="str">
        <f t="shared" si="456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7"/>
        <v/>
      </c>
      <c r="B4197" s="83" t="str">
        <f t="shared" si="462"/>
        <v/>
      </c>
      <c r="S4197" s="83" t="str">
        <f t="shared" si="458"/>
        <v/>
      </c>
      <c r="T4197" s="83" t="str">
        <f t="shared" si="456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7"/>
        <v/>
      </c>
      <c r="B4198" s="83" t="str">
        <f t="shared" si="462"/>
        <v/>
      </c>
      <c r="S4198" s="83" t="str">
        <f t="shared" si="458"/>
        <v/>
      </c>
      <c r="T4198" s="83" t="str">
        <f t="shared" si="456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7"/>
        <v/>
      </c>
      <c r="B4199" s="83" t="str">
        <f t="shared" si="462"/>
        <v/>
      </c>
      <c r="S4199" s="83" t="str">
        <f t="shared" si="458"/>
        <v/>
      </c>
      <c r="T4199" s="83" t="str">
        <f t="shared" si="456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7"/>
        <v/>
      </c>
      <c r="B4200" s="83" t="str">
        <f t="shared" si="462"/>
        <v/>
      </c>
      <c r="S4200" s="83" t="str">
        <f t="shared" si="458"/>
        <v/>
      </c>
      <c r="T4200" s="83" t="str">
        <f t="shared" si="456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7"/>
        <v/>
      </c>
      <c r="B4201" s="83" t="str">
        <f t="shared" si="462"/>
        <v/>
      </c>
      <c r="S4201" s="83" t="str">
        <f t="shared" si="458"/>
        <v/>
      </c>
      <c r="T4201" s="83" t="str">
        <f t="shared" si="456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7"/>
        <v/>
      </c>
      <c r="B4202" s="83" t="str">
        <f t="shared" si="462"/>
        <v/>
      </c>
      <c r="S4202" s="83" t="str">
        <f t="shared" si="458"/>
        <v/>
      </c>
      <c r="T4202" s="83" t="str">
        <f t="shared" si="456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7"/>
        <v/>
      </c>
      <c r="B4203" s="83" t="str">
        <f t="shared" si="462"/>
        <v/>
      </c>
      <c r="S4203" s="83" t="str">
        <f t="shared" si="458"/>
        <v/>
      </c>
      <c r="T4203" s="83" t="str">
        <f t="shared" si="456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7"/>
        <v/>
      </c>
      <c r="B4204" s="83" t="str">
        <f t="shared" si="462"/>
        <v/>
      </c>
      <c r="S4204" s="83" t="str">
        <f t="shared" si="458"/>
        <v/>
      </c>
      <c r="T4204" s="83" t="str">
        <f t="shared" si="456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7"/>
        <v/>
      </c>
      <c r="B4205" s="83" t="str">
        <f t="shared" si="462"/>
        <v/>
      </c>
      <c r="S4205" s="83" t="str">
        <f t="shared" si="458"/>
        <v/>
      </c>
      <c r="T4205" s="83" t="str">
        <f t="shared" si="456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7"/>
        <v/>
      </c>
      <c r="B4206" s="83" t="str">
        <f t="shared" si="462"/>
        <v/>
      </c>
      <c r="S4206" s="83" t="str">
        <f t="shared" si="458"/>
        <v/>
      </c>
      <c r="T4206" s="83" t="str">
        <f t="shared" si="456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7"/>
        <v/>
      </c>
      <c r="B4207" s="83" t="str">
        <f t="shared" si="462"/>
        <v/>
      </c>
      <c r="S4207" s="83" t="str">
        <f t="shared" si="458"/>
        <v/>
      </c>
      <c r="T4207" s="83" t="str">
        <f t="shared" si="456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7"/>
        <v/>
      </c>
      <c r="B4208" s="83" t="str">
        <f t="shared" si="462"/>
        <v/>
      </c>
      <c r="S4208" s="83" t="str">
        <f t="shared" si="458"/>
        <v/>
      </c>
      <c r="T4208" s="83" t="str">
        <f t="shared" si="456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7"/>
        <v/>
      </c>
      <c r="B4209" s="83" t="str">
        <f t="shared" si="462"/>
        <v/>
      </c>
      <c r="S4209" s="83" t="str">
        <f t="shared" si="458"/>
        <v/>
      </c>
      <c r="T4209" s="83" t="str">
        <f t="shared" si="456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7"/>
        <v/>
      </c>
      <c r="B4210" s="83" t="str">
        <f t="shared" si="462"/>
        <v/>
      </c>
      <c r="S4210" s="83" t="str">
        <f t="shared" si="458"/>
        <v/>
      </c>
      <c r="T4210" s="83" t="str">
        <f t="shared" si="456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7"/>
        <v/>
      </c>
      <c r="B4211" s="83" t="str">
        <f t="shared" si="462"/>
        <v/>
      </c>
      <c r="S4211" s="83" t="str">
        <f t="shared" si="458"/>
        <v/>
      </c>
      <c r="T4211" s="83" t="str">
        <f t="shared" si="456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7"/>
        <v/>
      </c>
      <c r="B4212" s="83" t="str">
        <f t="shared" si="462"/>
        <v/>
      </c>
      <c r="S4212" s="83" t="str">
        <f t="shared" si="458"/>
        <v/>
      </c>
      <c r="T4212" s="83" t="str">
        <f t="shared" si="456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7"/>
        <v/>
      </c>
      <c r="B4213" s="83" t="str">
        <f t="shared" si="462"/>
        <v/>
      </c>
      <c r="S4213" s="83" t="str">
        <f t="shared" si="458"/>
        <v/>
      </c>
      <c r="T4213" s="83" t="str">
        <f t="shared" si="456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7"/>
        <v/>
      </c>
      <c r="B4214" s="83" t="str">
        <f t="shared" si="462"/>
        <v/>
      </c>
      <c r="S4214" s="83" t="str">
        <f t="shared" si="458"/>
        <v/>
      </c>
      <c r="T4214" s="83" t="str">
        <f t="shared" si="456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7"/>
        <v/>
      </c>
      <c r="B4215" s="83" t="str">
        <f t="shared" si="462"/>
        <v/>
      </c>
      <c r="S4215" s="83" t="str">
        <f t="shared" si="458"/>
        <v/>
      </c>
      <c r="T4215" s="83" t="str">
        <f t="shared" si="456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7"/>
        <v/>
      </c>
      <c r="B4216" s="83" t="str">
        <f t="shared" si="462"/>
        <v/>
      </c>
      <c r="S4216" s="83" t="str">
        <f t="shared" si="458"/>
        <v/>
      </c>
      <c r="T4216" s="83" t="str">
        <f t="shared" si="456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7"/>
        <v/>
      </c>
      <c r="B4217" s="83" t="str">
        <f t="shared" si="462"/>
        <v/>
      </c>
      <c r="S4217" s="83" t="str">
        <f t="shared" si="458"/>
        <v/>
      </c>
      <c r="T4217" s="83" t="str">
        <f t="shared" si="456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7"/>
        <v/>
      </c>
      <c r="B4218" s="83" t="str">
        <f t="shared" si="462"/>
        <v/>
      </c>
      <c r="S4218" s="83" t="str">
        <f t="shared" si="458"/>
        <v/>
      </c>
      <c r="T4218" s="83" t="str">
        <f t="shared" si="456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7"/>
        <v/>
      </c>
      <c r="B4219" s="83" t="str">
        <f t="shared" si="462"/>
        <v/>
      </c>
      <c r="S4219" s="83" t="str">
        <f t="shared" si="458"/>
        <v/>
      </c>
      <c r="T4219" s="83" t="str">
        <f t="shared" si="456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7"/>
        <v/>
      </c>
      <c r="B4220" s="83" t="str">
        <f t="shared" si="462"/>
        <v/>
      </c>
      <c r="S4220" s="83" t="str">
        <f t="shared" si="458"/>
        <v/>
      </c>
      <c r="T4220" s="83" t="str">
        <f t="shared" si="456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7"/>
        <v/>
      </c>
      <c r="B4221" s="83" t="str">
        <f t="shared" si="462"/>
        <v/>
      </c>
      <c r="S4221" s="83" t="str">
        <f t="shared" si="458"/>
        <v/>
      </c>
      <c r="T4221" s="83" t="str">
        <f t="shared" si="456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7"/>
        <v/>
      </c>
      <c r="B4222" s="83" t="str">
        <f t="shared" si="462"/>
        <v/>
      </c>
      <c r="S4222" s="83" t="str">
        <f t="shared" si="458"/>
        <v/>
      </c>
      <c r="T4222" s="83" t="str">
        <f t="shared" si="456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7"/>
        <v/>
      </c>
      <c r="B4223" s="83" t="str">
        <f t="shared" si="462"/>
        <v/>
      </c>
      <c r="S4223" s="83" t="str">
        <f t="shared" si="458"/>
        <v/>
      </c>
      <c r="T4223" s="83" t="str">
        <f t="shared" si="456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7"/>
        <v/>
      </c>
      <c r="B4224" s="83" t="str">
        <f t="shared" si="462"/>
        <v/>
      </c>
      <c r="S4224" s="83" t="str">
        <f t="shared" si="458"/>
        <v/>
      </c>
      <c r="T4224" s="83" t="str">
        <f t="shared" si="456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7"/>
        <v/>
      </c>
      <c r="B4225" s="83" t="str">
        <f t="shared" si="462"/>
        <v/>
      </c>
      <c r="S4225" s="83" t="str">
        <f t="shared" si="458"/>
        <v/>
      </c>
      <c r="T4225" s="83" t="str">
        <f t="shared" si="456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7"/>
        <v/>
      </c>
      <c r="B4226" s="83" t="str">
        <f t="shared" si="462"/>
        <v/>
      </c>
      <c r="S4226" s="83" t="str">
        <f t="shared" si="458"/>
        <v/>
      </c>
      <c r="T4226" s="83" t="str">
        <f t="shared" ref="T4226:T4289" si="463">IF(A4226&lt;&gt;"",IF(FIND(" ",G4226)&gt;=1,MID(G4226,FIND(" ",G4226)+1,LEN(G4226)),""),"")</f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4">IF(G4227&amp;Q4227&lt;&gt;"",S4227&amp;Q4227,"")</f>
        <v/>
      </c>
      <c r="B4227" s="83" t="str">
        <f t="shared" si="462"/>
        <v/>
      </c>
      <c r="S4227" s="83" t="str">
        <f t="shared" ref="S4227:S4290" si="465">IF(G4227&lt;&gt;"",IF(FIND(" ",G4227)&gt;=1,MID(G4227,1,FIND(" ",G4227)-1),G4227),"")</f>
        <v/>
      </c>
      <c r="T4227" s="83" t="str">
        <f t="shared" si="463"/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4"/>
        <v/>
      </c>
      <c r="B4228" s="83" t="str">
        <f t="shared" si="462"/>
        <v/>
      </c>
      <c r="S4228" s="83" t="str">
        <f t="shared" si="465"/>
        <v/>
      </c>
      <c r="T4228" s="83" t="str">
        <f t="shared" si="463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4"/>
        <v/>
      </c>
      <c r="B4229" s="83" t="str">
        <f t="shared" si="462"/>
        <v/>
      </c>
      <c r="S4229" s="83" t="str">
        <f t="shared" si="465"/>
        <v/>
      </c>
      <c r="T4229" s="83" t="str">
        <f t="shared" si="463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4"/>
        <v/>
      </c>
      <c r="B4230" s="83" t="str">
        <f t="shared" si="462"/>
        <v/>
      </c>
      <c r="S4230" s="83" t="str">
        <f t="shared" si="465"/>
        <v/>
      </c>
      <c r="T4230" s="83" t="str">
        <f t="shared" si="463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4"/>
        <v/>
      </c>
      <c r="B4231" s="83" t="str">
        <f t="shared" si="462"/>
        <v/>
      </c>
      <c r="S4231" s="83" t="str">
        <f t="shared" si="465"/>
        <v/>
      </c>
      <c r="T4231" s="83" t="str">
        <f t="shared" si="463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4"/>
        <v/>
      </c>
      <c r="B4232" s="83" t="str">
        <f t="shared" si="462"/>
        <v/>
      </c>
      <c r="S4232" s="83" t="str">
        <f t="shared" si="465"/>
        <v/>
      </c>
      <c r="T4232" s="83" t="str">
        <f t="shared" si="463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4"/>
        <v/>
      </c>
      <c r="B4233" s="83" t="str">
        <f t="shared" si="462"/>
        <v/>
      </c>
      <c r="S4233" s="83" t="str">
        <f t="shared" si="465"/>
        <v/>
      </c>
      <c r="T4233" s="83" t="str">
        <f t="shared" si="463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4"/>
        <v/>
      </c>
      <c r="B4234" s="83" t="str">
        <f t="shared" si="462"/>
        <v/>
      </c>
      <c r="S4234" s="83" t="str">
        <f t="shared" si="465"/>
        <v/>
      </c>
      <c r="T4234" s="83" t="str">
        <f t="shared" si="463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4"/>
        <v/>
      </c>
      <c r="B4235" s="83" t="str">
        <f t="shared" si="462"/>
        <v/>
      </c>
      <c r="S4235" s="83" t="str">
        <f t="shared" si="465"/>
        <v/>
      </c>
      <c r="T4235" s="83" t="str">
        <f t="shared" si="463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4"/>
        <v/>
      </c>
      <c r="B4236" s="83" t="str">
        <f t="shared" si="462"/>
        <v/>
      </c>
      <c r="S4236" s="83" t="str">
        <f t="shared" si="465"/>
        <v/>
      </c>
      <c r="T4236" s="83" t="str">
        <f t="shared" si="463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4"/>
        <v/>
      </c>
      <c r="B4237" s="83" t="str">
        <f t="shared" si="462"/>
        <v/>
      </c>
      <c r="S4237" s="83" t="str">
        <f t="shared" si="465"/>
        <v/>
      </c>
      <c r="T4237" s="83" t="str">
        <f t="shared" si="463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4"/>
        <v/>
      </c>
      <c r="B4238" s="83" t="str">
        <f t="shared" si="462"/>
        <v/>
      </c>
      <c r="S4238" s="83" t="str">
        <f t="shared" si="465"/>
        <v/>
      </c>
      <c r="T4238" s="83" t="str">
        <f t="shared" si="463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4"/>
        <v/>
      </c>
      <c r="B4239" s="83" t="str">
        <f t="shared" si="462"/>
        <v/>
      </c>
      <c r="S4239" s="83" t="str">
        <f t="shared" si="465"/>
        <v/>
      </c>
      <c r="T4239" s="83" t="str">
        <f t="shared" si="463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4"/>
        <v/>
      </c>
      <c r="B4240" s="83" t="str">
        <f t="shared" si="462"/>
        <v/>
      </c>
      <c r="S4240" s="83" t="str">
        <f t="shared" si="465"/>
        <v/>
      </c>
      <c r="T4240" s="83" t="str">
        <f t="shared" si="463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4"/>
        <v/>
      </c>
      <c r="B4241" s="83" t="str">
        <f t="shared" si="462"/>
        <v/>
      </c>
      <c r="S4241" s="83" t="str">
        <f t="shared" si="465"/>
        <v/>
      </c>
      <c r="T4241" s="83" t="str">
        <f t="shared" si="463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4"/>
        <v/>
      </c>
      <c r="B4242" s="83" t="str">
        <f t="shared" si="462"/>
        <v/>
      </c>
      <c r="S4242" s="83" t="str">
        <f t="shared" si="465"/>
        <v/>
      </c>
      <c r="T4242" s="83" t="str">
        <f t="shared" si="463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4"/>
        <v/>
      </c>
      <c r="B4243" s="83" t="str">
        <f t="shared" si="462"/>
        <v/>
      </c>
      <c r="S4243" s="83" t="str">
        <f t="shared" si="465"/>
        <v/>
      </c>
      <c r="T4243" s="83" t="str">
        <f t="shared" si="463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4"/>
        <v/>
      </c>
      <c r="B4244" s="83" t="str">
        <f t="shared" si="462"/>
        <v/>
      </c>
      <c r="S4244" s="83" t="str">
        <f t="shared" si="465"/>
        <v/>
      </c>
      <c r="T4244" s="83" t="str">
        <f t="shared" si="463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4"/>
        <v/>
      </c>
      <c r="B4245" s="83" t="str">
        <f t="shared" si="462"/>
        <v/>
      </c>
      <c r="S4245" s="83" t="str">
        <f t="shared" si="465"/>
        <v/>
      </c>
      <c r="T4245" s="83" t="str">
        <f t="shared" si="463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4"/>
        <v/>
      </c>
      <c r="B4246" s="83" t="str">
        <f t="shared" si="462"/>
        <v/>
      </c>
      <c r="S4246" s="83" t="str">
        <f t="shared" si="465"/>
        <v/>
      </c>
      <c r="T4246" s="83" t="str">
        <f t="shared" si="463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4"/>
        <v/>
      </c>
      <c r="B4247" s="83" t="str">
        <f t="shared" si="462"/>
        <v/>
      </c>
      <c r="S4247" s="83" t="str">
        <f t="shared" si="465"/>
        <v/>
      </c>
      <c r="T4247" s="83" t="str">
        <f t="shared" si="463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4"/>
        <v/>
      </c>
      <c r="B4248" s="83" t="str">
        <f t="shared" si="462"/>
        <v/>
      </c>
      <c r="S4248" s="83" t="str">
        <f t="shared" si="465"/>
        <v/>
      </c>
      <c r="T4248" s="83" t="str">
        <f t="shared" si="463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4"/>
        <v/>
      </c>
      <c r="B4249" s="83" t="str">
        <f t="shared" si="462"/>
        <v/>
      </c>
      <c r="S4249" s="83" t="str">
        <f t="shared" si="465"/>
        <v/>
      </c>
      <c r="T4249" s="83" t="str">
        <f t="shared" si="463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4"/>
        <v/>
      </c>
      <c r="B4250" s="83" t="str">
        <f t="shared" si="462"/>
        <v/>
      </c>
      <c r="S4250" s="83" t="str">
        <f t="shared" si="465"/>
        <v/>
      </c>
      <c r="T4250" s="83" t="str">
        <f t="shared" si="463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4"/>
        <v/>
      </c>
      <c r="B4251" s="83" t="str">
        <f t="shared" si="462"/>
        <v/>
      </c>
      <c r="S4251" s="83" t="str">
        <f t="shared" si="465"/>
        <v/>
      </c>
      <c r="T4251" s="83" t="str">
        <f t="shared" si="463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4"/>
        <v/>
      </c>
      <c r="B4252" s="83" t="str">
        <f t="shared" si="462"/>
        <v/>
      </c>
      <c r="S4252" s="83" t="str">
        <f t="shared" si="465"/>
        <v/>
      </c>
      <c r="T4252" s="83" t="str">
        <f t="shared" si="463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4"/>
        <v/>
      </c>
      <c r="B4253" s="83" t="str">
        <f t="shared" si="462"/>
        <v/>
      </c>
      <c r="S4253" s="83" t="str">
        <f t="shared" si="465"/>
        <v/>
      </c>
      <c r="T4253" s="83" t="str">
        <f t="shared" si="463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4"/>
        <v/>
      </c>
      <c r="B4254" s="83" t="str">
        <f t="shared" si="462"/>
        <v/>
      </c>
      <c r="S4254" s="83" t="str">
        <f t="shared" si="465"/>
        <v/>
      </c>
      <c r="T4254" s="83" t="str">
        <f t="shared" si="463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4"/>
        <v/>
      </c>
      <c r="B4255" s="83" t="str">
        <f t="shared" si="462"/>
        <v/>
      </c>
      <c r="S4255" s="83" t="str">
        <f t="shared" si="465"/>
        <v/>
      </c>
      <c r="T4255" s="83" t="str">
        <f t="shared" si="463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4"/>
        <v/>
      </c>
      <c r="B4256" s="83" t="str">
        <f t="shared" si="462"/>
        <v/>
      </c>
      <c r="S4256" s="83" t="str">
        <f t="shared" si="465"/>
        <v/>
      </c>
      <c r="T4256" s="83" t="str">
        <f t="shared" si="463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4"/>
        <v/>
      </c>
      <c r="B4257" s="83" t="str">
        <f t="shared" ref="B4257:B4320" si="469">IF(C4257&lt;&gt;"",LEFT(C4257,9),"")</f>
        <v/>
      </c>
      <c r="S4257" s="83" t="str">
        <f t="shared" si="465"/>
        <v/>
      </c>
      <c r="T4257" s="83" t="str">
        <f t="shared" si="463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4"/>
        <v/>
      </c>
      <c r="B4258" s="83" t="str">
        <f t="shared" si="469"/>
        <v/>
      </c>
      <c r="S4258" s="83" t="str">
        <f t="shared" si="465"/>
        <v/>
      </c>
      <c r="T4258" s="83" t="str">
        <f t="shared" si="463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4"/>
        <v/>
      </c>
      <c r="B4259" s="83" t="str">
        <f t="shared" si="469"/>
        <v/>
      </c>
      <c r="S4259" s="83" t="str">
        <f t="shared" si="465"/>
        <v/>
      </c>
      <c r="T4259" s="83" t="str">
        <f t="shared" si="463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4"/>
        <v/>
      </c>
      <c r="B4260" s="83" t="str">
        <f t="shared" si="469"/>
        <v/>
      </c>
      <c r="S4260" s="83" t="str">
        <f t="shared" si="465"/>
        <v/>
      </c>
      <c r="T4260" s="83" t="str">
        <f t="shared" si="463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4"/>
        <v/>
      </c>
      <c r="B4261" s="83" t="str">
        <f t="shared" si="469"/>
        <v/>
      </c>
      <c r="S4261" s="83" t="str">
        <f t="shared" si="465"/>
        <v/>
      </c>
      <c r="T4261" s="83" t="str">
        <f t="shared" si="463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4"/>
        <v/>
      </c>
      <c r="B4262" s="83" t="str">
        <f t="shared" si="469"/>
        <v/>
      </c>
      <c r="S4262" s="83" t="str">
        <f t="shared" si="465"/>
        <v/>
      </c>
      <c r="T4262" s="83" t="str">
        <f t="shared" si="463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4"/>
        <v/>
      </c>
      <c r="B4263" s="83" t="str">
        <f t="shared" si="469"/>
        <v/>
      </c>
      <c r="S4263" s="83" t="str">
        <f t="shared" si="465"/>
        <v/>
      </c>
      <c r="T4263" s="83" t="str">
        <f t="shared" si="463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4"/>
        <v/>
      </c>
      <c r="B4264" s="83" t="str">
        <f t="shared" si="469"/>
        <v/>
      </c>
      <c r="S4264" s="83" t="str">
        <f t="shared" si="465"/>
        <v/>
      </c>
      <c r="T4264" s="83" t="str">
        <f t="shared" si="463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4"/>
        <v/>
      </c>
      <c r="B4265" s="83" t="str">
        <f t="shared" si="469"/>
        <v/>
      </c>
      <c r="S4265" s="83" t="str">
        <f t="shared" si="465"/>
        <v/>
      </c>
      <c r="T4265" s="83" t="str">
        <f t="shared" si="463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4"/>
        <v/>
      </c>
      <c r="B4266" s="83" t="str">
        <f t="shared" si="469"/>
        <v/>
      </c>
      <c r="S4266" s="83" t="str">
        <f t="shared" si="465"/>
        <v/>
      </c>
      <c r="T4266" s="83" t="str">
        <f t="shared" si="463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4"/>
        <v/>
      </c>
      <c r="B4267" s="83" t="str">
        <f t="shared" si="469"/>
        <v/>
      </c>
      <c r="S4267" s="83" t="str">
        <f t="shared" si="465"/>
        <v/>
      </c>
      <c r="T4267" s="83" t="str">
        <f t="shared" si="463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4"/>
        <v/>
      </c>
      <c r="B4268" s="83" t="str">
        <f t="shared" si="469"/>
        <v/>
      </c>
      <c r="S4268" s="83" t="str">
        <f t="shared" si="465"/>
        <v/>
      </c>
      <c r="T4268" s="83" t="str">
        <f t="shared" si="463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4"/>
        <v/>
      </c>
      <c r="B4269" s="83" t="str">
        <f t="shared" si="469"/>
        <v/>
      </c>
      <c r="S4269" s="83" t="str">
        <f t="shared" si="465"/>
        <v/>
      </c>
      <c r="T4269" s="83" t="str">
        <f t="shared" si="463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4"/>
        <v/>
      </c>
      <c r="B4270" s="83" t="str">
        <f t="shared" si="469"/>
        <v/>
      </c>
      <c r="S4270" s="83" t="str">
        <f t="shared" si="465"/>
        <v/>
      </c>
      <c r="T4270" s="83" t="str">
        <f t="shared" si="463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4"/>
        <v/>
      </c>
      <c r="B4271" s="83" t="str">
        <f t="shared" si="469"/>
        <v/>
      </c>
      <c r="S4271" s="83" t="str">
        <f t="shared" si="465"/>
        <v/>
      </c>
      <c r="T4271" s="83" t="str">
        <f t="shared" si="463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4"/>
        <v/>
      </c>
      <c r="B4272" s="83" t="str">
        <f t="shared" si="469"/>
        <v/>
      </c>
      <c r="S4272" s="83" t="str">
        <f t="shared" si="465"/>
        <v/>
      </c>
      <c r="T4272" s="83" t="str">
        <f t="shared" si="463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4"/>
        <v/>
      </c>
      <c r="B4273" s="83" t="str">
        <f t="shared" si="469"/>
        <v/>
      </c>
      <c r="S4273" s="83" t="str">
        <f t="shared" si="465"/>
        <v/>
      </c>
      <c r="T4273" s="83" t="str">
        <f t="shared" si="463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4"/>
        <v/>
      </c>
      <c r="B4274" s="83" t="str">
        <f t="shared" si="469"/>
        <v/>
      </c>
      <c r="S4274" s="83" t="str">
        <f t="shared" si="465"/>
        <v/>
      </c>
      <c r="T4274" s="83" t="str">
        <f t="shared" si="463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4"/>
        <v/>
      </c>
      <c r="B4275" s="83" t="str">
        <f t="shared" si="469"/>
        <v/>
      </c>
      <c r="S4275" s="83" t="str">
        <f t="shared" si="465"/>
        <v/>
      </c>
      <c r="T4275" s="83" t="str">
        <f t="shared" si="463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4"/>
        <v/>
      </c>
      <c r="B4276" s="83" t="str">
        <f t="shared" si="469"/>
        <v/>
      </c>
      <c r="S4276" s="83" t="str">
        <f t="shared" si="465"/>
        <v/>
      </c>
      <c r="T4276" s="83" t="str">
        <f t="shared" si="463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4"/>
        <v/>
      </c>
      <c r="B4277" s="83" t="str">
        <f t="shared" si="469"/>
        <v/>
      </c>
      <c r="S4277" s="83" t="str">
        <f t="shared" si="465"/>
        <v/>
      </c>
      <c r="T4277" s="83" t="str">
        <f t="shared" si="463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4"/>
        <v/>
      </c>
      <c r="B4278" s="83" t="str">
        <f t="shared" si="469"/>
        <v/>
      </c>
      <c r="S4278" s="83" t="str">
        <f t="shared" si="465"/>
        <v/>
      </c>
      <c r="T4278" s="83" t="str">
        <f t="shared" si="463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4"/>
        <v/>
      </c>
      <c r="B4279" s="83" t="str">
        <f t="shared" si="469"/>
        <v/>
      </c>
      <c r="S4279" s="83" t="str">
        <f t="shared" si="465"/>
        <v/>
      </c>
      <c r="T4279" s="83" t="str">
        <f t="shared" si="463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4"/>
        <v/>
      </c>
      <c r="B4280" s="83" t="str">
        <f t="shared" si="469"/>
        <v/>
      </c>
      <c r="S4280" s="83" t="str">
        <f t="shared" si="465"/>
        <v/>
      </c>
      <c r="T4280" s="83" t="str">
        <f t="shared" si="463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4"/>
        <v/>
      </c>
      <c r="B4281" s="83" t="str">
        <f t="shared" si="469"/>
        <v/>
      </c>
      <c r="S4281" s="83" t="str">
        <f t="shared" si="465"/>
        <v/>
      </c>
      <c r="T4281" s="83" t="str">
        <f t="shared" si="463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4"/>
        <v/>
      </c>
      <c r="B4282" s="83" t="str">
        <f t="shared" si="469"/>
        <v/>
      </c>
      <c r="S4282" s="83" t="str">
        <f t="shared" si="465"/>
        <v/>
      </c>
      <c r="T4282" s="83" t="str">
        <f t="shared" si="463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4"/>
        <v/>
      </c>
      <c r="B4283" s="83" t="str">
        <f t="shared" si="469"/>
        <v/>
      </c>
      <c r="S4283" s="83" t="str">
        <f t="shared" si="465"/>
        <v/>
      </c>
      <c r="T4283" s="83" t="str">
        <f t="shared" si="463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4"/>
        <v/>
      </c>
      <c r="B4284" s="83" t="str">
        <f t="shared" si="469"/>
        <v/>
      </c>
      <c r="S4284" s="83" t="str">
        <f t="shared" si="465"/>
        <v/>
      </c>
      <c r="T4284" s="83" t="str">
        <f t="shared" si="463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4"/>
        <v/>
      </c>
      <c r="B4285" s="83" t="str">
        <f t="shared" si="469"/>
        <v/>
      </c>
      <c r="S4285" s="83" t="str">
        <f t="shared" si="465"/>
        <v/>
      </c>
      <c r="T4285" s="83" t="str">
        <f t="shared" si="463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4"/>
        <v/>
      </c>
      <c r="B4286" s="83" t="str">
        <f t="shared" si="469"/>
        <v/>
      </c>
      <c r="S4286" s="83" t="str">
        <f t="shared" si="465"/>
        <v/>
      </c>
      <c r="T4286" s="83" t="str">
        <f t="shared" si="463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4"/>
        <v/>
      </c>
      <c r="B4287" s="83" t="str">
        <f t="shared" si="469"/>
        <v/>
      </c>
      <c r="S4287" s="83" t="str">
        <f t="shared" si="465"/>
        <v/>
      </c>
      <c r="T4287" s="83" t="str">
        <f t="shared" si="463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4"/>
        <v/>
      </c>
      <c r="B4288" s="83" t="str">
        <f t="shared" si="469"/>
        <v/>
      </c>
      <c r="S4288" s="83" t="str">
        <f t="shared" si="465"/>
        <v/>
      </c>
      <c r="T4288" s="83" t="str">
        <f t="shared" si="463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4"/>
        <v/>
      </c>
      <c r="B4289" s="83" t="str">
        <f t="shared" si="469"/>
        <v/>
      </c>
      <c r="S4289" s="83" t="str">
        <f t="shared" si="465"/>
        <v/>
      </c>
      <c r="T4289" s="83" t="str">
        <f t="shared" si="463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4"/>
        <v/>
      </c>
      <c r="B4290" s="83" t="str">
        <f t="shared" si="469"/>
        <v/>
      </c>
      <c r="S4290" s="83" t="str">
        <f t="shared" si="465"/>
        <v/>
      </c>
      <c r="T4290" s="83" t="str">
        <f t="shared" ref="T4290:T4353" si="470">IF(A4290&lt;&gt;"",IF(FIND(" ",G4290)&gt;=1,MID(G4290,FIND(" ",G4290)+1,LEN(G4290)),""),"")</f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1">IF(G4291&amp;Q4291&lt;&gt;"",S4291&amp;Q4291,"")</f>
        <v/>
      </c>
      <c r="B4291" s="83" t="str">
        <f t="shared" si="469"/>
        <v/>
      </c>
      <c r="S4291" s="83" t="str">
        <f t="shared" ref="S4291:S4354" si="472">IF(G4291&lt;&gt;"",IF(FIND(" ",G4291)&gt;=1,MID(G4291,1,FIND(" ",G4291)-1),G4291),"")</f>
        <v/>
      </c>
      <c r="T4291" s="83" t="str">
        <f t="shared" si="470"/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1"/>
        <v/>
      </c>
      <c r="B4292" s="83" t="str">
        <f t="shared" si="469"/>
        <v/>
      </c>
      <c r="S4292" s="83" t="str">
        <f t="shared" si="472"/>
        <v/>
      </c>
      <c r="T4292" s="83" t="str">
        <f t="shared" si="470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1"/>
        <v/>
      </c>
      <c r="B4293" s="83" t="str">
        <f t="shared" si="469"/>
        <v/>
      </c>
      <c r="S4293" s="83" t="str">
        <f t="shared" si="472"/>
        <v/>
      </c>
      <c r="T4293" s="83" t="str">
        <f t="shared" si="470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1"/>
        <v/>
      </c>
      <c r="B4294" s="83" t="str">
        <f t="shared" si="469"/>
        <v/>
      </c>
      <c r="S4294" s="83" t="str">
        <f t="shared" si="472"/>
        <v/>
      </c>
      <c r="T4294" s="83" t="str">
        <f t="shared" si="470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1"/>
        <v/>
      </c>
      <c r="B4295" s="83" t="str">
        <f t="shared" si="469"/>
        <v/>
      </c>
      <c r="S4295" s="83" t="str">
        <f t="shared" si="472"/>
        <v/>
      </c>
      <c r="T4295" s="83" t="str">
        <f t="shared" si="470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1"/>
        <v/>
      </c>
      <c r="B4296" s="83" t="str">
        <f t="shared" si="469"/>
        <v/>
      </c>
      <c r="S4296" s="83" t="str">
        <f t="shared" si="472"/>
        <v/>
      </c>
      <c r="T4296" s="83" t="str">
        <f t="shared" si="470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1"/>
        <v/>
      </c>
      <c r="B4297" s="83" t="str">
        <f t="shared" si="469"/>
        <v/>
      </c>
      <c r="S4297" s="83" t="str">
        <f t="shared" si="472"/>
        <v/>
      </c>
      <c r="T4297" s="83" t="str">
        <f t="shared" si="470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1"/>
        <v/>
      </c>
      <c r="B4298" s="83" t="str">
        <f t="shared" si="469"/>
        <v/>
      </c>
      <c r="S4298" s="83" t="str">
        <f t="shared" si="472"/>
        <v/>
      </c>
      <c r="T4298" s="83" t="str">
        <f t="shared" si="470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1"/>
        <v/>
      </c>
      <c r="B4299" s="83" t="str">
        <f t="shared" si="469"/>
        <v/>
      </c>
      <c r="S4299" s="83" t="str">
        <f t="shared" si="472"/>
        <v/>
      </c>
      <c r="T4299" s="83" t="str">
        <f t="shared" si="470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1"/>
        <v/>
      </c>
      <c r="B4300" s="83" t="str">
        <f t="shared" si="469"/>
        <v/>
      </c>
      <c r="S4300" s="83" t="str">
        <f t="shared" si="472"/>
        <v/>
      </c>
      <c r="T4300" s="83" t="str">
        <f t="shared" si="470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1"/>
        <v/>
      </c>
      <c r="B4301" s="83" t="str">
        <f t="shared" si="469"/>
        <v/>
      </c>
      <c r="S4301" s="83" t="str">
        <f t="shared" si="472"/>
        <v/>
      </c>
      <c r="T4301" s="83" t="str">
        <f t="shared" si="470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1"/>
        <v/>
      </c>
      <c r="B4302" s="83" t="str">
        <f t="shared" si="469"/>
        <v/>
      </c>
      <c r="S4302" s="83" t="str">
        <f t="shared" si="472"/>
        <v/>
      </c>
      <c r="T4302" s="83" t="str">
        <f t="shared" si="470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1"/>
        <v/>
      </c>
      <c r="B4303" s="83" t="str">
        <f t="shared" si="469"/>
        <v/>
      </c>
      <c r="S4303" s="83" t="str">
        <f t="shared" si="472"/>
        <v/>
      </c>
      <c r="T4303" s="83" t="str">
        <f t="shared" si="470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1"/>
        <v/>
      </c>
      <c r="B4304" s="83" t="str">
        <f t="shared" si="469"/>
        <v/>
      </c>
      <c r="S4304" s="83" t="str">
        <f t="shared" si="472"/>
        <v/>
      </c>
      <c r="T4304" s="83" t="str">
        <f t="shared" si="470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1"/>
        <v/>
      </c>
      <c r="B4305" s="83" t="str">
        <f t="shared" si="469"/>
        <v/>
      </c>
      <c r="S4305" s="83" t="str">
        <f t="shared" si="472"/>
        <v/>
      </c>
      <c r="T4305" s="83" t="str">
        <f t="shared" si="470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1"/>
        <v/>
      </c>
      <c r="B4306" s="83" t="str">
        <f t="shared" si="469"/>
        <v/>
      </c>
      <c r="S4306" s="83" t="str">
        <f t="shared" si="472"/>
        <v/>
      </c>
      <c r="T4306" s="83" t="str">
        <f t="shared" si="470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1"/>
        <v/>
      </c>
      <c r="B4307" s="83" t="str">
        <f t="shared" si="469"/>
        <v/>
      </c>
      <c r="S4307" s="83" t="str">
        <f t="shared" si="472"/>
        <v/>
      </c>
      <c r="T4307" s="83" t="str">
        <f t="shared" si="470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1"/>
        <v/>
      </c>
      <c r="B4308" s="83" t="str">
        <f t="shared" si="469"/>
        <v/>
      </c>
      <c r="S4308" s="83" t="str">
        <f t="shared" si="472"/>
        <v/>
      </c>
      <c r="T4308" s="83" t="str">
        <f t="shared" si="470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1"/>
        <v/>
      </c>
      <c r="B4309" s="83" t="str">
        <f t="shared" si="469"/>
        <v/>
      </c>
      <c r="S4309" s="83" t="str">
        <f t="shared" si="472"/>
        <v/>
      </c>
      <c r="T4309" s="83" t="str">
        <f t="shared" si="470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1"/>
        <v/>
      </c>
      <c r="B4310" s="83" t="str">
        <f t="shared" si="469"/>
        <v/>
      </c>
      <c r="S4310" s="83" t="str">
        <f t="shared" si="472"/>
        <v/>
      </c>
      <c r="T4310" s="83" t="str">
        <f t="shared" si="470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1"/>
        <v/>
      </c>
      <c r="B4311" s="83" t="str">
        <f t="shared" si="469"/>
        <v/>
      </c>
      <c r="S4311" s="83" t="str">
        <f t="shared" si="472"/>
        <v/>
      </c>
      <c r="T4311" s="83" t="str">
        <f t="shared" si="470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1"/>
        <v/>
      </c>
      <c r="B4312" s="83" t="str">
        <f t="shared" si="469"/>
        <v/>
      </c>
      <c r="S4312" s="83" t="str">
        <f t="shared" si="472"/>
        <v/>
      </c>
      <c r="T4312" s="83" t="str">
        <f t="shared" si="470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1"/>
        <v/>
      </c>
      <c r="B4313" s="83" t="str">
        <f t="shared" si="469"/>
        <v/>
      </c>
      <c r="S4313" s="83" t="str">
        <f t="shared" si="472"/>
        <v/>
      </c>
      <c r="T4313" s="83" t="str">
        <f t="shared" si="470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1"/>
        <v/>
      </c>
      <c r="B4314" s="83" t="str">
        <f t="shared" si="469"/>
        <v/>
      </c>
      <c r="S4314" s="83" t="str">
        <f t="shared" si="472"/>
        <v/>
      </c>
      <c r="T4314" s="83" t="str">
        <f t="shared" si="470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1"/>
        <v/>
      </c>
      <c r="B4315" s="83" t="str">
        <f t="shared" si="469"/>
        <v/>
      </c>
      <c r="S4315" s="83" t="str">
        <f t="shared" si="472"/>
        <v/>
      </c>
      <c r="T4315" s="83" t="str">
        <f t="shared" si="470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1"/>
        <v/>
      </c>
      <c r="B4316" s="83" t="str">
        <f t="shared" si="469"/>
        <v/>
      </c>
      <c r="S4316" s="83" t="str">
        <f t="shared" si="472"/>
        <v/>
      </c>
      <c r="T4316" s="83" t="str">
        <f t="shared" si="470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1"/>
        <v/>
      </c>
      <c r="B4317" s="83" t="str">
        <f t="shared" si="469"/>
        <v/>
      </c>
      <c r="S4317" s="83" t="str">
        <f t="shared" si="472"/>
        <v/>
      </c>
      <c r="T4317" s="83" t="str">
        <f t="shared" si="470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1"/>
        <v/>
      </c>
      <c r="B4318" s="83" t="str">
        <f t="shared" si="469"/>
        <v/>
      </c>
      <c r="S4318" s="83" t="str">
        <f t="shared" si="472"/>
        <v/>
      </c>
      <c r="T4318" s="83" t="str">
        <f t="shared" si="470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1"/>
        <v/>
      </c>
      <c r="B4319" s="83" t="str">
        <f t="shared" si="469"/>
        <v/>
      </c>
      <c r="S4319" s="83" t="str">
        <f t="shared" si="472"/>
        <v/>
      </c>
      <c r="T4319" s="83" t="str">
        <f t="shared" si="470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1"/>
        <v/>
      </c>
      <c r="B4320" s="83" t="str">
        <f t="shared" si="469"/>
        <v/>
      </c>
      <c r="S4320" s="83" t="str">
        <f t="shared" si="472"/>
        <v/>
      </c>
      <c r="T4320" s="83" t="str">
        <f t="shared" si="470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1"/>
        <v/>
      </c>
      <c r="B4321" s="83" t="str">
        <f t="shared" ref="B4321:B4384" si="476">IF(C4321&lt;&gt;"",LEFT(C4321,9),"")</f>
        <v/>
      </c>
      <c r="S4321" s="83" t="str">
        <f t="shared" si="472"/>
        <v/>
      </c>
      <c r="T4321" s="83" t="str">
        <f t="shared" si="470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1"/>
        <v/>
      </c>
      <c r="B4322" s="83" t="str">
        <f t="shared" si="476"/>
        <v/>
      </c>
      <c r="S4322" s="83" t="str">
        <f t="shared" si="472"/>
        <v/>
      </c>
      <c r="T4322" s="83" t="str">
        <f t="shared" si="470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1"/>
        <v/>
      </c>
      <c r="B4323" s="83" t="str">
        <f t="shared" si="476"/>
        <v/>
      </c>
      <c r="S4323" s="83" t="str">
        <f t="shared" si="472"/>
        <v/>
      </c>
      <c r="T4323" s="83" t="str">
        <f t="shared" si="470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1"/>
        <v/>
      </c>
      <c r="B4324" s="83" t="str">
        <f t="shared" si="476"/>
        <v/>
      </c>
      <c r="S4324" s="83" t="str">
        <f t="shared" si="472"/>
        <v/>
      </c>
      <c r="T4324" s="83" t="str">
        <f t="shared" si="470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1"/>
        <v/>
      </c>
      <c r="B4325" s="83" t="str">
        <f t="shared" si="476"/>
        <v/>
      </c>
      <c r="S4325" s="83" t="str">
        <f t="shared" si="472"/>
        <v/>
      </c>
      <c r="T4325" s="83" t="str">
        <f t="shared" si="470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1"/>
        <v/>
      </c>
      <c r="B4326" s="83" t="str">
        <f t="shared" si="476"/>
        <v/>
      </c>
      <c r="S4326" s="83" t="str">
        <f t="shared" si="472"/>
        <v/>
      </c>
      <c r="T4326" s="83" t="str">
        <f t="shared" si="470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1"/>
        <v/>
      </c>
      <c r="B4327" s="83" t="str">
        <f t="shared" si="476"/>
        <v/>
      </c>
      <c r="S4327" s="83" t="str">
        <f t="shared" si="472"/>
        <v/>
      </c>
      <c r="T4327" s="83" t="str">
        <f t="shared" si="470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1"/>
        <v/>
      </c>
      <c r="B4328" s="83" t="str">
        <f t="shared" si="476"/>
        <v/>
      </c>
      <c r="S4328" s="83" t="str">
        <f t="shared" si="472"/>
        <v/>
      </c>
      <c r="T4328" s="83" t="str">
        <f t="shared" si="470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1"/>
        <v/>
      </c>
      <c r="B4329" s="83" t="str">
        <f t="shared" si="476"/>
        <v/>
      </c>
      <c r="S4329" s="83" t="str">
        <f t="shared" si="472"/>
        <v/>
      </c>
      <c r="T4329" s="83" t="str">
        <f t="shared" si="470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1"/>
        <v/>
      </c>
      <c r="B4330" s="83" t="str">
        <f t="shared" si="476"/>
        <v/>
      </c>
      <c r="S4330" s="83" t="str">
        <f t="shared" si="472"/>
        <v/>
      </c>
      <c r="T4330" s="83" t="str">
        <f t="shared" si="470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1"/>
        <v/>
      </c>
      <c r="B4331" s="83" t="str">
        <f t="shared" si="476"/>
        <v/>
      </c>
      <c r="S4331" s="83" t="str">
        <f t="shared" si="472"/>
        <v/>
      </c>
      <c r="T4331" s="83" t="str">
        <f t="shared" si="470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1"/>
        <v/>
      </c>
      <c r="B4332" s="83" t="str">
        <f t="shared" si="476"/>
        <v/>
      </c>
      <c r="S4332" s="83" t="str">
        <f t="shared" si="472"/>
        <v/>
      </c>
      <c r="T4332" s="83" t="str">
        <f t="shared" si="470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1"/>
        <v/>
      </c>
      <c r="B4333" s="83" t="str">
        <f t="shared" si="476"/>
        <v/>
      </c>
      <c r="S4333" s="83" t="str">
        <f t="shared" si="472"/>
        <v/>
      </c>
      <c r="T4333" s="83" t="str">
        <f t="shared" si="470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1"/>
        <v/>
      </c>
      <c r="B4334" s="83" t="str">
        <f t="shared" si="476"/>
        <v/>
      </c>
      <c r="S4334" s="83" t="str">
        <f t="shared" si="472"/>
        <v/>
      </c>
      <c r="T4334" s="83" t="str">
        <f t="shared" si="470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1"/>
        <v/>
      </c>
      <c r="B4335" s="83" t="str">
        <f t="shared" si="476"/>
        <v/>
      </c>
      <c r="S4335" s="83" t="str">
        <f t="shared" si="472"/>
        <v/>
      </c>
      <c r="T4335" s="83" t="str">
        <f t="shared" si="470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1"/>
        <v/>
      </c>
      <c r="B4336" s="83" t="str">
        <f t="shared" si="476"/>
        <v/>
      </c>
      <c r="S4336" s="83" t="str">
        <f t="shared" si="472"/>
        <v/>
      </c>
      <c r="T4336" s="83" t="str">
        <f t="shared" si="470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1"/>
        <v/>
      </c>
      <c r="B4337" s="83" t="str">
        <f t="shared" si="476"/>
        <v/>
      </c>
      <c r="S4337" s="83" t="str">
        <f t="shared" si="472"/>
        <v/>
      </c>
      <c r="T4337" s="83" t="str">
        <f t="shared" si="470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1"/>
        <v/>
      </c>
      <c r="B4338" s="83" t="str">
        <f t="shared" si="476"/>
        <v/>
      </c>
      <c r="S4338" s="83" t="str">
        <f t="shared" si="472"/>
        <v/>
      </c>
      <c r="T4338" s="83" t="str">
        <f t="shared" si="470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1"/>
        <v/>
      </c>
      <c r="B4339" s="83" t="str">
        <f t="shared" si="476"/>
        <v/>
      </c>
      <c r="S4339" s="83" t="str">
        <f t="shared" si="472"/>
        <v/>
      </c>
      <c r="T4339" s="83" t="str">
        <f t="shared" si="470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1"/>
        <v/>
      </c>
      <c r="B4340" s="83" t="str">
        <f t="shared" si="476"/>
        <v/>
      </c>
      <c r="S4340" s="83" t="str">
        <f t="shared" si="472"/>
        <v/>
      </c>
      <c r="T4340" s="83" t="str">
        <f t="shared" si="470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1"/>
        <v/>
      </c>
      <c r="B4341" s="83" t="str">
        <f t="shared" si="476"/>
        <v/>
      </c>
      <c r="S4341" s="83" t="str">
        <f t="shared" si="472"/>
        <v/>
      </c>
      <c r="T4341" s="83" t="str">
        <f t="shared" si="470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1"/>
        <v/>
      </c>
      <c r="B4342" s="83" t="str">
        <f t="shared" si="476"/>
        <v/>
      </c>
      <c r="S4342" s="83" t="str">
        <f t="shared" si="472"/>
        <v/>
      </c>
      <c r="T4342" s="83" t="str">
        <f t="shared" si="470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1"/>
        <v/>
      </c>
      <c r="B4343" s="83" t="str">
        <f t="shared" si="476"/>
        <v/>
      </c>
      <c r="S4343" s="83" t="str">
        <f t="shared" si="472"/>
        <v/>
      </c>
      <c r="T4343" s="83" t="str">
        <f t="shared" si="470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1"/>
        <v/>
      </c>
      <c r="B4344" s="83" t="str">
        <f t="shared" si="476"/>
        <v/>
      </c>
      <c r="S4344" s="83" t="str">
        <f t="shared" si="472"/>
        <v/>
      </c>
      <c r="T4344" s="83" t="str">
        <f t="shared" si="470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1"/>
        <v/>
      </c>
      <c r="B4345" s="83" t="str">
        <f t="shared" si="476"/>
        <v/>
      </c>
      <c r="S4345" s="83" t="str">
        <f t="shared" si="472"/>
        <v/>
      </c>
      <c r="T4345" s="83" t="str">
        <f t="shared" si="470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1"/>
        <v/>
      </c>
      <c r="B4346" s="83" t="str">
        <f t="shared" si="476"/>
        <v/>
      </c>
      <c r="S4346" s="83" t="str">
        <f t="shared" si="472"/>
        <v/>
      </c>
      <c r="T4346" s="83" t="str">
        <f t="shared" si="470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1"/>
        <v/>
      </c>
      <c r="B4347" s="83" t="str">
        <f t="shared" si="476"/>
        <v/>
      </c>
      <c r="S4347" s="83" t="str">
        <f t="shared" si="472"/>
        <v/>
      </c>
      <c r="T4347" s="83" t="str">
        <f t="shared" si="470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1"/>
        <v/>
      </c>
      <c r="B4348" s="83" t="str">
        <f t="shared" si="476"/>
        <v/>
      </c>
      <c r="S4348" s="83" t="str">
        <f t="shared" si="472"/>
        <v/>
      </c>
      <c r="T4348" s="83" t="str">
        <f t="shared" si="470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1"/>
        <v/>
      </c>
      <c r="B4349" s="83" t="str">
        <f t="shared" si="476"/>
        <v/>
      </c>
      <c r="S4349" s="83" t="str">
        <f t="shared" si="472"/>
        <v/>
      </c>
      <c r="T4349" s="83" t="str">
        <f t="shared" si="470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1"/>
        <v/>
      </c>
      <c r="B4350" s="83" t="str">
        <f t="shared" si="476"/>
        <v/>
      </c>
      <c r="S4350" s="83" t="str">
        <f t="shared" si="472"/>
        <v/>
      </c>
      <c r="T4350" s="83" t="str">
        <f t="shared" si="470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1"/>
        <v/>
      </c>
      <c r="B4351" s="83" t="str">
        <f t="shared" si="476"/>
        <v/>
      </c>
      <c r="S4351" s="83" t="str">
        <f t="shared" si="472"/>
        <v/>
      </c>
      <c r="T4351" s="83" t="str">
        <f t="shared" si="470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1"/>
        <v/>
      </c>
      <c r="B4352" s="83" t="str">
        <f t="shared" si="476"/>
        <v/>
      </c>
      <c r="S4352" s="83" t="str">
        <f t="shared" si="472"/>
        <v/>
      </c>
      <c r="T4352" s="83" t="str">
        <f t="shared" si="470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1"/>
        <v/>
      </c>
      <c r="B4353" s="83" t="str">
        <f t="shared" si="476"/>
        <v/>
      </c>
      <c r="S4353" s="83" t="str">
        <f t="shared" si="472"/>
        <v/>
      </c>
      <c r="T4353" s="83" t="str">
        <f t="shared" si="470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1"/>
        <v/>
      </c>
      <c r="B4354" s="83" t="str">
        <f t="shared" si="476"/>
        <v/>
      </c>
      <c r="S4354" s="83" t="str">
        <f t="shared" si="472"/>
        <v/>
      </c>
      <c r="T4354" s="83" t="str">
        <f t="shared" ref="T4354:T4417" si="477">IF(A4354&lt;&gt;"",IF(FIND(" ",G4354)&gt;=1,MID(G4354,FIND(" ",G4354)+1,LEN(G4354)),""),"")</f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8">IF(G4355&amp;Q4355&lt;&gt;"",S4355&amp;Q4355,"")</f>
        <v/>
      </c>
      <c r="B4355" s="83" t="str">
        <f t="shared" si="476"/>
        <v/>
      </c>
      <c r="S4355" s="83" t="str">
        <f t="shared" ref="S4355:S4418" si="479">IF(G4355&lt;&gt;"",IF(FIND(" ",G4355)&gt;=1,MID(G4355,1,FIND(" ",G4355)-1),G4355),"")</f>
        <v/>
      </c>
      <c r="T4355" s="83" t="str">
        <f t="shared" si="477"/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8"/>
        <v/>
      </c>
      <c r="B4356" s="83" t="str">
        <f t="shared" si="476"/>
        <v/>
      </c>
      <c r="S4356" s="83" t="str">
        <f t="shared" si="479"/>
        <v/>
      </c>
      <c r="T4356" s="83" t="str">
        <f t="shared" si="477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8"/>
        <v/>
      </c>
      <c r="B4357" s="83" t="str">
        <f t="shared" si="476"/>
        <v/>
      </c>
      <c r="S4357" s="83" t="str">
        <f t="shared" si="479"/>
        <v/>
      </c>
      <c r="T4357" s="83" t="str">
        <f t="shared" si="477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8"/>
        <v/>
      </c>
      <c r="B4358" s="83" t="str">
        <f t="shared" si="476"/>
        <v/>
      </c>
      <c r="S4358" s="83" t="str">
        <f t="shared" si="479"/>
        <v/>
      </c>
      <c r="T4358" s="83" t="str">
        <f t="shared" si="477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8"/>
        <v/>
      </c>
      <c r="B4359" s="83" t="str">
        <f t="shared" si="476"/>
        <v/>
      </c>
      <c r="S4359" s="83" t="str">
        <f t="shared" si="479"/>
        <v/>
      </c>
      <c r="T4359" s="83" t="str">
        <f t="shared" si="477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8"/>
        <v/>
      </c>
      <c r="B4360" s="83" t="str">
        <f t="shared" si="476"/>
        <v/>
      </c>
      <c r="S4360" s="83" t="str">
        <f t="shared" si="479"/>
        <v/>
      </c>
      <c r="T4360" s="83" t="str">
        <f t="shared" si="477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8"/>
        <v/>
      </c>
      <c r="B4361" s="83" t="str">
        <f t="shared" si="476"/>
        <v/>
      </c>
      <c r="S4361" s="83" t="str">
        <f t="shared" si="479"/>
        <v/>
      </c>
      <c r="T4361" s="83" t="str">
        <f t="shared" si="477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8"/>
        <v/>
      </c>
      <c r="B4362" s="83" t="str">
        <f t="shared" si="476"/>
        <v/>
      </c>
      <c r="S4362" s="83" t="str">
        <f t="shared" si="479"/>
        <v/>
      </c>
      <c r="T4362" s="83" t="str">
        <f t="shared" si="477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8"/>
        <v/>
      </c>
      <c r="B4363" s="83" t="str">
        <f t="shared" si="476"/>
        <v/>
      </c>
      <c r="S4363" s="83" t="str">
        <f t="shared" si="479"/>
        <v/>
      </c>
      <c r="T4363" s="83" t="str">
        <f t="shared" si="477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8"/>
        <v/>
      </c>
      <c r="B4364" s="83" t="str">
        <f t="shared" si="476"/>
        <v/>
      </c>
      <c r="S4364" s="83" t="str">
        <f t="shared" si="479"/>
        <v/>
      </c>
      <c r="T4364" s="83" t="str">
        <f t="shared" si="477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8"/>
        <v/>
      </c>
      <c r="B4365" s="83" t="str">
        <f t="shared" si="476"/>
        <v/>
      </c>
      <c r="S4365" s="83" t="str">
        <f t="shared" si="479"/>
        <v/>
      </c>
      <c r="T4365" s="83" t="str">
        <f t="shared" si="477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8"/>
        <v/>
      </c>
      <c r="B4366" s="83" t="str">
        <f t="shared" si="476"/>
        <v/>
      </c>
      <c r="S4366" s="83" t="str">
        <f t="shared" si="479"/>
        <v/>
      </c>
      <c r="T4366" s="83" t="str">
        <f t="shared" si="477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8"/>
        <v/>
      </c>
      <c r="B4367" s="83" t="str">
        <f t="shared" si="476"/>
        <v/>
      </c>
      <c r="S4367" s="83" t="str">
        <f t="shared" si="479"/>
        <v/>
      </c>
      <c r="T4367" s="83" t="str">
        <f t="shared" si="477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8"/>
        <v/>
      </c>
      <c r="B4368" s="83" t="str">
        <f t="shared" si="476"/>
        <v/>
      </c>
      <c r="S4368" s="83" t="str">
        <f t="shared" si="479"/>
        <v/>
      </c>
      <c r="T4368" s="83" t="str">
        <f t="shared" si="477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8"/>
        <v/>
      </c>
      <c r="B4369" s="83" t="str">
        <f t="shared" si="476"/>
        <v/>
      </c>
      <c r="S4369" s="83" t="str">
        <f t="shared" si="479"/>
        <v/>
      </c>
      <c r="T4369" s="83" t="str">
        <f t="shared" si="477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8"/>
        <v/>
      </c>
      <c r="B4370" s="83" t="str">
        <f t="shared" si="476"/>
        <v/>
      </c>
      <c r="S4370" s="83" t="str">
        <f t="shared" si="479"/>
        <v/>
      </c>
      <c r="T4370" s="83" t="str">
        <f t="shared" si="477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8"/>
        <v/>
      </c>
      <c r="B4371" s="83" t="str">
        <f t="shared" si="476"/>
        <v/>
      </c>
      <c r="S4371" s="83" t="str">
        <f t="shared" si="479"/>
        <v/>
      </c>
      <c r="T4371" s="83" t="str">
        <f t="shared" si="477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8"/>
        <v/>
      </c>
      <c r="B4372" s="83" t="str">
        <f t="shared" si="476"/>
        <v/>
      </c>
      <c r="S4372" s="83" t="str">
        <f t="shared" si="479"/>
        <v/>
      </c>
      <c r="T4372" s="83" t="str">
        <f t="shared" si="477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8"/>
        <v/>
      </c>
      <c r="B4373" s="83" t="str">
        <f t="shared" si="476"/>
        <v/>
      </c>
      <c r="S4373" s="83" t="str">
        <f t="shared" si="479"/>
        <v/>
      </c>
      <c r="T4373" s="83" t="str">
        <f t="shared" si="477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8"/>
        <v/>
      </c>
      <c r="B4374" s="83" t="str">
        <f t="shared" si="476"/>
        <v/>
      </c>
      <c r="S4374" s="83" t="str">
        <f t="shared" si="479"/>
        <v/>
      </c>
      <c r="T4374" s="83" t="str">
        <f t="shared" si="477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8"/>
        <v/>
      </c>
      <c r="B4375" s="83" t="str">
        <f t="shared" si="476"/>
        <v/>
      </c>
      <c r="S4375" s="83" t="str">
        <f t="shared" si="479"/>
        <v/>
      </c>
      <c r="T4375" s="83" t="str">
        <f t="shared" si="477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8"/>
        <v/>
      </c>
      <c r="B4376" s="83" t="str">
        <f t="shared" si="476"/>
        <v/>
      </c>
      <c r="S4376" s="83" t="str">
        <f t="shared" si="479"/>
        <v/>
      </c>
      <c r="T4376" s="83" t="str">
        <f t="shared" si="477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8"/>
        <v/>
      </c>
      <c r="B4377" s="83" t="str">
        <f t="shared" si="476"/>
        <v/>
      </c>
      <c r="S4377" s="83" t="str">
        <f t="shared" si="479"/>
        <v/>
      </c>
      <c r="T4377" s="83" t="str">
        <f t="shared" si="477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8"/>
        <v/>
      </c>
      <c r="B4378" s="83" t="str">
        <f t="shared" si="476"/>
        <v/>
      </c>
      <c r="S4378" s="83" t="str">
        <f t="shared" si="479"/>
        <v/>
      </c>
      <c r="T4378" s="83" t="str">
        <f t="shared" si="477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8"/>
        <v/>
      </c>
      <c r="B4379" s="83" t="str">
        <f t="shared" si="476"/>
        <v/>
      </c>
      <c r="S4379" s="83" t="str">
        <f t="shared" si="479"/>
        <v/>
      </c>
      <c r="T4379" s="83" t="str">
        <f t="shared" si="477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8"/>
        <v/>
      </c>
      <c r="B4380" s="83" t="str">
        <f t="shared" si="476"/>
        <v/>
      </c>
      <c r="S4380" s="83" t="str">
        <f t="shared" si="479"/>
        <v/>
      </c>
      <c r="T4380" s="83" t="str">
        <f t="shared" si="477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8"/>
        <v/>
      </c>
      <c r="B4381" s="83" t="str">
        <f t="shared" si="476"/>
        <v/>
      </c>
      <c r="S4381" s="83" t="str">
        <f t="shared" si="479"/>
        <v/>
      </c>
      <c r="T4381" s="83" t="str">
        <f t="shared" si="477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8"/>
        <v/>
      </c>
      <c r="B4382" s="83" t="str">
        <f t="shared" si="476"/>
        <v/>
      </c>
      <c r="S4382" s="83" t="str">
        <f t="shared" si="479"/>
        <v/>
      </c>
      <c r="T4382" s="83" t="str">
        <f t="shared" si="477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8"/>
        <v/>
      </c>
      <c r="B4383" s="83" t="str">
        <f t="shared" si="476"/>
        <v/>
      </c>
      <c r="S4383" s="83" t="str">
        <f t="shared" si="479"/>
        <v/>
      </c>
      <c r="T4383" s="83" t="str">
        <f t="shared" si="477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8"/>
        <v/>
      </c>
      <c r="B4384" s="83" t="str">
        <f t="shared" si="476"/>
        <v/>
      </c>
      <c r="S4384" s="83" t="str">
        <f t="shared" si="479"/>
        <v/>
      </c>
      <c r="T4384" s="83" t="str">
        <f t="shared" si="477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8"/>
        <v/>
      </c>
      <c r="B4385" s="83" t="str">
        <f t="shared" ref="B4385:B4448" si="483">IF(C4385&lt;&gt;"",LEFT(C4385,9),"")</f>
        <v/>
      </c>
      <c r="S4385" s="83" t="str">
        <f t="shared" si="479"/>
        <v/>
      </c>
      <c r="T4385" s="83" t="str">
        <f t="shared" si="477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8"/>
        <v/>
      </c>
      <c r="B4386" s="83" t="str">
        <f t="shared" si="483"/>
        <v/>
      </c>
      <c r="S4386" s="83" t="str">
        <f t="shared" si="479"/>
        <v/>
      </c>
      <c r="T4386" s="83" t="str">
        <f t="shared" si="477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8"/>
        <v/>
      </c>
      <c r="B4387" s="83" t="str">
        <f t="shared" si="483"/>
        <v/>
      </c>
      <c r="S4387" s="83" t="str">
        <f t="shared" si="479"/>
        <v/>
      </c>
      <c r="T4387" s="83" t="str">
        <f t="shared" si="477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8"/>
        <v/>
      </c>
      <c r="B4388" s="83" t="str">
        <f t="shared" si="483"/>
        <v/>
      </c>
      <c r="S4388" s="83" t="str">
        <f t="shared" si="479"/>
        <v/>
      </c>
      <c r="T4388" s="83" t="str">
        <f t="shared" si="477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8"/>
        <v/>
      </c>
      <c r="B4389" s="83" t="str">
        <f t="shared" si="483"/>
        <v/>
      </c>
      <c r="S4389" s="83" t="str">
        <f t="shared" si="479"/>
        <v/>
      </c>
      <c r="T4389" s="83" t="str">
        <f t="shared" si="477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8"/>
        <v/>
      </c>
      <c r="B4390" s="83" t="str">
        <f t="shared" si="483"/>
        <v/>
      </c>
      <c r="S4390" s="83" t="str">
        <f t="shared" si="479"/>
        <v/>
      </c>
      <c r="T4390" s="83" t="str">
        <f t="shared" si="477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8"/>
        <v/>
      </c>
      <c r="B4391" s="83" t="str">
        <f t="shared" si="483"/>
        <v/>
      </c>
      <c r="S4391" s="83" t="str">
        <f t="shared" si="479"/>
        <v/>
      </c>
      <c r="T4391" s="83" t="str">
        <f t="shared" si="477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8"/>
        <v/>
      </c>
      <c r="B4392" s="83" t="str">
        <f t="shared" si="483"/>
        <v/>
      </c>
      <c r="S4392" s="83" t="str">
        <f t="shared" si="479"/>
        <v/>
      </c>
      <c r="T4392" s="83" t="str">
        <f t="shared" si="477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8"/>
        <v/>
      </c>
      <c r="B4393" s="83" t="str">
        <f t="shared" si="483"/>
        <v/>
      </c>
      <c r="S4393" s="83" t="str">
        <f t="shared" si="479"/>
        <v/>
      </c>
      <c r="T4393" s="83" t="str">
        <f t="shared" si="477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8"/>
        <v/>
      </c>
      <c r="B4394" s="83" t="str">
        <f t="shared" si="483"/>
        <v/>
      </c>
      <c r="S4394" s="83" t="str">
        <f t="shared" si="479"/>
        <v/>
      </c>
      <c r="T4394" s="83" t="str">
        <f t="shared" si="477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8"/>
        <v/>
      </c>
      <c r="B4395" s="83" t="str">
        <f t="shared" si="483"/>
        <v/>
      </c>
      <c r="S4395" s="83" t="str">
        <f t="shared" si="479"/>
        <v/>
      </c>
      <c r="T4395" s="83" t="str">
        <f t="shared" si="477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8"/>
        <v/>
      </c>
      <c r="B4396" s="83" t="str">
        <f t="shared" si="483"/>
        <v/>
      </c>
      <c r="S4396" s="83" t="str">
        <f t="shared" si="479"/>
        <v/>
      </c>
      <c r="T4396" s="83" t="str">
        <f t="shared" si="477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8"/>
        <v/>
      </c>
      <c r="B4397" s="83" t="str">
        <f t="shared" si="483"/>
        <v/>
      </c>
      <c r="S4397" s="83" t="str">
        <f t="shared" si="479"/>
        <v/>
      </c>
      <c r="T4397" s="83" t="str">
        <f t="shared" si="477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8"/>
        <v/>
      </c>
      <c r="B4398" s="83" t="str">
        <f t="shared" si="483"/>
        <v/>
      </c>
      <c r="S4398" s="83" t="str">
        <f t="shared" si="479"/>
        <v/>
      </c>
      <c r="T4398" s="83" t="str">
        <f t="shared" si="477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8"/>
        <v/>
      </c>
      <c r="B4399" s="83" t="str">
        <f t="shared" si="483"/>
        <v/>
      </c>
      <c r="S4399" s="83" t="str">
        <f t="shared" si="479"/>
        <v/>
      </c>
      <c r="T4399" s="83" t="str">
        <f t="shared" si="477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8"/>
        <v/>
      </c>
      <c r="B4400" s="83" t="str">
        <f t="shared" si="483"/>
        <v/>
      </c>
      <c r="S4400" s="83" t="str">
        <f t="shared" si="479"/>
        <v/>
      </c>
      <c r="T4400" s="83" t="str">
        <f t="shared" si="477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8"/>
        <v/>
      </c>
      <c r="B4401" s="83" t="str">
        <f t="shared" si="483"/>
        <v/>
      </c>
      <c r="S4401" s="83" t="str">
        <f t="shared" si="479"/>
        <v/>
      </c>
      <c r="T4401" s="83" t="str">
        <f t="shared" si="477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8"/>
        <v/>
      </c>
      <c r="B4402" s="83" t="str">
        <f t="shared" si="483"/>
        <v/>
      </c>
      <c r="S4402" s="83" t="str">
        <f t="shared" si="479"/>
        <v/>
      </c>
      <c r="T4402" s="83" t="str">
        <f t="shared" si="477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8"/>
        <v/>
      </c>
      <c r="B4403" s="83" t="str">
        <f t="shared" si="483"/>
        <v/>
      </c>
      <c r="S4403" s="83" t="str">
        <f t="shared" si="479"/>
        <v/>
      </c>
      <c r="T4403" s="83" t="str">
        <f t="shared" si="477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8"/>
        <v/>
      </c>
      <c r="B4404" s="83" t="str">
        <f t="shared" si="483"/>
        <v/>
      </c>
      <c r="S4404" s="83" t="str">
        <f t="shared" si="479"/>
        <v/>
      </c>
      <c r="T4404" s="83" t="str">
        <f t="shared" si="477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8"/>
        <v/>
      </c>
      <c r="B4405" s="83" t="str">
        <f t="shared" si="483"/>
        <v/>
      </c>
      <c r="S4405" s="83" t="str">
        <f t="shared" si="479"/>
        <v/>
      </c>
      <c r="T4405" s="83" t="str">
        <f t="shared" si="477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8"/>
        <v/>
      </c>
      <c r="B4406" s="83" t="str">
        <f t="shared" si="483"/>
        <v/>
      </c>
      <c r="S4406" s="83" t="str">
        <f t="shared" si="479"/>
        <v/>
      </c>
      <c r="T4406" s="83" t="str">
        <f t="shared" si="477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8"/>
        <v/>
      </c>
      <c r="B4407" s="83" t="str">
        <f t="shared" si="483"/>
        <v/>
      </c>
      <c r="S4407" s="83" t="str">
        <f t="shared" si="479"/>
        <v/>
      </c>
      <c r="T4407" s="83" t="str">
        <f t="shared" si="477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8"/>
        <v/>
      </c>
      <c r="B4408" s="83" t="str">
        <f t="shared" si="483"/>
        <v/>
      </c>
      <c r="S4408" s="83" t="str">
        <f t="shared" si="479"/>
        <v/>
      </c>
      <c r="T4408" s="83" t="str">
        <f t="shared" si="477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8"/>
        <v/>
      </c>
      <c r="B4409" s="83" t="str">
        <f t="shared" si="483"/>
        <v/>
      </c>
      <c r="S4409" s="83" t="str">
        <f t="shared" si="479"/>
        <v/>
      </c>
      <c r="T4409" s="83" t="str">
        <f t="shared" si="477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8"/>
        <v/>
      </c>
      <c r="B4410" s="83" t="str">
        <f t="shared" si="483"/>
        <v/>
      </c>
      <c r="S4410" s="83" t="str">
        <f t="shared" si="479"/>
        <v/>
      </c>
      <c r="T4410" s="83" t="str">
        <f t="shared" si="477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8"/>
        <v/>
      </c>
      <c r="B4411" s="83" t="str">
        <f t="shared" si="483"/>
        <v/>
      </c>
      <c r="S4411" s="83" t="str">
        <f t="shared" si="479"/>
        <v/>
      </c>
      <c r="T4411" s="83" t="str">
        <f t="shared" si="477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8"/>
        <v/>
      </c>
      <c r="B4412" s="83" t="str">
        <f t="shared" si="483"/>
        <v/>
      </c>
      <c r="S4412" s="83" t="str">
        <f t="shared" si="479"/>
        <v/>
      </c>
      <c r="T4412" s="83" t="str">
        <f t="shared" si="477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8"/>
        <v/>
      </c>
      <c r="B4413" s="83" t="str">
        <f t="shared" si="483"/>
        <v/>
      </c>
      <c r="S4413" s="83" t="str">
        <f t="shared" si="479"/>
        <v/>
      </c>
      <c r="T4413" s="83" t="str">
        <f t="shared" si="477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8"/>
        <v/>
      </c>
      <c r="B4414" s="83" t="str">
        <f t="shared" si="483"/>
        <v/>
      </c>
      <c r="S4414" s="83" t="str">
        <f t="shared" si="479"/>
        <v/>
      </c>
      <c r="T4414" s="83" t="str">
        <f t="shared" si="477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8"/>
        <v/>
      </c>
      <c r="B4415" s="83" t="str">
        <f t="shared" si="483"/>
        <v/>
      </c>
      <c r="S4415" s="83" t="str">
        <f t="shared" si="479"/>
        <v/>
      </c>
      <c r="T4415" s="83" t="str">
        <f t="shared" si="477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8"/>
        <v/>
      </c>
      <c r="B4416" s="83" t="str">
        <f t="shared" si="483"/>
        <v/>
      </c>
      <c r="S4416" s="83" t="str">
        <f t="shared" si="479"/>
        <v/>
      </c>
      <c r="T4416" s="83" t="str">
        <f t="shared" si="477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8"/>
        <v/>
      </c>
      <c r="B4417" s="83" t="str">
        <f t="shared" si="483"/>
        <v/>
      </c>
      <c r="S4417" s="83" t="str">
        <f t="shared" si="479"/>
        <v/>
      </c>
      <c r="T4417" s="83" t="str">
        <f t="shared" si="477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8"/>
        <v/>
      </c>
      <c r="B4418" s="83" t="str">
        <f t="shared" si="483"/>
        <v/>
      </c>
      <c r="S4418" s="83" t="str">
        <f t="shared" si="479"/>
        <v/>
      </c>
      <c r="T4418" s="83" t="str">
        <f t="shared" ref="T4418:T4481" si="484">IF(A4418&lt;&gt;"",IF(FIND(" ",G4418)&gt;=1,MID(G4418,FIND(" ",G4418)+1,LEN(G4418)),""),"")</f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5">IF(G4419&amp;Q4419&lt;&gt;"",S4419&amp;Q4419,"")</f>
        <v/>
      </c>
      <c r="B4419" s="83" t="str">
        <f t="shared" si="483"/>
        <v/>
      </c>
      <c r="S4419" s="83" t="str">
        <f t="shared" ref="S4419:S4482" si="486">IF(G4419&lt;&gt;"",IF(FIND(" ",G4419)&gt;=1,MID(G4419,1,FIND(" ",G4419)-1),G4419),"")</f>
        <v/>
      </c>
      <c r="T4419" s="83" t="str">
        <f t="shared" si="484"/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5"/>
        <v/>
      </c>
      <c r="B4420" s="83" t="str">
        <f t="shared" si="483"/>
        <v/>
      </c>
      <c r="S4420" s="83" t="str">
        <f t="shared" si="486"/>
        <v/>
      </c>
      <c r="T4420" s="83" t="str">
        <f t="shared" si="484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5"/>
        <v/>
      </c>
      <c r="B4421" s="83" t="str">
        <f t="shared" si="483"/>
        <v/>
      </c>
      <c r="S4421" s="83" t="str">
        <f t="shared" si="486"/>
        <v/>
      </c>
      <c r="T4421" s="83" t="str">
        <f t="shared" si="484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5"/>
        <v/>
      </c>
      <c r="B4422" s="83" t="str">
        <f t="shared" si="483"/>
        <v/>
      </c>
      <c r="S4422" s="83" t="str">
        <f t="shared" si="486"/>
        <v/>
      </c>
      <c r="T4422" s="83" t="str">
        <f t="shared" si="484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5"/>
        <v/>
      </c>
      <c r="B4423" s="83" t="str">
        <f t="shared" si="483"/>
        <v/>
      </c>
      <c r="S4423" s="83" t="str">
        <f t="shared" si="486"/>
        <v/>
      </c>
      <c r="T4423" s="83" t="str">
        <f t="shared" si="484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5"/>
        <v/>
      </c>
      <c r="B4424" s="83" t="str">
        <f t="shared" si="483"/>
        <v/>
      </c>
      <c r="S4424" s="83" t="str">
        <f t="shared" si="486"/>
        <v/>
      </c>
      <c r="T4424" s="83" t="str">
        <f t="shared" si="484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5"/>
        <v/>
      </c>
      <c r="B4425" s="83" t="str">
        <f t="shared" si="483"/>
        <v/>
      </c>
      <c r="S4425" s="83" t="str">
        <f t="shared" si="486"/>
        <v/>
      </c>
      <c r="T4425" s="83" t="str">
        <f t="shared" si="484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5"/>
        <v/>
      </c>
      <c r="B4426" s="83" t="str">
        <f t="shared" si="483"/>
        <v/>
      </c>
      <c r="S4426" s="83" t="str">
        <f t="shared" si="486"/>
        <v/>
      </c>
      <c r="T4426" s="83" t="str">
        <f t="shared" si="484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5"/>
        <v/>
      </c>
      <c r="B4427" s="83" t="str">
        <f t="shared" si="483"/>
        <v/>
      </c>
      <c r="S4427" s="83" t="str">
        <f t="shared" si="486"/>
        <v/>
      </c>
      <c r="T4427" s="83" t="str">
        <f t="shared" si="484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5"/>
        <v/>
      </c>
      <c r="B4428" s="83" t="str">
        <f t="shared" si="483"/>
        <v/>
      </c>
      <c r="S4428" s="83" t="str">
        <f t="shared" si="486"/>
        <v/>
      </c>
      <c r="T4428" s="83" t="str">
        <f t="shared" si="484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5"/>
        <v/>
      </c>
      <c r="B4429" s="83" t="str">
        <f t="shared" si="483"/>
        <v/>
      </c>
      <c r="S4429" s="83" t="str">
        <f t="shared" si="486"/>
        <v/>
      </c>
      <c r="T4429" s="83" t="str">
        <f t="shared" si="484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5"/>
        <v/>
      </c>
      <c r="B4430" s="83" t="str">
        <f t="shared" si="483"/>
        <v/>
      </c>
      <c r="S4430" s="83" t="str">
        <f t="shared" si="486"/>
        <v/>
      </c>
      <c r="T4430" s="83" t="str">
        <f t="shared" si="484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5"/>
        <v/>
      </c>
      <c r="B4431" s="83" t="str">
        <f t="shared" si="483"/>
        <v/>
      </c>
      <c r="S4431" s="83" t="str">
        <f t="shared" si="486"/>
        <v/>
      </c>
      <c r="T4431" s="83" t="str">
        <f t="shared" si="484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5"/>
        <v/>
      </c>
      <c r="B4432" s="83" t="str">
        <f t="shared" si="483"/>
        <v/>
      </c>
      <c r="S4432" s="83" t="str">
        <f t="shared" si="486"/>
        <v/>
      </c>
      <c r="T4432" s="83" t="str">
        <f t="shared" si="484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5"/>
        <v/>
      </c>
      <c r="B4433" s="83" t="str">
        <f t="shared" si="483"/>
        <v/>
      </c>
      <c r="S4433" s="83" t="str">
        <f t="shared" si="486"/>
        <v/>
      </c>
      <c r="T4433" s="83" t="str">
        <f t="shared" si="484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5"/>
        <v/>
      </c>
      <c r="B4434" s="83" t="str">
        <f t="shared" si="483"/>
        <v/>
      </c>
      <c r="S4434" s="83" t="str">
        <f t="shared" si="486"/>
        <v/>
      </c>
      <c r="T4434" s="83" t="str">
        <f t="shared" si="484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5"/>
        <v/>
      </c>
      <c r="B4435" s="83" t="str">
        <f t="shared" si="483"/>
        <v/>
      </c>
      <c r="S4435" s="83" t="str">
        <f t="shared" si="486"/>
        <v/>
      </c>
      <c r="T4435" s="83" t="str">
        <f t="shared" si="484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5"/>
        <v/>
      </c>
      <c r="B4436" s="83" t="str">
        <f t="shared" si="483"/>
        <v/>
      </c>
      <c r="S4436" s="83" t="str">
        <f t="shared" si="486"/>
        <v/>
      </c>
      <c r="T4436" s="83" t="str">
        <f t="shared" si="484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5"/>
        <v/>
      </c>
      <c r="B4437" s="83" t="str">
        <f t="shared" si="483"/>
        <v/>
      </c>
      <c r="S4437" s="83" t="str">
        <f t="shared" si="486"/>
        <v/>
      </c>
      <c r="T4437" s="83" t="str">
        <f t="shared" si="484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5"/>
        <v/>
      </c>
      <c r="B4438" s="83" t="str">
        <f t="shared" si="483"/>
        <v/>
      </c>
      <c r="S4438" s="83" t="str">
        <f t="shared" si="486"/>
        <v/>
      </c>
      <c r="T4438" s="83" t="str">
        <f t="shared" si="484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5"/>
        <v/>
      </c>
      <c r="B4439" s="83" t="str">
        <f t="shared" si="483"/>
        <v/>
      </c>
      <c r="S4439" s="83" t="str">
        <f t="shared" si="486"/>
        <v/>
      </c>
      <c r="T4439" s="83" t="str">
        <f t="shared" si="484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5"/>
        <v/>
      </c>
      <c r="B4440" s="83" t="str">
        <f t="shared" si="483"/>
        <v/>
      </c>
      <c r="S4440" s="83" t="str">
        <f t="shared" si="486"/>
        <v/>
      </c>
      <c r="T4440" s="83" t="str">
        <f t="shared" si="484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5"/>
        <v/>
      </c>
      <c r="B4441" s="83" t="str">
        <f t="shared" si="483"/>
        <v/>
      </c>
      <c r="S4441" s="83" t="str">
        <f t="shared" si="486"/>
        <v/>
      </c>
      <c r="T4441" s="83" t="str">
        <f t="shared" si="484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5"/>
        <v/>
      </c>
      <c r="B4442" s="83" t="str">
        <f t="shared" si="483"/>
        <v/>
      </c>
      <c r="S4442" s="83" t="str">
        <f t="shared" si="486"/>
        <v/>
      </c>
      <c r="T4442" s="83" t="str">
        <f t="shared" si="484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5"/>
        <v/>
      </c>
      <c r="B4443" s="83" t="str">
        <f t="shared" si="483"/>
        <v/>
      </c>
      <c r="S4443" s="83" t="str">
        <f t="shared" si="486"/>
        <v/>
      </c>
      <c r="T4443" s="83" t="str">
        <f t="shared" si="484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5"/>
        <v/>
      </c>
      <c r="B4444" s="83" t="str">
        <f t="shared" si="483"/>
        <v/>
      </c>
      <c r="S4444" s="83" t="str">
        <f t="shared" si="486"/>
        <v/>
      </c>
      <c r="T4444" s="83" t="str">
        <f t="shared" si="484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5"/>
        <v/>
      </c>
      <c r="B4445" s="83" t="str">
        <f t="shared" si="483"/>
        <v/>
      </c>
      <c r="S4445" s="83" t="str">
        <f t="shared" si="486"/>
        <v/>
      </c>
      <c r="T4445" s="83" t="str">
        <f t="shared" si="484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5"/>
        <v/>
      </c>
      <c r="B4446" s="83" t="str">
        <f t="shared" si="483"/>
        <v/>
      </c>
      <c r="S4446" s="83" t="str">
        <f t="shared" si="486"/>
        <v/>
      </c>
      <c r="T4446" s="83" t="str">
        <f t="shared" si="484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5"/>
        <v/>
      </c>
      <c r="B4447" s="83" t="str">
        <f t="shared" si="483"/>
        <v/>
      </c>
      <c r="S4447" s="83" t="str">
        <f t="shared" si="486"/>
        <v/>
      </c>
      <c r="T4447" s="83" t="str">
        <f t="shared" si="484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5"/>
        <v/>
      </c>
      <c r="B4448" s="83" t="str">
        <f t="shared" si="483"/>
        <v/>
      </c>
      <c r="S4448" s="83" t="str">
        <f t="shared" si="486"/>
        <v/>
      </c>
      <c r="T4448" s="83" t="str">
        <f t="shared" si="484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5"/>
        <v/>
      </c>
      <c r="B4449" s="83" t="str">
        <f t="shared" ref="B4449:B4512" si="490">IF(C4449&lt;&gt;"",LEFT(C4449,9),"")</f>
        <v/>
      </c>
      <c r="S4449" s="83" t="str">
        <f t="shared" si="486"/>
        <v/>
      </c>
      <c r="T4449" s="83" t="str">
        <f t="shared" si="484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5"/>
        <v/>
      </c>
      <c r="B4450" s="83" t="str">
        <f t="shared" si="490"/>
        <v/>
      </c>
      <c r="S4450" s="83" t="str">
        <f t="shared" si="486"/>
        <v/>
      </c>
      <c r="T4450" s="83" t="str">
        <f t="shared" si="484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5"/>
        <v/>
      </c>
      <c r="B4451" s="83" t="str">
        <f t="shared" si="490"/>
        <v/>
      </c>
      <c r="S4451" s="83" t="str">
        <f t="shared" si="486"/>
        <v/>
      </c>
      <c r="T4451" s="83" t="str">
        <f t="shared" si="484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5"/>
        <v/>
      </c>
      <c r="B4452" s="83" t="str">
        <f t="shared" si="490"/>
        <v/>
      </c>
      <c r="S4452" s="83" t="str">
        <f t="shared" si="486"/>
        <v/>
      </c>
      <c r="T4452" s="83" t="str">
        <f t="shared" si="484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5"/>
        <v/>
      </c>
      <c r="B4453" s="83" t="str">
        <f t="shared" si="490"/>
        <v/>
      </c>
      <c r="S4453" s="83" t="str">
        <f t="shared" si="486"/>
        <v/>
      </c>
      <c r="T4453" s="83" t="str">
        <f t="shared" si="484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5"/>
        <v/>
      </c>
      <c r="B4454" s="83" t="str">
        <f t="shared" si="490"/>
        <v/>
      </c>
      <c r="S4454" s="83" t="str">
        <f t="shared" si="486"/>
        <v/>
      </c>
      <c r="T4454" s="83" t="str">
        <f t="shared" si="484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5"/>
        <v/>
      </c>
      <c r="B4455" s="83" t="str">
        <f t="shared" si="490"/>
        <v/>
      </c>
      <c r="S4455" s="83" t="str">
        <f t="shared" si="486"/>
        <v/>
      </c>
      <c r="T4455" s="83" t="str">
        <f t="shared" si="484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5"/>
        <v/>
      </c>
      <c r="B4456" s="83" t="str">
        <f t="shared" si="490"/>
        <v/>
      </c>
      <c r="S4456" s="83" t="str">
        <f t="shared" si="486"/>
        <v/>
      </c>
      <c r="T4456" s="83" t="str">
        <f t="shared" si="484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5"/>
        <v/>
      </c>
      <c r="B4457" s="83" t="str">
        <f t="shared" si="490"/>
        <v/>
      </c>
      <c r="S4457" s="83" t="str">
        <f t="shared" si="486"/>
        <v/>
      </c>
      <c r="T4457" s="83" t="str">
        <f t="shared" si="484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5"/>
        <v/>
      </c>
      <c r="B4458" s="83" t="str">
        <f t="shared" si="490"/>
        <v/>
      </c>
      <c r="S4458" s="83" t="str">
        <f t="shared" si="486"/>
        <v/>
      </c>
      <c r="T4458" s="83" t="str">
        <f t="shared" si="484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5"/>
        <v/>
      </c>
      <c r="B4459" s="83" t="str">
        <f t="shared" si="490"/>
        <v/>
      </c>
      <c r="S4459" s="83" t="str">
        <f t="shared" si="486"/>
        <v/>
      </c>
      <c r="T4459" s="83" t="str">
        <f t="shared" si="484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5"/>
        <v/>
      </c>
      <c r="B4460" s="83" t="str">
        <f t="shared" si="490"/>
        <v/>
      </c>
      <c r="S4460" s="83" t="str">
        <f t="shared" si="486"/>
        <v/>
      </c>
      <c r="T4460" s="83" t="str">
        <f t="shared" si="484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5"/>
        <v/>
      </c>
      <c r="B4461" s="83" t="str">
        <f t="shared" si="490"/>
        <v/>
      </c>
      <c r="S4461" s="83" t="str">
        <f t="shared" si="486"/>
        <v/>
      </c>
      <c r="T4461" s="83" t="str">
        <f t="shared" si="484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5"/>
        <v/>
      </c>
      <c r="B4462" s="83" t="str">
        <f t="shared" si="490"/>
        <v/>
      </c>
      <c r="S4462" s="83" t="str">
        <f t="shared" si="486"/>
        <v/>
      </c>
      <c r="T4462" s="83" t="str">
        <f t="shared" si="484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5"/>
        <v/>
      </c>
      <c r="B4463" s="83" t="str">
        <f t="shared" si="490"/>
        <v/>
      </c>
      <c r="S4463" s="83" t="str">
        <f t="shared" si="486"/>
        <v/>
      </c>
      <c r="T4463" s="83" t="str">
        <f t="shared" si="484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5"/>
        <v/>
      </c>
      <c r="B4464" s="83" t="str">
        <f t="shared" si="490"/>
        <v/>
      </c>
      <c r="S4464" s="83" t="str">
        <f t="shared" si="486"/>
        <v/>
      </c>
      <c r="T4464" s="83" t="str">
        <f t="shared" si="484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5"/>
        <v/>
      </c>
      <c r="B4465" s="83" t="str">
        <f t="shared" si="490"/>
        <v/>
      </c>
      <c r="S4465" s="83" t="str">
        <f t="shared" si="486"/>
        <v/>
      </c>
      <c r="T4465" s="83" t="str">
        <f t="shared" si="484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5"/>
        <v/>
      </c>
      <c r="B4466" s="83" t="str">
        <f t="shared" si="490"/>
        <v/>
      </c>
      <c r="S4466" s="83" t="str">
        <f t="shared" si="486"/>
        <v/>
      </c>
      <c r="T4466" s="83" t="str">
        <f t="shared" si="484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5"/>
        <v/>
      </c>
      <c r="B4467" s="83" t="str">
        <f t="shared" si="490"/>
        <v/>
      </c>
      <c r="S4467" s="83" t="str">
        <f t="shared" si="486"/>
        <v/>
      </c>
      <c r="T4467" s="83" t="str">
        <f t="shared" si="484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5"/>
        <v/>
      </c>
      <c r="B4468" s="83" t="str">
        <f t="shared" si="490"/>
        <v/>
      </c>
      <c r="S4468" s="83" t="str">
        <f t="shared" si="486"/>
        <v/>
      </c>
      <c r="T4468" s="83" t="str">
        <f t="shared" si="484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5"/>
        <v/>
      </c>
      <c r="B4469" s="83" t="str">
        <f t="shared" si="490"/>
        <v/>
      </c>
      <c r="S4469" s="83" t="str">
        <f t="shared" si="486"/>
        <v/>
      </c>
      <c r="T4469" s="83" t="str">
        <f t="shared" si="484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5"/>
        <v/>
      </c>
      <c r="B4470" s="83" t="str">
        <f t="shared" si="490"/>
        <v/>
      </c>
      <c r="S4470" s="83" t="str">
        <f t="shared" si="486"/>
        <v/>
      </c>
      <c r="T4470" s="83" t="str">
        <f t="shared" si="484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5"/>
        <v/>
      </c>
      <c r="B4471" s="83" t="str">
        <f t="shared" si="490"/>
        <v/>
      </c>
      <c r="S4471" s="83" t="str">
        <f t="shared" si="486"/>
        <v/>
      </c>
      <c r="T4471" s="83" t="str">
        <f t="shared" si="484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5"/>
        <v/>
      </c>
      <c r="B4472" s="83" t="str">
        <f t="shared" si="490"/>
        <v/>
      </c>
      <c r="S4472" s="83" t="str">
        <f t="shared" si="486"/>
        <v/>
      </c>
      <c r="T4472" s="83" t="str">
        <f t="shared" si="484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5"/>
        <v/>
      </c>
      <c r="B4473" s="83" t="str">
        <f t="shared" si="490"/>
        <v/>
      </c>
      <c r="S4473" s="83" t="str">
        <f t="shared" si="486"/>
        <v/>
      </c>
      <c r="T4473" s="83" t="str">
        <f t="shared" si="484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5"/>
        <v/>
      </c>
      <c r="B4474" s="83" t="str">
        <f t="shared" si="490"/>
        <v/>
      </c>
      <c r="S4474" s="83" t="str">
        <f t="shared" si="486"/>
        <v/>
      </c>
      <c r="T4474" s="83" t="str">
        <f t="shared" si="484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5"/>
        <v/>
      </c>
      <c r="B4475" s="83" t="str">
        <f t="shared" si="490"/>
        <v/>
      </c>
      <c r="S4475" s="83" t="str">
        <f t="shared" si="486"/>
        <v/>
      </c>
      <c r="T4475" s="83" t="str">
        <f t="shared" si="484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5"/>
        <v/>
      </c>
      <c r="B4476" s="83" t="str">
        <f t="shared" si="490"/>
        <v/>
      </c>
      <c r="S4476" s="83" t="str">
        <f t="shared" si="486"/>
        <v/>
      </c>
      <c r="T4476" s="83" t="str">
        <f t="shared" si="484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5"/>
        <v/>
      </c>
      <c r="B4477" s="83" t="str">
        <f t="shared" si="490"/>
        <v/>
      </c>
      <c r="S4477" s="83" t="str">
        <f t="shared" si="486"/>
        <v/>
      </c>
      <c r="T4477" s="83" t="str">
        <f t="shared" si="484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5"/>
        <v/>
      </c>
      <c r="B4478" s="83" t="str">
        <f t="shared" si="490"/>
        <v/>
      </c>
      <c r="S4478" s="83" t="str">
        <f t="shared" si="486"/>
        <v/>
      </c>
      <c r="T4478" s="83" t="str">
        <f t="shared" si="484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5"/>
        <v/>
      </c>
      <c r="B4479" s="83" t="str">
        <f t="shared" si="490"/>
        <v/>
      </c>
      <c r="S4479" s="83" t="str">
        <f t="shared" si="486"/>
        <v/>
      </c>
      <c r="T4479" s="83" t="str">
        <f t="shared" si="484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5"/>
        <v/>
      </c>
      <c r="B4480" s="83" t="str">
        <f t="shared" si="490"/>
        <v/>
      </c>
      <c r="S4480" s="83" t="str">
        <f t="shared" si="486"/>
        <v/>
      </c>
      <c r="T4480" s="83" t="str">
        <f t="shared" si="484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5"/>
        <v/>
      </c>
      <c r="B4481" s="83" t="str">
        <f t="shared" si="490"/>
        <v/>
      </c>
      <c r="S4481" s="83" t="str">
        <f t="shared" si="486"/>
        <v/>
      </c>
      <c r="T4481" s="83" t="str">
        <f t="shared" si="484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5"/>
        <v/>
      </c>
      <c r="B4482" s="83" t="str">
        <f t="shared" si="490"/>
        <v/>
      </c>
      <c r="S4482" s="83" t="str">
        <f t="shared" si="486"/>
        <v/>
      </c>
      <c r="T4482" s="83" t="str">
        <f t="shared" ref="T4482:T4545" si="491">IF(A4482&lt;&gt;"",IF(FIND(" ",G4482)&gt;=1,MID(G4482,FIND(" ",G4482)+1,LEN(G4482)),""),"")</f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2">IF(G4483&amp;Q4483&lt;&gt;"",S4483&amp;Q4483,"")</f>
        <v/>
      </c>
      <c r="B4483" s="83" t="str">
        <f t="shared" si="490"/>
        <v/>
      </c>
      <c r="S4483" s="83" t="str">
        <f t="shared" ref="S4483:S4546" si="493">IF(G4483&lt;&gt;"",IF(FIND(" ",G4483)&gt;=1,MID(G4483,1,FIND(" ",G4483)-1),G4483),"")</f>
        <v/>
      </c>
      <c r="T4483" s="83" t="str">
        <f t="shared" si="491"/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2"/>
        <v/>
      </c>
      <c r="B4484" s="83" t="str">
        <f t="shared" si="490"/>
        <v/>
      </c>
      <c r="S4484" s="83" t="str">
        <f t="shared" si="493"/>
        <v/>
      </c>
      <c r="T4484" s="83" t="str">
        <f t="shared" si="491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2"/>
        <v/>
      </c>
      <c r="B4485" s="83" t="str">
        <f t="shared" si="490"/>
        <v/>
      </c>
      <c r="S4485" s="83" t="str">
        <f t="shared" si="493"/>
        <v/>
      </c>
      <c r="T4485" s="83" t="str">
        <f t="shared" si="491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2"/>
        <v/>
      </c>
      <c r="B4486" s="83" t="str">
        <f t="shared" si="490"/>
        <v/>
      </c>
      <c r="S4486" s="83" t="str">
        <f t="shared" si="493"/>
        <v/>
      </c>
      <c r="T4486" s="83" t="str">
        <f t="shared" si="491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2"/>
        <v/>
      </c>
      <c r="B4487" s="83" t="str">
        <f t="shared" si="490"/>
        <v/>
      </c>
      <c r="S4487" s="83" t="str">
        <f t="shared" si="493"/>
        <v/>
      </c>
      <c r="T4487" s="83" t="str">
        <f t="shared" si="491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2"/>
        <v/>
      </c>
      <c r="B4488" s="83" t="str">
        <f t="shared" si="490"/>
        <v/>
      </c>
      <c r="S4488" s="83" t="str">
        <f t="shared" si="493"/>
        <v/>
      </c>
      <c r="T4488" s="83" t="str">
        <f t="shared" si="491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2"/>
        <v/>
      </c>
      <c r="B4489" s="83" t="str">
        <f t="shared" si="490"/>
        <v/>
      </c>
      <c r="S4489" s="83" t="str">
        <f t="shared" si="493"/>
        <v/>
      </c>
      <c r="T4489" s="83" t="str">
        <f t="shared" si="491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2"/>
        <v/>
      </c>
      <c r="B4490" s="83" t="str">
        <f t="shared" si="490"/>
        <v/>
      </c>
      <c r="S4490" s="83" t="str">
        <f t="shared" si="493"/>
        <v/>
      </c>
      <c r="T4490" s="83" t="str">
        <f t="shared" si="491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2"/>
        <v/>
      </c>
      <c r="B4491" s="83" t="str">
        <f t="shared" si="490"/>
        <v/>
      </c>
      <c r="S4491" s="83" t="str">
        <f t="shared" si="493"/>
        <v/>
      </c>
      <c r="T4491" s="83" t="str">
        <f t="shared" si="491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2"/>
        <v/>
      </c>
      <c r="B4492" s="83" t="str">
        <f t="shared" si="490"/>
        <v/>
      </c>
      <c r="S4492" s="83" t="str">
        <f t="shared" si="493"/>
        <v/>
      </c>
      <c r="T4492" s="83" t="str">
        <f t="shared" si="491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2"/>
        <v/>
      </c>
      <c r="B4493" s="83" t="str">
        <f t="shared" si="490"/>
        <v/>
      </c>
      <c r="S4493" s="83" t="str">
        <f t="shared" si="493"/>
        <v/>
      </c>
      <c r="T4493" s="83" t="str">
        <f t="shared" si="491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2"/>
        <v/>
      </c>
      <c r="B4494" s="83" t="str">
        <f t="shared" si="490"/>
        <v/>
      </c>
      <c r="S4494" s="83" t="str">
        <f t="shared" si="493"/>
        <v/>
      </c>
      <c r="T4494" s="83" t="str">
        <f t="shared" si="491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2"/>
        <v/>
      </c>
      <c r="B4495" s="83" t="str">
        <f t="shared" si="490"/>
        <v/>
      </c>
      <c r="S4495" s="83" t="str">
        <f t="shared" si="493"/>
        <v/>
      </c>
      <c r="T4495" s="83" t="str">
        <f t="shared" si="491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2"/>
        <v/>
      </c>
      <c r="B4496" s="83" t="str">
        <f t="shared" si="490"/>
        <v/>
      </c>
      <c r="S4496" s="83" t="str">
        <f t="shared" si="493"/>
        <v/>
      </c>
      <c r="T4496" s="83" t="str">
        <f t="shared" si="491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2"/>
        <v/>
      </c>
      <c r="B4497" s="83" t="str">
        <f t="shared" si="490"/>
        <v/>
      </c>
      <c r="S4497" s="83" t="str">
        <f t="shared" si="493"/>
        <v/>
      </c>
      <c r="T4497" s="83" t="str">
        <f t="shared" si="491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2"/>
        <v/>
      </c>
      <c r="B4498" s="83" t="str">
        <f t="shared" si="490"/>
        <v/>
      </c>
      <c r="S4498" s="83" t="str">
        <f t="shared" si="493"/>
        <v/>
      </c>
      <c r="T4498" s="83" t="str">
        <f t="shared" si="491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2"/>
        <v/>
      </c>
      <c r="B4499" s="83" t="str">
        <f t="shared" si="490"/>
        <v/>
      </c>
      <c r="S4499" s="83" t="str">
        <f t="shared" si="493"/>
        <v/>
      </c>
      <c r="T4499" s="83" t="str">
        <f t="shared" si="491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2"/>
        <v/>
      </c>
      <c r="B4500" s="83" t="str">
        <f t="shared" si="490"/>
        <v/>
      </c>
      <c r="S4500" s="83" t="str">
        <f t="shared" si="493"/>
        <v/>
      </c>
      <c r="T4500" s="83" t="str">
        <f t="shared" si="491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2"/>
        <v/>
      </c>
      <c r="B4501" s="83" t="str">
        <f t="shared" si="490"/>
        <v/>
      </c>
      <c r="S4501" s="83" t="str">
        <f t="shared" si="493"/>
        <v/>
      </c>
      <c r="T4501" s="83" t="str">
        <f t="shared" si="491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2"/>
        <v/>
      </c>
      <c r="B4502" s="83" t="str">
        <f t="shared" si="490"/>
        <v/>
      </c>
      <c r="S4502" s="83" t="str">
        <f t="shared" si="493"/>
        <v/>
      </c>
      <c r="T4502" s="83" t="str">
        <f t="shared" si="491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2"/>
        <v/>
      </c>
      <c r="B4503" s="83" t="str">
        <f t="shared" si="490"/>
        <v/>
      </c>
      <c r="S4503" s="83" t="str">
        <f t="shared" si="493"/>
        <v/>
      </c>
      <c r="T4503" s="83" t="str">
        <f t="shared" si="491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2"/>
        <v/>
      </c>
      <c r="B4504" s="83" t="str">
        <f t="shared" si="490"/>
        <v/>
      </c>
      <c r="S4504" s="83" t="str">
        <f t="shared" si="493"/>
        <v/>
      </c>
      <c r="T4504" s="83" t="str">
        <f t="shared" si="491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2"/>
        <v/>
      </c>
      <c r="B4505" s="83" t="str">
        <f t="shared" si="490"/>
        <v/>
      </c>
      <c r="S4505" s="83" t="str">
        <f t="shared" si="493"/>
        <v/>
      </c>
      <c r="T4505" s="83" t="str">
        <f t="shared" si="491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2"/>
        <v/>
      </c>
      <c r="B4506" s="83" t="str">
        <f t="shared" si="490"/>
        <v/>
      </c>
      <c r="S4506" s="83" t="str">
        <f t="shared" si="493"/>
        <v/>
      </c>
      <c r="T4506" s="83" t="str">
        <f t="shared" si="491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2"/>
        <v/>
      </c>
      <c r="B4507" s="83" t="str">
        <f t="shared" si="490"/>
        <v/>
      </c>
      <c r="S4507" s="83" t="str">
        <f t="shared" si="493"/>
        <v/>
      </c>
      <c r="T4507" s="83" t="str">
        <f t="shared" si="491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2"/>
        <v/>
      </c>
      <c r="B4508" s="83" t="str">
        <f t="shared" si="490"/>
        <v/>
      </c>
      <c r="S4508" s="83" t="str">
        <f t="shared" si="493"/>
        <v/>
      </c>
      <c r="T4508" s="83" t="str">
        <f t="shared" si="491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2"/>
        <v/>
      </c>
      <c r="B4509" s="83" t="str">
        <f t="shared" si="490"/>
        <v/>
      </c>
      <c r="S4509" s="83" t="str">
        <f t="shared" si="493"/>
        <v/>
      </c>
      <c r="T4509" s="83" t="str">
        <f t="shared" si="491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2"/>
        <v/>
      </c>
      <c r="B4510" s="83" t="str">
        <f t="shared" si="490"/>
        <v/>
      </c>
      <c r="S4510" s="83" t="str">
        <f t="shared" si="493"/>
        <v/>
      </c>
      <c r="T4510" s="83" t="str">
        <f t="shared" si="491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2"/>
        <v/>
      </c>
      <c r="B4511" s="83" t="str">
        <f t="shared" si="490"/>
        <v/>
      </c>
      <c r="S4511" s="83" t="str">
        <f t="shared" si="493"/>
        <v/>
      </c>
      <c r="T4511" s="83" t="str">
        <f t="shared" si="491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2"/>
        <v/>
      </c>
      <c r="B4512" s="83" t="str">
        <f t="shared" si="490"/>
        <v/>
      </c>
      <c r="S4512" s="83" t="str">
        <f t="shared" si="493"/>
        <v/>
      </c>
      <c r="T4512" s="83" t="str">
        <f t="shared" si="491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2"/>
        <v/>
      </c>
      <c r="B4513" s="83" t="str">
        <f t="shared" ref="B4513:B4576" si="497">IF(C4513&lt;&gt;"",LEFT(C4513,9),"")</f>
        <v/>
      </c>
      <c r="S4513" s="83" t="str">
        <f t="shared" si="493"/>
        <v/>
      </c>
      <c r="T4513" s="83" t="str">
        <f t="shared" si="491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2"/>
        <v/>
      </c>
      <c r="B4514" s="83" t="str">
        <f t="shared" si="497"/>
        <v/>
      </c>
      <c r="S4514" s="83" t="str">
        <f t="shared" si="493"/>
        <v/>
      </c>
      <c r="T4514" s="83" t="str">
        <f t="shared" si="491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2"/>
        <v/>
      </c>
      <c r="B4515" s="83" t="str">
        <f t="shared" si="497"/>
        <v/>
      </c>
      <c r="S4515" s="83" t="str">
        <f t="shared" si="493"/>
        <v/>
      </c>
      <c r="T4515" s="83" t="str">
        <f t="shared" si="491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2"/>
        <v/>
      </c>
      <c r="B4516" s="83" t="str">
        <f t="shared" si="497"/>
        <v/>
      </c>
      <c r="S4516" s="83" t="str">
        <f t="shared" si="493"/>
        <v/>
      </c>
      <c r="T4516" s="83" t="str">
        <f t="shared" si="491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2"/>
        <v/>
      </c>
      <c r="B4517" s="83" t="str">
        <f t="shared" si="497"/>
        <v/>
      </c>
      <c r="S4517" s="83" t="str">
        <f t="shared" si="493"/>
        <v/>
      </c>
      <c r="T4517" s="83" t="str">
        <f t="shared" si="491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2"/>
        <v/>
      </c>
      <c r="B4518" s="83" t="str">
        <f t="shared" si="497"/>
        <v/>
      </c>
      <c r="S4518" s="83" t="str">
        <f t="shared" si="493"/>
        <v/>
      </c>
      <c r="T4518" s="83" t="str">
        <f t="shared" si="491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2"/>
        <v/>
      </c>
      <c r="B4519" s="83" t="str">
        <f t="shared" si="497"/>
        <v/>
      </c>
      <c r="S4519" s="83" t="str">
        <f t="shared" si="493"/>
        <v/>
      </c>
      <c r="T4519" s="83" t="str">
        <f t="shared" si="491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2"/>
        <v/>
      </c>
      <c r="B4520" s="83" t="str">
        <f t="shared" si="497"/>
        <v/>
      </c>
      <c r="S4520" s="83" t="str">
        <f t="shared" si="493"/>
        <v/>
      </c>
      <c r="T4520" s="83" t="str">
        <f t="shared" si="491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2"/>
        <v/>
      </c>
      <c r="B4521" s="83" t="str">
        <f t="shared" si="497"/>
        <v/>
      </c>
      <c r="S4521" s="83" t="str">
        <f t="shared" si="493"/>
        <v/>
      </c>
      <c r="T4521" s="83" t="str">
        <f t="shared" si="491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2"/>
        <v/>
      </c>
      <c r="B4522" s="83" t="str">
        <f t="shared" si="497"/>
        <v/>
      </c>
      <c r="S4522" s="83" t="str">
        <f t="shared" si="493"/>
        <v/>
      </c>
      <c r="T4522" s="83" t="str">
        <f t="shared" si="491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2"/>
        <v/>
      </c>
      <c r="B4523" s="83" t="str">
        <f t="shared" si="497"/>
        <v/>
      </c>
      <c r="S4523" s="83" t="str">
        <f t="shared" si="493"/>
        <v/>
      </c>
      <c r="T4523" s="83" t="str">
        <f t="shared" si="491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2"/>
        <v/>
      </c>
      <c r="B4524" s="83" t="str">
        <f t="shared" si="497"/>
        <v/>
      </c>
      <c r="S4524" s="83" t="str">
        <f t="shared" si="493"/>
        <v/>
      </c>
      <c r="T4524" s="83" t="str">
        <f t="shared" si="491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2"/>
        <v/>
      </c>
      <c r="B4525" s="83" t="str">
        <f t="shared" si="497"/>
        <v/>
      </c>
      <c r="S4525" s="83" t="str">
        <f t="shared" si="493"/>
        <v/>
      </c>
      <c r="T4525" s="83" t="str">
        <f t="shared" si="491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2"/>
        <v/>
      </c>
      <c r="B4526" s="83" t="str">
        <f t="shared" si="497"/>
        <v/>
      </c>
      <c r="S4526" s="83" t="str">
        <f t="shared" si="493"/>
        <v/>
      </c>
      <c r="T4526" s="83" t="str">
        <f t="shared" si="491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2"/>
        <v/>
      </c>
      <c r="B4527" s="83" t="str">
        <f t="shared" si="497"/>
        <v/>
      </c>
      <c r="S4527" s="83" t="str">
        <f t="shared" si="493"/>
        <v/>
      </c>
      <c r="T4527" s="83" t="str">
        <f t="shared" si="491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2"/>
        <v/>
      </c>
      <c r="B4528" s="83" t="str">
        <f t="shared" si="497"/>
        <v/>
      </c>
      <c r="S4528" s="83" t="str">
        <f t="shared" si="493"/>
        <v/>
      </c>
      <c r="T4528" s="83" t="str">
        <f t="shared" si="491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2"/>
        <v/>
      </c>
      <c r="B4529" s="83" t="str">
        <f t="shared" si="497"/>
        <v/>
      </c>
      <c r="S4529" s="83" t="str">
        <f t="shared" si="493"/>
        <v/>
      </c>
      <c r="T4529" s="83" t="str">
        <f t="shared" si="491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2"/>
        <v/>
      </c>
      <c r="B4530" s="83" t="str">
        <f t="shared" si="497"/>
        <v/>
      </c>
      <c r="S4530" s="83" t="str">
        <f t="shared" si="493"/>
        <v/>
      </c>
      <c r="T4530" s="83" t="str">
        <f t="shared" si="491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2"/>
        <v/>
      </c>
      <c r="B4531" s="83" t="str">
        <f t="shared" si="497"/>
        <v/>
      </c>
      <c r="S4531" s="83" t="str">
        <f t="shared" si="493"/>
        <v/>
      </c>
      <c r="T4531" s="83" t="str">
        <f t="shared" si="491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2"/>
        <v/>
      </c>
      <c r="B4532" s="83" t="str">
        <f t="shared" si="497"/>
        <v/>
      </c>
      <c r="S4532" s="83" t="str">
        <f t="shared" si="493"/>
        <v/>
      </c>
      <c r="T4532" s="83" t="str">
        <f t="shared" si="491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2"/>
        <v/>
      </c>
      <c r="B4533" s="83" t="str">
        <f t="shared" si="497"/>
        <v/>
      </c>
      <c r="S4533" s="83" t="str">
        <f t="shared" si="493"/>
        <v/>
      </c>
      <c r="T4533" s="83" t="str">
        <f t="shared" si="491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2"/>
        <v/>
      </c>
      <c r="B4534" s="83" t="str">
        <f t="shared" si="497"/>
        <v/>
      </c>
      <c r="S4534" s="83" t="str">
        <f t="shared" si="493"/>
        <v/>
      </c>
      <c r="T4534" s="83" t="str">
        <f t="shared" si="491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2"/>
        <v/>
      </c>
      <c r="B4535" s="83" t="str">
        <f t="shared" si="497"/>
        <v/>
      </c>
      <c r="S4535" s="83" t="str">
        <f t="shared" si="493"/>
        <v/>
      </c>
      <c r="T4535" s="83" t="str">
        <f t="shared" si="491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2"/>
        <v/>
      </c>
      <c r="B4536" s="83" t="str">
        <f t="shared" si="497"/>
        <v/>
      </c>
      <c r="S4536" s="83" t="str">
        <f t="shared" si="493"/>
        <v/>
      </c>
      <c r="T4536" s="83" t="str">
        <f t="shared" si="491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2"/>
        <v/>
      </c>
      <c r="B4537" s="83" t="str">
        <f t="shared" si="497"/>
        <v/>
      </c>
      <c r="S4537" s="83" t="str">
        <f t="shared" si="493"/>
        <v/>
      </c>
      <c r="T4537" s="83" t="str">
        <f t="shared" si="491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2"/>
        <v/>
      </c>
      <c r="B4538" s="83" t="str">
        <f t="shared" si="497"/>
        <v/>
      </c>
      <c r="S4538" s="83" t="str">
        <f t="shared" si="493"/>
        <v/>
      </c>
      <c r="T4538" s="83" t="str">
        <f t="shared" si="491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2"/>
        <v/>
      </c>
      <c r="B4539" s="83" t="str">
        <f t="shared" si="497"/>
        <v/>
      </c>
      <c r="S4539" s="83" t="str">
        <f t="shared" si="493"/>
        <v/>
      </c>
      <c r="T4539" s="83" t="str">
        <f t="shared" si="491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2"/>
        <v/>
      </c>
      <c r="B4540" s="83" t="str">
        <f t="shared" si="497"/>
        <v/>
      </c>
      <c r="S4540" s="83" t="str">
        <f t="shared" si="493"/>
        <v/>
      </c>
      <c r="T4540" s="83" t="str">
        <f t="shared" si="491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2"/>
        <v/>
      </c>
      <c r="B4541" s="83" t="str">
        <f t="shared" si="497"/>
        <v/>
      </c>
      <c r="S4541" s="83" t="str">
        <f t="shared" si="493"/>
        <v/>
      </c>
      <c r="T4541" s="83" t="str">
        <f t="shared" si="491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2"/>
        <v/>
      </c>
      <c r="B4542" s="83" t="str">
        <f t="shared" si="497"/>
        <v/>
      </c>
      <c r="S4542" s="83" t="str">
        <f t="shared" si="493"/>
        <v/>
      </c>
      <c r="T4542" s="83" t="str">
        <f t="shared" si="491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2"/>
        <v/>
      </c>
      <c r="B4543" s="83" t="str">
        <f t="shared" si="497"/>
        <v/>
      </c>
      <c r="S4543" s="83" t="str">
        <f t="shared" si="493"/>
        <v/>
      </c>
      <c r="T4543" s="83" t="str">
        <f t="shared" si="491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2"/>
        <v/>
      </c>
      <c r="B4544" s="83" t="str">
        <f t="shared" si="497"/>
        <v/>
      </c>
      <c r="S4544" s="83" t="str">
        <f t="shared" si="493"/>
        <v/>
      </c>
      <c r="T4544" s="83" t="str">
        <f t="shared" si="491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2"/>
        <v/>
      </c>
      <c r="B4545" s="83" t="str">
        <f t="shared" si="497"/>
        <v/>
      </c>
      <c r="S4545" s="83" t="str">
        <f t="shared" si="493"/>
        <v/>
      </c>
      <c r="T4545" s="83" t="str">
        <f t="shared" si="491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2"/>
        <v/>
      </c>
      <c r="B4546" s="83" t="str">
        <f t="shared" si="497"/>
        <v/>
      </c>
      <c r="S4546" s="83" t="str">
        <f t="shared" si="493"/>
        <v/>
      </c>
      <c r="T4546" s="83" t="str">
        <f t="shared" ref="T4546:T4609" si="498">IF(A4546&lt;&gt;"",IF(FIND(" ",G4546)&gt;=1,MID(G4546,FIND(" ",G4546)+1,LEN(G4546)),""),"")</f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9">IF(G4547&amp;Q4547&lt;&gt;"",S4547&amp;Q4547,"")</f>
        <v/>
      </c>
      <c r="B4547" s="83" t="str">
        <f t="shared" si="497"/>
        <v/>
      </c>
      <c r="S4547" s="83" t="str">
        <f t="shared" ref="S4547:S4610" si="500">IF(G4547&lt;&gt;"",IF(FIND(" ",G4547)&gt;=1,MID(G4547,1,FIND(" ",G4547)-1),G4547),"")</f>
        <v/>
      </c>
      <c r="T4547" s="83" t="str">
        <f t="shared" si="498"/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9"/>
        <v/>
      </c>
      <c r="B4548" s="83" t="str">
        <f t="shared" si="497"/>
        <v/>
      </c>
      <c r="S4548" s="83" t="str">
        <f t="shared" si="500"/>
        <v/>
      </c>
      <c r="T4548" s="83" t="str">
        <f t="shared" si="498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9"/>
        <v/>
      </c>
      <c r="B4549" s="83" t="str">
        <f t="shared" si="497"/>
        <v/>
      </c>
      <c r="S4549" s="83" t="str">
        <f t="shared" si="500"/>
        <v/>
      </c>
      <c r="T4549" s="83" t="str">
        <f t="shared" si="498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9"/>
        <v/>
      </c>
      <c r="B4550" s="83" t="str">
        <f t="shared" si="497"/>
        <v/>
      </c>
      <c r="S4550" s="83" t="str">
        <f t="shared" si="500"/>
        <v/>
      </c>
      <c r="T4550" s="83" t="str">
        <f t="shared" si="498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9"/>
        <v/>
      </c>
      <c r="B4551" s="83" t="str">
        <f t="shared" si="497"/>
        <v/>
      </c>
      <c r="S4551" s="83" t="str">
        <f t="shared" si="500"/>
        <v/>
      </c>
      <c r="T4551" s="83" t="str">
        <f t="shared" si="498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9"/>
        <v/>
      </c>
      <c r="B4552" s="83" t="str">
        <f t="shared" si="497"/>
        <v/>
      </c>
      <c r="S4552" s="83" t="str">
        <f t="shared" si="500"/>
        <v/>
      </c>
      <c r="T4552" s="83" t="str">
        <f t="shared" si="498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9"/>
        <v/>
      </c>
      <c r="B4553" s="83" t="str">
        <f t="shared" si="497"/>
        <v/>
      </c>
      <c r="S4553" s="83" t="str">
        <f t="shared" si="500"/>
        <v/>
      </c>
      <c r="T4553" s="83" t="str">
        <f t="shared" si="498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9"/>
        <v/>
      </c>
      <c r="B4554" s="83" t="str">
        <f t="shared" si="497"/>
        <v/>
      </c>
      <c r="S4554" s="83" t="str">
        <f t="shared" si="500"/>
        <v/>
      </c>
      <c r="T4554" s="83" t="str">
        <f t="shared" si="498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9"/>
        <v/>
      </c>
      <c r="B4555" s="83" t="str">
        <f t="shared" si="497"/>
        <v/>
      </c>
      <c r="S4555" s="83" t="str">
        <f t="shared" si="500"/>
        <v/>
      </c>
      <c r="T4555" s="83" t="str">
        <f t="shared" si="498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9"/>
        <v/>
      </c>
      <c r="B4556" s="83" t="str">
        <f t="shared" si="497"/>
        <v/>
      </c>
      <c r="S4556" s="83" t="str">
        <f t="shared" si="500"/>
        <v/>
      </c>
      <c r="T4556" s="83" t="str">
        <f t="shared" si="498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9"/>
        <v/>
      </c>
      <c r="B4557" s="83" t="str">
        <f t="shared" si="497"/>
        <v/>
      </c>
      <c r="S4557" s="83" t="str">
        <f t="shared" si="500"/>
        <v/>
      </c>
      <c r="T4557" s="83" t="str">
        <f t="shared" si="498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9"/>
        <v/>
      </c>
      <c r="B4558" s="83" t="str">
        <f t="shared" si="497"/>
        <v/>
      </c>
      <c r="S4558" s="83" t="str">
        <f t="shared" si="500"/>
        <v/>
      </c>
      <c r="T4558" s="83" t="str">
        <f t="shared" si="498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9"/>
        <v/>
      </c>
      <c r="B4559" s="83" t="str">
        <f t="shared" si="497"/>
        <v/>
      </c>
      <c r="S4559" s="83" t="str">
        <f t="shared" si="500"/>
        <v/>
      </c>
      <c r="T4559" s="83" t="str">
        <f t="shared" si="498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9"/>
        <v/>
      </c>
      <c r="B4560" s="83" t="str">
        <f t="shared" si="497"/>
        <v/>
      </c>
      <c r="S4560" s="83" t="str">
        <f t="shared" si="500"/>
        <v/>
      </c>
      <c r="T4560" s="83" t="str">
        <f t="shared" si="498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9"/>
        <v/>
      </c>
      <c r="B4561" s="83" t="str">
        <f t="shared" si="497"/>
        <v/>
      </c>
      <c r="S4561" s="83" t="str">
        <f t="shared" si="500"/>
        <v/>
      </c>
      <c r="T4561" s="83" t="str">
        <f t="shared" si="498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9"/>
        <v/>
      </c>
      <c r="B4562" s="83" t="str">
        <f t="shared" si="497"/>
        <v/>
      </c>
      <c r="S4562" s="83" t="str">
        <f t="shared" si="500"/>
        <v/>
      </c>
      <c r="T4562" s="83" t="str">
        <f t="shared" si="498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9"/>
        <v/>
      </c>
      <c r="B4563" s="83" t="str">
        <f t="shared" si="497"/>
        <v/>
      </c>
      <c r="S4563" s="83" t="str">
        <f t="shared" si="500"/>
        <v/>
      </c>
      <c r="T4563" s="83" t="str">
        <f t="shared" si="498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9"/>
        <v/>
      </c>
      <c r="B4564" s="83" t="str">
        <f t="shared" si="497"/>
        <v/>
      </c>
      <c r="S4564" s="83" t="str">
        <f t="shared" si="500"/>
        <v/>
      </c>
      <c r="T4564" s="83" t="str">
        <f t="shared" si="498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9"/>
        <v/>
      </c>
      <c r="B4565" s="83" t="str">
        <f t="shared" si="497"/>
        <v/>
      </c>
      <c r="S4565" s="83" t="str">
        <f t="shared" si="500"/>
        <v/>
      </c>
      <c r="T4565" s="83" t="str">
        <f t="shared" si="498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9"/>
        <v/>
      </c>
      <c r="B4566" s="83" t="str">
        <f t="shared" si="497"/>
        <v/>
      </c>
      <c r="S4566" s="83" t="str">
        <f t="shared" si="500"/>
        <v/>
      </c>
      <c r="T4566" s="83" t="str">
        <f t="shared" si="498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9"/>
        <v/>
      </c>
      <c r="B4567" s="83" t="str">
        <f t="shared" si="497"/>
        <v/>
      </c>
      <c r="S4567" s="83" t="str">
        <f t="shared" si="500"/>
        <v/>
      </c>
      <c r="T4567" s="83" t="str">
        <f t="shared" si="498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9"/>
        <v/>
      </c>
      <c r="B4568" s="83" t="str">
        <f t="shared" si="497"/>
        <v/>
      </c>
      <c r="S4568" s="83" t="str">
        <f t="shared" si="500"/>
        <v/>
      </c>
      <c r="T4568" s="83" t="str">
        <f t="shared" si="498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9"/>
        <v/>
      </c>
      <c r="B4569" s="83" t="str">
        <f t="shared" si="497"/>
        <v/>
      </c>
      <c r="S4569" s="83" t="str">
        <f t="shared" si="500"/>
        <v/>
      </c>
      <c r="T4569" s="83" t="str">
        <f t="shared" si="498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9"/>
        <v/>
      </c>
      <c r="B4570" s="83" t="str">
        <f t="shared" si="497"/>
        <v/>
      </c>
      <c r="S4570" s="83" t="str">
        <f t="shared" si="500"/>
        <v/>
      </c>
      <c r="T4570" s="83" t="str">
        <f t="shared" si="498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9"/>
        <v/>
      </c>
      <c r="B4571" s="83" t="str">
        <f t="shared" si="497"/>
        <v/>
      </c>
      <c r="S4571" s="83" t="str">
        <f t="shared" si="500"/>
        <v/>
      </c>
      <c r="T4571" s="83" t="str">
        <f t="shared" si="498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9"/>
        <v/>
      </c>
      <c r="B4572" s="83" t="str">
        <f t="shared" si="497"/>
        <v/>
      </c>
      <c r="S4572" s="83" t="str">
        <f t="shared" si="500"/>
        <v/>
      </c>
      <c r="T4572" s="83" t="str">
        <f t="shared" si="498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9"/>
        <v/>
      </c>
      <c r="B4573" s="83" t="str">
        <f t="shared" si="497"/>
        <v/>
      </c>
      <c r="S4573" s="83" t="str">
        <f t="shared" si="500"/>
        <v/>
      </c>
      <c r="T4573" s="83" t="str">
        <f t="shared" si="498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9"/>
        <v/>
      </c>
      <c r="B4574" s="83" t="str">
        <f t="shared" si="497"/>
        <v/>
      </c>
      <c r="S4574" s="83" t="str">
        <f t="shared" si="500"/>
        <v/>
      </c>
      <c r="T4574" s="83" t="str">
        <f t="shared" si="498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9"/>
        <v/>
      </c>
      <c r="B4575" s="83" t="str">
        <f t="shared" si="497"/>
        <v/>
      </c>
      <c r="S4575" s="83" t="str">
        <f t="shared" si="500"/>
        <v/>
      </c>
      <c r="T4575" s="83" t="str">
        <f t="shared" si="498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9"/>
        <v/>
      </c>
      <c r="B4576" s="83" t="str">
        <f t="shared" si="497"/>
        <v/>
      </c>
      <c r="S4576" s="83" t="str">
        <f t="shared" si="500"/>
        <v/>
      </c>
      <c r="T4576" s="83" t="str">
        <f t="shared" si="498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9"/>
        <v/>
      </c>
      <c r="B4577" s="83" t="str">
        <f t="shared" ref="B4577:B4640" si="504">IF(C4577&lt;&gt;"",LEFT(C4577,9),"")</f>
        <v/>
      </c>
      <c r="S4577" s="83" t="str">
        <f t="shared" si="500"/>
        <v/>
      </c>
      <c r="T4577" s="83" t="str">
        <f t="shared" si="498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9"/>
        <v/>
      </c>
      <c r="B4578" s="83" t="str">
        <f t="shared" si="504"/>
        <v/>
      </c>
      <c r="S4578" s="83" t="str">
        <f t="shared" si="500"/>
        <v/>
      </c>
      <c r="T4578" s="83" t="str">
        <f t="shared" si="498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9"/>
        <v/>
      </c>
      <c r="B4579" s="83" t="str">
        <f t="shared" si="504"/>
        <v/>
      </c>
      <c r="S4579" s="83" t="str">
        <f t="shared" si="500"/>
        <v/>
      </c>
      <c r="T4579" s="83" t="str">
        <f t="shared" si="498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9"/>
        <v/>
      </c>
      <c r="B4580" s="83" t="str">
        <f t="shared" si="504"/>
        <v/>
      </c>
      <c r="S4580" s="83" t="str">
        <f t="shared" si="500"/>
        <v/>
      </c>
      <c r="T4580" s="83" t="str">
        <f t="shared" si="498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9"/>
        <v/>
      </c>
      <c r="B4581" s="83" t="str">
        <f t="shared" si="504"/>
        <v/>
      </c>
      <c r="S4581" s="83" t="str">
        <f t="shared" si="500"/>
        <v/>
      </c>
      <c r="T4581" s="83" t="str">
        <f t="shared" si="498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9"/>
        <v/>
      </c>
      <c r="B4582" s="83" t="str">
        <f t="shared" si="504"/>
        <v/>
      </c>
      <c r="S4582" s="83" t="str">
        <f t="shared" si="500"/>
        <v/>
      </c>
      <c r="T4582" s="83" t="str">
        <f t="shared" si="498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9"/>
        <v/>
      </c>
      <c r="B4583" s="83" t="str">
        <f t="shared" si="504"/>
        <v/>
      </c>
      <c r="S4583" s="83" t="str">
        <f t="shared" si="500"/>
        <v/>
      </c>
      <c r="T4583" s="83" t="str">
        <f t="shared" si="498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9"/>
        <v/>
      </c>
      <c r="B4584" s="83" t="str">
        <f t="shared" si="504"/>
        <v/>
      </c>
      <c r="S4584" s="83" t="str">
        <f t="shared" si="500"/>
        <v/>
      </c>
      <c r="T4584" s="83" t="str">
        <f t="shared" si="498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9"/>
        <v/>
      </c>
      <c r="B4585" s="83" t="str">
        <f t="shared" si="504"/>
        <v/>
      </c>
      <c r="S4585" s="83" t="str">
        <f t="shared" si="500"/>
        <v/>
      </c>
      <c r="T4585" s="83" t="str">
        <f t="shared" si="498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9"/>
        <v/>
      </c>
      <c r="B4586" s="83" t="str">
        <f t="shared" si="504"/>
        <v/>
      </c>
      <c r="S4586" s="83" t="str">
        <f t="shared" si="500"/>
        <v/>
      </c>
      <c r="T4586" s="83" t="str">
        <f t="shared" si="498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9"/>
        <v/>
      </c>
      <c r="B4587" s="83" t="str">
        <f t="shared" si="504"/>
        <v/>
      </c>
      <c r="S4587" s="83" t="str">
        <f t="shared" si="500"/>
        <v/>
      </c>
      <c r="T4587" s="83" t="str">
        <f t="shared" si="498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9"/>
        <v/>
      </c>
      <c r="B4588" s="83" t="str">
        <f t="shared" si="504"/>
        <v/>
      </c>
      <c r="S4588" s="83" t="str">
        <f t="shared" si="500"/>
        <v/>
      </c>
      <c r="T4588" s="83" t="str">
        <f t="shared" si="498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9"/>
        <v/>
      </c>
      <c r="B4589" s="83" t="str">
        <f t="shared" si="504"/>
        <v/>
      </c>
      <c r="S4589" s="83" t="str">
        <f t="shared" si="500"/>
        <v/>
      </c>
      <c r="T4589" s="83" t="str">
        <f t="shared" si="498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9"/>
        <v/>
      </c>
      <c r="B4590" s="83" t="str">
        <f t="shared" si="504"/>
        <v/>
      </c>
      <c r="S4590" s="83" t="str">
        <f t="shared" si="500"/>
        <v/>
      </c>
      <c r="T4590" s="83" t="str">
        <f t="shared" si="498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9"/>
        <v/>
      </c>
      <c r="B4591" s="83" t="str">
        <f t="shared" si="504"/>
        <v/>
      </c>
      <c r="S4591" s="83" t="str">
        <f t="shared" si="500"/>
        <v/>
      </c>
      <c r="T4591" s="83" t="str">
        <f t="shared" si="498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9"/>
        <v/>
      </c>
      <c r="B4592" s="83" t="str">
        <f t="shared" si="504"/>
        <v/>
      </c>
      <c r="S4592" s="83" t="str">
        <f t="shared" si="500"/>
        <v/>
      </c>
      <c r="T4592" s="83" t="str">
        <f t="shared" si="498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9"/>
        <v/>
      </c>
      <c r="B4593" s="83" t="str">
        <f t="shared" si="504"/>
        <v/>
      </c>
      <c r="S4593" s="83" t="str">
        <f t="shared" si="500"/>
        <v/>
      </c>
      <c r="T4593" s="83" t="str">
        <f t="shared" si="498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9"/>
        <v/>
      </c>
      <c r="B4594" s="83" t="str">
        <f t="shared" si="504"/>
        <v/>
      </c>
      <c r="S4594" s="83" t="str">
        <f t="shared" si="500"/>
        <v/>
      </c>
      <c r="T4594" s="83" t="str">
        <f t="shared" si="498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9"/>
        <v/>
      </c>
      <c r="B4595" s="83" t="str">
        <f t="shared" si="504"/>
        <v/>
      </c>
      <c r="S4595" s="83" t="str">
        <f t="shared" si="500"/>
        <v/>
      </c>
      <c r="T4595" s="83" t="str">
        <f t="shared" si="498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9"/>
        <v/>
      </c>
      <c r="B4596" s="83" t="str">
        <f t="shared" si="504"/>
        <v/>
      </c>
      <c r="S4596" s="83" t="str">
        <f t="shared" si="500"/>
        <v/>
      </c>
      <c r="T4596" s="83" t="str">
        <f t="shared" si="498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9"/>
        <v/>
      </c>
      <c r="B4597" s="83" t="str">
        <f t="shared" si="504"/>
        <v/>
      </c>
      <c r="S4597" s="83" t="str">
        <f t="shared" si="500"/>
        <v/>
      </c>
      <c r="T4597" s="83" t="str">
        <f t="shared" si="498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9"/>
        <v/>
      </c>
      <c r="B4598" s="83" t="str">
        <f t="shared" si="504"/>
        <v/>
      </c>
      <c r="S4598" s="83" t="str">
        <f t="shared" si="500"/>
        <v/>
      </c>
      <c r="T4598" s="83" t="str">
        <f t="shared" si="498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9"/>
        <v/>
      </c>
      <c r="B4599" s="83" t="str">
        <f t="shared" si="504"/>
        <v/>
      </c>
      <c r="S4599" s="83" t="str">
        <f t="shared" si="500"/>
        <v/>
      </c>
      <c r="T4599" s="83" t="str">
        <f t="shared" si="498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9"/>
        <v/>
      </c>
      <c r="B4600" s="83" t="str">
        <f t="shared" si="504"/>
        <v/>
      </c>
      <c r="S4600" s="83" t="str">
        <f t="shared" si="500"/>
        <v/>
      </c>
      <c r="T4600" s="83" t="str">
        <f t="shared" si="498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9"/>
        <v/>
      </c>
      <c r="B4601" s="83" t="str">
        <f t="shared" si="504"/>
        <v/>
      </c>
      <c r="S4601" s="83" t="str">
        <f t="shared" si="500"/>
        <v/>
      </c>
      <c r="T4601" s="83" t="str">
        <f t="shared" si="498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9"/>
        <v/>
      </c>
      <c r="B4602" s="83" t="str">
        <f t="shared" si="504"/>
        <v/>
      </c>
      <c r="S4602" s="83" t="str">
        <f t="shared" si="500"/>
        <v/>
      </c>
      <c r="T4602" s="83" t="str">
        <f t="shared" si="498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9"/>
        <v/>
      </c>
      <c r="B4603" s="83" t="str">
        <f t="shared" si="504"/>
        <v/>
      </c>
      <c r="S4603" s="83" t="str">
        <f t="shared" si="500"/>
        <v/>
      </c>
      <c r="T4603" s="83" t="str">
        <f t="shared" si="498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9"/>
        <v/>
      </c>
      <c r="B4604" s="83" t="str">
        <f t="shared" si="504"/>
        <v/>
      </c>
      <c r="S4604" s="83" t="str">
        <f t="shared" si="500"/>
        <v/>
      </c>
      <c r="T4604" s="83" t="str">
        <f t="shared" si="498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9"/>
        <v/>
      </c>
      <c r="B4605" s="83" t="str">
        <f t="shared" si="504"/>
        <v/>
      </c>
      <c r="S4605" s="83" t="str">
        <f t="shared" si="500"/>
        <v/>
      </c>
      <c r="T4605" s="83" t="str">
        <f t="shared" si="498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9"/>
        <v/>
      </c>
      <c r="B4606" s="83" t="str">
        <f t="shared" si="504"/>
        <v/>
      </c>
      <c r="S4606" s="83" t="str">
        <f t="shared" si="500"/>
        <v/>
      </c>
      <c r="T4606" s="83" t="str">
        <f t="shared" si="498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9"/>
        <v/>
      </c>
      <c r="B4607" s="83" t="str">
        <f t="shared" si="504"/>
        <v/>
      </c>
      <c r="S4607" s="83" t="str">
        <f t="shared" si="500"/>
        <v/>
      </c>
      <c r="T4607" s="83" t="str">
        <f t="shared" si="498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9"/>
        <v/>
      </c>
      <c r="B4608" s="83" t="str">
        <f t="shared" si="504"/>
        <v/>
      </c>
      <c r="S4608" s="83" t="str">
        <f t="shared" si="500"/>
        <v/>
      </c>
      <c r="T4608" s="83" t="str">
        <f t="shared" si="498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9"/>
        <v/>
      </c>
      <c r="B4609" s="83" t="str">
        <f t="shared" si="504"/>
        <v/>
      </c>
      <c r="S4609" s="83" t="str">
        <f t="shared" si="500"/>
        <v/>
      </c>
      <c r="T4609" s="83" t="str">
        <f t="shared" si="498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9"/>
        <v/>
      </c>
      <c r="B4610" s="83" t="str">
        <f t="shared" si="504"/>
        <v/>
      </c>
      <c r="S4610" s="83" t="str">
        <f t="shared" si="500"/>
        <v/>
      </c>
      <c r="T4610" s="83" t="str">
        <f t="shared" ref="T4610:T4673" si="505">IF(A4610&lt;&gt;"",IF(FIND(" ",G4610)&gt;=1,MID(G4610,FIND(" ",G4610)+1,LEN(G4610)),""),"")</f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6">IF(G4611&amp;Q4611&lt;&gt;"",S4611&amp;Q4611,"")</f>
        <v/>
      </c>
      <c r="B4611" s="83" t="str">
        <f t="shared" si="504"/>
        <v/>
      </c>
      <c r="S4611" s="83" t="str">
        <f t="shared" ref="S4611:S4674" si="507">IF(G4611&lt;&gt;"",IF(FIND(" ",G4611)&gt;=1,MID(G4611,1,FIND(" ",G4611)-1),G4611),"")</f>
        <v/>
      </c>
      <c r="T4611" s="83" t="str">
        <f t="shared" si="505"/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6"/>
        <v/>
      </c>
      <c r="B4612" s="83" t="str">
        <f t="shared" si="504"/>
        <v/>
      </c>
      <c r="S4612" s="83" t="str">
        <f t="shared" si="507"/>
        <v/>
      </c>
      <c r="T4612" s="83" t="str">
        <f t="shared" si="505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6"/>
        <v/>
      </c>
      <c r="B4613" s="83" t="str">
        <f t="shared" si="504"/>
        <v/>
      </c>
      <c r="S4613" s="83" t="str">
        <f t="shared" si="507"/>
        <v/>
      </c>
      <c r="T4613" s="83" t="str">
        <f t="shared" si="505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6"/>
        <v/>
      </c>
      <c r="B4614" s="83" t="str">
        <f t="shared" si="504"/>
        <v/>
      </c>
      <c r="S4614" s="83" t="str">
        <f t="shared" si="507"/>
        <v/>
      </c>
      <c r="T4614" s="83" t="str">
        <f t="shared" si="505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6"/>
        <v/>
      </c>
      <c r="B4615" s="83" t="str">
        <f t="shared" si="504"/>
        <v/>
      </c>
      <c r="S4615" s="83" t="str">
        <f t="shared" si="507"/>
        <v/>
      </c>
      <c r="T4615" s="83" t="str">
        <f t="shared" si="505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6"/>
        <v/>
      </c>
      <c r="B4616" s="83" t="str">
        <f t="shared" si="504"/>
        <v/>
      </c>
      <c r="S4616" s="83" t="str">
        <f t="shared" si="507"/>
        <v/>
      </c>
      <c r="T4616" s="83" t="str">
        <f t="shared" si="505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6"/>
        <v/>
      </c>
      <c r="B4617" s="83" t="str">
        <f t="shared" si="504"/>
        <v/>
      </c>
      <c r="S4617" s="83" t="str">
        <f t="shared" si="507"/>
        <v/>
      </c>
      <c r="T4617" s="83" t="str">
        <f t="shared" si="505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6"/>
        <v/>
      </c>
      <c r="B4618" s="83" t="str">
        <f t="shared" si="504"/>
        <v/>
      </c>
      <c r="S4618" s="83" t="str">
        <f t="shared" si="507"/>
        <v/>
      </c>
      <c r="T4618" s="83" t="str">
        <f t="shared" si="505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6"/>
        <v/>
      </c>
      <c r="B4619" s="83" t="str">
        <f t="shared" si="504"/>
        <v/>
      </c>
      <c r="S4619" s="83" t="str">
        <f t="shared" si="507"/>
        <v/>
      </c>
      <c r="T4619" s="83" t="str">
        <f t="shared" si="505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6"/>
        <v/>
      </c>
      <c r="B4620" s="83" t="str">
        <f t="shared" si="504"/>
        <v/>
      </c>
      <c r="S4620" s="83" t="str">
        <f t="shared" si="507"/>
        <v/>
      </c>
      <c r="T4620" s="83" t="str">
        <f t="shared" si="505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6"/>
        <v/>
      </c>
      <c r="B4621" s="83" t="str">
        <f t="shared" si="504"/>
        <v/>
      </c>
      <c r="S4621" s="83" t="str">
        <f t="shared" si="507"/>
        <v/>
      </c>
      <c r="T4621" s="83" t="str">
        <f t="shared" si="505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6"/>
        <v/>
      </c>
      <c r="B4622" s="83" t="str">
        <f t="shared" si="504"/>
        <v/>
      </c>
      <c r="S4622" s="83" t="str">
        <f t="shared" si="507"/>
        <v/>
      </c>
      <c r="T4622" s="83" t="str">
        <f t="shared" si="505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6"/>
        <v/>
      </c>
      <c r="B4623" s="83" t="str">
        <f t="shared" si="504"/>
        <v/>
      </c>
      <c r="S4623" s="83" t="str">
        <f t="shared" si="507"/>
        <v/>
      </c>
      <c r="T4623" s="83" t="str">
        <f t="shared" si="505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6"/>
        <v/>
      </c>
      <c r="B4624" s="83" t="str">
        <f t="shared" si="504"/>
        <v/>
      </c>
      <c r="S4624" s="83" t="str">
        <f t="shared" si="507"/>
        <v/>
      </c>
      <c r="T4624" s="83" t="str">
        <f t="shared" si="505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6"/>
        <v/>
      </c>
      <c r="B4625" s="83" t="str">
        <f t="shared" si="504"/>
        <v/>
      </c>
      <c r="S4625" s="83" t="str">
        <f t="shared" si="507"/>
        <v/>
      </c>
      <c r="T4625" s="83" t="str">
        <f t="shared" si="505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6"/>
        <v/>
      </c>
      <c r="B4626" s="83" t="str">
        <f t="shared" si="504"/>
        <v/>
      </c>
      <c r="S4626" s="83" t="str">
        <f t="shared" si="507"/>
        <v/>
      </c>
      <c r="T4626" s="83" t="str">
        <f t="shared" si="505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6"/>
        <v/>
      </c>
      <c r="B4627" s="83" t="str">
        <f t="shared" si="504"/>
        <v/>
      </c>
      <c r="S4627" s="83" t="str">
        <f t="shared" si="507"/>
        <v/>
      </c>
      <c r="T4627" s="83" t="str">
        <f t="shared" si="505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6"/>
        <v/>
      </c>
      <c r="B4628" s="83" t="str">
        <f t="shared" si="504"/>
        <v/>
      </c>
      <c r="S4628" s="83" t="str">
        <f t="shared" si="507"/>
        <v/>
      </c>
      <c r="T4628" s="83" t="str">
        <f t="shared" si="505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6"/>
        <v/>
      </c>
      <c r="B4629" s="83" t="str">
        <f t="shared" si="504"/>
        <v/>
      </c>
      <c r="S4629" s="83" t="str">
        <f t="shared" si="507"/>
        <v/>
      </c>
      <c r="T4629" s="83" t="str">
        <f t="shared" si="505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6"/>
        <v/>
      </c>
      <c r="B4630" s="83" t="str">
        <f t="shared" si="504"/>
        <v/>
      </c>
      <c r="S4630" s="83" t="str">
        <f t="shared" si="507"/>
        <v/>
      </c>
      <c r="T4630" s="83" t="str">
        <f t="shared" si="505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6"/>
        <v/>
      </c>
      <c r="B4631" s="83" t="str">
        <f t="shared" si="504"/>
        <v/>
      </c>
      <c r="S4631" s="83" t="str">
        <f t="shared" si="507"/>
        <v/>
      </c>
      <c r="T4631" s="83" t="str">
        <f t="shared" si="505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6"/>
        <v/>
      </c>
      <c r="B4632" s="83" t="str">
        <f t="shared" si="504"/>
        <v/>
      </c>
      <c r="S4632" s="83" t="str">
        <f t="shared" si="507"/>
        <v/>
      </c>
      <c r="T4632" s="83" t="str">
        <f t="shared" si="505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6"/>
        <v/>
      </c>
      <c r="B4633" s="83" t="str">
        <f t="shared" si="504"/>
        <v/>
      </c>
      <c r="S4633" s="83" t="str">
        <f t="shared" si="507"/>
        <v/>
      </c>
      <c r="T4633" s="83" t="str">
        <f t="shared" si="505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6"/>
        <v/>
      </c>
      <c r="B4634" s="83" t="str">
        <f t="shared" si="504"/>
        <v/>
      </c>
      <c r="S4634" s="83" t="str">
        <f t="shared" si="507"/>
        <v/>
      </c>
      <c r="T4634" s="83" t="str">
        <f t="shared" si="505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6"/>
        <v/>
      </c>
      <c r="B4635" s="83" t="str">
        <f t="shared" si="504"/>
        <v/>
      </c>
      <c r="S4635" s="83" t="str">
        <f t="shared" si="507"/>
        <v/>
      </c>
      <c r="T4635" s="83" t="str">
        <f t="shared" si="505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6"/>
        <v/>
      </c>
      <c r="B4636" s="83" t="str">
        <f t="shared" si="504"/>
        <v/>
      </c>
      <c r="S4636" s="83" t="str">
        <f t="shared" si="507"/>
        <v/>
      </c>
      <c r="T4636" s="83" t="str">
        <f t="shared" si="505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6"/>
        <v/>
      </c>
      <c r="B4637" s="83" t="str">
        <f t="shared" si="504"/>
        <v/>
      </c>
      <c r="S4637" s="83" t="str">
        <f t="shared" si="507"/>
        <v/>
      </c>
      <c r="T4637" s="83" t="str">
        <f t="shared" si="505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6"/>
        <v/>
      </c>
      <c r="B4638" s="83" t="str">
        <f t="shared" si="504"/>
        <v/>
      </c>
      <c r="S4638" s="83" t="str">
        <f t="shared" si="507"/>
        <v/>
      </c>
      <c r="T4638" s="83" t="str">
        <f t="shared" si="505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6"/>
        <v/>
      </c>
      <c r="B4639" s="83" t="str">
        <f t="shared" si="504"/>
        <v/>
      </c>
      <c r="S4639" s="83" t="str">
        <f t="shared" si="507"/>
        <v/>
      </c>
      <c r="T4639" s="83" t="str">
        <f t="shared" si="505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6"/>
        <v/>
      </c>
      <c r="B4640" s="83" t="str">
        <f t="shared" si="504"/>
        <v/>
      </c>
      <c r="S4640" s="83" t="str">
        <f t="shared" si="507"/>
        <v/>
      </c>
      <c r="T4640" s="83" t="str">
        <f t="shared" si="505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6"/>
        <v/>
      </c>
      <c r="B4641" s="83" t="str">
        <f t="shared" ref="B4641:B4704" si="511">IF(C4641&lt;&gt;"",LEFT(C4641,9),"")</f>
        <v/>
      </c>
      <c r="S4641" s="83" t="str">
        <f t="shared" si="507"/>
        <v/>
      </c>
      <c r="T4641" s="83" t="str">
        <f t="shared" si="505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6"/>
        <v/>
      </c>
      <c r="B4642" s="83" t="str">
        <f t="shared" si="511"/>
        <v/>
      </c>
      <c r="S4642" s="83" t="str">
        <f t="shared" si="507"/>
        <v/>
      </c>
      <c r="T4642" s="83" t="str">
        <f t="shared" si="505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6"/>
        <v/>
      </c>
      <c r="B4643" s="83" t="str">
        <f t="shared" si="511"/>
        <v/>
      </c>
      <c r="S4643" s="83" t="str">
        <f t="shared" si="507"/>
        <v/>
      </c>
      <c r="T4643" s="83" t="str">
        <f t="shared" si="505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6"/>
        <v/>
      </c>
      <c r="B4644" s="83" t="str">
        <f t="shared" si="511"/>
        <v/>
      </c>
      <c r="S4644" s="83" t="str">
        <f t="shared" si="507"/>
        <v/>
      </c>
      <c r="T4644" s="83" t="str">
        <f t="shared" si="505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6"/>
        <v/>
      </c>
      <c r="B4645" s="83" t="str">
        <f t="shared" si="511"/>
        <v/>
      </c>
      <c r="S4645" s="83" t="str">
        <f t="shared" si="507"/>
        <v/>
      </c>
      <c r="T4645" s="83" t="str">
        <f t="shared" si="505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6"/>
        <v/>
      </c>
      <c r="B4646" s="83" t="str">
        <f t="shared" si="511"/>
        <v/>
      </c>
      <c r="S4646" s="83" t="str">
        <f t="shared" si="507"/>
        <v/>
      </c>
      <c r="T4646" s="83" t="str">
        <f t="shared" si="505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6"/>
        <v/>
      </c>
      <c r="B4647" s="83" t="str">
        <f t="shared" si="511"/>
        <v/>
      </c>
      <c r="S4647" s="83" t="str">
        <f t="shared" si="507"/>
        <v/>
      </c>
      <c r="T4647" s="83" t="str">
        <f t="shared" si="505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6"/>
        <v/>
      </c>
      <c r="B4648" s="83" t="str">
        <f t="shared" si="511"/>
        <v/>
      </c>
      <c r="S4648" s="83" t="str">
        <f t="shared" si="507"/>
        <v/>
      </c>
      <c r="T4648" s="83" t="str">
        <f t="shared" si="505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6"/>
        <v/>
      </c>
      <c r="B4649" s="83" t="str">
        <f t="shared" si="511"/>
        <v/>
      </c>
      <c r="S4649" s="83" t="str">
        <f t="shared" si="507"/>
        <v/>
      </c>
      <c r="T4649" s="83" t="str">
        <f t="shared" si="505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6"/>
        <v/>
      </c>
      <c r="B4650" s="83" t="str">
        <f t="shared" si="511"/>
        <v/>
      </c>
      <c r="S4650" s="83" t="str">
        <f t="shared" si="507"/>
        <v/>
      </c>
      <c r="T4650" s="83" t="str">
        <f t="shared" si="505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6"/>
        <v/>
      </c>
      <c r="B4651" s="83" t="str">
        <f t="shared" si="511"/>
        <v/>
      </c>
      <c r="S4651" s="83" t="str">
        <f t="shared" si="507"/>
        <v/>
      </c>
      <c r="T4651" s="83" t="str">
        <f t="shared" si="505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6"/>
        <v/>
      </c>
      <c r="B4652" s="83" t="str">
        <f t="shared" si="511"/>
        <v/>
      </c>
      <c r="S4652" s="83" t="str">
        <f t="shared" si="507"/>
        <v/>
      </c>
      <c r="T4652" s="83" t="str">
        <f t="shared" si="505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6"/>
        <v/>
      </c>
      <c r="B4653" s="83" t="str">
        <f t="shared" si="511"/>
        <v/>
      </c>
      <c r="S4653" s="83" t="str">
        <f t="shared" si="507"/>
        <v/>
      </c>
      <c r="T4653" s="83" t="str">
        <f t="shared" si="505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6"/>
        <v/>
      </c>
      <c r="B4654" s="83" t="str">
        <f t="shared" si="511"/>
        <v/>
      </c>
      <c r="S4654" s="83" t="str">
        <f t="shared" si="507"/>
        <v/>
      </c>
      <c r="T4654" s="83" t="str">
        <f t="shared" si="505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6"/>
        <v/>
      </c>
      <c r="B4655" s="83" t="str">
        <f t="shared" si="511"/>
        <v/>
      </c>
      <c r="S4655" s="83" t="str">
        <f t="shared" si="507"/>
        <v/>
      </c>
      <c r="T4655" s="83" t="str">
        <f t="shared" si="505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6"/>
        <v/>
      </c>
      <c r="B4656" s="83" t="str">
        <f t="shared" si="511"/>
        <v/>
      </c>
      <c r="S4656" s="83" t="str">
        <f t="shared" si="507"/>
        <v/>
      </c>
      <c r="T4656" s="83" t="str">
        <f t="shared" si="505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6"/>
        <v/>
      </c>
      <c r="B4657" s="83" t="str">
        <f t="shared" si="511"/>
        <v/>
      </c>
      <c r="S4657" s="83" t="str">
        <f t="shared" si="507"/>
        <v/>
      </c>
      <c r="T4657" s="83" t="str">
        <f t="shared" si="505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6"/>
        <v/>
      </c>
      <c r="B4658" s="83" t="str">
        <f t="shared" si="511"/>
        <v/>
      </c>
      <c r="S4658" s="83" t="str">
        <f t="shared" si="507"/>
        <v/>
      </c>
      <c r="T4658" s="83" t="str">
        <f t="shared" si="505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6"/>
        <v/>
      </c>
      <c r="B4659" s="83" t="str">
        <f t="shared" si="511"/>
        <v/>
      </c>
      <c r="S4659" s="83" t="str">
        <f t="shared" si="507"/>
        <v/>
      </c>
      <c r="T4659" s="83" t="str">
        <f t="shared" si="505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6"/>
        <v/>
      </c>
      <c r="B4660" s="83" t="str">
        <f t="shared" si="511"/>
        <v/>
      </c>
      <c r="S4660" s="83" t="str">
        <f t="shared" si="507"/>
        <v/>
      </c>
      <c r="T4660" s="83" t="str">
        <f t="shared" si="505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6"/>
        <v/>
      </c>
      <c r="B4661" s="83" t="str">
        <f t="shared" si="511"/>
        <v/>
      </c>
      <c r="S4661" s="83" t="str">
        <f t="shared" si="507"/>
        <v/>
      </c>
      <c r="T4661" s="83" t="str">
        <f t="shared" si="505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6"/>
        <v/>
      </c>
      <c r="B4662" s="83" t="str">
        <f t="shared" si="511"/>
        <v/>
      </c>
      <c r="S4662" s="83" t="str">
        <f t="shared" si="507"/>
        <v/>
      </c>
      <c r="T4662" s="83" t="str">
        <f t="shared" si="505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6"/>
        <v/>
      </c>
      <c r="B4663" s="83" t="str">
        <f t="shared" si="511"/>
        <v/>
      </c>
      <c r="S4663" s="83" t="str">
        <f t="shared" si="507"/>
        <v/>
      </c>
      <c r="T4663" s="83" t="str">
        <f t="shared" si="505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6"/>
        <v/>
      </c>
      <c r="B4664" s="83" t="str">
        <f t="shared" si="511"/>
        <v/>
      </c>
      <c r="S4664" s="83" t="str">
        <f t="shared" si="507"/>
        <v/>
      </c>
      <c r="T4664" s="83" t="str">
        <f t="shared" si="505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6"/>
        <v/>
      </c>
      <c r="B4665" s="83" t="str">
        <f t="shared" si="511"/>
        <v/>
      </c>
      <c r="S4665" s="83" t="str">
        <f t="shared" si="507"/>
        <v/>
      </c>
      <c r="T4665" s="83" t="str">
        <f t="shared" si="505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6"/>
        <v/>
      </c>
      <c r="B4666" s="83" t="str">
        <f t="shared" si="511"/>
        <v/>
      </c>
      <c r="S4666" s="83" t="str">
        <f t="shared" si="507"/>
        <v/>
      </c>
      <c r="T4666" s="83" t="str">
        <f t="shared" si="505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6"/>
        <v/>
      </c>
      <c r="B4667" s="83" t="str">
        <f t="shared" si="511"/>
        <v/>
      </c>
      <c r="S4667" s="83" t="str">
        <f t="shared" si="507"/>
        <v/>
      </c>
      <c r="T4667" s="83" t="str">
        <f t="shared" si="505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6"/>
        <v/>
      </c>
      <c r="B4668" s="83" t="str">
        <f t="shared" si="511"/>
        <v/>
      </c>
      <c r="S4668" s="83" t="str">
        <f t="shared" si="507"/>
        <v/>
      </c>
      <c r="T4668" s="83" t="str">
        <f t="shared" si="505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6"/>
        <v/>
      </c>
      <c r="B4669" s="83" t="str">
        <f t="shared" si="511"/>
        <v/>
      </c>
      <c r="S4669" s="83" t="str">
        <f t="shared" si="507"/>
        <v/>
      </c>
      <c r="T4669" s="83" t="str">
        <f t="shared" si="505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6"/>
        <v/>
      </c>
      <c r="B4670" s="83" t="str">
        <f t="shared" si="511"/>
        <v/>
      </c>
      <c r="S4670" s="83" t="str">
        <f t="shared" si="507"/>
        <v/>
      </c>
      <c r="T4670" s="83" t="str">
        <f t="shared" si="505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6"/>
        <v/>
      </c>
      <c r="B4671" s="83" t="str">
        <f t="shared" si="511"/>
        <v/>
      </c>
      <c r="S4671" s="83" t="str">
        <f t="shared" si="507"/>
        <v/>
      </c>
      <c r="T4671" s="83" t="str">
        <f t="shared" si="505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6"/>
        <v/>
      </c>
      <c r="B4672" s="83" t="str">
        <f t="shared" si="511"/>
        <v/>
      </c>
      <c r="S4672" s="83" t="str">
        <f t="shared" si="507"/>
        <v/>
      </c>
      <c r="T4672" s="83" t="str">
        <f t="shared" si="505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6"/>
        <v/>
      </c>
      <c r="B4673" s="83" t="str">
        <f t="shared" si="511"/>
        <v/>
      </c>
      <c r="S4673" s="83" t="str">
        <f t="shared" si="507"/>
        <v/>
      </c>
      <c r="T4673" s="83" t="str">
        <f t="shared" si="505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6"/>
        <v/>
      </c>
      <c r="B4674" s="83" t="str">
        <f t="shared" si="511"/>
        <v/>
      </c>
      <c r="S4674" s="83" t="str">
        <f t="shared" si="507"/>
        <v/>
      </c>
      <c r="T4674" s="83" t="str">
        <f t="shared" ref="T4674:T4737" si="512">IF(A4674&lt;&gt;"",IF(FIND(" ",G4674)&gt;=1,MID(G4674,FIND(" ",G4674)+1,LEN(G4674)),""),"")</f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3">IF(G4675&amp;Q4675&lt;&gt;"",S4675&amp;Q4675,"")</f>
        <v/>
      </c>
      <c r="B4675" s="83" t="str">
        <f t="shared" si="511"/>
        <v/>
      </c>
      <c r="S4675" s="83" t="str">
        <f t="shared" ref="S4675:S4738" si="514">IF(G4675&lt;&gt;"",IF(FIND(" ",G4675)&gt;=1,MID(G4675,1,FIND(" ",G4675)-1),G4675),"")</f>
        <v/>
      </c>
      <c r="T4675" s="83" t="str">
        <f t="shared" si="512"/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3"/>
        <v/>
      </c>
      <c r="B4676" s="83" t="str">
        <f t="shared" si="511"/>
        <v/>
      </c>
      <c r="S4676" s="83" t="str">
        <f t="shared" si="514"/>
        <v/>
      </c>
      <c r="T4676" s="83" t="str">
        <f t="shared" si="512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3"/>
        <v/>
      </c>
      <c r="B4677" s="83" t="str">
        <f t="shared" si="511"/>
        <v/>
      </c>
      <c r="S4677" s="83" t="str">
        <f t="shared" si="514"/>
        <v/>
      </c>
      <c r="T4677" s="83" t="str">
        <f t="shared" si="512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3"/>
        <v/>
      </c>
      <c r="B4678" s="83" t="str">
        <f t="shared" si="511"/>
        <v/>
      </c>
      <c r="S4678" s="83" t="str">
        <f t="shared" si="514"/>
        <v/>
      </c>
      <c r="T4678" s="83" t="str">
        <f t="shared" si="512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3"/>
        <v/>
      </c>
      <c r="B4679" s="83" t="str">
        <f t="shared" si="511"/>
        <v/>
      </c>
      <c r="S4679" s="83" t="str">
        <f t="shared" si="514"/>
        <v/>
      </c>
      <c r="T4679" s="83" t="str">
        <f t="shared" si="512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3"/>
        <v/>
      </c>
      <c r="B4680" s="83" t="str">
        <f t="shared" si="511"/>
        <v/>
      </c>
      <c r="S4680" s="83" t="str">
        <f t="shared" si="514"/>
        <v/>
      </c>
      <c r="T4680" s="83" t="str">
        <f t="shared" si="512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3"/>
        <v/>
      </c>
      <c r="B4681" s="83" t="str">
        <f t="shared" si="511"/>
        <v/>
      </c>
      <c r="S4681" s="83" t="str">
        <f t="shared" si="514"/>
        <v/>
      </c>
      <c r="T4681" s="83" t="str">
        <f t="shared" si="512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3"/>
        <v/>
      </c>
      <c r="B4682" s="83" t="str">
        <f t="shared" si="511"/>
        <v/>
      </c>
      <c r="S4682" s="83" t="str">
        <f t="shared" si="514"/>
        <v/>
      </c>
      <c r="T4682" s="83" t="str">
        <f t="shared" si="512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3"/>
        <v/>
      </c>
      <c r="B4683" s="83" t="str">
        <f t="shared" si="511"/>
        <v/>
      </c>
      <c r="S4683" s="83" t="str">
        <f t="shared" si="514"/>
        <v/>
      </c>
      <c r="T4683" s="83" t="str">
        <f t="shared" si="512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3"/>
        <v/>
      </c>
      <c r="B4684" s="83" t="str">
        <f t="shared" si="511"/>
        <v/>
      </c>
      <c r="S4684" s="83" t="str">
        <f t="shared" si="514"/>
        <v/>
      </c>
      <c r="T4684" s="83" t="str">
        <f t="shared" si="512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3"/>
        <v/>
      </c>
      <c r="B4685" s="83" t="str">
        <f t="shared" si="511"/>
        <v/>
      </c>
      <c r="S4685" s="83" t="str">
        <f t="shared" si="514"/>
        <v/>
      </c>
      <c r="T4685" s="83" t="str">
        <f t="shared" si="512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3"/>
        <v/>
      </c>
      <c r="B4686" s="83" t="str">
        <f t="shared" si="511"/>
        <v/>
      </c>
      <c r="S4686" s="83" t="str">
        <f t="shared" si="514"/>
        <v/>
      </c>
      <c r="T4686" s="83" t="str">
        <f t="shared" si="512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3"/>
        <v/>
      </c>
      <c r="B4687" s="83" t="str">
        <f t="shared" si="511"/>
        <v/>
      </c>
      <c r="S4687" s="83" t="str">
        <f t="shared" si="514"/>
        <v/>
      </c>
      <c r="T4687" s="83" t="str">
        <f t="shared" si="512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3"/>
        <v/>
      </c>
      <c r="B4688" s="83" t="str">
        <f t="shared" si="511"/>
        <v/>
      </c>
      <c r="S4688" s="83" t="str">
        <f t="shared" si="514"/>
        <v/>
      </c>
      <c r="T4688" s="83" t="str">
        <f t="shared" si="512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3"/>
        <v/>
      </c>
      <c r="B4689" s="83" t="str">
        <f t="shared" si="511"/>
        <v/>
      </c>
      <c r="S4689" s="83" t="str">
        <f t="shared" si="514"/>
        <v/>
      </c>
      <c r="T4689" s="83" t="str">
        <f t="shared" si="512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3"/>
        <v/>
      </c>
      <c r="B4690" s="83" t="str">
        <f t="shared" si="511"/>
        <v/>
      </c>
      <c r="S4690" s="83" t="str">
        <f t="shared" si="514"/>
        <v/>
      </c>
      <c r="T4690" s="83" t="str">
        <f t="shared" si="512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3"/>
        <v/>
      </c>
      <c r="B4691" s="83" t="str">
        <f t="shared" si="511"/>
        <v/>
      </c>
      <c r="S4691" s="83" t="str">
        <f t="shared" si="514"/>
        <v/>
      </c>
      <c r="T4691" s="83" t="str">
        <f t="shared" si="512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3"/>
        <v/>
      </c>
      <c r="B4692" s="83" t="str">
        <f t="shared" si="511"/>
        <v/>
      </c>
      <c r="S4692" s="83" t="str">
        <f t="shared" si="514"/>
        <v/>
      </c>
      <c r="T4692" s="83" t="str">
        <f t="shared" si="512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3"/>
        <v/>
      </c>
      <c r="B4693" s="83" t="str">
        <f t="shared" si="511"/>
        <v/>
      </c>
      <c r="S4693" s="83" t="str">
        <f t="shared" si="514"/>
        <v/>
      </c>
      <c r="T4693" s="83" t="str">
        <f t="shared" si="512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3"/>
        <v/>
      </c>
      <c r="B4694" s="83" t="str">
        <f t="shared" si="511"/>
        <v/>
      </c>
      <c r="S4694" s="83" t="str">
        <f t="shared" si="514"/>
        <v/>
      </c>
      <c r="T4694" s="83" t="str">
        <f t="shared" si="512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3"/>
        <v/>
      </c>
      <c r="B4695" s="83" t="str">
        <f t="shared" si="511"/>
        <v/>
      </c>
      <c r="S4695" s="83" t="str">
        <f t="shared" si="514"/>
        <v/>
      </c>
      <c r="T4695" s="83" t="str">
        <f t="shared" si="512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3"/>
        <v/>
      </c>
      <c r="B4696" s="83" t="str">
        <f t="shared" si="511"/>
        <v/>
      </c>
      <c r="S4696" s="83" t="str">
        <f t="shared" si="514"/>
        <v/>
      </c>
      <c r="T4696" s="83" t="str">
        <f t="shared" si="512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3"/>
        <v/>
      </c>
      <c r="B4697" s="83" t="str">
        <f t="shared" si="511"/>
        <v/>
      </c>
      <c r="S4697" s="83" t="str">
        <f t="shared" si="514"/>
        <v/>
      </c>
      <c r="T4697" s="83" t="str">
        <f t="shared" si="512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3"/>
        <v/>
      </c>
      <c r="B4698" s="83" t="str">
        <f t="shared" si="511"/>
        <v/>
      </c>
      <c r="S4698" s="83" t="str">
        <f t="shared" si="514"/>
        <v/>
      </c>
      <c r="T4698" s="83" t="str">
        <f t="shared" si="512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3"/>
        <v/>
      </c>
      <c r="B4699" s="83" t="str">
        <f t="shared" si="511"/>
        <v/>
      </c>
      <c r="S4699" s="83" t="str">
        <f t="shared" si="514"/>
        <v/>
      </c>
      <c r="T4699" s="83" t="str">
        <f t="shared" si="512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3"/>
        <v/>
      </c>
      <c r="B4700" s="83" t="str">
        <f t="shared" si="511"/>
        <v/>
      </c>
      <c r="S4700" s="83" t="str">
        <f t="shared" si="514"/>
        <v/>
      </c>
      <c r="T4700" s="83" t="str">
        <f t="shared" si="512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3"/>
        <v/>
      </c>
      <c r="B4701" s="83" t="str">
        <f t="shared" si="511"/>
        <v/>
      </c>
      <c r="S4701" s="83" t="str">
        <f t="shared" si="514"/>
        <v/>
      </c>
      <c r="T4701" s="83" t="str">
        <f t="shared" si="512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3"/>
        <v/>
      </c>
      <c r="B4702" s="83" t="str">
        <f t="shared" si="511"/>
        <v/>
      </c>
      <c r="S4702" s="83" t="str">
        <f t="shared" si="514"/>
        <v/>
      </c>
      <c r="T4702" s="83" t="str">
        <f t="shared" si="512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3"/>
        <v/>
      </c>
      <c r="B4703" s="83" t="str">
        <f t="shared" si="511"/>
        <v/>
      </c>
      <c r="S4703" s="83" t="str">
        <f t="shared" si="514"/>
        <v/>
      </c>
      <c r="T4703" s="83" t="str">
        <f t="shared" si="512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3"/>
        <v/>
      </c>
      <c r="B4704" s="83" t="str">
        <f t="shared" si="511"/>
        <v/>
      </c>
      <c r="S4704" s="83" t="str">
        <f t="shared" si="514"/>
        <v/>
      </c>
      <c r="T4704" s="83" t="str">
        <f t="shared" si="512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3"/>
        <v/>
      </c>
      <c r="B4705" s="83" t="str">
        <f t="shared" ref="B4705:B4768" si="518">IF(C4705&lt;&gt;"",LEFT(C4705,9),"")</f>
        <v/>
      </c>
      <c r="S4705" s="83" t="str">
        <f t="shared" si="514"/>
        <v/>
      </c>
      <c r="T4705" s="83" t="str">
        <f t="shared" si="512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3"/>
        <v/>
      </c>
      <c r="B4706" s="83" t="str">
        <f t="shared" si="518"/>
        <v/>
      </c>
      <c r="S4706" s="83" t="str">
        <f t="shared" si="514"/>
        <v/>
      </c>
      <c r="T4706" s="83" t="str">
        <f t="shared" si="512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3"/>
        <v/>
      </c>
      <c r="B4707" s="83" t="str">
        <f t="shared" si="518"/>
        <v/>
      </c>
      <c r="S4707" s="83" t="str">
        <f t="shared" si="514"/>
        <v/>
      </c>
      <c r="T4707" s="83" t="str">
        <f t="shared" si="512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3"/>
        <v/>
      </c>
      <c r="B4708" s="83" t="str">
        <f t="shared" si="518"/>
        <v/>
      </c>
      <c r="S4708" s="83" t="str">
        <f t="shared" si="514"/>
        <v/>
      </c>
      <c r="T4708" s="83" t="str">
        <f t="shared" si="512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3"/>
        <v/>
      </c>
      <c r="B4709" s="83" t="str">
        <f t="shared" si="518"/>
        <v/>
      </c>
      <c r="S4709" s="83" t="str">
        <f t="shared" si="514"/>
        <v/>
      </c>
      <c r="T4709" s="83" t="str">
        <f t="shared" si="512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3"/>
        <v/>
      </c>
      <c r="B4710" s="83" t="str">
        <f t="shared" si="518"/>
        <v/>
      </c>
      <c r="S4710" s="83" t="str">
        <f t="shared" si="514"/>
        <v/>
      </c>
      <c r="T4710" s="83" t="str">
        <f t="shared" si="512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3"/>
        <v/>
      </c>
      <c r="B4711" s="83" t="str">
        <f t="shared" si="518"/>
        <v/>
      </c>
      <c r="S4711" s="83" t="str">
        <f t="shared" si="514"/>
        <v/>
      </c>
      <c r="T4711" s="83" t="str">
        <f t="shared" si="512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3"/>
        <v/>
      </c>
      <c r="B4712" s="83" t="str">
        <f t="shared" si="518"/>
        <v/>
      </c>
      <c r="S4712" s="83" t="str">
        <f t="shared" si="514"/>
        <v/>
      </c>
      <c r="T4712" s="83" t="str">
        <f t="shared" si="512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3"/>
        <v/>
      </c>
      <c r="B4713" s="83" t="str">
        <f t="shared" si="518"/>
        <v/>
      </c>
      <c r="S4713" s="83" t="str">
        <f t="shared" si="514"/>
        <v/>
      </c>
      <c r="T4713" s="83" t="str">
        <f t="shared" si="512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3"/>
        <v/>
      </c>
      <c r="B4714" s="83" t="str">
        <f t="shared" si="518"/>
        <v/>
      </c>
      <c r="S4714" s="83" t="str">
        <f t="shared" si="514"/>
        <v/>
      </c>
      <c r="T4714" s="83" t="str">
        <f t="shared" si="512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3"/>
        <v/>
      </c>
      <c r="B4715" s="83" t="str">
        <f t="shared" si="518"/>
        <v/>
      </c>
      <c r="S4715" s="83" t="str">
        <f t="shared" si="514"/>
        <v/>
      </c>
      <c r="T4715" s="83" t="str">
        <f t="shared" si="512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3"/>
        <v/>
      </c>
      <c r="B4716" s="83" t="str">
        <f t="shared" si="518"/>
        <v/>
      </c>
      <c r="S4716" s="83" t="str">
        <f t="shared" si="514"/>
        <v/>
      </c>
      <c r="T4716" s="83" t="str">
        <f t="shared" si="512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3"/>
        <v/>
      </c>
      <c r="B4717" s="83" t="str">
        <f t="shared" si="518"/>
        <v/>
      </c>
      <c r="S4717" s="83" t="str">
        <f t="shared" si="514"/>
        <v/>
      </c>
      <c r="T4717" s="83" t="str">
        <f t="shared" si="512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3"/>
        <v/>
      </c>
      <c r="B4718" s="83" t="str">
        <f t="shared" si="518"/>
        <v/>
      </c>
      <c r="S4718" s="83" t="str">
        <f t="shared" si="514"/>
        <v/>
      </c>
      <c r="T4718" s="83" t="str">
        <f t="shared" si="512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3"/>
        <v/>
      </c>
      <c r="B4719" s="83" t="str">
        <f t="shared" si="518"/>
        <v/>
      </c>
      <c r="S4719" s="83" t="str">
        <f t="shared" si="514"/>
        <v/>
      </c>
      <c r="T4719" s="83" t="str">
        <f t="shared" si="512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3"/>
        <v/>
      </c>
      <c r="B4720" s="83" t="str">
        <f t="shared" si="518"/>
        <v/>
      </c>
      <c r="S4720" s="83" t="str">
        <f t="shared" si="514"/>
        <v/>
      </c>
      <c r="T4720" s="83" t="str">
        <f t="shared" si="512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3"/>
        <v/>
      </c>
      <c r="B4721" s="83" t="str">
        <f t="shared" si="518"/>
        <v/>
      </c>
      <c r="S4721" s="83" t="str">
        <f t="shared" si="514"/>
        <v/>
      </c>
      <c r="T4721" s="83" t="str">
        <f t="shared" si="512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3"/>
        <v/>
      </c>
      <c r="B4722" s="83" t="str">
        <f t="shared" si="518"/>
        <v/>
      </c>
      <c r="S4722" s="83" t="str">
        <f t="shared" si="514"/>
        <v/>
      </c>
      <c r="T4722" s="83" t="str">
        <f t="shared" si="512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3"/>
        <v/>
      </c>
      <c r="B4723" s="83" t="str">
        <f t="shared" si="518"/>
        <v/>
      </c>
      <c r="S4723" s="83" t="str">
        <f t="shared" si="514"/>
        <v/>
      </c>
      <c r="T4723" s="83" t="str">
        <f t="shared" si="512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3"/>
        <v/>
      </c>
      <c r="B4724" s="83" t="str">
        <f t="shared" si="518"/>
        <v/>
      </c>
      <c r="S4724" s="83" t="str">
        <f t="shared" si="514"/>
        <v/>
      </c>
      <c r="T4724" s="83" t="str">
        <f t="shared" si="512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3"/>
        <v/>
      </c>
      <c r="B4725" s="83" t="str">
        <f t="shared" si="518"/>
        <v/>
      </c>
      <c r="S4725" s="83" t="str">
        <f t="shared" si="514"/>
        <v/>
      </c>
      <c r="T4725" s="83" t="str">
        <f t="shared" si="512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3"/>
        <v/>
      </c>
      <c r="B4726" s="83" t="str">
        <f t="shared" si="518"/>
        <v/>
      </c>
      <c r="S4726" s="83" t="str">
        <f t="shared" si="514"/>
        <v/>
      </c>
      <c r="T4726" s="83" t="str">
        <f t="shared" si="512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3"/>
        <v/>
      </c>
      <c r="B4727" s="83" t="str">
        <f t="shared" si="518"/>
        <v/>
      </c>
      <c r="S4727" s="83" t="str">
        <f t="shared" si="514"/>
        <v/>
      </c>
      <c r="T4727" s="83" t="str">
        <f t="shared" si="512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3"/>
        <v/>
      </c>
      <c r="B4728" s="83" t="str">
        <f t="shared" si="518"/>
        <v/>
      </c>
      <c r="S4728" s="83" t="str">
        <f t="shared" si="514"/>
        <v/>
      </c>
      <c r="T4728" s="83" t="str">
        <f t="shared" si="512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3"/>
        <v/>
      </c>
      <c r="B4729" s="83" t="str">
        <f t="shared" si="518"/>
        <v/>
      </c>
      <c r="S4729" s="83" t="str">
        <f t="shared" si="514"/>
        <v/>
      </c>
      <c r="T4729" s="83" t="str">
        <f t="shared" si="512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3"/>
        <v/>
      </c>
      <c r="B4730" s="83" t="str">
        <f t="shared" si="518"/>
        <v/>
      </c>
      <c r="S4730" s="83" t="str">
        <f t="shared" si="514"/>
        <v/>
      </c>
      <c r="T4730" s="83" t="str">
        <f t="shared" si="512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3"/>
        <v/>
      </c>
      <c r="B4731" s="83" t="str">
        <f t="shared" si="518"/>
        <v/>
      </c>
      <c r="S4731" s="83" t="str">
        <f t="shared" si="514"/>
        <v/>
      </c>
      <c r="T4731" s="83" t="str">
        <f t="shared" si="512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3"/>
        <v/>
      </c>
      <c r="B4732" s="83" t="str">
        <f t="shared" si="518"/>
        <v/>
      </c>
      <c r="S4732" s="83" t="str">
        <f t="shared" si="514"/>
        <v/>
      </c>
      <c r="T4732" s="83" t="str">
        <f t="shared" si="512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3"/>
        <v/>
      </c>
      <c r="B4733" s="83" t="str">
        <f t="shared" si="518"/>
        <v/>
      </c>
      <c r="S4733" s="83" t="str">
        <f t="shared" si="514"/>
        <v/>
      </c>
      <c r="T4733" s="83" t="str">
        <f t="shared" si="512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3"/>
        <v/>
      </c>
      <c r="B4734" s="83" t="str">
        <f t="shared" si="518"/>
        <v/>
      </c>
      <c r="S4734" s="83" t="str">
        <f t="shared" si="514"/>
        <v/>
      </c>
      <c r="T4734" s="83" t="str">
        <f t="shared" si="512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3"/>
        <v/>
      </c>
      <c r="B4735" s="83" t="str">
        <f t="shared" si="518"/>
        <v/>
      </c>
      <c r="S4735" s="83" t="str">
        <f t="shared" si="514"/>
        <v/>
      </c>
      <c r="T4735" s="83" t="str">
        <f t="shared" si="512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3"/>
        <v/>
      </c>
      <c r="B4736" s="83" t="str">
        <f t="shared" si="518"/>
        <v/>
      </c>
      <c r="S4736" s="83" t="str">
        <f t="shared" si="514"/>
        <v/>
      </c>
      <c r="T4736" s="83" t="str">
        <f t="shared" si="512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3"/>
        <v/>
      </c>
      <c r="B4737" s="83" t="str">
        <f t="shared" si="518"/>
        <v/>
      </c>
      <c r="S4737" s="83" t="str">
        <f t="shared" si="514"/>
        <v/>
      </c>
      <c r="T4737" s="83" t="str">
        <f t="shared" si="512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3"/>
        <v/>
      </c>
      <c r="B4738" s="83" t="str">
        <f t="shared" si="518"/>
        <v/>
      </c>
      <c r="S4738" s="83" t="str">
        <f t="shared" si="514"/>
        <v/>
      </c>
      <c r="T4738" s="83" t="str">
        <f t="shared" ref="T4738:T4801" si="519">IF(A4738&lt;&gt;"",IF(FIND(" ",G4738)&gt;=1,MID(G4738,FIND(" ",G4738)+1,LEN(G4738)),""),"")</f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20">IF(G4739&amp;Q4739&lt;&gt;"",S4739&amp;Q4739,"")</f>
        <v/>
      </c>
      <c r="B4739" s="83" t="str">
        <f t="shared" si="518"/>
        <v/>
      </c>
      <c r="S4739" s="83" t="str">
        <f t="shared" ref="S4739:S4802" si="521">IF(G4739&lt;&gt;"",IF(FIND(" ",G4739)&gt;=1,MID(G4739,1,FIND(" ",G4739)-1),G4739),"")</f>
        <v/>
      </c>
      <c r="T4739" s="83" t="str">
        <f t="shared" si="519"/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20"/>
        <v/>
      </c>
      <c r="B4740" s="83" t="str">
        <f t="shared" si="518"/>
        <v/>
      </c>
      <c r="S4740" s="83" t="str">
        <f t="shared" si="521"/>
        <v/>
      </c>
      <c r="T4740" s="83" t="str">
        <f t="shared" si="519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20"/>
        <v/>
      </c>
      <c r="B4741" s="83" t="str">
        <f t="shared" si="518"/>
        <v/>
      </c>
      <c r="S4741" s="83" t="str">
        <f t="shared" si="521"/>
        <v/>
      </c>
      <c r="T4741" s="83" t="str">
        <f t="shared" si="519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20"/>
        <v/>
      </c>
      <c r="B4742" s="83" t="str">
        <f t="shared" si="518"/>
        <v/>
      </c>
      <c r="S4742" s="83" t="str">
        <f t="shared" si="521"/>
        <v/>
      </c>
      <c r="T4742" s="83" t="str">
        <f t="shared" si="519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20"/>
        <v/>
      </c>
      <c r="B4743" s="83" t="str">
        <f t="shared" si="518"/>
        <v/>
      </c>
      <c r="S4743" s="83" t="str">
        <f t="shared" si="521"/>
        <v/>
      </c>
      <c r="T4743" s="83" t="str">
        <f t="shared" si="519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20"/>
        <v/>
      </c>
      <c r="B4744" s="83" t="str">
        <f t="shared" si="518"/>
        <v/>
      </c>
      <c r="S4744" s="83" t="str">
        <f t="shared" si="521"/>
        <v/>
      </c>
      <c r="T4744" s="83" t="str">
        <f t="shared" si="519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20"/>
        <v/>
      </c>
      <c r="B4745" s="83" t="str">
        <f t="shared" si="518"/>
        <v/>
      </c>
      <c r="S4745" s="83" t="str">
        <f t="shared" si="521"/>
        <v/>
      </c>
      <c r="T4745" s="83" t="str">
        <f t="shared" si="519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20"/>
        <v/>
      </c>
      <c r="B4746" s="83" t="str">
        <f t="shared" si="518"/>
        <v/>
      </c>
      <c r="S4746" s="83" t="str">
        <f t="shared" si="521"/>
        <v/>
      </c>
      <c r="T4746" s="83" t="str">
        <f t="shared" si="519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20"/>
        <v/>
      </c>
      <c r="B4747" s="83" t="str">
        <f t="shared" si="518"/>
        <v/>
      </c>
      <c r="S4747" s="83" t="str">
        <f t="shared" si="521"/>
        <v/>
      </c>
      <c r="T4747" s="83" t="str">
        <f t="shared" si="519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20"/>
        <v/>
      </c>
      <c r="B4748" s="83" t="str">
        <f t="shared" si="518"/>
        <v/>
      </c>
      <c r="S4748" s="83" t="str">
        <f t="shared" si="521"/>
        <v/>
      </c>
      <c r="T4748" s="83" t="str">
        <f t="shared" si="519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20"/>
        <v/>
      </c>
      <c r="B4749" s="83" t="str">
        <f t="shared" si="518"/>
        <v/>
      </c>
      <c r="S4749" s="83" t="str">
        <f t="shared" si="521"/>
        <v/>
      </c>
      <c r="T4749" s="83" t="str">
        <f t="shared" si="519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20"/>
        <v/>
      </c>
      <c r="B4750" s="83" t="str">
        <f t="shared" si="518"/>
        <v/>
      </c>
      <c r="S4750" s="83" t="str">
        <f t="shared" si="521"/>
        <v/>
      </c>
      <c r="T4750" s="83" t="str">
        <f t="shared" si="519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20"/>
        <v/>
      </c>
      <c r="B4751" s="83" t="str">
        <f t="shared" si="518"/>
        <v/>
      </c>
      <c r="S4751" s="83" t="str">
        <f t="shared" si="521"/>
        <v/>
      </c>
      <c r="T4751" s="83" t="str">
        <f t="shared" si="519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20"/>
        <v/>
      </c>
      <c r="B4752" s="83" t="str">
        <f t="shared" si="518"/>
        <v/>
      </c>
      <c r="S4752" s="83" t="str">
        <f t="shared" si="521"/>
        <v/>
      </c>
      <c r="T4752" s="83" t="str">
        <f t="shared" si="519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20"/>
        <v/>
      </c>
      <c r="B4753" s="83" t="str">
        <f t="shared" si="518"/>
        <v/>
      </c>
      <c r="S4753" s="83" t="str">
        <f t="shared" si="521"/>
        <v/>
      </c>
      <c r="T4753" s="83" t="str">
        <f t="shared" si="519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20"/>
        <v/>
      </c>
      <c r="B4754" s="83" t="str">
        <f t="shared" si="518"/>
        <v/>
      </c>
      <c r="S4754" s="83" t="str">
        <f t="shared" si="521"/>
        <v/>
      </c>
      <c r="T4754" s="83" t="str">
        <f t="shared" si="519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20"/>
        <v/>
      </c>
      <c r="B4755" s="83" t="str">
        <f t="shared" si="518"/>
        <v/>
      </c>
      <c r="S4755" s="83" t="str">
        <f t="shared" si="521"/>
        <v/>
      </c>
      <c r="T4755" s="83" t="str">
        <f t="shared" si="519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20"/>
        <v/>
      </c>
      <c r="B4756" s="83" t="str">
        <f t="shared" si="518"/>
        <v/>
      </c>
      <c r="S4756" s="83" t="str">
        <f t="shared" si="521"/>
        <v/>
      </c>
      <c r="T4756" s="83" t="str">
        <f t="shared" si="519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20"/>
        <v/>
      </c>
      <c r="B4757" s="83" t="str">
        <f t="shared" si="518"/>
        <v/>
      </c>
      <c r="S4757" s="83" t="str">
        <f t="shared" si="521"/>
        <v/>
      </c>
      <c r="T4757" s="83" t="str">
        <f t="shared" si="519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20"/>
        <v/>
      </c>
      <c r="B4758" s="83" t="str">
        <f t="shared" si="518"/>
        <v/>
      </c>
      <c r="S4758" s="83" t="str">
        <f t="shared" si="521"/>
        <v/>
      </c>
      <c r="T4758" s="83" t="str">
        <f t="shared" si="519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20"/>
        <v/>
      </c>
      <c r="B4759" s="83" t="str">
        <f t="shared" si="518"/>
        <v/>
      </c>
      <c r="S4759" s="83" t="str">
        <f t="shared" si="521"/>
        <v/>
      </c>
      <c r="T4759" s="83" t="str">
        <f t="shared" si="519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20"/>
        <v/>
      </c>
      <c r="B4760" s="83" t="str">
        <f t="shared" si="518"/>
        <v/>
      </c>
      <c r="S4760" s="83" t="str">
        <f t="shared" si="521"/>
        <v/>
      </c>
      <c r="T4760" s="83" t="str">
        <f t="shared" si="519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20"/>
        <v/>
      </c>
      <c r="B4761" s="83" t="str">
        <f t="shared" si="518"/>
        <v/>
      </c>
      <c r="S4761" s="83" t="str">
        <f t="shared" si="521"/>
        <v/>
      </c>
      <c r="T4761" s="83" t="str">
        <f t="shared" si="519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20"/>
        <v/>
      </c>
      <c r="B4762" s="83" t="str">
        <f t="shared" si="518"/>
        <v/>
      </c>
      <c r="S4762" s="83" t="str">
        <f t="shared" si="521"/>
        <v/>
      </c>
      <c r="T4762" s="83" t="str">
        <f t="shared" si="519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20"/>
        <v/>
      </c>
      <c r="B4763" s="83" t="str">
        <f t="shared" si="518"/>
        <v/>
      </c>
      <c r="S4763" s="83" t="str">
        <f t="shared" si="521"/>
        <v/>
      </c>
      <c r="T4763" s="83" t="str">
        <f t="shared" si="519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20"/>
        <v/>
      </c>
      <c r="B4764" s="83" t="str">
        <f t="shared" si="518"/>
        <v/>
      </c>
      <c r="S4764" s="83" t="str">
        <f t="shared" si="521"/>
        <v/>
      </c>
      <c r="T4764" s="83" t="str">
        <f t="shared" si="519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20"/>
        <v/>
      </c>
      <c r="B4765" s="83" t="str">
        <f t="shared" si="518"/>
        <v/>
      </c>
      <c r="S4765" s="83" t="str">
        <f t="shared" si="521"/>
        <v/>
      </c>
      <c r="T4765" s="83" t="str">
        <f t="shared" si="519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20"/>
        <v/>
      </c>
      <c r="B4766" s="83" t="str">
        <f t="shared" si="518"/>
        <v/>
      </c>
      <c r="S4766" s="83" t="str">
        <f t="shared" si="521"/>
        <v/>
      </c>
      <c r="T4766" s="83" t="str">
        <f t="shared" si="519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20"/>
        <v/>
      </c>
      <c r="B4767" s="83" t="str">
        <f t="shared" si="518"/>
        <v/>
      </c>
      <c r="S4767" s="83" t="str">
        <f t="shared" si="521"/>
        <v/>
      </c>
      <c r="T4767" s="83" t="str">
        <f t="shared" si="519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20"/>
        <v/>
      </c>
      <c r="B4768" s="83" t="str">
        <f t="shared" si="518"/>
        <v/>
      </c>
      <c r="S4768" s="83" t="str">
        <f t="shared" si="521"/>
        <v/>
      </c>
      <c r="T4768" s="83" t="str">
        <f t="shared" si="519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20"/>
        <v/>
      </c>
      <c r="B4769" s="83" t="str">
        <f t="shared" ref="B4769:B4832" si="525">IF(C4769&lt;&gt;"",LEFT(C4769,9),"")</f>
        <v/>
      </c>
      <c r="S4769" s="83" t="str">
        <f t="shared" si="521"/>
        <v/>
      </c>
      <c r="T4769" s="83" t="str">
        <f t="shared" si="519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20"/>
        <v/>
      </c>
      <c r="B4770" s="83" t="str">
        <f t="shared" si="525"/>
        <v/>
      </c>
      <c r="S4770" s="83" t="str">
        <f t="shared" si="521"/>
        <v/>
      </c>
      <c r="T4770" s="83" t="str">
        <f t="shared" si="519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20"/>
        <v/>
      </c>
      <c r="B4771" s="83" t="str">
        <f t="shared" si="525"/>
        <v/>
      </c>
      <c r="S4771" s="83" t="str">
        <f t="shared" si="521"/>
        <v/>
      </c>
      <c r="T4771" s="83" t="str">
        <f t="shared" si="519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20"/>
        <v/>
      </c>
      <c r="B4772" s="83" t="str">
        <f t="shared" si="525"/>
        <v/>
      </c>
      <c r="S4772" s="83" t="str">
        <f t="shared" si="521"/>
        <v/>
      </c>
      <c r="T4772" s="83" t="str">
        <f t="shared" si="519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20"/>
        <v/>
      </c>
      <c r="B4773" s="83" t="str">
        <f t="shared" si="525"/>
        <v/>
      </c>
      <c r="S4773" s="83" t="str">
        <f t="shared" si="521"/>
        <v/>
      </c>
      <c r="T4773" s="83" t="str">
        <f t="shared" si="519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20"/>
        <v/>
      </c>
      <c r="B4774" s="83" t="str">
        <f t="shared" si="525"/>
        <v/>
      </c>
      <c r="S4774" s="83" t="str">
        <f t="shared" si="521"/>
        <v/>
      </c>
      <c r="T4774" s="83" t="str">
        <f t="shared" si="519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20"/>
        <v/>
      </c>
      <c r="B4775" s="83" t="str">
        <f t="shared" si="525"/>
        <v/>
      </c>
      <c r="S4775" s="83" t="str">
        <f t="shared" si="521"/>
        <v/>
      </c>
      <c r="T4775" s="83" t="str">
        <f t="shared" si="519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20"/>
        <v/>
      </c>
      <c r="B4776" s="83" t="str">
        <f t="shared" si="525"/>
        <v/>
      </c>
      <c r="S4776" s="83" t="str">
        <f t="shared" si="521"/>
        <v/>
      </c>
      <c r="T4776" s="83" t="str">
        <f t="shared" si="519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20"/>
        <v/>
      </c>
      <c r="B4777" s="83" t="str">
        <f t="shared" si="525"/>
        <v/>
      </c>
      <c r="S4777" s="83" t="str">
        <f t="shared" si="521"/>
        <v/>
      </c>
      <c r="T4777" s="83" t="str">
        <f t="shared" si="519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20"/>
        <v/>
      </c>
      <c r="B4778" s="83" t="str">
        <f t="shared" si="525"/>
        <v/>
      </c>
      <c r="S4778" s="83" t="str">
        <f t="shared" si="521"/>
        <v/>
      </c>
      <c r="T4778" s="83" t="str">
        <f t="shared" si="519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20"/>
        <v/>
      </c>
      <c r="B4779" s="83" t="str">
        <f t="shared" si="525"/>
        <v/>
      </c>
      <c r="S4779" s="83" t="str">
        <f t="shared" si="521"/>
        <v/>
      </c>
      <c r="T4779" s="83" t="str">
        <f t="shared" si="519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20"/>
        <v/>
      </c>
      <c r="B4780" s="83" t="str">
        <f t="shared" si="525"/>
        <v/>
      </c>
      <c r="S4780" s="83" t="str">
        <f t="shared" si="521"/>
        <v/>
      </c>
      <c r="T4780" s="83" t="str">
        <f t="shared" si="519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20"/>
        <v/>
      </c>
      <c r="B4781" s="83" t="str">
        <f t="shared" si="525"/>
        <v/>
      </c>
      <c r="S4781" s="83" t="str">
        <f t="shared" si="521"/>
        <v/>
      </c>
      <c r="T4781" s="83" t="str">
        <f t="shared" si="519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20"/>
        <v/>
      </c>
      <c r="B4782" s="83" t="str">
        <f t="shared" si="525"/>
        <v/>
      </c>
      <c r="S4782" s="83" t="str">
        <f t="shared" si="521"/>
        <v/>
      </c>
      <c r="T4782" s="83" t="str">
        <f t="shared" si="519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20"/>
        <v/>
      </c>
      <c r="B4783" s="83" t="str">
        <f t="shared" si="525"/>
        <v/>
      </c>
      <c r="S4783" s="83" t="str">
        <f t="shared" si="521"/>
        <v/>
      </c>
      <c r="T4783" s="83" t="str">
        <f t="shared" si="519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20"/>
        <v/>
      </c>
      <c r="B4784" s="83" t="str">
        <f t="shared" si="525"/>
        <v/>
      </c>
      <c r="S4784" s="83" t="str">
        <f t="shared" si="521"/>
        <v/>
      </c>
      <c r="T4784" s="83" t="str">
        <f t="shared" si="519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20"/>
        <v/>
      </c>
      <c r="B4785" s="83" t="str">
        <f t="shared" si="525"/>
        <v/>
      </c>
      <c r="S4785" s="83" t="str">
        <f t="shared" si="521"/>
        <v/>
      </c>
      <c r="T4785" s="83" t="str">
        <f t="shared" si="519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20"/>
        <v/>
      </c>
      <c r="B4786" s="83" t="str">
        <f t="shared" si="525"/>
        <v/>
      </c>
      <c r="S4786" s="83" t="str">
        <f t="shared" si="521"/>
        <v/>
      </c>
      <c r="T4786" s="83" t="str">
        <f t="shared" si="519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20"/>
        <v/>
      </c>
      <c r="B4787" s="83" t="str">
        <f t="shared" si="525"/>
        <v/>
      </c>
      <c r="S4787" s="83" t="str">
        <f t="shared" si="521"/>
        <v/>
      </c>
      <c r="T4787" s="83" t="str">
        <f t="shared" si="519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20"/>
        <v/>
      </c>
      <c r="B4788" s="83" t="str">
        <f t="shared" si="525"/>
        <v/>
      </c>
      <c r="S4788" s="83" t="str">
        <f t="shared" si="521"/>
        <v/>
      </c>
      <c r="T4788" s="83" t="str">
        <f t="shared" si="519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20"/>
        <v/>
      </c>
      <c r="B4789" s="83" t="str">
        <f t="shared" si="525"/>
        <v/>
      </c>
      <c r="S4789" s="83" t="str">
        <f t="shared" si="521"/>
        <v/>
      </c>
      <c r="T4789" s="83" t="str">
        <f t="shared" si="519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20"/>
        <v/>
      </c>
      <c r="B4790" s="83" t="str">
        <f t="shared" si="525"/>
        <v/>
      </c>
      <c r="S4790" s="83" t="str">
        <f t="shared" si="521"/>
        <v/>
      </c>
      <c r="T4790" s="83" t="str">
        <f t="shared" si="519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20"/>
        <v/>
      </c>
      <c r="B4791" s="83" t="str">
        <f t="shared" si="525"/>
        <v/>
      </c>
      <c r="S4791" s="83" t="str">
        <f t="shared" si="521"/>
        <v/>
      </c>
      <c r="T4791" s="83" t="str">
        <f t="shared" si="519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20"/>
        <v/>
      </c>
      <c r="B4792" s="83" t="str">
        <f t="shared" si="525"/>
        <v/>
      </c>
      <c r="S4792" s="83" t="str">
        <f t="shared" si="521"/>
        <v/>
      </c>
      <c r="T4792" s="83" t="str">
        <f t="shared" si="519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20"/>
        <v/>
      </c>
      <c r="B4793" s="83" t="str">
        <f t="shared" si="525"/>
        <v/>
      </c>
      <c r="S4793" s="83" t="str">
        <f t="shared" si="521"/>
        <v/>
      </c>
      <c r="T4793" s="83" t="str">
        <f t="shared" si="519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20"/>
        <v/>
      </c>
      <c r="B4794" s="83" t="str">
        <f t="shared" si="525"/>
        <v/>
      </c>
      <c r="S4794" s="83" t="str">
        <f t="shared" si="521"/>
        <v/>
      </c>
      <c r="T4794" s="83" t="str">
        <f t="shared" si="519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20"/>
        <v/>
      </c>
      <c r="B4795" s="83" t="str">
        <f t="shared" si="525"/>
        <v/>
      </c>
      <c r="S4795" s="83" t="str">
        <f t="shared" si="521"/>
        <v/>
      </c>
      <c r="T4795" s="83" t="str">
        <f t="shared" si="519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20"/>
        <v/>
      </c>
      <c r="B4796" s="83" t="str">
        <f t="shared" si="525"/>
        <v/>
      </c>
      <c r="S4796" s="83" t="str">
        <f t="shared" si="521"/>
        <v/>
      </c>
      <c r="T4796" s="83" t="str">
        <f t="shared" si="519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20"/>
        <v/>
      </c>
      <c r="B4797" s="83" t="str">
        <f t="shared" si="525"/>
        <v/>
      </c>
      <c r="S4797" s="83" t="str">
        <f t="shared" si="521"/>
        <v/>
      </c>
      <c r="T4797" s="83" t="str">
        <f t="shared" si="519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20"/>
        <v/>
      </c>
      <c r="B4798" s="83" t="str">
        <f t="shared" si="525"/>
        <v/>
      </c>
      <c r="S4798" s="83" t="str">
        <f t="shared" si="521"/>
        <v/>
      </c>
      <c r="T4798" s="83" t="str">
        <f t="shared" si="519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20"/>
        <v/>
      </c>
      <c r="B4799" s="83" t="str">
        <f t="shared" si="525"/>
        <v/>
      </c>
      <c r="S4799" s="83" t="str">
        <f t="shared" si="521"/>
        <v/>
      </c>
      <c r="T4799" s="83" t="str">
        <f t="shared" si="519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20"/>
        <v/>
      </c>
      <c r="B4800" s="83" t="str">
        <f t="shared" si="525"/>
        <v/>
      </c>
      <c r="S4800" s="83" t="str">
        <f t="shared" si="521"/>
        <v/>
      </c>
      <c r="T4800" s="83" t="str">
        <f t="shared" si="519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20"/>
        <v/>
      </c>
      <c r="B4801" s="83" t="str">
        <f t="shared" si="525"/>
        <v/>
      </c>
      <c r="S4801" s="83" t="str">
        <f t="shared" si="521"/>
        <v/>
      </c>
      <c r="T4801" s="83" t="str">
        <f t="shared" si="519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20"/>
        <v/>
      </c>
      <c r="B4802" s="83" t="str">
        <f t="shared" si="525"/>
        <v/>
      </c>
      <c r="S4802" s="83" t="str">
        <f t="shared" si="521"/>
        <v/>
      </c>
      <c r="T4802" s="83" t="str">
        <f t="shared" ref="T4802:T4865" si="526">IF(A4802&lt;&gt;"",IF(FIND(" ",G4802)&gt;=1,MID(G4802,FIND(" ",G4802)+1,LEN(G4802)),""),"")</f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7">IF(G4803&amp;Q4803&lt;&gt;"",S4803&amp;Q4803,"")</f>
        <v/>
      </c>
      <c r="B4803" s="83" t="str">
        <f t="shared" si="525"/>
        <v/>
      </c>
      <c r="S4803" s="83" t="str">
        <f t="shared" ref="S4803:S4866" si="528">IF(G4803&lt;&gt;"",IF(FIND(" ",G4803)&gt;=1,MID(G4803,1,FIND(" ",G4803)-1),G4803),"")</f>
        <v/>
      </c>
      <c r="T4803" s="83" t="str">
        <f t="shared" si="526"/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7"/>
        <v/>
      </c>
      <c r="B4804" s="83" t="str">
        <f t="shared" si="525"/>
        <v/>
      </c>
      <c r="S4804" s="83" t="str">
        <f t="shared" si="528"/>
        <v/>
      </c>
      <c r="T4804" s="83" t="str">
        <f t="shared" si="526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7"/>
        <v/>
      </c>
      <c r="B4805" s="83" t="str">
        <f t="shared" si="525"/>
        <v/>
      </c>
      <c r="S4805" s="83" t="str">
        <f t="shared" si="528"/>
        <v/>
      </c>
      <c r="T4805" s="83" t="str">
        <f t="shared" si="526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7"/>
        <v/>
      </c>
      <c r="B4806" s="83" t="str">
        <f t="shared" si="525"/>
        <v/>
      </c>
      <c r="S4806" s="83" t="str">
        <f t="shared" si="528"/>
        <v/>
      </c>
      <c r="T4806" s="83" t="str">
        <f t="shared" si="526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7"/>
        <v/>
      </c>
      <c r="B4807" s="83" t="str">
        <f t="shared" si="525"/>
        <v/>
      </c>
      <c r="S4807" s="83" t="str">
        <f t="shared" si="528"/>
        <v/>
      </c>
      <c r="T4807" s="83" t="str">
        <f t="shared" si="526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7"/>
        <v/>
      </c>
      <c r="B4808" s="83" t="str">
        <f t="shared" si="525"/>
        <v/>
      </c>
      <c r="S4808" s="83" t="str">
        <f t="shared" si="528"/>
        <v/>
      </c>
      <c r="T4808" s="83" t="str">
        <f t="shared" si="526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7"/>
        <v/>
      </c>
      <c r="B4809" s="83" t="str">
        <f t="shared" si="525"/>
        <v/>
      </c>
      <c r="S4809" s="83" t="str">
        <f t="shared" si="528"/>
        <v/>
      </c>
      <c r="T4809" s="83" t="str">
        <f t="shared" si="526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7"/>
        <v/>
      </c>
      <c r="B4810" s="83" t="str">
        <f t="shared" si="525"/>
        <v/>
      </c>
      <c r="S4810" s="83" t="str">
        <f t="shared" si="528"/>
        <v/>
      </c>
      <c r="T4810" s="83" t="str">
        <f t="shared" si="526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7"/>
        <v/>
      </c>
      <c r="B4811" s="83" t="str">
        <f t="shared" si="525"/>
        <v/>
      </c>
      <c r="S4811" s="83" t="str">
        <f t="shared" si="528"/>
        <v/>
      </c>
      <c r="T4811" s="83" t="str">
        <f t="shared" si="526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7"/>
        <v/>
      </c>
      <c r="B4812" s="83" t="str">
        <f t="shared" si="525"/>
        <v/>
      </c>
      <c r="S4812" s="83" t="str">
        <f t="shared" si="528"/>
        <v/>
      </c>
      <c r="T4812" s="83" t="str">
        <f t="shared" si="526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7"/>
        <v/>
      </c>
      <c r="B4813" s="83" t="str">
        <f t="shared" si="525"/>
        <v/>
      </c>
      <c r="S4813" s="83" t="str">
        <f t="shared" si="528"/>
        <v/>
      </c>
      <c r="T4813" s="83" t="str">
        <f t="shared" si="526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7"/>
        <v/>
      </c>
      <c r="B4814" s="83" t="str">
        <f t="shared" si="525"/>
        <v/>
      </c>
      <c r="S4814" s="83" t="str">
        <f t="shared" si="528"/>
        <v/>
      </c>
      <c r="T4814" s="83" t="str">
        <f t="shared" si="526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7"/>
        <v/>
      </c>
      <c r="B4815" s="83" t="str">
        <f t="shared" si="525"/>
        <v/>
      </c>
      <c r="S4815" s="83" t="str">
        <f t="shared" si="528"/>
        <v/>
      </c>
      <c r="T4815" s="83" t="str">
        <f t="shared" si="526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7"/>
        <v/>
      </c>
      <c r="B4816" s="83" t="str">
        <f t="shared" si="525"/>
        <v/>
      </c>
      <c r="S4816" s="83" t="str">
        <f t="shared" si="528"/>
        <v/>
      </c>
      <c r="T4816" s="83" t="str">
        <f t="shared" si="526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7"/>
        <v/>
      </c>
      <c r="B4817" s="83" t="str">
        <f t="shared" si="525"/>
        <v/>
      </c>
      <c r="S4817" s="83" t="str">
        <f t="shared" si="528"/>
        <v/>
      </c>
      <c r="T4817" s="83" t="str">
        <f t="shared" si="526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7"/>
        <v/>
      </c>
      <c r="B4818" s="83" t="str">
        <f t="shared" si="525"/>
        <v/>
      </c>
      <c r="S4818" s="83" t="str">
        <f t="shared" si="528"/>
        <v/>
      </c>
      <c r="T4818" s="83" t="str">
        <f t="shared" si="526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7"/>
        <v/>
      </c>
      <c r="B4819" s="83" t="str">
        <f t="shared" si="525"/>
        <v/>
      </c>
      <c r="S4819" s="83" t="str">
        <f t="shared" si="528"/>
        <v/>
      </c>
      <c r="T4819" s="83" t="str">
        <f t="shared" si="526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7"/>
        <v/>
      </c>
      <c r="B4820" s="83" t="str">
        <f t="shared" si="525"/>
        <v/>
      </c>
      <c r="S4820" s="83" t="str">
        <f t="shared" si="528"/>
        <v/>
      </c>
      <c r="T4820" s="83" t="str">
        <f t="shared" si="526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7"/>
        <v/>
      </c>
      <c r="B4821" s="83" t="str">
        <f t="shared" si="525"/>
        <v/>
      </c>
      <c r="S4821" s="83" t="str">
        <f t="shared" si="528"/>
        <v/>
      </c>
      <c r="T4821" s="83" t="str">
        <f t="shared" si="526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7"/>
        <v/>
      </c>
      <c r="B4822" s="83" t="str">
        <f t="shared" si="525"/>
        <v/>
      </c>
      <c r="S4822" s="83" t="str">
        <f t="shared" si="528"/>
        <v/>
      </c>
      <c r="T4822" s="83" t="str">
        <f t="shared" si="526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7"/>
        <v/>
      </c>
      <c r="B4823" s="83" t="str">
        <f t="shared" si="525"/>
        <v/>
      </c>
      <c r="S4823" s="83" t="str">
        <f t="shared" si="528"/>
        <v/>
      </c>
      <c r="T4823" s="83" t="str">
        <f t="shared" si="526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7"/>
        <v/>
      </c>
      <c r="B4824" s="83" t="str">
        <f t="shared" si="525"/>
        <v/>
      </c>
      <c r="S4824" s="83" t="str">
        <f t="shared" si="528"/>
        <v/>
      </c>
      <c r="T4824" s="83" t="str">
        <f t="shared" si="526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7"/>
        <v/>
      </c>
      <c r="B4825" s="83" t="str">
        <f t="shared" si="525"/>
        <v/>
      </c>
      <c r="S4825" s="83" t="str">
        <f t="shared" si="528"/>
        <v/>
      </c>
      <c r="T4825" s="83" t="str">
        <f t="shared" si="526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7"/>
        <v/>
      </c>
      <c r="B4826" s="83" t="str">
        <f t="shared" si="525"/>
        <v/>
      </c>
      <c r="S4826" s="83" t="str">
        <f t="shared" si="528"/>
        <v/>
      </c>
      <c r="T4826" s="83" t="str">
        <f t="shared" si="526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7"/>
        <v/>
      </c>
      <c r="B4827" s="83" t="str">
        <f t="shared" si="525"/>
        <v/>
      </c>
      <c r="S4827" s="83" t="str">
        <f t="shared" si="528"/>
        <v/>
      </c>
      <c r="T4827" s="83" t="str">
        <f t="shared" si="526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7"/>
        <v/>
      </c>
      <c r="B4828" s="83" t="str">
        <f t="shared" si="525"/>
        <v/>
      </c>
      <c r="S4828" s="83" t="str">
        <f t="shared" si="528"/>
        <v/>
      </c>
      <c r="T4828" s="83" t="str">
        <f t="shared" si="526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7"/>
        <v/>
      </c>
      <c r="B4829" s="83" t="str">
        <f t="shared" si="525"/>
        <v/>
      </c>
      <c r="S4829" s="83" t="str">
        <f t="shared" si="528"/>
        <v/>
      </c>
      <c r="T4829" s="83" t="str">
        <f t="shared" si="526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7"/>
        <v/>
      </c>
      <c r="B4830" s="83" t="str">
        <f t="shared" si="525"/>
        <v/>
      </c>
      <c r="S4830" s="83" t="str">
        <f t="shared" si="528"/>
        <v/>
      </c>
      <c r="T4830" s="83" t="str">
        <f t="shared" si="526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7"/>
        <v/>
      </c>
      <c r="B4831" s="83" t="str">
        <f t="shared" si="525"/>
        <v/>
      </c>
      <c r="S4831" s="83" t="str">
        <f t="shared" si="528"/>
        <v/>
      </c>
      <c r="T4831" s="83" t="str">
        <f t="shared" si="526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7"/>
        <v/>
      </c>
      <c r="B4832" s="83" t="str">
        <f t="shared" si="525"/>
        <v/>
      </c>
      <c r="S4832" s="83" t="str">
        <f t="shared" si="528"/>
        <v/>
      </c>
      <c r="T4832" s="83" t="str">
        <f t="shared" si="526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7"/>
        <v/>
      </c>
      <c r="B4833" s="83" t="str">
        <f t="shared" ref="B4833:B4896" si="532">IF(C4833&lt;&gt;"",LEFT(C4833,9),"")</f>
        <v/>
      </c>
      <c r="S4833" s="83" t="str">
        <f t="shared" si="528"/>
        <v/>
      </c>
      <c r="T4833" s="83" t="str">
        <f t="shared" si="526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7"/>
        <v/>
      </c>
      <c r="B4834" s="83" t="str">
        <f t="shared" si="532"/>
        <v/>
      </c>
      <c r="S4834" s="83" t="str">
        <f t="shared" si="528"/>
        <v/>
      </c>
      <c r="T4834" s="83" t="str">
        <f t="shared" si="526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7"/>
        <v/>
      </c>
      <c r="B4835" s="83" t="str">
        <f t="shared" si="532"/>
        <v/>
      </c>
      <c r="S4835" s="83" t="str">
        <f t="shared" si="528"/>
        <v/>
      </c>
      <c r="T4835" s="83" t="str">
        <f t="shared" si="526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7"/>
        <v/>
      </c>
      <c r="B4836" s="83" t="str">
        <f t="shared" si="532"/>
        <v/>
      </c>
      <c r="S4836" s="83" t="str">
        <f t="shared" si="528"/>
        <v/>
      </c>
      <c r="T4836" s="83" t="str">
        <f t="shared" si="526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7"/>
        <v/>
      </c>
      <c r="B4837" s="83" t="str">
        <f t="shared" si="532"/>
        <v/>
      </c>
      <c r="S4837" s="83" t="str">
        <f t="shared" si="528"/>
        <v/>
      </c>
      <c r="T4837" s="83" t="str">
        <f t="shared" si="526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7"/>
        <v/>
      </c>
      <c r="B4838" s="83" t="str">
        <f t="shared" si="532"/>
        <v/>
      </c>
      <c r="S4838" s="83" t="str">
        <f t="shared" si="528"/>
        <v/>
      </c>
      <c r="T4838" s="83" t="str">
        <f t="shared" si="526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7"/>
        <v/>
      </c>
      <c r="B4839" s="83" t="str">
        <f t="shared" si="532"/>
        <v/>
      </c>
      <c r="S4839" s="83" t="str">
        <f t="shared" si="528"/>
        <v/>
      </c>
      <c r="T4839" s="83" t="str">
        <f t="shared" si="526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7"/>
        <v/>
      </c>
      <c r="B4840" s="83" t="str">
        <f t="shared" si="532"/>
        <v/>
      </c>
      <c r="S4840" s="83" t="str">
        <f t="shared" si="528"/>
        <v/>
      </c>
      <c r="T4840" s="83" t="str">
        <f t="shared" si="526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7"/>
        <v/>
      </c>
      <c r="B4841" s="83" t="str">
        <f t="shared" si="532"/>
        <v/>
      </c>
      <c r="S4841" s="83" t="str">
        <f t="shared" si="528"/>
        <v/>
      </c>
      <c r="T4841" s="83" t="str">
        <f t="shared" si="526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7"/>
        <v/>
      </c>
      <c r="B4842" s="83" t="str">
        <f t="shared" si="532"/>
        <v/>
      </c>
      <c r="S4842" s="83" t="str">
        <f t="shared" si="528"/>
        <v/>
      </c>
      <c r="T4842" s="83" t="str">
        <f t="shared" si="526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7"/>
        <v/>
      </c>
      <c r="B4843" s="83" t="str">
        <f t="shared" si="532"/>
        <v/>
      </c>
      <c r="S4843" s="83" t="str">
        <f t="shared" si="528"/>
        <v/>
      </c>
      <c r="T4843" s="83" t="str">
        <f t="shared" si="526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7"/>
        <v/>
      </c>
      <c r="B4844" s="83" t="str">
        <f t="shared" si="532"/>
        <v/>
      </c>
      <c r="S4844" s="83" t="str">
        <f t="shared" si="528"/>
        <v/>
      </c>
      <c r="T4844" s="83" t="str">
        <f t="shared" si="526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7"/>
        <v/>
      </c>
      <c r="B4845" s="83" t="str">
        <f t="shared" si="532"/>
        <v/>
      </c>
      <c r="S4845" s="83" t="str">
        <f t="shared" si="528"/>
        <v/>
      </c>
      <c r="T4845" s="83" t="str">
        <f t="shared" si="526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7"/>
        <v/>
      </c>
      <c r="B4846" s="83" t="str">
        <f t="shared" si="532"/>
        <v/>
      </c>
      <c r="S4846" s="83" t="str">
        <f t="shared" si="528"/>
        <v/>
      </c>
      <c r="T4846" s="83" t="str">
        <f t="shared" si="526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7"/>
        <v/>
      </c>
      <c r="B4847" s="83" t="str">
        <f t="shared" si="532"/>
        <v/>
      </c>
      <c r="S4847" s="83" t="str">
        <f t="shared" si="528"/>
        <v/>
      </c>
      <c r="T4847" s="83" t="str">
        <f t="shared" si="526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7"/>
        <v/>
      </c>
      <c r="B4848" s="83" t="str">
        <f t="shared" si="532"/>
        <v/>
      </c>
      <c r="S4848" s="83" t="str">
        <f t="shared" si="528"/>
        <v/>
      </c>
      <c r="T4848" s="83" t="str">
        <f t="shared" si="526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7"/>
        <v/>
      </c>
      <c r="B4849" s="83" t="str">
        <f t="shared" si="532"/>
        <v/>
      </c>
      <c r="S4849" s="83" t="str">
        <f t="shared" si="528"/>
        <v/>
      </c>
      <c r="T4849" s="83" t="str">
        <f t="shared" si="526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7"/>
        <v/>
      </c>
      <c r="B4850" s="83" t="str">
        <f t="shared" si="532"/>
        <v/>
      </c>
      <c r="S4850" s="83" t="str">
        <f t="shared" si="528"/>
        <v/>
      </c>
      <c r="T4850" s="83" t="str">
        <f t="shared" si="526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7"/>
        <v/>
      </c>
      <c r="B4851" s="83" t="str">
        <f t="shared" si="532"/>
        <v/>
      </c>
      <c r="S4851" s="83" t="str">
        <f t="shared" si="528"/>
        <v/>
      </c>
      <c r="T4851" s="83" t="str">
        <f t="shared" si="526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7"/>
        <v/>
      </c>
      <c r="B4852" s="83" t="str">
        <f t="shared" si="532"/>
        <v/>
      </c>
      <c r="S4852" s="83" t="str">
        <f t="shared" si="528"/>
        <v/>
      </c>
      <c r="T4852" s="83" t="str">
        <f t="shared" si="526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7"/>
        <v/>
      </c>
      <c r="B4853" s="83" t="str">
        <f t="shared" si="532"/>
        <v/>
      </c>
      <c r="S4853" s="83" t="str">
        <f t="shared" si="528"/>
        <v/>
      </c>
      <c r="T4853" s="83" t="str">
        <f t="shared" si="526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7"/>
        <v/>
      </c>
      <c r="B4854" s="83" t="str">
        <f t="shared" si="532"/>
        <v/>
      </c>
      <c r="S4854" s="83" t="str">
        <f t="shared" si="528"/>
        <v/>
      </c>
      <c r="T4854" s="83" t="str">
        <f t="shared" si="526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7"/>
        <v/>
      </c>
      <c r="B4855" s="83" t="str">
        <f t="shared" si="532"/>
        <v/>
      </c>
      <c r="S4855" s="83" t="str">
        <f t="shared" si="528"/>
        <v/>
      </c>
      <c r="T4855" s="83" t="str">
        <f t="shared" si="526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7"/>
        <v/>
      </c>
      <c r="B4856" s="83" t="str">
        <f t="shared" si="532"/>
        <v/>
      </c>
      <c r="S4856" s="83" t="str">
        <f t="shared" si="528"/>
        <v/>
      </c>
      <c r="T4856" s="83" t="str">
        <f t="shared" si="526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7"/>
        <v/>
      </c>
      <c r="B4857" s="83" t="str">
        <f t="shared" si="532"/>
        <v/>
      </c>
      <c r="S4857" s="83" t="str">
        <f t="shared" si="528"/>
        <v/>
      </c>
      <c r="T4857" s="83" t="str">
        <f t="shared" si="526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7"/>
        <v/>
      </c>
      <c r="B4858" s="83" t="str">
        <f t="shared" si="532"/>
        <v/>
      </c>
      <c r="S4858" s="83" t="str">
        <f t="shared" si="528"/>
        <v/>
      </c>
      <c r="T4858" s="83" t="str">
        <f t="shared" si="526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7"/>
        <v/>
      </c>
      <c r="B4859" s="83" t="str">
        <f t="shared" si="532"/>
        <v/>
      </c>
      <c r="S4859" s="83" t="str">
        <f t="shared" si="528"/>
        <v/>
      </c>
      <c r="T4859" s="83" t="str">
        <f t="shared" si="526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7"/>
        <v/>
      </c>
      <c r="B4860" s="83" t="str">
        <f t="shared" si="532"/>
        <v/>
      </c>
      <c r="S4860" s="83" t="str">
        <f t="shared" si="528"/>
        <v/>
      </c>
      <c r="T4860" s="83" t="str">
        <f t="shared" si="526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7"/>
        <v/>
      </c>
      <c r="B4861" s="83" t="str">
        <f t="shared" si="532"/>
        <v/>
      </c>
      <c r="S4861" s="83" t="str">
        <f t="shared" si="528"/>
        <v/>
      </c>
      <c r="T4861" s="83" t="str">
        <f t="shared" si="526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7"/>
        <v/>
      </c>
      <c r="B4862" s="83" t="str">
        <f t="shared" si="532"/>
        <v/>
      </c>
      <c r="S4862" s="83" t="str">
        <f t="shared" si="528"/>
        <v/>
      </c>
      <c r="T4862" s="83" t="str">
        <f t="shared" si="526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7"/>
        <v/>
      </c>
      <c r="B4863" s="83" t="str">
        <f t="shared" si="532"/>
        <v/>
      </c>
      <c r="S4863" s="83" t="str">
        <f t="shared" si="528"/>
        <v/>
      </c>
      <c r="T4863" s="83" t="str">
        <f t="shared" si="526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7"/>
        <v/>
      </c>
      <c r="B4864" s="83" t="str">
        <f t="shared" si="532"/>
        <v/>
      </c>
      <c r="S4864" s="83" t="str">
        <f t="shared" si="528"/>
        <v/>
      </c>
      <c r="T4864" s="83" t="str">
        <f t="shared" si="526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7"/>
        <v/>
      </c>
      <c r="B4865" s="83" t="str">
        <f t="shared" si="532"/>
        <v/>
      </c>
      <c r="S4865" s="83" t="str">
        <f t="shared" si="528"/>
        <v/>
      </c>
      <c r="T4865" s="83" t="str">
        <f t="shared" si="526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7"/>
        <v/>
      </c>
      <c r="B4866" s="83" t="str">
        <f t="shared" si="532"/>
        <v/>
      </c>
      <c r="S4866" s="83" t="str">
        <f t="shared" si="528"/>
        <v/>
      </c>
      <c r="T4866" s="83" t="str">
        <f t="shared" ref="T4866:T4929" si="533">IF(A4866&lt;&gt;"",IF(FIND(" ",G4866)&gt;=1,MID(G4866,FIND(" ",G4866)+1,LEN(G4866)),""),"")</f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4">IF(G4867&amp;Q4867&lt;&gt;"",S4867&amp;Q4867,"")</f>
        <v/>
      </c>
      <c r="B4867" s="83" t="str">
        <f t="shared" si="532"/>
        <v/>
      </c>
      <c r="S4867" s="83" t="str">
        <f t="shared" ref="S4867:S4930" si="535">IF(G4867&lt;&gt;"",IF(FIND(" ",G4867)&gt;=1,MID(G4867,1,FIND(" ",G4867)-1),G4867),"")</f>
        <v/>
      </c>
      <c r="T4867" s="83" t="str">
        <f t="shared" si="533"/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4"/>
        <v/>
      </c>
      <c r="B4868" s="83" t="str">
        <f t="shared" si="532"/>
        <v/>
      </c>
      <c r="S4868" s="83" t="str">
        <f t="shared" si="535"/>
        <v/>
      </c>
      <c r="T4868" s="83" t="str">
        <f t="shared" si="533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4"/>
        <v/>
      </c>
      <c r="B4869" s="83" t="str">
        <f t="shared" si="532"/>
        <v/>
      </c>
      <c r="S4869" s="83" t="str">
        <f t="shared" si="535"/>
        <v/>
      </c>
      <c r="T4869" s="83" t="str">
        <f t="shared" si="533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4"/>
        <v/>
      </c>
      <c r="B4870" s="83" t="str">
        <f t="shared" si="532"/>
        <v/>
      </c>
      <c r="S4870" s="83" t="str">
        <f t="shared" si="535"/>
        <v/>
      </c>
      <c r="T4870" s="83" t="str">
        <f t="shared" si="533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4"/>
        <v/>
      </c>
      <c r="B4871" s="83" t="str">
        <f t="shared" si="532"/>
        <v/>
      </c>
      <c r="S4871" s="83" t="str">
        <f t="shared" si="535"/>
        <v/>
      </c>
      <c r="T4871" s="83" t="str">
        <f t="shared" si="533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4"/>
        <v/>
      </c>
      <c r="B4872" s="83" t="str">
        <f t="shared" si="532"/>
        <v/>
      </c>
      <c r="S4872" s="83" t="str">
        <f t="shared" si="535"/>
        <v/>
      </c>
      <c r="T4872" s="83" t="str">
        <f t="shared" si="533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4"/>
        <v/>
      </c>
      <c r="B4873" s="83" t="str">
        <f t="shared" si="532"/>
        <v/>
      </c>
      <c r="S4873" s="83" t="str">
        <f t="shared" si="535"/>
        <v/>
      </c>
      <c r="T4873" s="83" t="str">
        <f t="shared" si="533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4"/>
        <v/>
      </c>
      <c r="B4874" s="83" t="str">
        <f t="shared" si="532"/>
        <v/>
      </c>
      <c r="S4874" s="83" t="str">
        <f t="shared" si="535"/>
        <v/>
      </c>
      <c r="T4874" s="83" t="str">
        <f t="shared" si="533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4"/>
        <v/>
      </c>
      <c r="B4875" s="83" t="str">
        <f t="shared" si="532"/>
        <v/>
      </c>
      <c r="S4875" s="83" t="str">
        <f t="shared" si="535"/>
        <v/>
      </c>
      <c r="T4875" s="83" t="str">
        <f t="shared" si="533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4"/>
        <v/>
      </c>
      <c r="B4876" s="83" t="str">
        <f t="shared" si="532"/>
        <v/>
      </c>
      <c r="S4876" s="83" t="str">
        <f t="shared" si="535"/>
        <v/>
      </c>
      <c r="T4876" s="83" t="str">
        <f t="shared" si="533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4"/>
        <v/>
      </c>
      <c r="B4877" s="83" t="str">
        <f t="shared" si="532"/>
        <v/>
      </c>
      <c r="S4877" s="83" t="str">
        <f t="shared" si="535"/>
        <v/>
      </c>
      <c r="T4877" s="83" t="str">
        <f t="shared" si="533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4"/>
        <v/>
      </c>
      <c r="B4878" s="83" t="str">
        <f t="shared" si="532"/>
        <v/>
      </c>
      <c r="S4878" s="83" t="str">
        <f t="shared" si="535"/>
        <v/>
      </c>
      <c r="T4878" s="83" t="str">
        <f t="shared" si="533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4"/>
        <v/>
      </c>
      <c r="B4879" s="83" t="str">
        <f t="shared" si="532"/>
        <v/>
      </c>
      <c r="S4879" s="83" t="str">
        <f t="shared" si="535"/>
        <v/>
      </c>
      <c r="T4879" s="83" t="str">
        <f t="shared" si="533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4"/>
        <v/>
      </c>
      <c r="B4880" s="83" t="str">
        <f t="shared" si="532"/>
        <v/>
      </c>
      <c r="S4880" s="83" t="str">
        <f t="shared" si="535"/>
        <v/>
      </c>
      <c r="T4880" s="83" t="str">
        <f t="shared" si="533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4"/>
        <v/>
      </c>
      <c r="B4881" s="83" t="str">
        <f t="shared" si="532"/>
        <v/>
      </c>
      <c r="S4881" s="83" t="str">
        <f t="shared" si="535"/>
        <v/>
      </c>
      <c r="T4881" s="83" t="str">
        <f t="shared" si="533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4"/>
        <v/>
      </c>
      <c r="B4882" s="83" t="str">
        <f t="shared" si="532"/>
        <v/>
      </c>
      <c r="S4882" s="83" t="str">
        <f t="shared" si="535"/>
        <v/>
      </c>
      <c r="T4882" s="83" t="str">
        <f t="shared" si="533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4"/>
        <v/>
      </c>
      <c r="B4883" s="83" t="str">
        <f t="shared" si="532"/>
        <v/>
      </c>
      <c r="S4883" s="83" t="str">
        <f t="shared" si="535"/>
        <v/>
      </c>
      <c r="T4883" s="83" t="str">
        <f t="shared" si="533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4"/>
        <v/>
      </c>
      <c r="B4884" s="83" t="str">
        <f t="shared" si="532"/>
        <v/>
      </c>
      <c r="S4884" s="83" t="str">
        <f t="shared" si="535"/>
        <v/>
      </c>
      <c r="T4884" s="83" t="str">
        <f t="shared" si="533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4"/>
        <v/>
      </c>
      <c r="B4885" s="83" t="str">
        <f t="shared" si="532"/>
        <v/>
      </c>
      <c r="S4885" s="83" t="str">
        <f t="shared" si="535"/>
        <v/>
      </c>
      <c r="T4885" s="83" t="str">
        <f t="shared" si="533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4"/>
        <v/>
      </c>
      <c r="B4886" s="83" t="str">
        <f t="shared" si="532"/>
        <v/>
      </c>
      <c r="S4886" s="83" t="str">
        <f t="shared" si="535"/>
        <v/>
      </c>
      <c r="T4886" s="83" t="str">
        <f t="shared" si="533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4"/>
        <v/>
      </c>
      <c r="B4887" s="83" t="str">
        <f t="shared" si="532"/>
        <v/>
      </c>
      <c r="S4887" s="83" t="str">
        <f t="shared" si="535"/>
        <v/>
      </c>
      <c r="T4887" s="83" t="str">
        <f t="shared" si="533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4"/>
        <v/>
      </c>
      <c r="B4888" s="83" t="str">
        <f t="shared" si="532"/>
        <v/>
      </c>
      <c r="S4888" s="83" t="str">
        <f t="shared" si="535"/>
        <v/>
      </c>
      <c r="T4888" s="83" t="str">
        <f t="shared" si="533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4"/>
        <v/>
      </c>
      <c r="B4889" s="83" t="str">
        <f t="shared" si="532"/>
        <v/>
      </c>
      <c r="S4889" s="83" t="str">
        <f t="shared" si="535"/>
        <v/>
      </c>
      <c r="T4889" s="83" t="str">
        <f t="shared" si="533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4"/>
        <v/>
      </c>
      <c r="B4890" s="83" t="str">
        <f t="shared" si="532"/>
        <v/>
      </c>
      <c r="S4890" s="83" t="str">
        <f t="shared" si="535"/>
        <v/>
      </c>
      <c r="T4890" s="83" t="str">
        <f t="shared" si="533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4"/>
        <v/>
      </c>
      <c r="B4891" s="83" t="str">
        <f t="shared" si="532"/>
        <v/>
      </c>
      <c r="S4891" s="83" t="str">
        <f t="shared" si="535"/>
        <v/>
      </c>
      <c r="T4891" s="83" t="str">
        <f t="shared" si="533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4"/>
        <v/>
      </c>
      <c r="B4892" s="83" t="str">
        <f t="shared" si="532"/>
        <v/>
      </c>
      <c r="S4892" s="83" t="str">
        <f t="shared" si="535"/>
        <v/>
      </c>
      <c r="T4892" s="83" t="str">
        <f t="shared" si="533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4"/>
        <v/>
      </c>
      <c r="B4893" s="83" t="str">
        <f t="shared" si="532"/>
        <v/>
      </c>
      <c r="S4893" s="83" t="str">
        <f t="shared" si="535"/>
        <v/>
      </c>
      <c r="T4893" s="83" t="str">
        <f t="shared" si="533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4"/>
        <v/>
      </c>
      <c r="B4894" s="83" t="str">
        <f t="shared" si="532"/>
        <v/>
      </c>
      <c r="S4894" s="83" t="str">
        <f t="shared" si="535"/>
        <v/>
      </c>
      <c r="T4894" s="83" t="str">
        <f t="shared" si="533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4"/>
        <v/>
      </c>
      <c r="B4895" s="83" t="str">
        <f t="shared" si="532"/>
        <v/>
      </c>
      <c r="S4895" s="83" t="str">
        <f t="shared" si="535"/>
        <v/>
      </c>
      <c r="T4895" s="83" t="str">
        <f t="shared" si="533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4"/>
        <v/>
      </c>
      <c r="B4896" s="83" t="str">
        <f t="shared" si="532"/>
        <v/>
      </c>
      <c r="S4896" s="83" t="str">
        <f t="shared" si="535"/>
        <v/>
      </c>
      <c r="T4896" s="83" t="str">
        <f t="shared" si="533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4"/>
        <v/>
      </c>
      <c r="B4897" s="83" t="str">
        <f t="shared" ref="B4897:B4960" si="539">IF(C4897&lt;&gt;"",LEFT(C4897,9),"")</f>
        <v/>
      </c>
      <c r="S4897" s="83" t="str">
        <f t="shared" si="535"/>
        <v/>
      </c>
      <c r="T4897" s="83" t="str">
        <f t="shared" si="533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4"/>
        <v/>
      </c>
      <c r="B4898" s="83" t="str">
        <f t="shared" si="539"/>
        <v/>
      </c>
      <c r="S4898" s="83" t="str">
        <f t="shared" si="535"/>
        <v/>
      </c>
      <c r="T4898" s="83" t="str">
        <f t="shared" si="533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4"/>
        <v/>
      </c>
      <c r="B4899" s="83" t="str">
        <f t="shared" si="539"/>
        <v/>
      </c>
      <c r="S4899" s="83" t="str">
        <f t="shared" si="535"/>
        <v/>
      </c>
      <c r="T4899" s="83" t="str">
        <f t="shared" si="533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4"/>
        <v/>
      </c>
      <c r="B4900" s="83" t="str">
        <f t="shared" si="539"/>
        <v/>
      </c>
      <c r="S4900" s="83" t="str">
        <f t="shared" si="535"/>
        <v/>
      </c>
      <c r="T4900" s="83" t="str">
        <f t="shared" si="533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4"/>
        <v/>
      </c>
      <c r="B4901" s="83" t="str">
        <f t="shared" si="539"/>
        <v/>
      </c>
      <c r="S4901" s="83" t="str">
        <f t="shared" si="535"/>
        <v/>
      </c>
      <c r="T4901" s="83" t="str">
        <f t="shared" si="533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4"/>
        <v/>
      </c>
      <c r="B4902" s="83" t="str">
        <f t="shared" si="539"/>
        <v/>
      </c>
      <c r="S4902" s="83" t="str">
        <f t="shared" si="535"/>
        <v/>
      </c>
      <c r="T4902" s="83" t="str">
        <f t="shared" si="533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4"/>
        <v/>
      </c>
      <c r="B4903" s="83" t="str">
        <f t="shared" si="539"/>
        <v/>
      </c>
      <c r="S4903" s="83" t="str">
        <f t="shared" si="535"/>
        <v/>
      </c>
      <c r="T4903" s="83" t="str">
        <f t="shared" si="533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4"/>
        <v/>
      </c>
      <c r="B4904" s="83" t="str">
        <f t="shared" si="539"/>
        <v/>
      </c>
      <c r="S4904" s="83" t="str">
        <f t="shared" si="535"/>
        <v/>
      </c>
      <c r="T4904" s="83" t="str">
        <f t="shared" si="533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4"/>
        <v/>
      </c>
      <c r="B4905" s="83" t="str">
        <f t="shared" si="539"/>
        <v/>
      </c>
      <c r="S4905" s="83" t="str">
        <f t="shared" si="535"/>
        <v/>
      </c>
      <c r="T4905" s="83" t="str">
        <f t="shared" si="533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4"/>
        <v/>
      </c>
      <c r="B4906" s="83" t="str">
        <f t="shared" si="539"/>
        <v/>
      </c>
      <c r="S4906" s="83" t="str">
        <f t="shared" si="535"/>
        <v/>
      </c>
      <c r="T4906" s="83" t="str">
        <f t="shared" si="533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4"/>
        <v/>
      </c>
      <c r="B4907" s="83" t="str">
        <f t="shared" si="539"/>
        <v/>
      </c>
      <c r="S4907" s="83" t="str">
        <f t="shared" si="535"/>
        <v/>
      </c>
      <c r="T4907" s="83" t="str">
        <f t="shared" si="533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4"/>
        <v/>
      </c>
      <c r="B4908" s="83" t="str">
        <f t="shared" si="539"/>
        <v/>
      </c>
      <c r="S4908" s="83" t="str">
        <f t="shared" si="535"/>
        <v/>
      </c>
      <c r="T4908" s="83" t="str">
        <f t="shared" si="533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4"/>
        <v/>
      </c>
      <c r="B4909" s="83" t="str">
        <f t="shared" si="539"/>
        <v/>
      </c>
      <c r="S4909" s="83" t="str">
        <f t="shared" si="535"/>
        <v/>
      </c>
      <c r="T4909" s="83" t="str">
        <f t="shared" si="533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4"/>
        <v/>
      </c>
      <c r="B4910" s="83" t="str">
        <f t="shared" si="539"/>
        <v/>
      </c>
      <c r="S4910" s="83" t="str">
        <f t="shared" si="535"/>
        <v/>
      </c>
      <c r="T4910" s="83" t="str">
        <f t="shared" si="533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4"/>
        <v/>
      </c>
      <c r="B4911" s="83" t="str">
        <f t="shared" si="539"/>
        <v/>
      </c>
      <c r="S4911" s="83" t="str">
        <f t="shared" si="535"/>
        <v/>
      </c>
      <c r="T4911" s="83" t="str">
        <f t="shared" si="533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4"/>
        <v/>
      </c>
      <c r="B4912" s="83" t="str">
        <f t="shared" si="539"/>
        <v/>
      </c>
      <c r="S4912" s="83" t="str">
        <f t="shared" si="535"/>
        <v/>
      </c>
      <c r="T4912" s="83" t="str">
        <f t="shared" si="533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4"/>
        <v/>
      </c>
      <c r="B4913" s="83" t="str">
        <f t="shared" si="539"/>
        <v/>
      </c>
      <c r="S4913" s="83" t="str">
        <f t="shared" si="535"/>
        <v/>
      </c>
      <c r="T4913" s="83" t="str">
        <f t="shared" si="533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4"/>
        <v/>
      </c>
      <c r="B4914" s="83" t="str">
        <f t="shared" si="539"/>
        <v/>
      </c>
      <c r="S4914" s="83" t="str">
        <f t="shared" si="535"/>
        <v/>
      </c>
      <c r="T4914" s="83" t="str">
        <f t="shared" si="533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4"/>
        <v/>
      </c>
      <c r="B4915" s="83" t="str">
        <f t="shared" si="539"/>
        <v/>
      </c>
      <c r="S4915" s="83" t="str">
        <f t="shared" si="535"/>
        <v/>
      </c>
      <c r="T4915" s="83" t="str">
        <f t="shared" si="533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4"/>
        <v/>
      </c>
      <c r="B4916" s="83" t="str">
        <f t="shared" si="539"/>
        <v/>
      </c>
      <c r="S4916" s="83" t="str">
        <f t="shared" si="535"/>
        <v/>
      </c>
      <c r="T4916" s="83" t="str">
        <f t="shared" si="533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4"/>
        <v/>
      </c>
      <c r="B4917" s="83" t="str">
        <f t="shared" si="539"/>
        <v/>
      </c>
      <c r="S4917" s="83" t="str">
        <f t="shared" si="535"/>
        <v/>
      </c>
      <c r="T4917" s="83" t="str">
        <f t="shared" si="533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4"/>
        <v/>
      </c>
      <c r="B4918" s="83" t="str">
        <f t="shared" si="539"/>
        <v/>
      </c>
      <c r="S4918" s="83" t="str">
        <f t="shared" si="535"/>
        <v/>
      </c>
      <c r="T4918" s="83" t="str">
        <f t="shared" si="533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4"/>
        <v/>
      </c>
      <c r="B4919" s="83" t="str">
        <f t="shared" si="539"/>
        <v/>
      </c>
      <c r="S4919" s="83" t="str">
        <f t="shared" si="535"/>
        <v/>
      </c>
      <c r="T4919" s="83" t="str">
        <f t="shared" si="533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4"/>
        <v/>
      </c>
      <c r="B4920" s="83" t="str">
        <f t="shared" si="539"/>
        <v/>
      </c>
      <c r="S4920" s="83" t="str">
        <f t="shared" si="535"/>
        <v/>
      </c>
      <c r="T4920" s="83" t="str">
        <f t="shared" si="533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4"/>
        <v/>
      </c>
      <c r="B4921" s="83" t="str">
        <f t="shared" si="539"/>
        <v/>
      </c>
      <c r="S4921" s="83" t="str">
        <f t="shared" si="535"/>
        <v/>
      </c>
      <c r="T4921" s="83" t="str">
        <f t="shared" si="533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4"/>
        <v/>
      </c>
      <c r="B4922" s="83" t="str">
        <f t="shared" si="539"/>
        <v/>
      </c>
      <c r="S4922" s="83" t="str">
        <f t="shared" si="535"/>
        <v/>
      </c>
      <c r="T4922" s="83" t="str">
        <f t="shared" si="533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4"/>
        <v/>
      </c>
      <c r="B4923" s="83" t="str">
        <f t="shared" si="539"/>
        <v/>
      </c>
      <c r="S4923" s="83" t="str">
        <f t="shared" si="535"/>
        <v/>
      </c>
      <c r="T4923" s="83" t="str">
        <f t="shared" si="533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4"/>
        <v/>
      </c>
      <c r="B4924" s="83" t="str">
        <f t="shared" si="539"/>
        <v/>
      </c>
      <c r="S4924" s="83" t="str">
        <f t="shared" si="535"/>
        <v/>
      </c>
      <c r="T4924" s="83" t="str">
        <f t="shared" si="533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4"/>
        <v/>
      </c>
      <c r="B4925" s="83" t="str">
        <f t="shared" si="539"/>
        <v/>
      </c>
      <c r="S4925" s="83" t="str">
        <f t="shared" si="535"/>
        <v/>
      </c>
      <c r="T4925" s="83" t="str">
        <f t="shared" si="533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4"/>
        <v/>
      </c>
      <c r="B4926" s="83" t="str">
        <f t="shared" si="539"/>
        <v/>
      </c>
      <c r="S4926" s="83" t="str">
        <f t="shared" si="535"/>
        <v/>
      </c>
      <c r="T4926" s="83" t="str">
        <f t="shared" si="533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4"/>
        <v/>
      </c>
      <c r="B4927" s="83" t="str">
        <f t="shared" si="539"/>
        <v/>
      </c>
      <c r="S4927" s="83" t="str">
        <f t="shared" si="535"/>
        <v/>
      </c>
      <c r="T4927" s="83" t="str">
        <f t="shared" si="533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4"/>
        <v/>
      </c>
      <c r="B4928" s="83" t="str">
        <f t="shared" si="539"/>
        <v/>
      </c>
      <c r="S4928" s="83" t="str">
        <f t="shared" si="535"/>
        <v/>
      </c>
      <c r="T4928" s="83" t="str">
        <f t="shared" si="533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4"/>
        <v/>
      </c>
      <c r="B4929" s="83" t="str">
        <f t="shared" si="539"/>
        <v/>
      </c>
      <c r="S4929" s="83" t="str">
        <f t="shared" si="535"/>
        <v/>
      </c>
      <c r="T4929" s="83" t="str">
        <f t="shared" si="533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4"/>
        <v/>
      </c>
      <c r="B4930" s="83" t="str">
        <f t="shared" si="539"/>
        <v/>
      </c>
      <c r="S4930" s="83" t="str">
        <f t="shared" si="535"/>
        <v/>
      </c>
      <c r="T4930" s="83" t="str">
        <f t="shared" ref="T4930:T4993" si="540">IF(A4930&lt;&gt;"",IF(FIND(" ",G4930)&gt;=1,MID(G4930,FIND(" ",G4930)+1,LEN(G4930)),""),"")</f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1">IF(G4931&amp;Q4931&lt;&gt;"",S4931&amp;Q4931,"")</f>
        <v/>
      </c>
      <c r="B4931" s="83" t="str">
        <f t="shared" si="539"/>
        <v/>
      </c>
      <c r="S4931" s="83" t="str">
        <f t="shared" ref="S4931:S4994" si="542">IF(G4931&lt;&gt;"",IF(FIND(" ",G4931)&gt;=1,MID(G4931,1,FIND(" ",G4931)-1),G4931),"")</f>
        <v/>
      </c>
      <c r="T4931" s="83" t="str">
        <f t="shared" si="540"/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1"/>
        <v/>
      </c>
      <c r="B4932" s="83" t="str">
        <f t="shared" si="539"/>
        <v/>
      </c>
      <c r="S4932" s="83" t="str">
        <f t="shared" si="542"/>
        <v/>
      </c>
      <c r="T4932" s="83" t="str">
        <f t="shared" si="540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1"/>
        <v/>
      </c>
      <c r="B4933" s="83" t="str">
        <f t="shared" si="539"/>
        <v/>
      </c>
      <c r="S4933" s="83" t="str">
        <f t="shared" si="542"/>
        <v/>
      </c>
      <c r="T4933" s="83" t="str">
        <f t="shared" si="540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1"/>
        <v/>
      </c>
      <c r="B4934" s="83" t="str">
        <f t="shared" si="539"/>
        <v/>
      </c>
      <c r="S4934" s="83" t="str">
        <f t="shared" si="542"/>
        <v/>
      </c>
      <c r="T4934" s="83" t="str">
        <f t="shared" si="540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1"/>
        <v/>
      </c>
      <c r="B4935" s="83" t="str">
        <f t="shared" si="539"/>
        <v/>
      </c>
      <c r="S4935" s="83" t="str">
        <f t="shared" si="542"/>
        <v/>
      </c>
      <c r="T4935" s="83" t="str">
        <f t="shared" si="540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1"/>
        <v/>
      </c>
      <c r="B4936" s="83" t="str">
        <f t="shared" si="539"/>
        <v/>
      </c>
      <c r="S4936" s="83" t="str">
        <f t="shared" si="542"/>
        <v/>
      </c>
      <c r="T4936" s="83" t="str">
        <f t="shared" si="540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1"/>
        <v/>
      </c>
      <c r="B4937" s="83" t="str">
        <f t="shared" si="539"/>
        <v/>
      </c>
      <c r="S4937" s="83" t="str">
        <f t="shared" si="542"/>
        <v/>
      </c>
      <c r="T4937" s="83" t="str">
        <f t="shared" si="540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1"/>
        <v/>
      </c>
      <c r="B4938" s="83" t="str">
        <f t="shared" si="539"/>
        <v/>
      </c>
      <c r="S4938" s="83" t="str">
        <f t="shared" si="542"/>
        <v/>
      </c>
      <c r="T4938" s="83" t="str">
        <f t="shared" si="540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1"/>
        <v/>
      </c>
      <c r="B4939" s="83" t="str">
        <f t="shared" si="539"/>
        <v/>
      </c>
      <c r="S4939" s="83" t="str">
        <f t="shared" si="542"/>
        <v/>
      </c>
      <c r="T4939" s="83" t="str">
        <f t="shared" si="540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1"/>
        <v/>
      </c>
      <c r="B4940" s="83" t="str">
        <f t="shared" si="539"/>
        <v/>
      </c>
      <c r="S4940" s="83" t="str">
        <f t="shared" si="542"/>
        <v/>
      </c>
      <c r="T4940" s="83" t="str">
        <f t="shared" si="540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1"/>
        <v/>
      </c>
      <c r="B4941" s="83" t="str">
        <f t="shared" si="539"/>
        <v/>
      </c>
      <c r="S4941" s="83" t="str">
        <f t="shared" si="542"/>
        <v/>
      </c>
      <c r="T4941" s="83" t="str">
        <f t="shared" si="540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1"/>
        <v/>
      </c>
      <c r="B4942" s="83" t="str">
        <f t="shared" si="539"/>
        <v/>
      </c>
      <c r="S4942" s="83" t="str">
        <f t="shared" si="542"/>
        <v/>
      </c>
      <c r="T4942" s="83" t="str">
        <f t="shared" si="540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1"/>
        <v/>
      </c>
      <c r="B4943" s="83" t="str">
        <f t="shared" si="539"/>
        <v/>
      </c>
      <c r="S4943" s="83" t="str">
        <f t="shared" si="542"/>
        <v/>
      </c>
      <c r="T4943" s="83" t="str">
        <f t="shared" si="540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1"/>
        <v/>
      </c>
      <c r="B4944" s="83" t="str">
        <f t="shared" si="539"/>
        <v/>
      </c>
      <c r="S4944" s="83" t="str">
        <f t="shared" si="542"/>
        <v/>
      </c>
      <c r="T4944" s="83" t="str">
        <f t="shared" si="540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1"/>
        <v/>
      </c>
      <c r="B4945" s="83" t="str">
        <f t="shared" si="539"/>
        <v/>
      </c>
      <c r="S4945" s="83" t="str">
        <f t="shared" si="542"/>
        <v/>
      </c>
      <c r="T4945" s="83" t="str">
        <f t="shared" si="540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1"/>
        <v/>
      </c>
      <c r="B4946" s="83" t="str">
        <f t="shared" si="539"/>
        <v/>
      </c>
      <c r="S4946" s="83" t="str">
        <f t="shared" si="542"/>
        <v/>
      </c>
      <c r="T4946" s="83" t="str">
        <f t="shared" si="540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1"/>
        <v/>
      </c>
      <c r="B4947" s="83" t="str">
        <f t="shared" si="539"/>
        <v/>
      </c>
      <c r="S4947" s="83" t="str">
        <f t="shared" si="542"/>
        <v/>
      </c>
      <c r="T4947" s="83" t="str">
        <f t="shared" si="540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1"/>
        <v/>
      </c>
      <c r="B4948" s="83" t="str">
        <f t="shared" si="539"/>
        <v/>
      </c>
      <c r="S4948" s="83" t="str">
        <f t="shared" si="542"/>
        <v/>
      </c>
      <c r="T4948" s="83" t="str">
        <f t="shared" si="540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1"/>
        <v/>
      </c>
      <c r="B4949" s="83" t="str">
        <f t="shared" si="539"/>
        <v/>
      </c>
      <c r="S4949" s="83" t="str">
        <f t="shared" si="542"/>
        <v/>
      </c>
      <c r="T4949" s="83" t="str">
        <f t="shared" si="540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1"/>
        <v/>
      </c>
      <c r="B4950" s="83" t="str">
        <f t="shared" si="539"/>
        <v/>
      </c>
      <c r="S4950" s="83" t="str">
        <f t="shared" si="542"/>
        <v/>
      </c>
      <c r="T4950" s="83" t="str">
        <f t="shared" si="540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1"/>
        <v/>
      </c>
      <c r="B4951" s="83" t="str">
        <f t="shared" si="539"/>
        <v/>
      </c>
      <c r="S4951" s="83" t="str">
        <f t="shared" si="542"/>
        <v/>
      </c>
      <c r="T4951" s="83" t="str">
        <f t="shared" si="540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1"/>
        <v/>
      </c>
      <c r="B4952" s="83" t="str">
        <f t="shared" si="539"/>
        <v/>
      </c>
      <c r="S4952" s="83" t="str">
        <f t="shared" si="542"/>
        <v/>
      </c>
      <c r="T4952" s="83" t="str">
        <f t="shared" si="540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1"/>
        <v/>
      </c>
      <c r="B4953" s="83" t="str">
        <f t="shared" si="539"/>
        <v/>
      </c>
      <c r="S4953" s="83" t="str">
        <f t="shared" si="542"/>
        <v/>
      </c>
      <c r="T4953" s="83" t="str">
        <f t="shared" si="540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1"/>
        <v/>
      </c>
      <c r="B4954" s="83" t="str">
        <f t="shared" si="539"/>
        <v/>
      </c>
      <c r="S4954" s="83" t="str">
        <f t="shared" si="542"/>
        <v/>
      </c>
      <c r="T4954" s="83" t="str">
        <f t="shared" si="540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1"/>
        <v/>
      </c>
      <c r="B4955" s="83" t="str">
        <f t="shared" si="539"/>
        <v/>
      </c>
      <c r="S4955" s="83" t="str">
        <f t="shared" si="542"/>
        <v/>
      </c>
      <c r="T4955" s="83" t="str">
        <f t="shared" si="540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1"/>
        <v/>
      </c>
      <c r="B4956" s="83" t="str">
        <f t="shared" si="539"/>
        <v/>
      </c>
      <c r="S4956" s="83" t="str">
        <f t="shared" si="542"/>
        <v/>
      </c>
      <c r="T4956" s="83" t="str">
        <f t="shared" si="540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1"/>
        <v/>
      </c>
      <c r="B4957" s="83" t="str">
        <f t="shared" si="539"/>
        <v/>
      </c>
      <c r="S4957" s="83" t="str">
        <f t="shared" si="542"/>
        <v/>
      </c>
      <c r="T4957" s="83" t="str">
        <f t="shared" si="540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1"/>
        <v/>
      </c>
      <c r="B4958" s="83" t="str">
        <f t="shared" si="539"/>
        <v/>
      </c>
      <c r="S4958" s="83" t="str">
        <f t="shared" si="542"/>
        <v/>
      </c>
      <c r="T4958" s="83" t="str">
        <f t="shared" si="540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1"/>
        <v/>
      </c>
      <c r="B4959" s="83" t="str">
        <f t="shared" si="539"/>
        <v/>
      </c>
      <c r="S4959" s="83" t="str">
        <f t="shared" si="542"/>
        <v/>
      </c>
      <c r="T4959" s="83" t="str">
        <f t="shared" si="540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1"/>
        <v/>
      </c>
      <c r="B4960" s="83" t="str">
        <f t="shared" si="539"/>
        <v/>
      </c>
      <c r="S4960" s="83" t="str">
        <f t="shared" si="542"/>
        <v/>
      </c>
      <c r="T4960" s="83" t="str">
        <f t="shared" si="540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1"/>
        <v/>
      </c>
      <c r="B4961" s="83" t="str">
        <f t="shared" ref="B4961:B5024" si="546">IF(C4961&lt;&gt;"",LEFT(C4961,9),"")</f>
        <v/>
      </c>
      <c r="S4961" s="83" t="str">
        <f t="shared" si="542"/>
        <v/>
      </c>
      <c r="T4961" s="83" t="str">
        <f t="shared" si="540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1"/>
        <v/>
      </c>
      <c r="B4962" s="83" t="str">
        <f t="shared" si="546"/>
        <v/>
      </c>
      <c r="S4962" s="83" t="str">
        <f t="shared" si="542"/>
        <v/>
      </c>
      <c r="T4962" s="83" t="str">
        <f t="shared" si="540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1"/>
        <v/>
      </c>
      <c r="B4963" s="83" t="str">
        <f t="shared" si="546"/>
        <v/>
      </c>
      <c r="S4963" s="83" t="str">
        <f t="shared" si="542"/>
        <v/>
      </c>
      <c r="T4963" s="83" t="str">
        <f t="shared" si="540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1"/>
        <v/>
      </c>
      <c r="B4964" s="83" t="str">
        <f t="shared" si="546"/>
        <v/>
      </c>
      <c r="S4964" s="83" t="str">
        <f t="shared" si="542"/>
        <v/>
      </c>
      <c r="T4964" s="83" t="str">
        <f t="shared" si="540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1"/>
        <v/>
      </c>
      <c r="B4965" s="83" t="str">
        <f t="shared" si="546"/>
        <v/>
      </c>
      <c r="S4965" s="83" t="str">
        <f t="shared" si="542"/>
        <v/>
      </c>
      <c r="T4965" s="83" t="str">
        <f t="shared" si="540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1"/>
        <v/>
      </c>
      <c r="B4966" s="83" t="str">
        <f t="shared" si="546"/>
        <v/>
      </c>
      <c r="S4966" s="83" t="str">
        <f t="shared" si="542"/>
        <v/>
      </c>
      <c r="T4966" s="83" t="str">
        <f t="shared" si="540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1"/>
        <v/>
      </c>
      <c r="B4967" s="83" t="str">
        <f t="shared" si="546"/>
        <v/>
      </c>
      <c r="S4967" s="83" t="str">
        <f t="shared" si="542"/>
        <v/>
      </c>
      <c r="T4967" s="83" t="str">
        <f t="shared" si="540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1"/>
        <v/>
      </c>
      <c r="B4968" s="83" t="str">
        <f t="shared" si="546"/>
        <v/>
      </c>
      <c r="S4968" s="83" t="str">
        <f t="shared" si="542"/>
        <v/>
      </c>
      <c r="T4968" s="83" t="str">
        <f t="shared" si="540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1"/>
        <v/>
      </c>
      <c r="B4969" s="83" t="str">
        <f t="shared" si="546"/>
        <v/>
      </c>
      <c r="S4969" s="83" t="str">
        <f t="shared" si="542"/>
        <v/>
      </c>
      <c r="T4969" s="83" t="str">
        <f t="shared" si="540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1"/>
        <v/>
      </c>
      <c r="B4970" s="83" t="str">
        <f t="shared" si="546"/>
        <v/>
      </c>
      <c r="S4970" s="83" t="str">
        <f t="shared" si="542"/>
        <v/>
      </c>
      <c r="T4970" s="83" t="str">
        <f t="shared" si="540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1"/>
        <v/>
      </c>
      <c r="B4971" s="83" t="str">
        <f t="shared" si="546"/>
        <v/>
      </c>
      <c r="S4971" s="83" t="str">
        <f t="shared" si="542"/>
        <v/>
      </c>
      <c r="T4971" s="83" t="str">
        <f t="shared" si="540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1"/>
        <v/>
      </c>
      <c r="B4972" s="83" t="str">
        <f t="shared" si="546"/>
        <v/>
      </c>
      <c r="S4972" s="83" t="str">
        <f t="shared" si="542"/>
        <v/>
      </c>
      <c r="T4972" s="83" t="str">
        <f t="shared" si="540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1"/>
        <v/>
      </c>
      <c r="B4973" s="83" t="str">
        <f t="shared" si="546"/>
        <v/>
      </c>
      <c r="S4973" s="83" t="str">
        <f t="shared" si="542"/>
        <v/>
      </c>
      <c r="T4973" s="83" t="str">
        <f t="shared" si="540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1"/>
        <v/>
      </c>
      <c r="B4974" s="83" t="str">
        <f t="shared" si="546"/>
        <v/>
      </c>
      <c r="S4974" s="83" t="str">
        <f t="shared" si="542"/>
        <v/>
      </c>
      <c r="T4974" s="83" t="str">
        <f t="shared" si="540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1"/>
        <v/>
      </c>
      <c r="B4975" s="83" t="str">
        <f t="shared" si="546"/>
        <v/>
      </c>
      <c r="S4975" s="83" t="str">
        <f t="shared" si="542"/>
        <v/>
      </c>
      <c r="T4975" s="83" t="str">
        <f t="shared" si="540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1"/>
        <v/>
      </c>
      <c r="B4976" s="83" t="str">
        <f t="shared" si="546"/>
        <v/>
      </c>
      <c r="S4976" s="83" t="str">
        <f t="shared" si="542"/>
        <v/>
      </c>
      <c r="T4976" s="83" t="str">
        <f t="shared" si="540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1"/>
        <v/>
      </c>
      <c r="B4977" s="83" t="str">
        <f t="shared" si="546"/>
        <v/>
      </c>
      <c r="S4977" s="83" t="str">
        <f t="shared" si="542"/>
        <v/>
      </c>
      <c r="T4977" s="83" t="str">
        <f t="shared" si="540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1"/>
        <v/>
      </c>
      <c r="B4978" s="83" t="str">
        <f t="shared" si="546"/>
        <v/>
      </c>
      <c r="S4978" s="83" t="str">
        <f t="shared" si="542"/>
        <v/>
      </c>
      <c r="T4978" s="83" t="str">
        <f t="shared" si="540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1"/>
        <v/>
      </c>
      <c r="B4979" s="83" t="str">
        <f t="shared" si="546"/>
        <v/>
      </c>
      <c r="S4979" s="83" t="str">
        <f t="shared" si="542"/>
        <v/>
      </c>
      <c r="T4979" s="83" t="str">
        <f t="shared" si="540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1"/>
        <v/>
      </c>
      <c r="B4980" s="83" t="str">
        <f t="shared" si="546"/>
        <v/>
      </c>
      <c r="S4980" s="83" t="str">
        <f t="shared" si="542"/>
        <v/>
      </c>
      <c r="T4980" s="83" t="str">
        <f t="shared" si="540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1"/>
        <v/>
      </c>
      <c r="B4981" s="83" t="str">
        <f t="shared" si="546"/>
        <v/>
      </c>
      <c r="S4981" s="83" t="str">
        <f t="shared" si="542"/>
        <v/>
      </c>
      <c r="T4981" s="83" t="str">
        <f t="shared" si="540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1"/>
        <v/>
      </c>
      <c r="B4982" s="83" t="str">
        <f t="shared" si="546"/>
        <v/>
      </c>
      <c r="S4982" s="83" t="str">
        <f t="shared" si="542"/>
        <v/>
      </c>
      <c r="T4982" s="83" t="str">
        <f t="shared" si="540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1"/>
        <v/>
      </c>
      <c r="B4983" s="83" t="str">
        <f t="shared" si="546"/>
        <v/>
      </c>
      <c r="S4983" s="83" t="str">
        <f t="shared" si="542"/>
        <v/>
      </c>
      <c r="T4983" s="83" t="str">
        <f t="shared" si="540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1"/>
        <v/>
      </c>
      <c r="B4984" s="83" t="str">
        <f t="shared" si="546"/>
        <v/>
      </c>
      <c r="S4984" s="83" t="str">
        <f t="shared" si="542"/>
        <v/>
      </c>
      <c r="T4984" s="83" t="str">
        <f t="shared" si="540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1"/>
        <v/>
      </c>
      <c r="B4985" s="83" t="str">
        <f t="shared" si="546"/>
        <v/>
      </c>
      <c r="S4985" s="83" t="str">
        <f t="shared" si="542"/>
        <v/>
      </c>
      <c r="T4985" s="83" t="str">
        <f t="shared" si="540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1"/>
        <v/>
      </c>
      <c r="B4986" s="83" t="str">
        <f t="shared" si="546"/>
        <v/>
      </c>
      <c r="S4986" s="83" t="str">
        <f t="shared" si="542"/>
        <v/>
      </c>
      <c r="T4986" s="83" t="str">
        <f t="shared" si="540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1"/>
        <v/>
      </c>
      <c r="B4987" s="83" t="str">
        <f t="shared" si="546"/>
        <v/>
      </c>
      <c r="S4987" s="83" t="str">
        <f t="shared" si="542"/>
        <v/>
      </c>
      <c r="T4987" s="83" t="str">
        <f t="shared" si="540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1"/>
        <v/>
      </c>
      <c r="B4988" s="83" t="str">
        <f t="shared" si="546"/>
        <v/>
      </c>
      <c r="S4988" s="83" t="str">
        <f t="shared" si="542"/>
        <v/>
      </c>
      <c r="T4988" s="83" t="str">
        <f t="shared" si="540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1"/>
        <v/>
      </c>
      <c r="B4989" s="83" t="str">
        <f t="shared" si="546"/>
        <v/>
      </c>
      <c r="S4989" s="83" t="str">
        <f t="shared" si="542"/>
        <v/>
      </c>
      <c r="T4989" s="83" t="str">
        <f t="shared" si="540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1"/>
        <v/>
      </c>
      <c r="B4990" s="83" t="str">
        <f t="shared" si="546"/>
        <v/>
      </c>
      <c r="S4990" s="83" t="str">
        <f t="shared" si="542"/>
        <v/>
      </c>
      <c r="T4990" s="83" t="str">
        <f t="shared" si="540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1"/>
        <v/>
      </c>
      <c r="B4991" s="83" t="str">
        <f t="shared" si="546"/>
        <v/>
      </c>
      <c r="S4991" s="83" t="str">
        <f t="shared" si="542"/>
        <v/>
      </c>
      <c r="T4991" s="83" t="str">
        <f t="shared" si="540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1"/>
        <v/>
      </c>
      <c r="B4992" s="83" t="str">
        <f t="shared" si="546"/>
        <v/>
      </c>
      <c r="S4992" s="83" t="str">
        <f t="shared" si="542"/>
        <v/>
      </c>
      <c r="T4992" s="83" t="str">
        <f t="shared" si="540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1"/>
        <v/>
      </c>
      <c r="B4993" s="83" t="str">
        <f t="shared" si="546"/>
        <v/>
      </c>
      <c r="S4993" s="83" t="str">
        <f t="shared" si="542"/>
        <v/>
      </c>
      <c r="T4993" s="83" t="str">
        <f t="shared" si="540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1"/>
        <v/>
      </c>
      <c r="B4994" s="83" t="str">
        <f t="shared" si="546"/>
        <v/>
      </c>
      <c r="S4994" s="83" t="str">
        <f t="shared" si="542"/>
        <v/>
      </c>
      <c r="T4994" s="83" t="str">
        <f t="shared" ref="T4994:T5057" si="547">IF(A4994&lt;&gt;"",IF(FIND(" ",G4994)&gt;=1,MID(G4994,FIND(" ",G4994)+1,LEN(G4994)),""),"")</f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8">IF(G4995&amp;Q4995&lt;&gt;"",S4995&amp;Q4995,"")</f>
        <v/>
      </c>
      <c r="B4995" s="83" t="str">
        <f t="shared" si="546"/>
        <v/>
      </c>
      <c r="S4995" s="83" t="str">
        <f t="shared" ref="S4995:S5058" si="549">IF(G4995&lt;&gt;"",IF(FIND(" ",G4995)&gt;=1,MID(G4995,1,FIND(" ",G4995)-1),G4995),"")</f>
        <v/>
      </c>
      <c r="T4995" s="83" t="str">
        <f t="shared" si="547"/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8"/>
        <v/>
      </c>
      <c r="B4996" s="83" t="str">
        <f t="shared" si="546"/>
        <v/>
      </c>
      <c r="S4996" s="83" t="str">
        <f t="shared" si="549"/>
        <v/>
      </c>
      <c r="T4996" s="83" t="str">
        <f t="shared" si="547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8"/>
        <v/>
      </c>
      <c r="B4997" s="83" t="str">
        <f t="shared" si="546"/>
        <v/>
      </c>
      <c r="S4997" s="83" t="str">
        <f t="shared" si="549"/>
        <v/>
      </c>
      <c r="T4997" s="83" t="str">
        <f t="shared" si="547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8"/>
        <v/>
      </c>
      <c r="B4998" s="83" t="str">
        <f t="shared" si="546"/>
        <v/>
      </c>
      <c r="S4998" s="83" t="str">
        <f t="shared" si="549"/>
        <v/>
      </c>
      <c r="T4998" s="83" t="str">
        <f t="shared" si="547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8"/>
        <v/>
      </c>
      <c r="B4999" s="83" t="str">
        <f t="shared" si="546"/>
        <v/>
      </c>
      <c r="S4999" s="83" t="str">
        <f t="shared" si="549"/>
        <v/>
      </c>
      <c r="T4999" s="83" t="str">
        <f t="shared" si="547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8"/>
        <v/>
      </c>
      <c r="B5000" s="83" t="str">
        <f t="shared" si="546"/>
        <v/>
      </c>
      <c r="S5000" s="83" t="str">
        <f t="shared" si="549"/>
        <v/>
      </c>
      <c r="T5000" s="83" t="str">
        <f t="shared" si="547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8"/>
        <v/>
      </c>
      <c r="B5001" s="83" t="str">
        <f t="shared" si="546"/>
        <v/>
      </c>
      <c r="S5001" s="83" t="str">
        <f t="shared" si="549"/>
        <v/>
      </c>
      <c r="T5001" s="83" t="str">
        <f t="shared" si="547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8"/>
        <v/>
      </c>
      <c r="B5002" s="83" t="str">
        <f t="shared" si="546"/>
        <v/>
      </c>
      <c r="S5002" s="83" t="str">
        <f t="shared" si="549"/>
        <v/>
      </c>
      <c r="T5002" s="83" t="str">
        <f t="shared" si="547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8"/>
        <v/>
      </c>
      <c r="B5003" s="83" t="str">
        <f t="shared" si="546"/>
        <v/>
      </c>
      <c r="S5003" s="83" t="str">
        <f t="shared" si="549"/>
        <v/>
      </c>
      <c r="T5003" s="83" t="str">
        <f t="shared" si="547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8"/>
        <v/>
      </c>
      <c r="B5004" s="83" t="str">
        <f t="shared" si="546"/>
        <v/>
      </c>
      <c r="S5004" s="83" t="str">
        <f t="shared" si="549"/>
        <v/>
      </c>
      <c r="T5004" s="83" t="str">
        <f t="shared" si="547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8"/>
        <v/>
      </c>
      <c r="B5005" s="83" t="str">
        <f t="shared" si="546"/>
        <v/>
      </c>
      <c r="S5005" s="83" t="str">
        <f t="shared" si="549"/>
        <v/>
      </c>
      <c r="T5005" s="83" t="str">
        <f t="shared" si="547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8"/>
        <v/>
      </c>
      <c r="B5006" s="83" t="str">
        <f t="shared" si="546"/>
        <v/>
      </c>
      <c r="S5006" s="83" t="str">
        <f t="shared" si="549"/>
        <v/>
      </c>
      <c r="T5006" s="83" t="str">
        <f t="shared" si="547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8"/>
        <v/>
      </c>
      <c r="B5007" s="83" t="str">
        <f t="shared" si="546"/>
        <v/>
      </c>
      <c r="S5007" s="83" t="str">
        <f t="shared" si="549"/>
        <v/>
      </c>
      <c r="T5007" s="83" t="str">
        <f t="shared" si="547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8"/>
        <v/>
      </c>
      <c r="B5008" s="83" t="str">
        <f t="shared" si="546"/>
        <v/>
      </c>
      <c r="S5008" s="83" t="str">
        <f t="shared" si="549"/>
        <v/>
      </c>
      <c r="T5008" s="83" t="str">
        <f t="shared" si="547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8"/>
        <v/>
      </c>
      <c r="B5009" s="83" t="str">
        <f t="shared" si="546"/>
        <v/>
      </c>
      <c r="S5009" s="83" t="str">
        <f t="shared" si="549"/>
        <v/>
      </c>
      <c r="T5009" s="83" t="str">
        <f t="shared" si="547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8"/>
        <v/>
      </c>
      <c r="B5010" s="83" t="str">
        <f t="shared" si="546"/>
        <v/>
      </c>
      <c r="S5010" s="83" t="str">
        <f t="shared" si="549"/>
        <v/>
      </c>
      <c r="T5010" s="83" t="str">
        <f t="shared" si="547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8"/>
        <v/>
      </c>
      <c r="B5011" s="83" t="str">
        <f t="shared" si="546"/>
        <v/>
      </c>
      <c r="S5011" s="83" t="str">
        <f t="shared" si="549"/>
        <v/>
      </c>
      <c r="T5011" s="83" t="str">
        <f t="shared" si="547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8"/>
        <v/>
      </c>
      <c r="B5012" s="83" t="str">
        <f t="shared" si="546"/>
        <v/>
      </c>
      <c r="S5012" s="83" t="str">
        <f t="shared" si="549"/>
        <v/>
      </c>
      <c r="T5012" s="83" t="str">
        <f t="shared" si="547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8"/>
        <v/>
      </c>
      <c r="B5013" s="83" t="str">
        <f t="shared" si="546"/>
        <v/>
      </c>
      <c r="S5013" s="83" t="str">
        <f t="shared" si="549"/>
        <v/>
      </c>
      <c r="T5013" s="83" t="str">
        <f t="shared" si="547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8"/>
        <v/>
      </c>
      <c r="B5014" s="83" t="str">
        <f t="shared" si="546"/>
        <v/>
      </c>
      <c r="S5014" s="83" t="str">
        <f t="shared" si="549"/>
        <v/>
      </c>
      <c r="T5014" s="83" t="str">
        <f t="shared" si="547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8"/>
        <v/>
      </c>
      <c r="B5015" s="83" t="str">
        <f t="shared" si="546"/>
        <v/>
      </c>
      <c r="S5015" s="83" t="str">
        <f t="shared" si="549"/>
        <v/>
      </c>
      <c r="T5015" s="83" t="str">
        <f t="shared" si="547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8"/>
        <v/>
      </c>
      <c r="B5016" s="83" t="str">
        <f t="shared" si="546"/>
        <v/>
      </c>
      <c r="S5016" s="83" t="str">
        <f t="shared" si="549"/>
        <v/>
      </c>
      <c r="T5016" s="83" t="str">
        <f t="shared" si="547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8"/>
        <v/>
      </c>
      <c r="B5017" s="83" t="str">
        <f t="shared" si="546"/>
        <v/>
      </c>
      <c r="S5017" s="83" t="str">
        <f t="shared" si="549"/>
        <v/>
      </c>
      <c r="T5017" s="83" t="str">
        <f t="shared" si="547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8"/>
        <v/>
      </c>
      <c r="B5018" s="83" t="str">
        <f t="shared" si="546"/>
        <v/>
      </c>
      <c r="S5018" s="83" t="str">
        <f t="shared" si="549"/>
        <v/>
      </c>
      <c r="T5018" s="83" t="str">
        <f t="shared" si="547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8"/>
        <v/>
      </c>
      <c r="B5019" s="83" t="str">
        <f t="shared" si="546"/>
        <v/>
      </c>
      <c r="S5019" s="83" t="str">
        <f t="shared" si="549"/>
        <v/>
      </c>
      <c r="T5019" s="83" t="str">
        <f t="shared" si="547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8"/>
        <v/>
      </c>
      <c r="B5020" s="83" t="str">
        <f t="shared" si="546"/>
        <v/>
      </c>
      <c r="S5020" s="83" t="str">
        <f t="shared" si="549"/>
        <v/>
      </c>
      <c r="T5020" s="83" t="str">
        <f t="shared" si="547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8"/>
        <v/>
      </c>
      <c r="B5021" s="83" t="str">
        <f t="shared" si="546"/>
        <v/>
      </c>
      <c r="S5021" s="83" t="str">
        <f t="shared" si="549"/>
        <v/>
      </c>
      <c r="T5021" s="83" t="str">
        <f t="shared" si="547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8"/>
        <v/>
      </c>
      <c r="B5022" s="83" t="str">
        <f t="shared" si="546"/>
        <v/>
      </c>
      <c r="S5022" s="83" t="str">
        <f t="shared" si="549"/>
        <v/>
      </c>
      <c r="T5022" s="83" t="str">
        <f t="shared" si="547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8"/>
        <v/>
      </c>
      <c r="B5023" s="83" t="str">
        <f t="shared" si="546"/>
        <v/>
      </c>
      <c r="S5023" s="83" t="str">
        <f t="shared" si="549"/>
        <v/>
      </c>
      <c r="T5023" s="83" t="str">
        <f t="shared" si="547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8"/>
        <v/>
      </c>
      <c r="B5024" s="83" t="str">
        <f t="shared" si="546"/>
        <v/>
      </c>
      <c r="S5024" s="83" t="str">
        <f t="shared" si="549"/>
        <v/>
      </c>
      <c r="T5024" s="83" t="str">
        <f t="shared" si="547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8"/>
        <v/>
      </c>
      <c r="B5025" s="83" t="str">
        <f t="shared" ref="B5025:B5088" si="553">IF(C5025&lt;&gt;"",LEFT(C5025,9),"")</f>
        <v/>
      </c>
      <c r="S5025" s="83" t="str">
        <f t="shared" si="549"/>
        <v/>
      </c>
      <c r="T5025" s="83" t="str">
        <f t="shared" si="547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8"/>
        <v/>
      </c>
      <c r="B5026" s="83" t="str">
        <f t="shared" si="553"/>
        <v/>
      </c>
      <c r="S5026" s="83" t="str">
        <f t="shared" si="549"/>
        <v/>
      </c>
      <c r="T5026" s="83" t="str">
        <f t="shared" si="547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8"/>
        <v/>
      </c>
      <c r="B5027" s="83" t="str">
        <f t="shared" si="553"/>
        <v/>
      </c>
      <c r="S5027" s="83" t="str">
        <f t="shared" si="549"/>
        <v/>
      </c>
      <c r="T5027" s="83" t="str">
        <f t="shared" si="547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8"/>
        <v/>
      </c>
      <c r="B5028" s="83" t="str">
        <f t="shared" si="553"/>
        <v/>
      </c>
      <c r="S5028" s="83" t="str">
        <f t="shared" si="549"/>
        <v/>
      </c>
      <c r="T5028" s="83" t="str">
        <f t="shared" si="547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8"/>
        <v/>
      </c>
      <c r="B5029" s="83" t="str">
        <f t="shared" si="553"/>
        <v/>
      </c>
      <c r="S5029" s="83" t="str">
        <f t="shared" si="549"/>
        <v/>
      </c>
      <c r="T5029" s="83" t="str">
        <f t="shared" si="547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8"/>
        <v/>
      </c>
      <c r="B5030" s="83" t="str">
        <f t="shared" si="553"/>
        <v/>
      </c>
      <c r="S5030" s="83" t="str">
        <f t="shared" si="549"/>
        <v/>
      </c>
      <c r="T5030" s="83" t="str">
        <f t="shared" si="547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8"/>
        <v/>
      </c>
      <c r="B5031" s="83" t="str">
        <f t="shared" si="553"/>
        <v/>
      </c>
      <c r="S5031" s="83" t="str">
        <f t="shared" si="549"/>
        <v/>
      </c>
      <c r="T5031" s="83" t="str">
        <f t="shared" si="547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8"/>
        <v/>
      </c>
      <c r="B5032" s="83" t="str">
        <f t="shared" si="553"/>
        <v/>
      </c>
      <c r="S5032" s="83" t="str">
        <f t="shared" si="549"/>
        <v/>
      </c>
      <c r="T5032" s="83" t="str">
        <f t="shared" si="547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8"/>
        <v/>
      </c>
      <c r="B5033" s="83" t="str">
        <f t="shared" si="553"/>
        <v/>
      </c>
      <c r="S5033" s="83" t="str">
        <f t="shared" si="549"/>
        <v/>
      </c>
      <c r="T5033" s="83" t="str">
        <f t="shared" si="547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8"/>
        <v/>
      </c>
      <c r="B5034" s="83" t="str">
        <f t="shared" si="553"/>
        <v/>
      </c>
      <c r="S5034" s="83" t="str">
        <f t="shared" si="549"/>
        <v/>
      </c>
      <c r="T5034" s="83" t="str">
        <f t="shared" si="547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8"/>
        <v/>
      </c>
      <c r="B5035" s="83" t="str">
        <f t="shared" si="553"/>
        <v/>
      </c>
      <c r="S5035" s="83" t="str">
        <f t="shared" si="549"/>
        <v/>
      </c>
      <c r="T5035" s="83" t="str">
        <f t="shared" si="547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8"/>
        <v/>
      </c>
      <c r="B5036" s="83" t="str">
        <f t="shared" si="553"/>
        <v/>
      </c>
      <c r="S5036" s="83" t="str">
        <f t="shared" si="549"/>
        <v/>
      </c>
      <c r="T5036" s="83" t="str">
        <f t="shared" si="547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8"/>
        <v/>
      </c>
      <c r="B5037" s="83" t="str">
        <f t="shared" si="553"/>
        <v/>
      </c>
      <c r="S5037" s="83" t="str">
        <f t="shared" si="549"/>
        <v/>
      </c>
      <c r="T5037" s="83" t="str">
        <f t="shared" si="547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8"/>
        <v/>
      </c>
      <c r="B5038" s="83" t="str">
        <f t="shared" si="553"/>
        <v/>
      </c>
      <c r="S5038" s="83" t="str">
        <f t="shared" si="549"/>
        <v/>
      </c>
      <c r="T5038" s="83" t="str">
        <f t="shared" si="547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8"/>
        <v/>
      </c>
      <c r="B5039" s="83" t="str">
        <f t="shared" si="553"/>
        <v/>
      </c>
      <c r="S5039" s="83" t="str">
        <f t="shared" si="549"/>
        <v/>
      </c>
      <c r="T5039" s="83" t="str">
        <f t="shared" si="547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8"/>
        <v/>
      </c>
      <c r="B5040" s="83" t="str">
        <f t="shared" si="553"/>
        <v/>
      </c>
      <c r="S5040" s="83" t="str">
        <f t="shared" si="549"/>
        <v/>
      </c>
      <c r="T5040" s="83" t="str">
        <f t="shared" si="547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8"/>
        <v/>
      </c>
      <c r="B5041" s="83" t="str">
        <f t="shared" si="553"/>
        <v/>
      </c>
      <c r="S5041" s="83" t="str">
        <f t="shared" si="549"/>
        <v/>
      </c>
      <c r="T5041" s="83" t="str">
        <f t="shared" si="547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8"/>
        <v/>
      </c>
      <c r="B5042" s="83" t="str">
        <f t="shared" si="553"/>
        <v/>
      </c>
      <c r="S5042" s="83" t="str">
        <f t="shared" si="549"/>
        <v/>
      </c>
      <c r="T5042" s="83" t="str">
        <f t="shared" si="547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8"/>
        <v/>
      </c>
      <c r="B5043" s="83" t="str">
        <f t="shared" si="553"/>
        <v/>
      </c>
      <c r="S5043" s="83" t="str">
        <f t="shared" si="549"/>
        <v/>
      </c>
      <c r="T5043" s="83" t="str">
        <f t="shared" si="547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8"/>
        <v/>
      </c>
      <c r="B5044" s="83" t="str">
        <f t="shared" si="553"/>
        <v/>
      </c>
      <c r="S5044" s="83" t="str">
        <f t="shared" si="549"/>
        <v/>
      </c>
      <c r="T5044" s="83" t="str">
        <f t="shared" si="547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8"/>
        <v/>
      </c>
      <c r="B5045" s="83" t="str">
        <f t="shared" si="553"/>
        <v/>
      </c>
      <c r="S5045" s="83" t="str">
        <f t="shared" si="549"/>
        <v/>
      </c>
      <c r="T5045" s="83" t="str">
        <f t="shared" si="547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8"/>
        <v/>
      </c>
      <c r="B5046" s="83" t="str">
        <f t="shared" si="553"/>
        <v/>
      </c>
      <c r="S5046" s="83" t="str">
        <f t="shared" si="549"/>
        <v/>
      </c>
      <c r="T5046" s="83" t="str">
        <f t="shared" si="547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8"/>
        <v/>
      </c>
      <c r="B5047" s="83" t="str">
        <f t="shared" si="553"/>
        <v/>
      </c>
      <c r="S5047" s="83" t="str">
        <f t="shared" si="549"/>
        <v/>
      </c>
      <c r="T5047" s="83" t="str">
        <f t="shared" si="547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8"/>
        <v/>
      </c>
      <c r="B5048" s="83" t="str">
        <f t="shared" si="553"/>
        <v/>
      </c>
      <c r="S5048" s="83" t="str">
        <f t="shared" si="549"/>
        <v/>
      </c>
      <c r="T5048" s="83" t="str">
        <f t="shared" si="547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8"/>
        <v/>
      </c>
      <c r="B5049" s="83" t="str">
        <f t="shared" si="553"/>
        <v/>
      </c>
      <c r="S5049" s="83" t="str">
        <f t="shared" si="549"/>
        <v/>
      </c>
      <c r="T5049" s="83" t="str">
        <f t="shared" si="547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8"/>
        <v/>
      </c>
      <c r="B5050" s="83" t="str">
        <f t="shared" si="553"/>
        <v/>
      </c>
      <c r="S5050" s="83" t="str">
        <f t="shared" si="549"/>
        <v/>
      </c>
      <c r="T5050" s="83" t="str">
        <f t="shared" si="547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8"/>
        <v/>
      </c>
      <c r="B5051" s="83" t="str">
        <f t="shared" si="553"/>
        <v/>
      </c>
      <c r="S5051" s="83" t="str">
        <f t="shared" si="549"/>
        <v/>
      </c>
      <c r="T5051" s="83" t="str">
        <f t="shared" si="547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8"/>
        <v/>
      </c>
      <c r="B5052" s="83" t="str">
        <f t="shared" si="553"/>
        <v/>
      </c>
      <c r="S5052" s="83" t="str">
        <f t="shared" si="549"/>
        <v/>
      </c>
      <c r="T5052" s="83" t="str">
        <f t="shared" si="547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8"/>
        <v/>
      </c>
      <c r="B5053" s="83" t="str">
        <f t="shared" si="553"/>
        <v/>
      </c>
      <c r="S5053" s="83" t="str">
        <f t="shared" si="549"/>
        <v/>
      </c>
      <c r="T5053" s="83" t="str">
        <f t="shared" si="547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8"/>
        <v/>
      </c>
      <c r="B5054" s="83" t="str">
        <f t="shared" si="553"/>
        <v/>
      </c>
      <c r="S5054" s="83" t="str">
        <f t="shared" si="549"/>
        <v/>
      </c>
      <c r="T5054" s="83" t="str">
        <f t="shared" si="547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8"/>
        <v/>
      </c>
      <c r="B5055" s="83" t="str">
        <f t="shared" si="553"/>
        <v/>
      </c>
      <c r="S5055" s="83" t="str">
        <f t="shared" si="549"/>
        <v/>
      </c>
      <c r="T5055" s="83" t="str">
        <f t="shared" si="547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8"/>
        <v/>
      </c>
      <c r="B5056" s="83" t="str">
        <f t="shared" si="553"/>
        <v/>
      </c>
      <c r="S5056" s="83" t="str">
        <f t="shared" si="549"/>
        <v/>
      </c>
      <c r="T5056" s="83" t="str">
        <f t="shared" si="547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8"/>
        <v/>
      </c>
      <c r="B5057" s="83" t="str">
        <f t="shared" si="553"/>
        <v/>
      </c>
      <c r="S5057" s="83" t="str">
        <f t="shared" si="549"/>
        <v/>
      </c>
      <c r="T5057" s="83" t="str">
        <f t="shared" si="547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8"/>
        <v/>
      </c>
      <c r="B5058" s="83" t="str">
        <f t="shared" si="553"/>
        <v/>
      </c>
      <c r="S5058" s="83" t="str">
        <f t="shared" si="549"/>
        <v/>
      </c>
      <c r="T5058" s="83" t="str">
        <f t="shared" ref="T5058:T5121" si="554">IF(A5058&lt;&gt;"",IF(FIND(" ",G5058)&gt;=1,MID(G5058,FIND(" ",G5058)+1,LEN(G5058)),""),"")</f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5">IF(G5059&amp;Q5059&lt;&gt;"",S5059&amp;Q5059,"")</f>
        <v/>
      </c>
      <c r="B5059" s="83" t="str">
        <f t="shared" si="553"/>
        <v/>
      </c>
      <c r="S5059" s="83" t="str">
        <f t="shared" ref="S5059:S5122" si="556">IF(G5059&lt;&gt;"",IF(FIND(" ",G5059)&gt;=1,MID(G5059,1,FIND(" ",G5059)-1),G5059),"")</f>
        <v/>
      </c>
      <c r="T5059" s="83" t="str">
        <f t="shared" si="554"/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5"/>
        <v/>
      </c>
      <c r="B5060" s="83" t="str">
        <f t="shared" si="553"/>
        <v/>
      </c>
      <c r="S5060" s="83" t="str">
        <f t="shared" si="556"/>
        <v/>
      </c>
      <c r="T5060" s="83" t="str">
        <f t="shared" si="554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5"/>
        <v/>
      </c>
      <c r="B5061" s="83" t="str">
        <f t="shared" si="553"/>
        <v/>
      </c>
      <c r="S5061" s="83" t="str">
        <f t="shared" si="556"/>
        <v/>
      </c>
      <c r="T5061" s="83" t="str">
        <f t="shared" si="554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5"/>
        <v/>
      </c>
      <c r="B5062" s="83" t="str">
        <f t="shared" si="553"/>
        <v/>
      </c>
      <c r="S5062" s="83" t="str">
        <f t="shared" si="556"/>
        <v/>
      </c>
      <c r="T5062" s="83" t="str">
        <f t="shared" si="554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5"/>
        <v/>
      </c>
      <c r="B5063" s="83" t="str">
        <f t="shared" si="553"/>
        <v/>
      </c>
      <c r="S5063" s="83" t="str">
        <f t="shared" si="556"/>
        <v/>
      </c>
      <c r="T5063" s="83" t="str">
        <f t="shared" si="554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5"/>
        <v/>
      </c>
      <c r="B5064" s="83" t="str">
        <f t="shared" si="553"/>
        <v/>
      </c>
      <c r="S5064" s="83" t="str">
        <f t="shared" si="556"/>
        <v/>
      </c>
      <c r="T5064" s="83" t="str">
        <f t="shared" si="554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5"/>
        <v/>
      </c>
      <c r="B5065" s="83" t="str">
        <f t="shared" si="553"/>
        <v/>
      </c>
      <c r="S5065" s="83" t="str">
        <f t="shared" si="556"/>
        <v/>
      </c>
      <c r="T5065" s="83" t="str">
        <f t="shared" si="554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5"/>
        <v/>
      </c>
      <c r="B5066" s="83" t="str">
        <f t="shared" si="553"/>
        <v/>
      </c>
      <c r="S5066" s="83" t="str">
        <f t="shared" si="556"/>
        <v/>
      </c>
      <c r="T5066" s="83" t="str">
        <f t="shared" si="554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5"/>
        <v/>
      </c>
      <c r="B5067" s="83" t="str">
        <f t="shared" si="553"/>
        <v/>
      </c>
      <c r="S5067" s="83" t="str">
        <f t="shared" si="556"/>
        <v/>
      </c>
      <c r="T5067" s="83" t="str">
        <f t="shared" si="554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5"/>
        <v/>
      </c>
      <c r="B5068" s="83" t="str">
        <f t="shared" si="553"/>
        <v/>
      </c>
      <c r="S5068" s="83" t="str">
        <f t="shared" si="556"/>
        <v/>
      </c>
      <c r="T5068" s="83" t="str">
        <f t="shared" si="554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5"/>
        <v/>
      </c>
      <c r="B5069" s="83" t="str">
        <f t="shared" si="553"/>
        <v/>
      </c>
      <c r="S5069" s="83" t="str">
        <f t="shared" si="556"/>
        <v/>
      </c>
      <c r="T5069" s="83" t="str">
        <f t="shared" si="554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5"/>
        <v/>
      </c>
      <c r="B5070" s="83" t="str">
        <f t="shared" si="553"/>
        <v/>
      </c>
      <c r="S5070" s="83" t="str">
        <f t="shared" si="556"/>
        <v/>
      </c>
      <c r="T5070" s="83" t="str">
        <f t="shared" si="554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5"/>
        <v/>
      </c>
      <c r="B5071" s="83" t="str">
        <f t="shared" si="553"/>
        <v/>
      </c>
      <c r="S5071" s="83" t="str">
        <f t="shared" si="556"/>
        <v/>
      </c>
      <c r="T5071" s="83" t="str">
        <f t="shared" si="554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5"/>
        <v/>
      </c>
      <c r="B5072" s="83" t="str">
        <f t="shared" si="553"/>
        <v/>
      </c>
      <c r="S5072" s="83" t="str">
        <f t="shared" si="556"/>
        <v/>
      </c>
      <c r="T5072" s="83" t="str">
        <f t="shared" si="554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5"/>
        <v/>
      </c>
      <c r="B5073" s="83" t="str">
        <f t="shared" si="553"/>
        <v/>
      </c>
      <c r="S5073" s="83" t="str">
        <f t="shared" si="556"/>
        <v/>
      </c>
      <c r="T5073" s="83" t="str">
        <f t="shared" si="554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5"/>
        <v/>
      </c>
      <c r="B5074" s="83" t="str">
        <f t="shared" si="553"/>
        <v/>
      </c>
      <c r="S5074" s="83" t="str">
        <f t="shared" si="556"/>
        <v/>
      </c>
      <c r="T5074" s="83" t="str">
        <f t="shared" si="554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5"/>
        <v/>
      </c>
      <c r="B5075" s="83" t="str">
        <f t="shared" si="553"/>
        <v/>
      </c>
      <c r="S5075" s="83" t="str">
        <f t="shared" si="556"/>
        <v/>
      </c>
      <c r="T5075" s="83" t="str">
        <f t="shared" si="554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5"/>
        <v/>
      </c>
      <c r="B5076" s="83" t="str">
        <f t="shared" si="553"/>
        <v/>
      </c>
      <c r="S5076" s="83" t="str">
        <f t="shared" si="556"/>
        <v/>
      </c>
      <c r="T5076" s="83" t="str">
        <f t="shared" si="554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5"/>
        <v/>
      </c>
      <c r="B5077" s="83" t="str">
        <f t="shared" si="553"/>
        <v/>
      </c>
      <c r="S5077" s="83" t="str">
        <f t="shared" si="556"/>
        <v/>
      </c>
      <c r="T5077" s="83" t="str">
        <f t="shared" si="554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5"/>
        <v/>
      </c>
      <c r="B5078" s="83" t="str">
        <f t="shared" si="553"/>
        <v/>
      </c>
      <c r="S5078" s="83" t="str">
        <f t="shared" si="556"/>
        <v/>
      </c>
      <c r="T5078" s="83" t="str">
        <f t="shared" si="554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5"/>
        <v/>
      </c>
      <c r="B5079" s="83" t="str">
        <f t="shared" si="553"/>
        <v/>
      </c>
      <c r="S5079" s="83" t="str">
        <f t="shared" si="556"/>
        <v/>
      </c>
      <c r="T5079" s="83" t="str">
        <f t="shared" si="554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5"/>
        <v/>
      </c>
      <c r="B5080" s="83" t="str">
        <f t="shared" si="553"/>
        <v/>
      </c>
      <c r="S5080" s="83" t="str">
        <f t="shared" si="556"/>
        <v/>
      </c>
      <c r="T5080" s="83" t="str">
        <f t="shared" si="554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5"/>
        <v/>
      </c>
      <c r="B5081" s="83" t="str">
        <f t="shared" si="553"/>
        <v/>
      </c>
      <c r="S5081" s="83" t="str">
        <f t="shared" si="556"/>
        <v/>
      </c>
      <c r="T5081" s="83" t="str">
        <f t="shared" si="554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5"/>
        <v/>
      </c>
      <c r="B5082" s="83" t="str">
        <f t="shared" si="553"/>
        <v/>
      </c>
      <c r="S5082" s="83" t="str">
        <f t="shared" si="556"/>
        <v/>
      </c>
      <c r="T5082" s="83" t="str">
        <f t="shared" si="554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5"/>
        <v/>
      </c>
      <c r="B5083" s="83" t="str">
        <f t="shared" si="553"/>
        <v/>
      </c>
      <c r="S5083" s="83" t="str">
        <f t="shared" si="556"/>
        <v/>
      </c>
      <c r="T5083" s="83" t="str">
        <f t="shared" si="554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5"/>
        <v/>
      </c>
      <c r="B5084" s="83" t="str">
        <f t="shared" si="553"/>
        <v/>
      </c>
      <c r="S5084" s="83" t="str">
        <f t="shared" si="556"/>
        <v/>
      </c>
      <c r="T5084" s="83" t="str">
        <f t="shared" si="554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5"/>
        <v/>
      </c>
      <c r="B5085" s="83" t="str">
        <f t="shared" si="553"/>
        <v/>
      </c>
      <c r="S5085" s="83" t="str">
        <f t="shared" si="556"/>
        <v/>
      </c>
      <c r="T5085" s="83" t="str">
        <f t="shared" si="554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5"/>
        <v/>
      </c>
      <c r="B5086" s="83" t="str">
        <f t="shared" si="553"/>
        <v/>
      </c>
      <c r="S5086" s="83" t="str">
        <f t="shared" si="556"/>
        <v/>
      </c>
      <c r="T5086" s="83" t="str">
        <f t="shared" si="554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5"/>
        <v/>
      </c>
      <c r="B5087" s="83" t="str">
        <f t="shared" si="553"/>
        <v/>
      </c>
      <c r="S5087" s="83" t="str">
        <f t="shared" si="556"/>
        <v/>
      </c>
      <c r="T5087" s="83" t="str">
        <f t="shared" si="554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5"/>
        <v/>
      </c>
      <c r="B5088" s="83" t="str">
        <f t="shared" si="553"/>
        <v/>
      </c>
      <c r="S5088" s="83" t="str">
        <f t="shared" si="556"/>
        <v/>
      </c>
      <c r="T5088" s="83" t="str">
        <f t="shared" si="554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5"/>
        <v/>
      </c>
      <c r="B5089" s="83" t="str">
        <f t="shared" ref="B5089:B5152" si="560">IF(C5089&lt;&gt;"",LEFT(C5089,9),"")</f>
        <v/>
      </c>
      <c r="S5089" s="83" t="str">
        <f t="shared" si="556"/>
        <v/>
      </c>
      <c r="T5089" s="83" t="str">
        <f t="shared" si="554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5"/>
        <v/>
      </c>
      <c r="B5090" s="83" t="str">
        <f t="shared" si="560"/>
        <v/>
      </c>
      <c r="S5090" s="83" t="str">
        <f t="shared" si="556"/>
        <v/>
      </c>
      <c r="T5090" s="83" t="str">
        <f t="shared" si="554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5"/>
        <v/>
      </c>
      <c r="B5091" s="83" t="str">
        <f t="shared" si="560"/>
        <v/>
      </c>
      <c r="S5091" s="83" t="str">
        <f t="shared" si="556"/>
        <v/>
      </c>
      <c r="T5091" s="83" t="str">
        <f t="shared" si="554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5"/>
        <v/>
      </c>
      <c r="B5092" s="83" t="str">
        <f t="shared" si="560"/>
        <v/>
      </c>
      <c r="S5092" s="83" t="str">
        <f t="shared" si="556"/>
        <v/>
      </c>
      <c r="T5092" s="83" t="str">
        <f t="shared" si="554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5"/>
        <v/>
      </c>
      <c r="B5093" s="83" t="str">
        <f t="shared" si="560"/>
        <v/>
      </c>
      <c r="S5093" s="83" t="str">
        <f t="shared" si="556"/>
        <v/>
      </c>
      <c r="T5093" s="83" t="str">
        <f t="shared" si="554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5"/>
        <v/>
      </c>
      <c r="B5094" s="83" t="str">
        <f t="shared" si="560"/>
        <v/>
      </c>
      <c r="S5094" s="83" t="str">
        <f t="shared" si="556"/>
        <v/>
      </c>
      <c r="T5094" s="83" t="str">
        <f t="shared" si="554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5"/>
        <v/>
      </c>
      <c r="B5095" s="83" t="str">
        <f t="shared" si="560"/>
        <v/>
      </c>
      <c r="S5095" s="83" t="str">
        <f t="shared" si="556"/>
        <v/>
      </c>
      <c r="T5095" s="83" t="str">
        <f t="shared" si="554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5"/>
        <v/>
      </c>
      <c r="B5096" s="83" t="str">
        <f t="shared" si="560"/>
        <v/>
      </c>
      <c r="S5096" s="83" t="str">
        <f t="shared" si="556"/>
        <v/>
      </c>
      <c r="T5096" s="83" t="str">
        <f t="shared" si="554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5"/>
        <v/>
      </c>
      <c r="B5097" s="83" t="str">
        <f t="shared" si="560"/>
        <v/>
      </c>
      <c r="S5097" s="83" t="str">
        <f t="shared" si="556"/>
        <v/>
      </c>
      <c r="T5097" s="83" t="str">
        <f t="shared" si="554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5"/>
        <v/>
      </c>
      <c r="B5098" s="83" t="str">
        <f t="shared" si="560"/>
        <v/>
      </c>
      <c r="S5098" s="83" t="str">
        <f t="shared" si="556"/>
        <v/>
      </c>
      <c r="T5098" s="83" t="str">
        <f t="shared" si="554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5"/>
        <v/>
      </c>
      <c r="B5099" s="83" t="str">
        <f t="shared" si="560"/>
        <v/>
      </c>
      <c r="S5099" s="83" t="str">
        <f t="shared" si="556"/>
        <v/>
      </c>
      <c r="T5099" s="83" t="str">
        <f t="shared" si="554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5"/>
        <v/>
      </c>
      <c r="B5100" s="83" t="str">
        <f t="shared" si="560"/>
        <v/>
      </c>
      <c r="S5100" s="83" t="str">
        <f t="shared" si="556"/>
        <v/>
      </c>
      <c r="T5100" s="83" t="str">
        <f t="shared" si="554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5"/>
        <v/>
      </c>
      <c r="B5101" s="83" t="str">
        <f t="shared" si="560"/>
        <v/>
      </c>
      <c r="S5101" s="83" t="str">
        <f t="shared" si="556"/>
        <v/>
      </c>
      <c r="T5101" s="83" t="str">
        <f t="shared" si="554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5"/>
        <v/>
      </c>
      <c r="B5102" s="83" t="str">
        <f t="shared" si="560"/>
        <v/>
      </c>
      <c r="S5102" s="83" t="str">
        <f t="shared" si="556"/>
        <v/>
      </c>
      <c r="T5102" s="83" t="str">
        <f t="shared" si="554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5"/>
        <v/>
      </c>
      <c r="B5103" s="83" t="str">
        <f t="shared" si="560"/>
        <v/>
      </c>
      <c r="S5103" s="83" t="str">
        <f t="shared" si="556"/>
        <v/>
      </c>
      <c r="T5103" s="83" t="str">
        <f t="shared" si="554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5"/>
        <v/>
      </c>
      <c r="B5104" s="83" t="str">
        <f t="shared" si="560"/>
        <v/>
      </c>
      <c r="S5104" s="83" t="str">
        <f t="shared" si="556"/>
        <v/>
      </c>
      <c r="T5104" s="83" t="str">
        <f t="shared" si="554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5"/>
        <v/>
      </c>
      <c r="B5105" s="83" t="str">
        <f t="shared" si="560"/>
        <v/>
      </c>
      <c r="S5105" s="83" t="str">
        <f t="shared" si="556"/>
        <v/>
      </c>
      <c r="T5105" s="83" t="str">
        <f t="shared" si="554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5"/>
        <v/>
      </c>
      <c r="B5106" s="83" t="str">
        <f t="shared" si="560"/>
        <v/>
      </c>
      <c r="S5106" s="83" t="str">
        <f t="shared" si="556"/>
        <v/>
      </c>
      <c r="T5106" s="83" t="str">
        <f t="shared" si="554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5"/>
        <v/>
      </c>
      <c r="B5107" s="83" t="str">
        <f t="shared" si="560"/>
        <v/>
      </c>
      <c r="S5107" s="83" t="str">
        <f t="shared" si="556"/>
        <v/>
      </c>
      <c r="T5107" s="83" t="str">
        <f t="shared" si="554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5"/>
        <v/>
      </c>
      <c r="B5108" s="83" t="str">
        <f t="shared" si="560"/>
        <v/>
      </c>
      <c r="S5108" s="83" t="str">
        <f t="shared" si="556"/>
        <v/>
      </c>
      <c r="T5108" s="83" t="str">
        <f t="shared" si="554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5"/>
        <v/>
      </c>
      <c r="B5109" s="83" t="str">
        <f t="shared" si="560"/>
        <v/>
      </c>
      <c r="S5109" s="83" t="str">
        <f t="shared" si="556"/>
        <v/>
      </c>
      <c r="T5109" s="83" t="str">
        <f t="shared" si="554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5"/>
        <v/>
      </c>
      <c r="B5110" s="83" t="str">
        <f t="shared" si="560"/>
        <v/>
      </c>
      <c r="S5110" s="83" t="str">
        <f t="shared" si="556"/>
        <v/>
      </c>
      <c r="T5110" s="83" t="str">
        <f t="shared" si="554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5"/>
        <v/>
      </c>
      <c r="B5111" s="83" t="str">
        <f t="shared" si="560"/>
        <v/>
      </c>
      <c r="S5111" s="83" t="str">
        <f t="shared" si="556"/>
        <v/>
      </c>
      <c r="T5111" s="83" t="str">
        <f t="shared" si="554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5"/>
        <v/>
      </c>
      <c r="B5112" s="83" t="str">
        <f t="shared" si="560"/>
        <v/>
      </c>
      <c r="S5112" s="83" t="str">
        <f t="shared" si="556"/>
        <v/>
      </c>
      <c r="T5112" s="83" t="str">
        <f t="shared" si="554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5"/>
        <v/>
      </c>
      <c r="B5113" s="83" t="str">
        <f t="shared" si="560"/>
        <v/>
      </c>
      <c r="S5113" s="83" t="str">
        <f t="shared" si="556"/>
        <v/>
      </c>
      <c r="T5113" s="83" t="str">
        <f t="shared" si="554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5"/>
        <v/>
      </c>
      <c r="B5114" s="83" t="str">
        <f t="shared" si="560"/>
        <v/>
      </c>
      <c r="S5114" s="83" t="str">
        <f t="shared" si="556"/>
        <v/>
      </c>
      <c r="T5114" s="83" t="str">
        <f t="shared" si="554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5"/>
        <v/>
      </c>
      <c r="B5115" s="83" t="str">
        <f t="shared" si="560"/>
        <v/>
      </c>
      <c r="S5115" s="83" t="str">
        <f t="shared" si="556"/>
        <v/>
      </c>
      <c r="T5115" s="83" t="str">
        <f t="shared" si="554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5"/>
        <v/>
      </c>
      <c r="B5116" s="83" t="str">
        <f t="shared" si="560"/>
        <v/>
      </c>
      <c r="S5116" s="83" t="str">
        <f t="shared" si="556"/>
        <v/>
      </c>
      <c r="T5116" s="83" t="str">
        <f t="shared" si="554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5"/>
        <v/>
      </c>
      <c r="B5117" s="83" t="str">
        <f t="shared" si="560"/>
        <v/>
      </c>
      <c r="S5117" s="83" t="str">
        <f t="shared" si="556"/>
        <v/>
      </c>
      <c r="T5117" s="83" t="str">
        <f t="shared" si="554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5"/>
        <v/>
      </c>
      <c r="B5118" s="83" t="str">
        <f t="shared" si="560"/>
        <v/>
      </c>
      <c r="S5118" s="83" t="str">
        <f t="shared" si="556"/>
        <v/>
      </c>
      <c r="T5118" s="83" t="str">
        <f t="shared" si="554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5"/>
        <v/>
      </c>
      <c r="B5119" s="83" t="str">
        <f t="shared" si="560"/>
        <v/>
      </c>
      <c r="S5119" s="83" t="str">
        <f t="shared" si="556"/>
        <v/>
      </c>
      <c r="T5119" s="83" t="str">
        <f t="shared" si="554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5"/>
        <v/>
      </c>
      <c r="B5120" s="83" t="str">
        <f t="shared" si="560"/>
        <v/>
      </c>
      <c r="S5120" s="83" t="str">
        <f t="shared" si="556"/>
        <v/>
      </c>
      <c r="T5120" s="83" t="str">
        <f t="shared" si="554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5"/>
        <v/>
      </c>
      <c r="B5121" s="83" t="str">
        <f t="shared" si="560"/>
        <v/>
      </c>
      <c r="S5121" s="83" t="str">
        <f t="shared" si="556"/>
        <v/>
      </c>
      <c r="T5121" s="83" t="str">
        <f t="shared" si="554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5"/>
        <v/>
      </c>
      <c r="B5122" s="83" t="str">
        <f t="shared" si="560"/>
        <v/>
      </c>
      <c r="S5122" s="83" t="str">
        <f t="shared" si="556"/>
        <v/>
      </c>
      <c r="T5122" s="83" t="str">
        <f t="shared" ref="T5122:T5185" si="561">IF(A5122&lt;&gt;"",IF(FIND(" ",G5122)&gt;=1,MID(G5122,FIND(" ",G5122)+1,LEN(G5122)),""),"")</f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2">IF(G5123&amp;Q5123&lt;&gt;"",S5123&amp;Q5123,"")</f>
        <v/>
      </c>
      <c r="B5123" s="83" t="str">
        <f t="shared" si="560"/>
        <v/>
      </c>
      <c r="S5123" s="83" t="str">
        <f t="shared" ref="S5123:S5186" si="563">IF(G5123&lt;&gt;"",IF(FIND(" ",G5123)&gt;=1,MID(G5123,1,FIND(" ",G5123)-1),G5123),"")</f>
        <v/>
      </c>
      <c r="T5123" s="83" t="str">
        <f t="shared" si="561"/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2"/>
        <v/>
      </c>
      <c r="B5124" s="83" t="str">
        <f t="shared" si="560"/>
        <v/>
      </c>
      <c r="S5124" s="83" t="str">
        <f t="shared" si="563"/>
        <v/>
      </c>
      <c r="T5124" s="83" t="str">
        <f t="shared" si="561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2"/>
        <v/>
      </c>
      <c r="B5125" s="83" t="str">
        <f t="shared" si="560"/>
        <v/>
      </c>
      <c r="S5125" s="83" t="str">
        <f t="shared" si="563"/>
        <v/>
      </c>
      <c r="T5125" s="83" t="str">
        <f t="shared" si="561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2"/>
        <v/>
      </c>
      <c r="B5126" s="83" t="str">
        <f t="shared" si="560"/>
        <v/>
      </c>
      <c r="S5126" s="83" t="str">
        <f t="shared" si="563"/>
        <v/>
      </c>
      <c r="T5126" s="83" t="str">
        <f t="shared" si="561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2"/>
        <v/>
      </c>
      <c r="B5127" s="83" t="str">
        <f t="shared" si="560"/>
        <v/>
      </c>
      <c r="S5127" s="83" t="str">
        <f t="shared" si="563"/>
        <v/>
      </c>
      <c r="T5127" s="83" t="str">
        <f t="shared" si="561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2"/>
        <v/>
      </c>
      <c r="B5128" s="83" t="str">
        <f t="shared" si="560"/>
        <v/>
      </c>
      <c r="S5128" s="83" t="str">
        <f t="shared" si="563"/>
        <v/>
      </c>
      <c r="T5128" s="83" t="str">
        <f t="shared" si="561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2"/>
        <v/>
      </c>
      <c r="B5129" s="83" t="str">
        <f t="shared" si="560"/>
        <v/>
      </c>
      <c r="S5129" s="83" t="str">
        <f t="shared" si="563"/>
        <v/>
      </c>
      <c r="T5129" s="83" t="str">
        <f t="shared" si="561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2"/>
        <v/>
      </c>
      <c r="B5130" s="83" t="str">
        <f t="shared" si="560"/>
        <v/>
      </c>
      <c r="S5130" s="83" t="str">
        <f t="shared" si="563"/>
        <v/>
      </c>
      <c r="T5130" s="83" t="str">
        <f t="shared" si="561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2"/>
        <v/>
      </c>
      <c r="B5131" s="83" t="str">
        <f t="shared" si="560"/>
        <v/>
      </c>
      <c r="S5131" s="83" t="str">
        <f t="shared" si="563"/>
        <v/>
      </c>
      <c r="T5131" s="83" t="str">
        <f t="shared" si="561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2"/>
        <v/>
      </c>
      <c r="B5132" s="83" t="str">
        <f t="shared" si="560"/>
        <v/>
      </c>
      <c r="S5132" s="83" t="str">
        <f t="shared" si="563"/>
        <v/>
      </c>
      <c r="T5132" s="83" t="str">
        <f t="shared" si="561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2"/>
        <v/>
      </c>
      <c r="B5133" s="83" t="str">
        <f t="shared" si="560"/>
        <v/>
      </c>
      <c r="S5133" s="83" t="str">
        <f t="shared" si="563"/>
        <v/>
      </c>
      <c r="T5133" s="83" t="str">
        <f t="shared" si="561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2"/>
        <v/>
      </c>
      <c r="B5134" s="83" t="str">
        <f t="shared" si="560"/>
        <v/>
      </c>
      <c r="S5134" s="83" t="str">
        <f t="shared" si="563"/>
        <v/>
      </c>
      <c r="T5134" s="83" t="str">
        <f t="shared" si="561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2"/>
        <v/>
      </c>
      <c r="B5135" s="83" t="str">
        <f t="shared" si="560"/>
        <v/>
      </c>
      <c r="S5135" s="83" t="str">
        <f t="shared" si="563"/>
        <v/>
      </c>
      <c r="T5135" s="83" t="str">
        <f t="shared" si="561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2"/>
        <v/>
      </c>
      <c r="B5136" s="83" t="str">
        <f t="shared" si="560"/>
        <v/>
      </c>
      <c r="S5136" s="83" t="str">
        <f t="shared" si="563"/>
        <v/>
      </c>
      <c r="T5136" s="83" t="str">
        <f t="shared" si="561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2"/>
        <v/>
      </c>
      <c r="B5137" s="83" t="str">
        <f t="shared" si="560"/>
        <v/>
      </c>
      <c r="S5137" s="83" t="str">
        <f t="shared" si="563"/>
        <v/>
      </c>
      <c r="T5137" s="83" t="str">
        <f t="shared" si="561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2"/>
        <v/>
      </c>
      <c r="B5138" s="83" t="str">
        <f t="shared" si="560"/>
        <v/>
      </c>
      <c r="S5138" s="83" t="str">
        <f t="shared" si="563"/>
        <v/>
      </c>
      <c r="T5138" s="83" t="str">
        <f t="shared" si="561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2"/>
        <v/>
      </c>
      <c r="B5139" s="83" t="str">
        <f t="shared" si="560"/>
        <v/>
      </c>
      <c r="S5139" s="83" t="str">
        <f t="shared" si="563"/>
        <v/>
      </c>
      <c r="T5139" s="83" t="str">
        <f t="shared" si="561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2"/>
        <v/>
      </c>
      <c r="B5140" s="83" t="str">
        <f t="shared" si="560"/>
        <v/>
      </c>
      <c r="S5140" s="83" t="str">
        <f t="shared" si="563"/>
        <v/>
      </c>
      <c r="T5140" s="83" t="str">
        <f t="shared" si="561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2"/>
        <v/>
      </c>
      <c r="B5141" s="83" t="str">
        <f t="shared" si="560"/>
        <v/>
      </c>
      <c r="S5141" s="83" t="str">
        <f t="shared" si="563"/>
        <v/>
      </c>
      <c r="T5141" s="83" t="str">
        <f t="shared" si="561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2"/>
        <v/>
      </c>
      <c r="B5142" s="83" t="str">
        <f t="shared" si="560"/>
        <v/>
      </c>
      <c r="S5142" s="83" t="str">
        <f t="shared" si="563"/>
        <v/>
      </c>
      <c r="T5142" s="83" t="str">
        <f t="shared" si="561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2"/>
        <v/>
      </c>
      <c r="B5143" s="83" t="str">
        <f t="shared" si="560"/>
        <v/>
      </c>
      <c r="S5143" s="83" t="str">
        <f t="shared" si="563"/>
        <v/>
      </c>
      <c r="T5143" s="83" t="str">
        <f t="shared" si="561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2"/>
        <v/>
      </c>
      <c r="B5144" s="83" t="str">
        <f t="shared" si="560"/>
        <v/>
      </c>
      <c r="S5144" s="83" t="str">
        <f t="shared" si="563"/>
        <v/>
      </c>
      <c r="T5144" s="83" t="str">
        <f t="shared" si="561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2"/>
        <v/>
      </c>
      <c r="B5145" s="83" t="str">
        <f t="shared" si="560"/>
        <v/>
      </c>
      <c r="S5145" s="83" t="str">
        <f t="shared" si="563"/>
        <v/>
      </c>
      <c r="T5145" s="83" t="str">
        <f t="shared" si="561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2"/>
        <v/>
      </c>
      <c r="B5146" s="83" t="str">
        <f t="shared" si="560"/>
        <v/>
      </c>
      <c r="S5146" s="83" t="str">
        <f t="shared" si="563"/>
        <v/>
      </c>
      <c r="T5146" s="83" t="str">
        <f t="shared" si="561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2"/>
        <v/>
      </c>
      <c r="B5147" s="83" t="str">
        <f t="shared" si="560"/>
        <v/>
      </c>
      <c r="S5147" s="83" t="str">
        <f t="shared" si="563"/>
        <v/>
      </c>
      <c r="T5147" s="83" t="str">
        <f t="shared" si="561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2"/>
        <v/>
      </c>
      <c r="B5148" s="83" t="str">
        <f t="shared" si="560"/>
        <v/>
      </c>
      <c r="S5148" s="83" t="str">
        <f t="shared" si="563"/>
        <v/>
      </c>
      <c r="T5148" s="83" t="str">
        <f t="shared" si="561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2"/>
        <v/>
      </c>
      <c r="B5149" s="83" t="str">
        <f t="shared" si="560"/>
        <v/>
      </c>
      <c r="S5149" s="83" t="str">
        <f t="shared" si="563"/>
        <v/>
      </c>
      <c r="T5149" s="83" t="str">
        <f t="shared" si="561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2"/>
        <v/>
      </c>
      <c r="B5150" s="83" t="str">
        <f t="shared" si="560"/>
        <v/>
      </c>
      <c r="S5150" s="83" t="str">
        <f t="shared" si="563"/>
        <v/>
      </c>
      <c r="T5150" s="83" t="str">
        <f t="shared" si="561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2"/>
        <v/>
      </c>
      <c r="B5151" s="83" t="str">
        <f t="shared" si="560"/>
        <v/>
      </c>
      <c r="S5151" s="83" t="str">
        <f t="shared" si="563"/>
        <v/>
      </c>
      <c r="T5151" s="83" t="str">
        <f t="shared" si="561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2"/>
        <v/>
      </c>
      <c r="B5152" s="83" t="str">
        <f t="shared" si="560"/>
        <v/>
      </c>
      <c r="S5152" s="83" t="str">
        <f t="shared" si="563"/>
        <v/>
      </c>
      <c r="T5152" s="83" t="str">
        <f t="shared" si="561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2"/>
        <v/>
      </c>
      <c r="B5153" s="83" t="str">
        <f t="shared" ref="B5153:B5216" si="567">IF(C5153&lt;&gt;"",LEFT(C5153,9),"")</f>
        <v/>
      </c>
      <c r="S5153" s="83" t="str">
        <f t="shared" si="563"/>
        <v/>
      </c>
      <c r="T5153" s="83" t="str">
        <f t="shared" si="561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2"/>
        <v/>
      </c>
      <c r="B5154" s="83" t="str">
        <f t="shared" si="567"/>
        <v/>
      </c>
      <c r="S5154" s="83" t="str">
        <f t="shared" si="563"/>
        <v/>
      </c>
      <c r="T5154" s="83" t="str">
        <f t="shared" si="561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2"/>
        <v/>
      </c>
      <c r="B5155" s="83" t="str">
        <f t="shared" si="567"/>
        <v/>
      </c>
      <c r="S5155" s="83" t="str">
        <f t="shared" si="563"/>
        <v/>
      </c>
      <c r="T5155" s="83" t="str">
        <f t="shared" si="561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2"/>
        <v/>
      </c>
      <c r="B5156" s="83" t="str">
        <f t="shared" si="567"/>
        <v/>
      </c>
      <c r="S5156" s="83" t="str">
        <f t="shared" si="563"/>
        <v/>
      </c>
      <c r="T5156" s="83" t="str">
        <f t="shared" si="561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2"/>
        <v/>
      </c>
      <c r="B5157" s="83" t="str">
        <f t="shared" si="567"/>
        <v/>
      </c>
      <c r="S5157" s="83" t="str">
        <f t="shared" si="563"/>
        <v/>
      </c>
      <c r="T5157" s="83" t="str">
        <f t="shared" si="561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2"/>
        <v/>
      </c>
      <c r="B5158" s="83" t="str">
        <f t="shared" si="567"/>
        <v/>
      </c>
      <c r="S5158" s="83" t="str">
        <f t="shared" si="563"/>
        <v/>
      </c>
      <c r="T5158" s="83" t="str">
        <f t="shared" si="561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2"/>
        <v/>
      </c>
      <c r="B5159" s="83" t="str">
        <f t="shared" si="567"/>
        <v/>
      </c>
      <c r="S5159" s="83" t="str">
        <f t="shared" si="563"/>
        <v/>
      </c>
      <c r="T5159" s="83" t="str">
        <f t="shared" si="561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2"/>
        <v/>
      </c>
      <c r="B5160" s="83" t="str">
        <f t="shared" si="567"/>
        <v/>
      </c>
      <c r="S5160" s="83" t="str">
        <f t="shared" si="563"/>
        <v/>
      </c>
      <c r="T5160" s="83" t="str">
        <f t="shared" si="561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2"/>
        <v/>
      </c>
      <c r="B5161" s="83" t="str">
        <f t="shared" si="567"/>
        <v/>
      </c>
      <c r="S5161" s="83" t="str">
        <f t="shared" si="563"/>
        <v/>
      </c>
      <c r="T5161" s="83" t="str">
        <f t="shared" si="561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2"/>
        <v/>
      </c>
      <c r="B5162" s="83" t="str">
        <f t="shared" si="567"/>
        <v/>
      </c>
      <c r="S5162" s="83" t="str">
        <f t="shared" si="563"/>
        <v/>
      </c>
      <c r="T5162" s="83" t="str">
        <f t="shared" si="561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2"/>
        <v/>
      </c>
      <c r="B5163" s="83" t="str">
        <f t="shared" si="567"/>
        <v/>
      </c>
      <c r="S5163" s="83" t="str">
        <f t="shared" si="563"/>
        <v/>
      </c>
      <c r="T5163" s="83" t="str">
        <f t="shared" si="561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2"/>
        <v/>
      </c>
      <c r="B5164" s="83" t="str">
        <f t="shared" si="567"/>
        <v/>
      </c>
      <c r="S5164" s="83" t="str">
        <f t="shared" si="563"/>
        <v/>
      </c>
      <c r="T5164" s="83" t="str">
        <f t="shared" si="561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2"/>
        <v/>
      </c>
      <c r="B5165" s="83" t="str">
        <f t="shared" si="567"/>
        <v/>
      </c>
      <c r="S5165" s="83" t="str">
        <f t="shared" si="563"/>
        <v/>
      </c>
      <c r="T5165" s="83" t="str">
        <f t="shared" si="561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2"/>
        <v/>
      </c>
      <c r="B5166" s="83" t="str">
        <f t="shared" si="567"/>
        <v/>
      </c>
      <c r="S5166" s="83" t="str">
        <f t="shared" si="563"/>
        <v/>
      </c>
      <c r="T5166" s="83" t="str">
        <f t="shared" si="561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2"/>
        <v/>
      </c>
      <c r="B5167" s="83" t="str">
        <f t="shared" si="567"/>
        <v/>
      </c>
      <c r="S5167" s="83" t="str">
        <f t="shared" si="563"/>
        <v/>
      </c>
      <c r="T5167" s="83" t="str">
        <f t="shared" si="561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2"/>
        <v/>
      </c>
      <c r="B5168" s="83" t="str">
        <f t="shared" si="567"/>
        <v/>
      </c>
      <c r="S5168" s="83" t="str">
        <f t="shared" si="563"/>
        <v/>
      </c>
      <c r="T5168" s="83" t="str">
        <f t="shared" si="561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2"/>
        <v/>
      </c>
      <c r="B5169" s="83" t="str">
        <f t="shared" si="567"/>
        <v/>
      </c>
      <c r="S5169" s="83" t="str">
        <f t="shared" si="563"/>
        <v/>
      </c>
      <c r="T5169" s="83" t="str">
        <f t="shared" si="561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2"/>
        <v/>
      </c>
      <c r="B5170" s="83" t="str">
        <f t="shared" si="567"/>
        <v/>
      </c>
      <c r="S5170" s="83" t="str">
        <f t="shared" si="563"/>
        <v/>
      </c>
      <c r="T5170" s="83" t="str">
        <f t="shared" si="561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2"/>
        <v/>
      </c>
      <c r="B5171" s="83" t="str">
        <f t="shared" si="567"/>
        <v/>
      </c>
      <c r="S5171" s="83" t="str">
        <f t="shared" si="563"/>
        <v/>
      </c>
      <c r="T5171" s="83" t="str">
        <f t="shared" si="561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2"/>
        <v/>
      </c>
      <c r="B5172" s="83" t="str">
        <f t="shared" si="567"/>
        <v/>
      </c>
      <c r="S5172" s="83" t="str">
        <f t="shared" si="563"/>
        <v/>
      </c>
      <c r="T5172" s="83" t="str">
        <f t="shared" si="561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2"/>
        <v/>
      </c>
      <c r="B5173" s="83" t="str">
        <f t="shared" si="567"/>
        <v/>
      </c>
      <c r="S5173" s="83" t="str">
        <f t="shared" si="563"/>
        <v/>
      </c>
      <c r="T5173" s="83" t="str">
        <f t="shared" si="561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2"/>
        <v/>
      </c>
      <c r="B5174" s="83" t="str">
        <f t="shared" si="567"/>
        <v/>
      </c>
      <c r="S5174" s="83" t="str">
        <f t="shared" si="563"/>
        <v/>
      </c>
      <c r="T5174" s="83" t="str">
        <f t="shared" si="561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2"/>
        <v/>
      </c>
      <c r="B5175" s="83" t="str">
        <f t="shared" si="567"/>
        <v/>
      </c>
      <c r="S5175" s="83" t="str">
        <f t="shared" si="563"/>
        <v/>
      </c>
      <c r="T5175" s="83" t="str">
        <f t="shared" si="561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2"/>
        <v/>
      </c>
      <c r="B5176" s="83" t="str">
        <f t="shared" si="567"/>
        <v/>
      </c>
      <c r="S5176" s="83" t="str">
        <f t="shared" si="563"/>
        <v/>
      </c>
      <c r="T5176" s="83" t="str">
        <f t="shared" si="561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2"/>
        <v/>
      </c>
      <c r="B5177" s="83" t="str">
        <f t="shared" si="567"/>
        <v/>
      </c>
      <c r="S5177" s="83" t="str">
        <f t="shared" si="563"/>
        <v/>
      </c>
      <c r="T5177" s="83" t="str">
        <f t="shared" si="561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2"/>
        <v/>
      </c>
      <c r="B5178" s="83" t="str">
        <f t="shared" si="567"/>
        <v/>
      </c>
      <c r="S5178" s="83" t="str">
        <f t="shared" si="563"/>
        <v/>
      </c>
      <c r="T5178" s="83" t="str">
        <f t="shared" si="561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2"/>
        <v/>
      </c>
      <c r="B5179" s="83" t="str">
        <f t="shared" si="567"/>
        <v/>
      </c>
      <c r="S5179" s="83" t="str">
        <f t="shared" si="563"/>
        <v/>
      </c>
      <c r="T5179" s="83" t="str">
        <f t="shared" si="561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2"/>
        <v/>
      </c>
      <c r="B5180" s="83" t="str">
        <f t="shared" si="567"/>
        <v/>
      </c>
      <c r="S5180" s="83" t="str">
        <f t="shared" si="563"/>
        <v/>
      </c>
      <c r="T5180" s="83" t="str">
        <f t="shared" si="561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2"/>
        <v/>
      </c>
      <c r="B5181" s="83" t="str">
        <f t="shared" si="567"/>
        <v/>
      </c>
      <c r="S5181" s="83" t="str">
        <f t="shared" si="563"/>
        <v/>
      </c>
      <c r="T5181" s="83" t="str">
        <f t="shared" si="561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2"/>
        <v/>
      </c>
      <c r="B5182" s="83" t="str">
        <f t="shared" si="567"/>
        <v/>
      </c>
      <c r="S5182" s="83" t="str">
        <f t="shared" si="563"/>
        <v/>
      </c>
      <c r="T5182" s="83" t="str">
        <f t="shared" si="561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2"/>
        <v/>
      </c>
      <c r="B5183" s="83" t="str">
        <f t="shared" si="567"/>
        <v/>
      </c>
      <c r="S5183" s="83" t="str">
        <f t="shared" si="563"/>
        <v/>
      </c>
      <c r="T5183" s="83" t="str">
        <f t="shared" si="561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2"/>
        <v/>
      </c>
      <c r="B5184" s="83" t="str">
        <f t="shared" si="567"/>
        <v/>
      </c>
      <c r="S5184" s="83" t="str">
        <f t="shared" si="563"/>
        <v/>
      </c>
      <c r="T5184" s="83" t="str">
        <f t="shared" si="561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2"/>
        <v/>
      </c>
      <c r="B5185" s="83" t="str">
        <f t="shared" si="567"/>
        <v/>
      </c>
      <c r="S5185" s="83" t="str">
        <f t="shared" si="563"/>
        <v/>
      </c>
      <c r="T5185" s="83" t="str">
        <f t="shared" si="561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2"/>
        <v/>
      </c>
      <c r="B5186" s="83" t="str">
        <f t="shared" si="567"/>
        <v/>
      </c>
      <c r="S5186" s="83" t="str">
        <f t="shared" si="563"/>
        <v/>
      </c>
      <c r="T5186" s="83" t="str">
        <f t="shared" ref="T5186:T5249" si="568">IF(A5186&lt;&gt;"",IF(FIND(" ",G5186)&gt;=1,MID(G5186,FIND(" ",G5186)+1,LEN(G5186)),""),"")</f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9">IF(G5187&amp;Q5187&lt;&gt;"",S5187&amp;Q5187,"")</f>
        <v/>
      </c>
      <c r="B5187" s="83" t="str">
        <f t="shared" si="567"/>
        <v/>
      </c>
      <c r="S5187" s="83" t="str">
        <f t="shared" ref="S5187:S5250" si="570">IF(G5187&lt;&gt;"",IF(FIND(" ",G5187)&gt;=1,MID(G5187,1,FIND(" ",G5187)-1),G5187),"")</f>
        <v/>
      </c>
      <c r="T5187" s="83" t="str">
        <f t="shared" si="568"/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9"/>
        <v/>
      </c>
      <c r="B5188" s="83" t="str">
        <f t="shared" si="567"/>
        <v/>
      </c>
      <c r="S5188" s="83" t="str">
        <f t="shared" si="570"/>
        <v/>
      </c>
      <c r="T5188" s="83" t="str">
        <f t="shared" si="568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9"/>
        <v/>
      </c>
      <c r="B5189" s="83" t="str">
        <f t="shared" si="567"/>
        <v/>
      </c>
      <c r="S5189" s="83" t="str">
        <f t="shared" si="570"/>
        <v/>
      </c>
      <c r="T5189" s="83" t="str">
        <f t="shared" si="568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9"/>
        <v/>
      </c>
      <c r="B5190" s="83" t="str">
        <f t="shared" si="567"/>
        <v/>
      </c>
      <c r="S5190" s="83" t="str">
        <f t="shared" si="570"/>
        <v/>
      </c>
      <c r="T5190" s="83" t="str">
        <f t="shared" si="568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9"/>
        <v/>
      </c>
      <c r="B5191" s="83" t="str">
        <f t="shared" si="567"/>
        <v/>
      </c>
      <c r="S5191" s="83" t="str">
        <f t="shared" si="570"/>
        <v/>
      </c>
      <c r="T5191" s="83" t="str">
        <f t="shared" si="568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9"/>
        <v/>
      </c>
      <c r="B5192" s="83" t="str">
        <f t="shared" si="567"/>
        <v/>
      </c>
      <c r="S5192" s="83" t="str">
        <f t="shared" si="570"/>
        <v/>
      </c>
      <c r="T5192" s="83" t="str">
        <f t="shared" si="568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9"/>
        <v/>
      </c>
      <c r="B5193" s="83" t="str">
        <f t="shared" si="567"/>
        <v/>
      </c>
      <c r="S5193" s="83" t="str">
        <f t="shared" si="570"/>
        <v/>
      </c>
      <c r="T5193" s="83" t="str">
        <f t="shared" si="568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9"/>
        <v/>
      </c>
      <c r="B5194" s="83" t="str">
        <f t="shared" si="567"/>
        <v/>
      </c>
      <c r="S5194" s="83" t="str">
        <f t="shared" si="570"/>
        <v/>
      </c>
      <c r="T5194" s="83" t="str">
        <f t="shared" si="568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9"/>
        <v/>
      </c>
      <c r="B5195" s="83" t="str">
        <f t="shared" si="567"/>
        <v/>
      </c>
      <c r="S5195" s="83" t="str">
        <f t="shared" si="570"/>
        <v/>
      </c>
      <c r="T5195" s="83" t="str">
        <f t="shared" si="568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9"/>
        <v/>
      </c>
      <c r="B5196" s="83" t="str">
        <f t="shared" si="567"/>
        <v/>
      </c>
      <c r="S5196" s="83" t="str">
        <f t="shared" si="570"/>
        <v/>
      </c>
      <c r="T5196" s="83" t="str">
        <f t="shared" si="568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9"/>
        <v/>
      </c>
      <c r="B5197" s="83" t="str">
        <f t="shared" si="567"/>
        <v/>
      </c>
      <c r="S5197" s="83" t="str">
        <f t="shared" si="570"/>
        <v/>
      </c>
      <c r="T5197" s="83" t="str">
        <f t="shared" si="568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9"/>
        <v/>
      </c>
      <c r="B5198" s="83" t="str">
        <f t="shared" si="567"/>
        <v/>
      </c>
      <c r="S5198" s="83" t="str">
        <f t="shared" si="570"/>
        <v/>
      </c>
      <c r="T5198" s="83" t="str">
        <f t="shared" si="568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9"/>
        <v/>
      </c>
      <c r="B5199" s="83" t="str">
        <f t="shared" si="567"/>
        <v/>
      </c>
      <c r="S5199" s="83" t="str">
        <f t="shared" si="570"/>
        <v/>
      </c>
      <c r="T5199" s="83" t="str">
        <f t="shared" si="568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9"/>
        <v/>
      </c>
      <c r="B5200" s="83" t="str">
        <f t="shared" si="567"/>
        <v/>
      </c>
      <c r="S5200" s="83" t="str">
        <f t="shared" si="570"/>
        <v/>
      </c>
      <c r="T5200" s="83" t="str">
        <f t="shared" si="568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9"/>
        <v/>
      </c>
      <c r="B5201" s="83" t="str">
        <f t="shared" si="567"/>
        <v/>
      </c>
      <c r="S5201" s="83" t="str">
        <f t="shared" si="570"/>
        <v/>
      </c>
      <c r="T5201" s="83" t="str">
        <f t="shared" si="568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9"/>
        <v/>
      </c>
      <c r="B5202" s="83" t="str">
        <f t="shared" si="567"/>
        <v/>
      </c>
      <c r="S5202" s="83" t="str">
        <f t="shared" si="570"/>
        <v/>
      </c>
      <c r="T5202" s="83" t="str">
        <f t="shared" si="568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9"/>
        <v/>
      </c>
      <c r="B5203" s="83" t="str">
        <f t="shared" si="567"/>
        <v/>
      </c>
      <c r="S5203" s="83" t="str">
        <f t="shared" si="570"/>
        <v/>
      </c>
      <c r="T5203" s="83" t="str">
        <f t="shared" si="568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9"/>
        <v/>
      </c>
      <c r="B5204" s="83" t="str">
        <f t="shared" si="567"/>
        <v/>
      </c>
      <c r="S5204" s="83" t="str">
        <f t="shared" si="570"/>
        <v/>
      </c>
      <c r="T5204" s="83" t="str">
        <f t="shared" si="568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9"/>
        <v/>
      </c>
      <c r="B5205" s="83" t="str">
        <f t="shared" si="567"/>
        <v/>
      </c>
      <c r="S5205" s="83" t="str">
        <f t="shared" si="570"/>
        <v/>
      </c>
      <c r="T5205" s="83" t="str">
        <f t="shared" si="568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9"/>
        <v/>
      </c>
      <c r="B5206" s="83" t="str">
        <f t="shared" si="567"/>
        <v/>
      </c>
      <c r="S5206" s="83" t="str">
        <f t="shared" si="570"/>
        <v/>
      </c>
      <c r="T5206" s="83" t="str">
        <f t="shared" si="568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9"/>
        <v/>
      </c>
      <c r="B5207" s="83" t="str">
        <f t="shared" si="567"/>
        <v/>
      </c>
      <c r="S5207" s="83" t="str">
        <f t="shared" si="570"/>
        <v/>
      </c>
      <c r="T5207" s="83" t="str">
        <f t="shared" si="568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9"/>
        <v/>
      </c>
      <c r="B5208" s="83" t="str">
        <f t="shared" si="567"/>
        <v/>
      </c>
      <c r="S5208" s="83" t="str">
        <f t="shared" si="570"/>
        <v/>
      </c>
      <c r="T5208" s="83" t="str">
        <f t="shared" si="568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9"/>
        <v/>
      </c>
      <c r="B5209" s="83" t="str">
        <f t="shared" si="567"/>
        <v/>
      </c>
      <c r="S5209" s="83" t="str">
        <f t="shared" si="570"/>
        <v/>
      </c>
      <c r="T5209" s="83" t="str">
        <f t="shared" si="568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9"/>
        <v/>
      </c>
      <c r="B5210" s="83" t="str">
        <f t="shared" si="567"/>
        <v/>
      </c>
      <c r="S5210" s="83" t="str">
        <f t="shared" si="570"/>
        <v/>
      </c>
      <c r="T5210" s="83" t="str">
        <f t="shared" si="568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9"/>
        <v/>
      </c>
      <c r="B5211" s="83" t="str">
        <f t="shared" si="567"/>
        <v/>
      </c>
      <c r="S5211" s="83" t="str">
        <f t="shared" si="570"/>
        <v/>
      </c>
      <c r="T5211" s="83" t="str">
        <f t="shared" si="568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9"/>
        <v/>
      </c>
      <c r="B5212" s="83" t="str">
        <f t="shared" si="567"/>
        <v/>
      </c>
      <c r="S5212" s="83" t="str">
        <f t="shared" si="570"/>
        <v/>
      </c>
      <c r="T5212" s="83" t="str">
        <f t="shared" si="568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9"/>
        <v/>
      </c>
      <c r="B5213" s="83" t="str">
        <f t="shared" si="567"/>
        <v/>
      </c>
      <c r="S5213" s="83" t="str">
        <f t="shared" si="570"/>
        <v/>
      </c>
      <c r="T5213" s="83" t="str">
        <f t="shared" si="568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9"/>
        <v/>
      </c>
      <c r="B5214" s="83" t="str">
        <f t="shared" si="567"/>
        <v/>
      </c>
      <c r="S5214" s="83" t="str">
        <f t="shared" si="570"/>
        <v/>
      </c>
      <c r="T5214" s="83" t="str">
        <f t="shared" si="568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9"/>
        <v/>
      </c>
      <c r="B5215" s="83" t="str">
        <f t="shared" si="567"/>
        <v/>
      </c>
      <c r="S5215" s="83" t="str">
        <f t="shared" si="570"/>
        <v/>
      </c>
      <c r="T5215" s="83" t="str">
        <f t="shared" si="568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9"/>
        <v/>
      </c>
      <c r="B5216" s="83" t="str">
        <f t="shared" si="567"/>
        <v/>
      </c>
      <c r="S5216" s="83" t="str">
        <f t="shared" si="570"/>
        <v/>
      </c>
      <c r="T5216" s="83" t="str">
        <f t="shared" si="568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9"/>
        <v/>
      </c>
      <c r="B5217" s="83" t="str">
        <f t="shared" ref="B5217:B5280" si="574">IF(C5217&lt;&gt;"",LEFT(C5217,9),"")</f>
        <v/>
      </c>
      <c r="S5217" s="83" t="str">
        <f t="shared" si="570"/>
        <v/>
      </c>
      <c r="T5217" s="83" t="str">
        <f t="shared" si="568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9"/>
        <v/>
      </c>
      <c r="B5218" s="83" t="str">
        <f t="shared" si="574"/>
        <v/>
      </c>
      <c r="S5218" s="83" t="str">
        <f t="shared" si="570"/>
        <v/>
      </c>
      <c r="T5218" s="83" t="str">
        <f t="shared" si="568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9"/>
        <v/>
      </c>
      <c r="B5219" s="83" t="str">
        <f t="shared" si="574"/>
        <v/>
      </c>
      <c r="S5219" s="83" t="str">
        <f t="shared" si="570"/>
        <v/>
      </c>
      <c r="T5219" s="83" t="str">
        <f t="shared" si="568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9"/>
        <v/>
      </c>
      <c r="B5220" s="83" t="str">
        <f t="shared" si="574"/>
        <v/>
      </c>
      <c r="S5220" s="83" t="str">
        <f t="shared" si="570"/>
        <v/>
      </c>
      <c r="T5220" s="83" t="str">
        <f t="shared" si="568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9"/>
        <v/>
      </c>
      <c r="B5221" s="83" t="str">
        <f t="shared" si="574"/>
        <v/>
      </c>
      <c r="S5221" s="83" t="str">
        <f t="shared" si="570"/>
        <v/>
      </c>
      <c r="T5221" s="83" t="str">
        <f t="shared" si="568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9"/>
        <v/>
      </c>
      <c r="B5222" s="83" t="str">
        <f t="shared" si="574"/>
        <v/>
      </c>
      <c r="S5222" s="83" t="str">
        <f t="shared" si="570"/>
        <v/>
      </c>
      <c r="T5222" s="83" t="str">
        <f t="shared" si="568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9"/>
        <v/>
      </c>
      <c r="B5223" s="83" t="str">
        <f t="shared" si="574"/>
        <v/>
      </c>
      <c r="S5223" s="83" t="str">
        <f t="shared" si="570"/>
        <v/>
      </c>
      <c r="T5223" s="83" t="str">
        <f t="shared" si="568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9"/>
        <v/>
      </c>
      <c r="B5224" s="83" t="str">
        <f t="shared" si="574"/>
        <v/>
      </c>
      <c r="S5224" s="83" t="str">
        <f t="shared" si="570"/>
        <v/>
      </c>
      <c r="T5224" s="83" t="str">
        <f t="shared" si="568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9"/>
        <v/>
      </c>
      <c r="B5225" s="83" t="str">
        <f t="shared" si="574"/>
        <v/>
      </c>
      <c r="S5225" s="83" t="str">
        <f t="shared" si="570"/>
        <v/>
      </c>
      <c r="T5225" s="83" t="str">
        <f t="shared" si="568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9"/>
        <v/>
      </c>
      <c r="B5226" s="83" t="str">
        <f t="shared" si="574"/>
        <v/>
      </c>
      <c r="S5226" s="83" t="str">
        <f t="shared" si="570"/>
        <v/>
      </c>
      <c r="T5226" s="83" t="str">
        <f t="shared" si="568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9"/>
        <v/>
      </c>
      <c r="B5227" s="83" t="str">
        <f t="shared" si="574"/>
        <v/>
      </c>
      <c r="S5227" s="83" t="str">
        <f t="shared" si="570"/>
        <v/>
      </c>
      <c r="T5227" s="83" t="str">
        <f t="shared" si="568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9"/>
        <v/>
      </c>
      <c r="B5228" s="83" t="str">
        <f t="shared" si="574"/>
        <v/>
      </c>
      <c r="S5228" s="83" t="str">
        <f t="shared" si="570"/>
        <v/>
      </c>
      <c r="T5228" s="83" t="str">
        <f t="shared" si="568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9"/>
        <v/>
      </c>
      <c r="B5229" s="83" t="str">
        <f t="shared" si="574"/>
        <v/>
      </c>
      <c r="S5229" s="83" t="str">
        <f t="shared" si="570"/>
        <v/>
      </c>
      <c r="T5229" s="83" t="str">
        <f t="shared" si="568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9"/>
        <v/>
      </c>
      <c r="B5230" s="83" t="str">
        <f t="shared" si="574"/>
        <v/>
      </c>
      <c r="S5230" s="83" t="str">
        <f t="shared" si="570"/>
        <v/>
      </c>
      <c r="T5230" s="83" t="str">
        <f t="shared" si="568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9"/>
        <v/>
      </c>
      <c r="B5231" s="83" t="str">
        <f t="shared" si="574"/>
        <v/>
      </c>
      <c r="S5231" s="83" t="str">
        <f t="shared" si="570"/>
        <v/>
      </c>
      <c r="T5231" s="83" t="str">
        <f t="shared" si="568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9"/>
        <v/>
      </c>
      <c r="B5232" s="83" t="str">
        <f t="shared" si="574"/>
        <v/>
      </c>
      <c r="S5232" s="83" t="str">
        <f t="shared" si="570"/>
        <v/>
      </c>
      <c r="T5232" s="83" t="str">
        <f t="shared" si="568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9"/>
        <v/>
      </c>
      <c r="B5233" s="83" t="str">
        <f t="shared" si="574"/>
        <v/>
      </c>
      <c r="S5233" s="83" t="str">
        <f t="shared" si="570"/>
        <v/>
      </c>
      <c r="T5233" s="83" t="str">
        <f t="shared" si="568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9"/>
        <v/>
      </c>
      <c r="B5234" s="83" t="str">
        <f t="shared" si="574"/>
        <v/>
      </c>
      <c r="S5234" s="83" t="str">
        <f t="shared" si="570"/>
        <v/>
      </c>
      <c r="T5234" s="83" t="str">
        <f t="shared" si="568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9"/>
        <v/>
      </c>
      <c r="B5235" s="83" t="str">
        <f t="shared" si="574"/>
        <v/>
      </c>
      <c r="S5235" s="83" t="str">
        <f t="shared" si="570"/>
        <v/>
      </c>
      <c r="T5235" s="83" t="str">
        <f t="shared" si="568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9"/>
        <v/>
      </c>
      <c r="B5236" s="83" t="str">
        <f t="shared" si="574"/>
        <v/>
      </c>
      <c r="S5236" s="83" t="str">
        <f t="shared" si="570"/>
        <v/>
      </c>
      <c r="T5236" s="83" t="str">
        <f t="shared" si="568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9"/>
        <v/>
      </c>
      <c r="B5237" s="83" t="str">
        <f t="shared" si="574"/>
        <v/>
      </c>
      <c r="S5237" s="83" t="str">
        <f t="shared" si="570"/>
        <v/>
      </c>
      <c r="T5237" s="83" t="str">
        <f t="shared" si="568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9"/>
        <v/>
      </c>
      <c r="B5238" s="83" t="str">
        <f t="shared" si="574"/>
        <v/>
      </c>
      <c r="S5238" s="83" t="str">
        <f t="shared" si="570"/>
        <v/>
      </c>
      <c r="T5238" s="83" t="str">
        <f t="shared" si="568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9"/>
        <v/>
      </c>
      <c r="B5239" s="83" t="str">
        <f t="shared" si="574"/>
        <v/>
      </c>
      <c r="S5239" s="83" t="str">
        <f t="shared" si="570"/>
        <v/>
      </c>
      <c r="T5239" s="83" t="str">
        <f t="shared" si="568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9"/>
        <v/>
      </c>
      <c r="B5240" s="83" t="str">
        <f t="shared" si="574"/>
        <v/>
      </c>
      <c r="S5240" s="83" t="str">
        <f t="shared" si="570"/>
        <v/>
      </c>
      <c r="T5240" s="83" t="str">
        <f t="shared" si="568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9"/>
        <v/>
      </c>
      <c r="B5241" s="83" t="str">
        <f t="shared" si="574"/>
        <v/>
      </c>
      <c r="S5241" s="83" t="str">
        <f t="shared" si="570"/>
        <v/>
      </c>
      <c r="T5241" s="83" t="str">
        <f t="shared" si="568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9"/>
        <v/>
      </c>
      <c r="B5242" s="83" t="str">
        <f t="shared" si="574"/>
        <v/>
      </c>
      <c r="S5242" s="83" t="str">
        <f t="shared" si="570"/>
        <v/>
      </c>
      <c r="T5242" s="83" t="str">
        <f t="shared" si="568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9"/>
        <v/>
      </c>
      <c r="B5243" s="83" t="str">
        <f t="shared" si="574"/>
        <v/>
      </c>
      <c r="S5243" s="83" t="str">
        <f t="shared" si="570"/>
        <v/>
      </c>
      <c r="T5243" s="83" t="str">
        <f t="shared" si="568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9"/>
        <v/>
      </c>
      <c r="B5244" s="83" t="str">
        <f t="shared" si="574"/>
        <v/>
      </c>
      <c r="S5244" s="83" t="str">
        <f t="shared" si="570"/>
        <v/>
      </c>
      <c r="T5244" s="83" t="str">
        <f t="shared" si="568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9"/>
        <v/>
      </c>
      <c r="B5245" s="83" t="str">
        <f t="shared" si="574"/>
        <v/>
      </c>
      <c r="S5245" s="83" t="str">
        <f t="shared" si="570"/>
        <v/>
      </c>
      <c r="T5245" s="83" t="str">
        <f t="shared" si="568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9"/>
        <v/>
      </c>
      <c r="B5246" s="83" t="str">
        <f t="shared" si="574"/>
        <v/>
      </c>
      <c r="S5246" s="83" t="str">
        <f t="shared" si="570"/>
        <v/>
      </c>
      <c r="T5246" s="83" t="str">
        <f t="shared" si="568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9"/>
        <v/>
      </c>
      <c r="B5247" s="83" t="str">
        <f t="shared" si="574"/>
        <v/>
      </c>
      <c r="S5247" s="83" t="str">
        <f t="shared" si="570"/>
        <v/>
      </c>
      <c r="T5247" s="83" t="str">
        <f t="shared" si="568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9"/>
        <v/>
      </c>
      <c r="B5248" s="83" t="str">
        <f t="shared" si="574"/>
        <v/>
      </c>
      <c r="S5248" s="83" t="str">
        <f t="shared" si="570"/>
        <v/>
      </c>
      <c r="T5248" s="83" t="str">
        <f t="shared" si="568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9"/>
        <v/>
      </c>
      <c r="B5249" s="83" t="str">
        <f t="shared" si="574"/>
        <v/>
      </c>
      <c r="S5249" s="83" t="str">
        <f t="shared" si="570"/>
        <v/>
      </c>
      <c r="T5249" s="83" t="str">
        <f t="shared" si="568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9"/>
        <v/>
      </c>
      <c r="B5250" s="83" t="str">
        <f t="shared" si="574"/>
        <v/>
      </c>
      <c r="S5250" s="83" t="str">
        <f t="shared" si="570"/>
        <v/>
      </c>
      <c r="T5250" s="83" t="str">
        <f t="shared" ref="T5250:T5313" si="575">IF(A5250&lt;&gt;"",IF(FIND(" ",G5250)&gt;=1,MID(G5250,FIND(" ",G5250)+1,LEN(G5250)),""),"")</f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6">IF(G5251&amp;Q5251&lt;&gt;"",S5251&amp;Q5251,"")</f>
        <v/>
      </c>
      <c r="B5251" s="83" t="str">
        <f t="shared" si="574"/>
        <v/>
      </c>
      <c r="S5251" s="83" t="str">
        <f t="shared" ref="S5251:S5314" si="577">IF(G5251&lt;&gt;"",IF(FIND(" ",G5251)&gt;=1,MID(G5251,1,FIND(" ",G5251)-1),G5251),"")</f>
        <v/>
      </c>
      <c r="T5251" s="83" t="str">
        <f t="shared" si="575"/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6"/>
        <v/>
      </c>
      <c r="B5252" s="83" t="str">
        <f t="shared" si="574"/>
        <v/>
      </c>
      <c r="S5252" s="83" t="str">
        <f t="shared" si="577"/>
        <v/>
      </c>
      <c r="T5252" s="83" t="str">
        <f t="shared" si="575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6"/>
        <v/>
      </c>
      <c r="B5253" s="83" t="str">
        <f t="shared" si="574"/>
        <v/>
      </c>
      <c r="S5253" s="83" t="str">
        <f t="shared" si="577"/>
        <v/>
      </c>
      <c r="T5253" s="83" t="str">
        <f t="shared" si="575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6"/>
        <v/>
      </c>
      <c r="B5254" s="83" t="str">
        <f t="shared" si="574"/>
        <v/>
      </c>
      <c r="S5254" s="83" t="str">
        <f t="shared" si="577"/>
        <v/>
      </c>
      <c r="T5254" s="83" t="str">
        <f t="shared" si="575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6"/>
        <v/>
      </c>
      <c r="B5255" s="83" t="str">
        <f t="shared" si="574"/>
        <v/>
      </c>
      <c r="S5255" s="83" t="str">
        <f t="shared" si="577"/>
        <v/>
      </c>
      <c r="T5255" s="83" t="str">
        <f t="shared" si="575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6"/>
        <v/>
      </c>
      <c r="B5256" s="83" t="str">
        <f t="shared" si="574"/>
        <v/>
      </c>
      <c r="S5256" s="83" t="str">
        <f t="shared" si="577"/>
        <v/>
      </c>
      <c r="T5256" s="83" t="str">
        <f t="shared" si="575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6"/>
        <v/>
      </c>
      <c r="B5257" s="83" t="str">
        <f t="shared" si="574"/>
        <v/>
      </c>
      <c r="S5257" s="83" t="str">
        <f t="shared" si="577"/>
        <v/>
      </c>
      <c r="T5257" s="83" t="str">
        <f t="shared" si="575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6"/>
        <v/>
      </c>
      <c r="B5258" s="83" t="str">
        <f t="shared" si="574"/>
        <v/>
      </c>
      <c r="S5258" s="83" t="str">
        <f t="shared" si="577"/>
        <v/>
      </c>
      <c r="T5258" s="83" t="str">
        <f t="shared" si="575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6"/>
        <v/>
      </c>
      <c r="B5259" s="83" t="str">
        <f t="shared" si="574"/>
        <v/>
      </c>
      <c r="S5259" s="83" t="str">
        <f t="shared" si="577"/>
        <v/>
      </c>
      <c r="T5259" s="83" t="str">
        <f t="shared" si="575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6"/>
        <v/>
      </c>
      <c r="B5260" s="83" t="str">
        <f t="shared" si="574"/>
        <v/>
      </c>
      <c r="S5260" s="83" t="str">
        <f t="shared" si="577"/>
        <v/>
      </c>
      <c r="T5260" s="83" t="str">
        <f t="shared" si="575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6"/>
        <v/>
      </c>
      <c r="B5261" s="83" t="str">
        <f t="shared" si="574"/>
        <v/>
      </c>
      <c r="S5261" s="83" t="str">
        <f t="shared" si="577"/>
        <v/>
      </c>
      <c r="T5261" s="83" t="str">
        <f t="shared" si="575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6"/>
        <v/>
      </c>
      <c r="B5262" s="83" t="str">
        <f t="shared" si="574"/>
        <v/>
      </c>
      <c r="S5262" s="83" t="str">
        <f t="shared" si="577"/>
        <v/>
      </c>
      <c r="T5262" s="83" t="str">
        <f t="shared" si="575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6"/>
        <v/>
      </c>
      <c r="B5263" s="83" t="str">
        <f t="shared" si="574"/>
        <v/>
      </c>
      <c r="S5263" s="83" t="str">
        <f t="shared" si="577"/>
        <v/>
      </c>
      <c r="T5263" s="83" t="str">
        <f t="shared" si="575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6"/>
        <v/>
      </c>
      <c r="B5264" s="83" t="str">
        <f t="shared" si="574"/>
        <v/>
      </c>
      <c r="S5264" s="83" t="str">
        <f t="shared" si="577"/>
        <v/>
      </c>
      <c r="T5264" s="83" t="str">
        <f t="shared" si="575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6"/>
        <v/>
      </c>
      <c r="B5265" s="83" t="str">
        <f t="shared" si="574"/>
        <v/>
      </c>
      <c r="S5265" s="83" t="str">
        <f t="shared" si="577"/>
        <v/>
      </c>
      <c r="T5265" s="83" t="str">
        <f t="shared" si="575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6"/>
        <v/>
      </c>
      <c r="B5266" s="83" t="str">
        <f t="shared" si="574"/>
        <v/>
      </c>
      <c r="S5266" s="83" t="str">
        <f t="shared" si="577"/>
        <v/>
      </c>
      <c r="T5266" s="83" t="str">
        <f t="shared" si="575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6"/>
        <v/>
      </c>
      <c r="B5267" s="83" t="str">
        <f t="shared" si="574"/>
        <v/>
      </c>
      <c r="S5267" s="83" t="str">
        <f t="shared" si="577"/>
        <v/>
      </c>
      <c r="T5267" s="83" t="str">
        <f t="shared" si="575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6"/>
        <v/>
      </c>
      <c r="B5268" s="83" t="str">
        <f t="shared" si="574"/>
        <v/>
      </c>
      <c r="S5268" s="83" t="str">
        <f t="shared" si="577"/>
        <v/>
      </c>
      <c r="T5268" s="83" t="str">
        <f t="shared" si="575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6"/>
        <v/>
      </c>
      <c r="B5269" s="83" t="str">
        <f t="shared" si="574"/>
        <v/>
      </c>
      <c r="S5269" s="83" t="str">
        <f t="shared" si="577"/>
        <v/>
      </c>
      <c r="T5269" s="83" t="str">
        <f t="shared" si="575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6"/>
        <v/>
      </c>
      <c r="B5270" s="83" t="str">
        <f t="shared" si="574"/>
        <v/>
      </c>
      <c r="S5270" s="83" t="str">
        <f t="shared" si="577"/>
        <v/>
      </c>
      <c r="T5270" s="83" t="str">
        <f t="shared" si="575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6"/>
        <v/>
      </c>
      <c r="B5271" s="83" t="str">
        <f t="shared" si="574"/>
        <v/>
      </c>
      <c r="S5271" s="83" t="str">
        <f t="shared" si="577"/>
        <v/>
      </c>
      <c r="T5271" s="83" t="str">
        <f t="shared" si="575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6"/>
        <v/>
      </c>
      <c r="B5272" s="83" t="str">
        <f t="shared" si="574"/>
        <v/>
      </c>
      <c r="S5272" s="83" t="str">
        <f t="shared" si="577"/>
        <v/>
      </c>
      <c r="T5272" s="83" t="str">
        <f t="shared" si="575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6"/>
        <v/>
      </c>
      <c r="B5273" s="83" t="str">
        <f t="shared" si="574"/>
        <v/>
      </c>
      <c r="S5273" s="83" t="str">
        <f t="shared" si="577"/>
        <v/>
      </c>
      <c r="T5273" s="83" t="str">
        <f t="shared" si="575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6"/>
        <v/>
      </c>
      <c r="B5274" s="83" t="str">
        <f t="shared" si="574"/>
        <v/>
      </c>
      <c r="S5274" s="83" t="str">
        <f t="shared" si="577"/>
        <v/>
      </c>
      <c r="T5274" s="83" t="str">
        <f t="shared" si="575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6"/>
        <v/>
      </c>
      <c r="B5275" s="83" t="str">
        <f t="shared" si="574"/>
        <v/>
      </c>
      <c r="S5275" s="83" t="str">
        <f t="shared" si="577"/>
        <v/>
      </c>
      <c r="T5275" s="83" t="str">
        <f t="shared" si="575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6"/>
        <v/>
      </c>
      <c r="B5276" s="83" t="str">
        <f t="shared" si="574"/>
        <v/>
      </c>
      <c r="S5276" s="83" t="str">
        <f t="shared" si="577"/>
        <v/>
      </c>
      <c r="T5276" s="83" t="str">
        <f t="shared" si="575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6"/>
        <v/>
      </c>
      <c r="B5277" s="83" t="str">
        <f t="shared" si="574"/>
        <v/>
      </c>
      <c r="S5277" s="83" t="str">
        <f t="shared" si="577"/>
        <v/>
      </c>
      <c r="T5277" s="83" t="str">
        <f t="shared" si="575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6"/>
        <v/>
      </c>
      <c r="B5278" s="83" t="str">
        <f t="shared" si="574"/>
        <v/>
      </c>
      <c r="S5278" s="83" t="str">
        <f t="shared" si="577"/>
        <v/>
      </c>
      <c r="T5278" s="83" t="str">
        <f t="shared" si="575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6"/>
        <v/>
      </c>
      <c r="B5279" s="83" t="str">
        <f t="shared" si="574"/>
        <v/>
      </c>
      <c r="S5279" s="83" t="str">
        <f t="shared" si="577"/>
        <v/>
      </c>
      <c r="T5279" s="83" t="str">
        <f t="shared" si="575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6"/>
        <v/>
      </c>
      <c r="B5280" s="83" t="str">
        <f t="shared" si="574"/>
        <v/>
      </c>
      <c r="S5280" s="83" t="str">
        <f t="shared" si="577"/>
        <v/>
      </c>
      <c r="T5280" s="83" t="str">
        <f t="shared" si="575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6"/>
        <v/>
      </c>
      <c r="B5281" s="83" t="str">
        <f t="shared" ref="B5281:B5344" si="581">IF(C5281&lt;&gt;"",LEFT(C5281,9),"")</f>
        <v/>
      </c>
      <c r="S5281" s="83" t="str">
        <f t="shared" si="577"/>
        <v/>
      </c>
      <c r="T5281" s="83" t="str">
        <f t="shared" si="575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6"/>
        <v/>
      </c>
      <c r="B5282" s="83" t="str">
        <f t="shared" si="581"/>
        <v/>
      </c>
      <c r="S5282" s="83" t="str">
        <f t="shared" si="577"/>
        <v/>
      </c>
      <c r="T5282" s="83" t="str">
        <f t="shared" si="575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6"/>
        <v/>
      </c>
      <c r="B5283" s="83" t="str">
        <f t="shared" si="581"/>
        <v/>
      </c>
      <c r="S5283" s="83" t="str">
        <f t="shared" si="577"/>
        <v/>
      </c>
      <c r="T5283" s="83" t="str">
        <f t="shared" si="575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6"/>
        <v/>
      </c>
      <c r="B5284" s="83" t="str">
        <f t="shared" si="581"/>
        <v/>
      </c>
      <c r="S5284" s="83" t="str">
        <f t="shared" si="577"/>
        <v/>
      </c>
      <c r="T5284" s="83" t="str">
        <f t="shared" si="575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6"/>
        <v/>
      </c>
      <c r="B5285" s="83" t="str">
        <f t="shared" si="581"/>
        <v/>
      </c>
      <c r="S5285" s="83" t="str">
        <f t="shared" si="577"/>
        <v/>
      </c>
      <c r="T5285" s="83" t="str">
        <f t="shared" si="575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6"/>
        <v/>
      </c>
      <c r="B5286" s="83" t="str">
        <f t="shared" si="581"/>
        <v/>
      </c>
      <c r="S5286" s="83" t="str">
        <f t="shared" si="577"/>
        <v/>
      </c>
      <c r="T5286" s="83" t="str">
        <f t="shared" si="575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6"/>
        <v/>
      </c>
      <c r="B5287" s="83" t="str">
        <f t="shared" si="581"/>
        <v/>
      </c>
      <c r="S5287" s="83" t="str">
        <f t="shared" si="577"/>
        <v/>
      </c>
      <c r="T5287" s="83" t="str">
        <f t="shared" si="575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6"/>
        <v/>
      </c>
      <c r="B5288" s="83" t="str">
        <f t="shared" si="581"/>
        <v/>
      </c>
      <c r="S5288" s="83" t="str">
        <f t="shared" si="577"/>
        <v/>
      </c>
      <c r="T5288" s="83" t="str">
        <f t="shared" si="575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6"/>
        <v/>
      </c>
      <c r="B5289" s="83" t="str">
        <f t="shared" si="581"/>
        <v/>
      </c>
      <c r="S5289" s="83" t="str">
        <f t="shared" si="577"/>
        <v/>
      </c>
      <c r="T5289" s="83" t="str">
        <f t="shared" si="575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6"/>
        <v/>
      </c>
      <c r="B5290" s="83" t="str">
        <f t="shared" si="581"/>
        <v/>
      </c>
      <c r="S5290" s="83" t="str">
        <f t="shared" si="577"/>
        <v/>
      </c>
      <c r="T5290" s="83" t="str">
        <f t="shared" si="575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6"/>
        <v/>
      </c>
      <c r="B5291" s="83" t="str">
        <f t="shared" si="581"/>
        <v/>
      </c>
      <c r="S5291" s="83" t="str">
        <f t="shared" si="577"/>
        <v/>
      </c>
      <c r="T5291" s="83" t="str">
        <f t="shared" si="575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6"/>
        <v/>
      </c>
      <c r="B5292" s="83" t="str">
        <f t="shared" si="581"/>
        <v/>
      </c>
      <c r="S5292" s="83" t="str">
        <f t="shared" si="577"/>
        <v/>
      </c>
      <c r="T5292" s="83" t="str">
        <f t="shared" si="575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6"/>
        <v/>
      </c>
      <c r="B5293" s="83" t="str">
        <f t="shared" si="581"/>
        <v/>
      </c>
      <c r="S5293" s="83" t="str">
        <f t="shared" si="577"/>
        <v/>
      </c>
      <c r="T5293" s="83" t="str">
        <f t="shared" si="575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6"/>
        <v/>
      </c>
      <c r="B5294" s="83" t="str">
        <f t="shared" si="581"/>
        <v/>
      </c>
      <c r="S5294" s="83" t="str">
        <f t="shared" si="577"/>
        <v/>
      </c>
      <c r="T5294" s="83" t="str">
        <f t="shared" si="575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6"/>
        <v/>
      </c>
      <c r="B5295" s="83" t="str">
        <f t="shared" si="581"/>
        <v/>
      </c>
      <c r="S5295" s="83" t="str">
        <f t="shared" si="577"/>
        <v/>
      </c>
      <c r="T5295" s="83" t="str">
        <f t="shared" si="575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6"/>
        <v/>
      </c>
      <c r="B5296" s="83" t="str">
        <f t="shared" si="581"/>
        <v/>
      </c>
      <c r="S5296" s="83" t="str">
        <f t="shared" si="577"/>
        <v/>
      </c>
      <c r="T5296" s="83" t="str">
        <f t="shared" si="575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6"/>
        <v/>
      </c>
      <c r="B5297" s="83" t="str">
        <f t="shared" si="581"/>
        <v/>
      </c>
      <c r="S5297" s="83" t="str">
        <f t="shared" si="577"/>
        <v/>
      </c>
      <c r="T5297" s="83" t="str">
        <f t="shared" si="575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6"/>
        <v/>
      </c>
      <c r="B5298" s="83" t="str">
        <f t="shared" si="581"/>
        <v/>
      </c>
      <c r="S5298" s="83" t="str">
        <f t="shared" si="577"/>
        <v/>
      </c>
      <c r="T5298" s="83" t="str">
        <f t="shared" si="575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6"/>
        <v/>
      </c>
      <c r="B5299" s="83" t="str">
        <f t="shared" si="581"/>
        <v/>
      </c>
      <c r="S5299" s="83" t="str">
        <f t="shared" si="577"/>
        <v/>
      </c>
      <c r="T5299" s="83" t="str">
        <f t="shared" si="575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6"/>
        <v/>
      </c>
      <c r="B5300" s="83" t="str">
        <f t="shared" si="581"/>
        <v/>
      </c>
      <c r="S5300" s="83" t="str">
        <f t="shared" si="577"/>
        <v/>
      </c>
      <c r="T5300" s="83" t="str">
        <f t="shared" si="575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6"/>
        <v/>
      </c>
      <c r="B5301" s="83" t="str">
        <f t="shared" si="581"/>
        <v/>
      </c>
      <c r="S5301" s="83" t="str">
        <f t="shared" si="577"/>
        <v/>
      </c>
      <c r="T5301" s="83" t="str">
        <f t="shared" si="575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6"/>
        <v/>
      </c>
      <c r="B5302" s="83" t="str">
        <f t="shared" si="581"/>
        <v/>
      </c>
      <c r="S5302" s="83" t="str">
        <f t="shared" si="577"/>
        <v/>
      </c>
      <c r="T5302" s="83" t="str">
        <f t="shared" si="575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6"/>
        <v/>
      </c>
      <c r="B5303" s="83" t="str">
        <f t="shared" si="581"/>
        <v/>
      </c>
      <c r="S5303" s="83" t="str">
        <f t="shared" si="577"/>
        <v/>
      </c>
      <c r="T5303" s="83" t="str">
        <f t="shared" si="575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6"/>
        <v/>
      </c>
      <c r="B5304" s="83" t="str">
        <f t="shared" si="581"/>
        <v/>
      </c>
      <c r="S5304" s="83" t="str">
        <f t="shared" si="577"/>
        <v/>
      </c>
      <c r="T5304" s="83" t="str">
        <f t="shared" si="575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6"/>
        <v/>
      </c>
      <c r="B5305" s="83" t="str">
        <f t="shared" si="581"/>
        <v/>
      </c>
      <c r="S5305" s="83" t="str">
        <f t="shared" si="577"/>
        <v/>
      </c>
      <c r="T5305" s="83" t="str">
        <f t="shared" si="575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6"/>
        <v/>
      </c>
      <c r="B5306" s="83" t="str">
        <f t="shared" si="581"/>
        <v/>
      </c>
      <c r="S5306" s="83" t="str">
        <f t="shared" si="577"/>
        <v/>
      </c>
      <c r="T5306" s="83" t="str">
        <f t="shared" si="575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6"/>
        <v/>
      </c>
      <c r="B5307" s="83" t="str">
        <f t="shared" si="581"/>
        <v/>
      </c>
      <c r="S5307" s="83" t="str">
        <f t="shared" si="577"/>
        <v/>
      </c>
      <c r="T5307" s="83" t="str">
        <f t="shared" si="575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6"/>
        <v/>
      </c>
      <c r="B5308" s="83" t="str">
        <f t="shared" si="581"/>
        <v/>
      </c>
      <c r="S5308" s="83" t="str">
        <f t="shared" si="577"/>
        <v/>
      </c>
      <c r="T5308" s="83" t="str">
        <f t="shared" si="575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6"/>
        <v/>
      </c>
      <c r="B5309" s="83" t="str">
        <f t="shared" si="581"/>
        <v/>
      </c>
      <c r="S5309" s="83" t="str">
        <f t="shared" si="577"/>
        <v/>
      </c>
      <c r="T5309" s="83" t="str">
        <f t="shared" si="575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6"/>
        <v/>
      </c>
      <c r="B5310" s="83" t="str">
        <f t="shared" si="581"/>
        <v/>
      </c>
      <c r="S5310" s="83" t="str">
        <f t="shared" si="577"/>
        <v/>
      </c>
      <c r="T5310" s="83" t="str">
        <f t="shared" si="575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6"/>
        <v/>
      </c>
      <c r="B5311" s="83" t="str">
        <f t="shared" si="581"/>
        <v/>
      </c>
      <c r="S5311" s="83" t="str">
        <f t="shared" si="577"/>
        <v/>
      </c>
      <c r="T5311" s="83" t="str">
        <f t="shared" si="575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6"/>
        <v/>
      </c>
      <c r="B5312" s="83" t="str">
        <f t="shared" si="581"/>
        <v/>
      </c>
      <c r="S5312" s="83" t="str">
        <f t="shared" si="577"/>
        <v/>
      </c>
      <c r="T5312" s="83" t="str">
        <f t="shared" si="575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6"/>
        <v/>
      </c>
      <c r="B5313" s="83" t="str">
        <f t="shared" si="581"/>
        <v/>
      </c>
      <c r="S5313" s="83" t="str">
        <f t="shared" si="577"/>
        <v/>
      </c>
      <c r="T5313" s="83" t="str">
        <f t="shared" si="575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6"/>
        <v/>
      </c>
      <c r="B5314" s="83" t="str">
        <f t="shared" si="581"/>
        <v/>
      </c>
      <c r="S5314" s="83" t="str">
        <f t="shared" si="577"/>
        <v/>
      </c>
      <c r="T5314" s="83" t="str">
        <f t="shared" ref="T5314:T5377" si="582">IF(A5314&lt;&gt;"",IF(FIND(" ",G5314)&gt;=1,MID(G5314,FIND(" ",G5314)+1,LEN(G5314)),""),"")</f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3">IF(G5315&amp;Q5315&lt;&gt;"",S5315&amp;Q5315,"")</f>
        <v/>
      </c>
      <c r="B5315" s="83" t="str">
        <f t="shared" si="581"/>
        <v/>
      </c>
      <c r="S5315" s="83" t="str">
        <f t="shared" ref="S5315:S5378" si="584">IF(G5315&lt;&gt;"",IF(FIND(" ",G5315)&gt;=1,MID(G5315,1,FIND(" ",G5315)-1),G5315),"")</f>
        <v/>
      </c>
      <c r="T5315" s="83" t="str">
        <f t="shared" si="582"/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3"/>
        <v/>
      </c>
      <c r="B5316" s="83" t="str">
        <f t="shared" si="581"/>
        <v/>
      </c>
      <c r="S5316" s="83" t="str">
        <f t="shared" si="584"/>
        <v/>
      </c>
      <c r="T5316" s="83" t="str">
        <f t="shared" si="582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3"/>
        <v/>
      </c>
      <c r="B5317" s="83" t="str">
        <f t="shared" si="581"/>
        <v/>
      </c>
      <c r="S5317" s="83" t="str">
        <f t="shared" si="584"/>
        <v/>
      </c>
      <c r="T5317" s="83" t="str">
        <f t="shared" si="582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3"/>
        <v/>
      </c>
      <c r="B5318" s="83" t="str">
        <f t="shared" si="581"/>
        <v/>
      </c>
      <c r="S5318" s="83" t="str">
        <f t="shared" si="584"/>
        <v/>
      </c>
      <c r="T5318" s="83" t="str">
        <f t="shared" si="582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3"/>
        <v/>
      </c>
      <c r="B5319" s="83" t="str">
        <f t="shared" si="581"/>
        <v/>
      </c>
      <c r="S5319" s="83" t="str">
        <f t="shared" si="584"/>
        <v/>
      </c>
      <c r="T5319" s="83" t="str">
        <f t="shared" si="582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3"/>
        <v/>
      </c>
      <c r="B5320" s="83" t="str">
        <f t="shared" si="581"/>
        <v/>
      </c>
      <c r="S5320" s="83" t="str">
        <f t="shared" si="584"/>
        <v/>
      </c>
      <c r="T5320" s="83" t="str">
        <f t="shared" si="582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3"/>
        <v/>
      </c>
      <c r="B5321" s="83" t="str">
        <f t="shared" si="581"/>
        <v/>
      </c>
      <c r="S5321" s="83" t="str">
        <f t="shared" si="584"/>
        <v/>
      </c>
      <c r="T5321" s="83" t="str">
        <f t="shared" si="582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3"/>
        <v/>
      </c>
      <c r="B5322" s="83" t="str">
        <f t="shared" si="581"/>
        <v/>
      </c>
      <c r="S5322" s="83" t="str">
        <f t="shared" si="584"/>
        <v/>
      </c>
      <c r="T5322" s="83" t="str">
        <f t="shared" si="582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3"/>
        <v/>
      </c>
      <c r="B5323" s="83" t="str">
        <f t="shared" si="581"/>
        <v/>
      </c>
      <c r="S5323" s="83" t="str">
        <f t="shared" si="584"/>
        <v/>
      </c>
      <c r="T5323" s="83" t="str">
        <f t="shared" si="582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3"/>
        <v/>
      </c>
      <c r="B5324" s="83" t="str">
        <f t="shared" si="581"/>
        <v/>
      </c>
      <c r="S5324" s="83" t="str">
        <f t="shared" si="584"/>
        <v/>
      </c>
      <c r="T5324" s="83" t="str">
        <f t="shared" si="582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3"/>
        <v/>
      </c>
      <c r="B5325" s="83" t="str">
        <f t="shared" si="581"/>
        <v/>
      </c>
      <c r="S5325" s="83" t="str">
        <f t="shared" si="584"/>
        <v/>
      </c>
      <c r="T5325" s="83" t="str">
        <f t="shared" si="582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3"/>
        <v/>
      </c>
      <c r="B5326" s="83" t="str">
        <f t="shared" si="581"/>
        <v/>
      </c>
      <c r="S5326" s="83" t="str">
        <f t="shared" si="584"/>
        <v/>
      </c>
      <c r="T5326" s="83" t="str">
        <f t="shared" si="582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3"/>
        <v/>
      </c>
      <c r="B5327" s="83" t="str">
        <f t="shared" si="581"/>
        <v/>
      </c>
      <c r="S5327" s="83" t="str">
        <f t="shared" si="584"/>
        <v/>
      </c>
      <c r="T5327" s="83" t="str">
        <f t="shared" si="582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3"/>
        <v/>
      </c>
      <c r="B5328" s="83" t="str">
        <f t="shared" si="581"/>
        <v/>
      </c>
      <c r="S5328" s="83" t="str">
        <f t="shared" si="584"/>
        <v/>
      </c>
      <c r="T5328" s="83" t="str">
        <f t="shared" si="582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3"/>
        <v/>
      </c>
      <c r="B5329" s="83" t="str">
        <f t="shared" si="581"/>
        <v/>
      </c>
      <c r="S5329" s="83" t="str">
        <f t="shared" si="584"/>
        <v/>
      </c>
      <c r="T5329" s="83" t="str">
        <f t="shared" si="582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3"/>
        <v/>
      </c>
      <c r="B5330" s="83" t="str">
        <f t="shared" si="581"/>
        <v/>
      </c>
      <c r="S5330" s="83" t="str">
        <f t="shared" si="584"/>
        <v/>
      </c>
      <c r="T5330" s="83" t="str">
        <f t="shared" si="582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3"/>
        <v/>
      </c>
      <c r="B5331" s="83" t="str">
        <f t="shared" si="581"/>
        <v/>
      </c>
      <c r="S5331" s="83" t="str">
        <f t="shared" si="584"/>
        <v/>
      </c>
      <c r="T5331" s="83" t="str">
        <f t="shared" si="582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3"/>
        <v/>
      </c>
      <c r="B5332" s="83" t="str">
        <f t="shared" si="581"/>
        <v/>
      </c>
      <c r="S5332" s="83" t="str">
        <f t="shared" si="584"/>
        <v/>
      </c>
      <c r="T5332" s="83" t="str">
        <f t="shared" si="582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3"/>
        <v/>
      </c>
      <c r="B5333" s="83" t="str">
        <f t="shared" si="581"/>
        <v/>
      </c>
      <c r="S5333" s="83" t="str">
        <f t="shared" si="584"/>
        <v/>
      </c>
      <c r="T5333" s="83" t="str">
        <f t="shared" si="582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3"/>
        <v/>
      </c>
      <c r="B5334" s="83" t="str">
        <f t="shared" si="581"/>
        <v/>
      </c>
      <c r="S5334" s="83" t="str">
        <f t="shared" si="584"/>
        <v/>
      </c>
      <c r="T5334" s="83" t="str">
        <f t="shared" si="582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3"/>
        <v/>
      </c>
      <c r="B5335" s="83" t="str">
        <f t="shared" si="581"/>
        <v/>
      </c>
      <c r="S5335" s="83" t="str">
        <f t="shared" si="584"/>
        <v/>
      </c>
      <c r="T5335" s="83" t="str">
        <f t="shared" si="582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3"/>
        <v/>
      </c>
      <c r="B5336" s="83" t="str">
        <f t="shared" si="581"/>
        <v/>
      </c>
      <c r="S5336" s="83" t="str">
        <f t="shared" si="584"/>
        <v/>
      </c>
      <c r="T5336" s="83" t="str">
        <f t="shared" si="582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3"/>
        <v/>
      </c>
      <c r="B5337" s="83" t="str">
        <f t="shared" si="581"/>
        <v/>
      </c>
      <c r="S5337" s="83" t="str">
        <f t="shared" si="584"/>
        <v/>
      </c>
      <c r="T5337" s="83" t="str">
        <f t="shared" si="582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3"/>
        <v/>
      </c>
      <c r="B5338" s="83" t="str">
        <f t="shared" si="581"/>
        <v/>
      </c>
      <c r="S5338" s="83" t="str">
        <f t="shared" si="584"/>
        <v/>
      </c>
      <c r="T5338" s="83" t="str">
        <f t="shared" si="582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3"/>
        <v/>
      </c>
      <c r="B5339" s="83" t="str">
        <f t="shared" si="581"/>
        <v/>
      </c>
      <c r="S5339" s="83" t="str">
        <f t="shared" si="584"/>
        <v/>
      </c>
      <c r="T5339" s="83" t="str">
        <f t="shared" si="582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3"/>
        <v/>
      </c>
      <c r="B5340" s="83" t="str">
        <f t="shared" si="581"/>
        <v/>
      </c>
      <c r="S5340" s="83" t="str">
        <f t="shared" si="584"/>
        <v/>
      </c>
      <c r="T5340" s="83" t="str">
        <f t="shared" si="582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3"/>
        <v/>
      </c>
      <c r="B5341" s="83" t="str">
        <f t="shared" si="581"/>
        <v/>
      </c>
      <c r="S5341" s="83" t="str">
        <f t="shared" si="584"/>
        <v/>
      </c>
      <c r="T5341" s="83" t="str">
        <f t="shared" si="582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3"/>
        <v/>
      </c>
      <c r="B5342" s="83" t="str">
        <f t="shared" si="581"/>
        <v/>
      </c>
      <c r="S5342" s="83" t="str">
        <f t="shared" si="584"/>
        <v/>
      </c>
      <c r="T5342" s="83" t="str">
        <f t="shared" si="582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3"/>
        <v/>
      </c>
      <c r="B5343" s="83" t="str">
        <f t="shared" si="581"/>
        <v/>
      </c>
      <c r="S5343" s="83" t="str">
        <f t="shared" si="584"/>
        <v/>
      </c>
      <c r="T5343" s="83" t="str">
        <f t="shared" si="582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3"/>
        <v/>
      </c>
      <c r="B5344" s="83" t="str">
        <f t="shared" si="581"/>
        <v/>
      </c>
      <c r="S5344" s="83" t="str">
        <f t="shared" si="584"/>
        <v/>
      </c>
      <c r="T5344" s="83" t="str">
        <f t="shared" si="582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3"/>
        <v/>
      </c>
      <c r="B5345" s="83" t="str">
        <f t="shared" ref="B5345:B5408" si="588">IF(C5345&lt;&gt;"",LEFT(C5345,9),"")</f>
        <v/>
      </c>
      <c r="S5345" s="83" t="str">
        <f t="shared" si="584"/>
        <v/>
      </c>
      <c r="T5345" s="83" t="str">
        <f t="shared" si="582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3"/>
        <v/>
      </c>
      <c r="B5346" s="83" t="str">
        <f t="shared" si="588"/>
        <v/>
      </c>
      <c r="S5346" s="83" t="str">
        <f t="shared" si="584"/>
        <v/>
      </c>
      <c r="T5346" s="83" t="str">
        <f t="shared" si="582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3"/>
        <v/>
      </c>
      <c r="B5347" s="83" t="str">
        <f t="shared" si="588"/>
        <v/>
      </c>
      <c r="S5347" s="83" t="str">
        <f t="shared" si="584"/>
        <v/>
      </c>
      <c r="T5347" s="83" t="str">
        <f t="shared" si="582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3"/>
        <v/>
      </c>
      <c r="B5348" s="83" t="str">
        <f t="shared" si="588"/>
        <v/>
      </c>
      <c r="S5348" s="83" t="str">
        <f t="shared" si="584"/>
        <v/>
      </c>
      <c r="T5348" s="83" t="str">
        <f t="shared" si="582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3"/>
        <v/>
      </c>
      <c r="B5349" s="83" t="str">
        <f t="shared" si="588"/>
        <v/>
      </c>
      <c r="S5349" s="83" t="str">
        <f t="shared" si="584"/>
        <v/>
      </c>
      <c r="T5349" s="83" t="str">
        <f t="shared" si="582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3"/>
        <v/>
      </c>
      <c r="B5350" s="83" t="str">
        <f t="shared" si="588"/>
        <v/>
      </c>
      <c r="S5350" s="83" t="str">
        <f t="shared" si="584"/>
        <v/>
      </c>
      <c r="T5350" s="83" t="str">
        <f t="shared" si="582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3"/>
        <v/>
      </c>
      <c r="B5351" s="83" t="str">
        <f t="shared" si="588"/>
        <v/>
      </c>
      <c r="S5351" s="83" t="str">
        <f t="shared" si="584"/>
        <v/>
      </c>
      <c r="T5351" s="83" t="str">
        <f t="shared" si="582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3"/>
        <v/>
      </c>
      <c r="B5352" s="83" t="str">
        <f t="shared" si="588"/>
        <v/>
      </c>
      <c r="S5352" s="83" t="str">
        <f t="shared" si="584"/>
        <v/>
      </c>
      <c r="T5352" s="83" t="str">
        <f t="shared" si="582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3"/>
        <v/>
      </c>
      <c r="B5353" s="83" t="str">
        <f t="shared" si="588"/>
        <v/>
      </c>
      <c r="S5353" s="83" t="str">
        <f t="shared" si="584"/>
        <v/>
      </c>
      <c r="T5353" s="83" t="str">
        <f t="shared" si="582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3"/>
        <v/>
      </c>
      <c r="B5354" s="83" t="str">
        <f t="shared" si="588"/>
        <v/>
      </c>
      <c r="S5354" s="83" t="str">
        <f t="shared" si="584"/>
        <v/>
      </c>
      <c r="T5354" s="83" t="str">
        <f t="shared" si="582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3"/>
        <v/>
      </c>
      <c r="B5355" s="83" t="str">
        <f t="shared" si="588"/>
        <v/>
      </c>
      <c r="S5355" s="83" t="str">
        <f t="shared" si="584"/>
        <v/>
      </c>
      <c r="T5355" s="83" t="str">
        <f t="shared" si="582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3"/>
        <v/>
      </c>
      <c r="B5356" s="83" t="str">
        <f t="shared" si="588"/>
        <v/>
      </c>
      <c r="S5356" s="83" t="str">
        <f t="shared" si="584"/>
        <v/>
      </c>
      <c r="T5356" s="83" t="str">
        <f t="shared" si="582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3"/>
        <v/>
      </c>
      <c r="B5357" s="83" t="str">
        <f t="shared" si="588"/>
        <v/>
      </c>
      <c r="S5357" s="83" t="str">
        <f t="shared" si="584"/>
        <v/>
      </c>
      <c r="T5357" s="83" t="str">
        <f t="shared" si="582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3"/>
        <v/>
      </c>
      <c r="B5358" s="83" t="str">
        <f t="shared" si="588"/>
        <v/>
      </c>
      <c r="S5358" s="83" t="str">
        <f t="shared" si="584"/>
        <v/>
      </c>
      <c r="T5358" s="83" t="str">
        <f t="shared" si="582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3"/>
        <v/>
      </c>
      <c r="B5359" s="83" t="str">
        <f t="shared" si="588"/>
        <v/>
      </c>
      <c r="S5359" s="83" t="str">
        <f t="shared" si="584"/>
        <v/>
      </c>
      <c r="T5359" s="83" t="str">
        <f t="shared" si="582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3"/>
        <v/>
      </c>
      <c r="B5360" s="83" t="str">
        <f t="shared" si="588"/>
        <v/>
      </c>
      <c r="S5360" s="83" t="str">
        <f t="shared" si="584"/>
        <v/>
      </c>
      <c r="T5360" s="83" t="str">
        <f t="shared" si="582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3"/>
        <v/>
      </c>
      <c r="B5361" s="83" t="str">
        <f t="shared" si="588"/>
        <v/>
      </c>
      <c r="S5361" s="83" t="str">
        <f t="shared" si="584"/>
        <v/>
      </c>
      <c r="T5361" s="83" t="str">
        <f t="shared" si="582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3"/>
        <v/>
      </c>
      <c r="B5362" s="83" t="str">
        <f t="shared" si="588"/>
        <v/>
      </c>
      <c r="S5362" s="83" t="str">
        <f t="shared" si="584"/>
        <v/>
      </c>
      <c r="T5362" s="83" t="str">
        <f t="shared" si="582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3"/>
        <v/>
      </c>
      <c r="B5363" s="83" t="str">
        <f t="shared" si="588"/>
        <v/>
      </c>
      <c r="S5363" s="83" t="str">
        <f t="shared" si="584"/>
        <v/>
      </c>
      <c r="T5363" s="83" t="str">
        <f t="shared" si="582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3"/>
        <v/>
      </c>
      <c r="B5364" s="83" t="str">
        <f t="shared" si="588"/>
        <v/>
      </c>
      <c r="S5364" s="83" t="str">
        <f t="shared" si="584"/>
        <v/>
      </c>
      <c r="T5364" s="83" t="str">
        <f t="shared" si="582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3"/>
        <v/>
      </c>
      <c r="B5365" s="83" t="str">
        <f t="shared" si="588"/>
        <v/>
      </c>
      <c r="S5365" s="83" t="str">
        <f t="shared" si="584"/>
        <v/>
      </c>
      <c r="T5365" s="83" t="str">
        <f t="shared" si="582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3"/>
        <v/>
      </c>
      <c r="B5366" s="83" t="str">
        <f t="shared" si="588"/>
        <v/>
      </c>
      <c r="S5366" s="83" t="str">
        <f t="shared" si="584"/>
        <v/>
      </c>
      <c r="T5366" s="83" t="str">
        <f t="shared" si="582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3"/>
        <v/>
      </c>
      <c r="B5367" s="83" t="str">
        <f t="shared" si="588"/>
        <v/>
      </c>
      <c r="S5367" s="83" t="str">
        <f t="shared" si="584"/>
        <v/>
      </c>
      <c r="T5367" s="83" t="str">
        <f t="shared" si="582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3"/>
        <v/>
      </c>
      <c r="B5368" s="83" t="str">
        <f t="shared" si="588"/>
        <v/>
      </c>
      <c r="S5368" s="83" t="str">
        <f t="shared" si="584"/>
        <v/>
      </c>
      <c r="T5368" s="83" t="str">
        <f t="shared" si="582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3"/>
        <v/>
      </c>
      <c r="B5369" s="83" t="str">
        <f t="shared" si="588"/>
        <v/>
      </c>
      <c r="S5369" s="83" t="str">
        <f t="shared" si="584"/>
        <v/>
      </c>
      <c r="T5369" s="83" t="str">
        <f t="shared" si="582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3"/>
        <v/>
      </c>
      <c r="B5370" s="83" t="str">
        <f t="shared" si="588"/>
        <v/>
      </c>
      <c r="S5370" s="83" t="str">
        <f t="shared" si="584"/>
        <v/>
      </c>
      <c r="T5370" s="83" t="str">
        <f t="shared" si="582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3"/>
        <v/>
      </c>
      <c r="B5371" s="83" t="str">
        <f t="shared" si="588"/>
        <v/>
      </c>
      <c r="S5371" s="83" t="str">
        <f t="shared" si="584"/>
        <v/>
      </c>
      <c r="T5371" s="83" t="str">
        <f t="shared" si="582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3"/>
        <v/>
      </c>
      <c r="B5372" s="83" t="str">
        <f t="shared" si="588"/>
        <v/>
      </c>
      <c r="S5372" s="83" t="str">
        <f t="shared" si="584"/>
        <v/>
      </c>
      <c r="T5372" s="83" t="str">
        <f t="shared" si="582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3"/>
        <v/>
      </c>
      <c r="B5373" s="83" t="str">
        <f t="shared" si="588"/>
        <v/>
      </c>
      <c r="S5373" s="83" t="str">
        <f t="shared" si="584"/>
        <v/>
      </c>
      <c r="T5373" s="83" t="str">
        <f t="shared" si="582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3"/>
        <v/>
      </c>
      <c r="B5374" s="83" t="str">
        <f t="shared" si="588"/>
        <v/>
      </c>
      <c r="S5374" s="83" t="str">
        <f t="shared" si="584"/>
        <v/>
      </c>
      <c r="T5374" s="83" t="str">
        <f t="shared" si="582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3"/>
        <v/>
      </c>
      <c r="B5375" s="83" t="str">
        <f t="shared" si="588"/>
        <v/>
      </c>
      <c r="S5375" s="83" t="str">
        <f t="shared" si="584"/>
        <v/>
      </c>
      <c r="T5375" s="83" t="str">
        <f t="shared" si="582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3"/>
        <v/>
      </c>
      <c r="B5376" s="83" t="str">
        <f t="shared" si="588"/>
        <v/>
      </c>
      <c r="S5376" s="83" t="str">
        <f t="shared" si="584"/>
        <v/>
      </c>
      <c r="T5376" s="83" t="str">
        <f t="shared" si="582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3"/>
        <v/>
      </c>
      <c r="B5377" s="83" t="str">
        <f t="shared" si="588"/>
        <v/>
      </c>
      <c r="S5377" s="83" t="str">
        <f t="shared" si="584"/>
        <v/>
      </c>
      <c r="T5377" s="83" t="str">
        <f t="shared" si="582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3"/>
        <v/>
      </c>
      <c r="B5378" s="83" t="str">
        <f t="shared" si="588"/>
        <v/>
      </c>
      <c r="S5378" s="83" t="str">
        <f t="shared" si="584"/>
        <v/>
      </c>
      <c r="T5378" s="83" t="str">
        <f t="shared" ref="T5378:T5441" si="589">IF(A5378&lt;&gt;"",IF(FIND(" ",G5378)&gt;=1,MID(G5378,FIND(" ",G5378)+1,LEN(G5378)),""),"")</f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90">IF(G5379&amp;Q5379&lt;&gt;"",S5379&amp;Q5379,"")</f>
        <v/>
      </c>
      <c r="B5379" s="83" t="str">
        <f t="shared" si="588"/>
        <v/>
      </c>
      <c r="S5379" s="83" t="str">
        <f t="shared" ref="S5379:S5442" si="591">IF(G5379&lt;&gt;"",IF(FIND(" ",G5379)&gt;=1,MID(G5379,1,FIND(" ",G5379)-1),G5379),"")</f>
        <v/>
      </c>
      <c r="T5379" s="83" t="str">
        <f t="shared" si="589"/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90"/>
        <v/>
      </c>
      <c r="B5380" s="83" t="str">
        <f t="shared" si="588"/>
        <v/>
      </c>
      <c r="S5380" s="83" t="str">
        <f t="shared" si="591"/>
        <v/>
      </c>
      <c r="T5380" s="83" t="str">
        <f t="shared" si="589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90"/>
        <v/>
      </c>
      <c r="B5381" s="83" t="str">
        <f t="shared" si="588"/>
        <v/>
      </c>
      <c r="S5381" s="83" t="str">
        <f t="shared" si="591"/>
        <v/>
      </c>
      <c r="T5381" s="83" t="str">
        <f t="shared" si="589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90"/>
        <v/>
      </c>
      <c r="B5382" s="83" t="str">
        <f t="shared" si="588"/>
        <v/>
      </c>
      <c r="S5382" s="83" t="str">
        <f t="shared" si="591"/>
        <v/>
      </c>
      <c r="T5382" s="83" t="str">
        <f t="shared" si="589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90"/>
        <v/>
      </c>
      <c r="B5383" s="83" t="str">
        <f t="shared" si="588"/>
        <v/>
      </c>
      <c r="S5383" s="83" t="str">
        <f t="shared" si="591"/>
        <v/>
      </c>
      <c r="T5383" s="83" t="str">
        <f t="shared" si="589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90"/>
        <v/>
      </c>
      <c r="B5384" s="83" t="str">
        <f t="shared" si="588"/>
        <v/>
      </c>
      <c r="S5384" s="83" t="str">
        <f t="shared" si="591"/>
        <v/>
      </c>
      <c r="T5384" s="83" t="str">
        <f t="shared" si="589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90"/>
        <v/>
      </c>
      <c r="B5385" s="83" t="str">
        <f t="shared" si="588"/>
        <v/>
      </c>
      <c r="S5385" s="83" t="str">
        <f t="shared" si="591"/>
        <v/>
      </c>
      <c r="T5385" s="83" t="str">
        <f t="shared" si="589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90"/>
        <v/>
      </c>
      <c r="B5386" s="83" t="str">
        <f t="shared" si="588"/>
        <v/>
      </c>
      <c r="S5386" s="83" t="str">
        <f t="shared" si="591"/>
        <v/>
      </c>
      <c r="T5386" s="83" t="str">
        <f t="shared" si="589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90"/>
        <v/>
      </c>
      <c r="B5387" s="83" t="str">
        <f t="shared" si="588"/>
        <v/>
      </c>
      <c r="S5387" s="83" t="str">
        <f t="shared" si="591"/>
        <v/>
      </c>
      <c r="T5387" s="83" t="str">
        <f t="shared" si="589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90"/>
        <v/>
      </c>
      <c r="B5388" s="83" t="str">
        <f t="shared" si="588"/>
        <v/>
      </c>
      <c r="S5388" s="83" t="str">
        <f t="shared" si="591"/>
        <v/>
      </c>
      <c r="T5388" s="83" t="str">
        <f t="shared" si="589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90"/>
        <v/>
      </c>
      <c r="B5389" s="83" t="str">
        <f t="shared" si="588"/>
        <v/>
      </c>
      <c r="S5389" s="83" t="str">
        <f t="shared" si="591"/>
        <v/>
      </c>
      <c r="T5389" s="83" t="str">
        <f t="shared" si="589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90"/>
        <v/>
      </c>
      <c r="B5390" s="83" t="str">
        <f t="shared" si="588"/>
        <v/>
      </c>
      <c r="S5390" s="83" t="str">
        <f t="shared" si="591"/>
        <v/>
      </c>
      <c r="T5390" s="83" t="str">
        <f t="shared" si="589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90"/>
        <v/>
      </c>
      <c r="B5391" s="83" t="str">
        <f t="shared" si="588"/>
        <v/>
      </c>
      <c r="S5391" s="83" t="str">
        <f t="shared" si="591"/>
        <v/>
      </c>
      <c r="T5391" s="83" t="str">
        <f t="shared" si="589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90"/>
        <v/>
      </c>
      <c r="B5392" s="83" t="str">
        <f t="shared" si="588"/>
        <v/>
      </c>
      <c r="S5392" s="83" t="str">
        <f t="shared" si="591"/>
        <v/>
      </c>
      <c r="T5392" s="83" t="str">
        <f t="shared" si="589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90"/>
        <v/>
      </c>
      <c r="B5393" s="83" t="str">
        <f t="shared" si="588"/>
        <v/>
      </c>
      <c r="S5393" s="83" t="str">
        <f t="shared" si="591"/>
        <v/>
      </c>
      <c r="T5393" s="83" t="str">
        <f t="shared" si="589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90"/>
        <v/>
      </c>
      <c r="B5394" s="83" t="str">
        <f t="shared" si="588"/>
        <v/>
      </c>
      <c r="S5394" s="83" t="str">
        <f t="shared" si="591"/>
        <v/>
      </c>
      <c r="T5394" s="83" t="str">
        <f t="shared" si="589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90"/>
        <v/>
      </c>
      <c r="B5395" s="83" t="str">
        <f t="shared" si="588"/>
        <v/>
      </c>
      <c r="S5395" s="83" t="str">
        <f t="shared" si="591"/>
        <v/>
      </c>
      <c r="T5395" s="83" t="str">
        <f t="shared" si="589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90"/>
        <v/>
      </c>
      <c r="B5396" s="83" t="str">
        <f t="shared" si="588"/>
        <v/>
      </c>
      <c r="S5396" s="83" t="str">
        <f t="shared" si="591"/>
        <v/>
      </c>
      <c r="T5396" s="83" t="str">
        <f t="shared" si="589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90"/>
        <v/>
      </c>
      <c r="B5397" s="83" t="str">
        <f t="shared" si="588"/>
        <v/>
      </c>
      <c r="S5397" s="83" t="str">
        <f t="shared" si="591"/>
        <v/>
      </c>
      <c r="T5397" s="83" t="str">
        <f t="shared" si="589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90"/>
        <v/>
      </c>
      <c r="B5398" s="83" t="str">
        <f t="shared" si="588"/>
        <v/>
      </c>
      <c r="S5398" s="83" t="str">
        <f t="shared" si="591"/>
        <v/>
      </c>
      <c r="T5398" s="83" t="str">
        <f t="shared" si="589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90"/>
        <v/>
      </c>
      <c r="B5399" s="83" t="str">
        <f t="shared" si="588"/>
        <v/>
      </c>
      <c r="S5399" s="83" t="str">
        <f t="shared" si="591"/>
        <v/>
      </c>
      <c r="T5399" s="83" t="str">
        <f t="shared" si="589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90"/>
        <v/>
      </c>
      <c r="B5400" s="83" t="str">
        <f t="shared" si="588"/>
        <v/>
      </c>
      <c r="S5400" s="83" t="str">
        <f t="shared" si="591"/>
        <v/>
      </c>
      <c r="T5400" s="83" t="str">
        <f t="shared" si="589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90"/>
        <v/>
      </c>
      <c r="B5401" s="83" t="str">
        <f t="shared" si="588"/>
        <v/>
      </c>
      <c r="S5401" s="83" t="str">
        <f t="shared" si="591"/>
        <v/>
      </c>
      <c r="T5401" s="83" t="str">
        <f t="shared" si="589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90"/>
        <v/>
      </c>
      <c r="B5402" s="83" t="str">
        <f t="shared" si="588"/>
        <v/>
      </c>
      <c r="S5402" s="83" t="str">
        <f t="shared" si="591"/>
        <v/>
      </c>
      <c r="T5402" s="83" t="str">
        <f t="shared" si="589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90"/>
        <v/>
      </c>
      <c r="B5403" s="83" t="str">
        <f t="shared" si="588"/>
        <v/>
      </c>
      <c r="S5403" s="83" t="str">
        <f t="shared" si="591"/>
        <v/>
      </c>
      <c r="T5403" s="83" t="str">
        <f t="shared" si="589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90"/>
        <v/>
      </c>
      <c r="B5404" s="83" t="str">
        <f t="shared" si="588"/>
        <v/>
      </c>
      <c r="S5404" s="83" t="str">
        <f t="shared" si="591"/>
        <v/>
      </c>
      <c r="T5404" s="83" t="str">
        <f t="shared" si="589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90"/>
        <v/>
      </c>
      <c r="B5405" s="83" t="str">
        <f t="shared" si="588"/>
        <v/>
      </c>
      <c r="S5405" s="83" t="str">
        <f t="shared" si="591"/>
        <v/>
      </c>
      <c r="T5405" s="83" t="str">
        <f t="shared" si="589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90"/>
        <v/>
      </c>
      <c r="B5406" s="83" t="str">
        <f t="shared" si="588"/>
        <v/>
      </c>
      <c r="S5406" s="83" t="str">
        <f t="shared" si="591"/>
        <v/>
      </c>
      <c r="T5406" s="83" t="str">
        <f t="shared" si="589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90"/>
        <v/>
      </c>
      <c r="B5407" s="83" t="str">
        <f t="shared" si="588"/>
        <v/>
      </c>
      <c r="S5407" s="83" t="str">
        <f t="shared" si="591"/>
        <v/>
      </c>
      <c r="T5407" s="83" t="str">
        <f t="shared" si="589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90"/>
        <v/>
      </c>
      <c r="B5408" s="83" t="str">
        <f t="shared" si="588"/>
        <v/>
      </c>
      <c r="S5408" s="83" t="str">
        <f t="shared" si="591"/>
        <v/>
      </c>
      <c r="T5408" s="83" t="str">
        <f t="shared" si="589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90"/>
        <v/>
      </c>
      <c r="B5409" s="83" t="str">
        <f t="shared" ref="B5409:B5472" si="595">IF(C5409&lt;&gt;"",LEFT(C5409,9),"")</f>
        <v/>
      </c>
      <c r="S5409" s="83" t="str">
        <f t="shared" si="591"/>
        <v/>
      </c>
      <c r="T5409" s="83" t="str">
        <f t="shared" si="589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90"/>
        <v/>
      </c>
      <c r="B5410" s="83" t="str">
        <f t="shared" si="595"/>
        <v/>
      </c>
      <c r="S5410" s="83" t="str">
        <f t="shared" si="591"/>
        <v/>
      </c>
      <c r="T5410" s="83" t="str">
        <f t="shared" si="589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90"/>
        <v/>
      </c>
      <c r="B5411" s="83" t="str">
        <f t="shared" si="595"/>
        <v/>
      </c>
      <c r="S5411" s="83" t="str">
        <f t="shared" si="591"/>
        <v/>
      </c>
      <c r="T5411" s="83" t="str">
        <f t="shared" si="589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90"/>
        <v/>
      </c>
      <c r="B5412" s="83" t="str">
        <f t="shared" si="595"/>
        <v/>
      </c>
      <c r="S5412" s="83" t="str">
        <f t="shared" si="591"/>
        <v/>
      </c>
      <c r="T5412" s="83" t="str">
        <f t="shared" si="589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90"/>
        <v/>
      </c>
      <c r="B5413" s="83" t="str">
        <f t="shared" si="595"/>
        <v/>
      </c>
      <c r="S5413" s="83" t="str">
        <f t="shared" si="591"/>
        <v/>
      </c>
      <c r="T5413" s="83" t="str">
        <f t="shared" si="589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90"/>
        <v/>
      </c>
      <c r="B5414" s="83" t="str">
        <f t="shared" si="595"/>
        <v/>
      </c>
      <c r="S5414" s="83" t="str">
        <f t="shared" si="591"/>
        <v/>
      </c>
      <c r="T5414" s="83" t="str">
        <f t="shared" si="589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90"/>
        <v/>
      </c>
      <c r="B5415" s="83" t="str">
        <f t="shared" si="595"/>
        <v/>
      </c>
      <c r="S5415" s="83" t="str">
        <f t="shared" si="591"/>
        <v/>
      </c>
      <c r="T5415" s="83" t="str">
        <f t="shared" si="589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90"/>
        <v/>
      </c>
      <c r="B5416" s="83" t="str">
        <f t="shared" si="595"/>
        <v/>
      </c>
      <c r="S5416" s="83" t="str">
        <f t="shared" si="591"/>
        <v/>
      </c>
      <c r="T5416" s="83" t="str">
        <f t="shared" si="589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90"/>
        <v/>
      </c>
      <c r="B5417" s="83" t="str">
        <f t="shared" si="595"/>
        <v/>
      </c>
      <c r="S5417" s="83" t="str">
        <f t="shared" si="591"/>
        <v/>
      </c>
      <c r="T5417" s="83" t="str">
        <f t="shared" si="589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90"/>
        <v/>
      </c>
      <c r="B5418" s="83" t="str">
        <f t="shared" si="595"/>
        <v/>
      </c>
      <c r="S5418" s="83" t="str">
        <f t="shared" si="591"/>
        <v/>
      </c>
      <c r="T5418" s="83" t="str">
        <f t="shared" si="589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90"/>
        <v/>
      </c>
      <c r="B5419" s="83" t="str">
        <f t="shared" si="595"/>
        <v/>
      </c>
      <c r="S5419" s="83" t="str">
        <f t="shared" si="591"/>
        <v/>
      </c>
      <c r="T5419" s="83" t="str">
        <f t="shared" si="589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90"/>
        <v/>
      </c>
      <c r="B5420" s="83" t="str">
        <f t="shared" si="595"/>
        <v/>
      </c>
      <c r="S5420" s="83" t="str">
        <f t="shared" si="591"/>
        <v/>
      </c>
      <c r="T5420" s="83" t="str">
        <f t="shared" si="589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90"/>
        <v/>
      </c>
      <c r="B5421" s="83" t="str">
        <f t="shared" si="595"/>
        <v/>
      </c>
      <c r="S5421" s="83" t="str">
        <f t="shared" si="591"/>
        <v/>
      </c>
      <c r="T5421" s="83" t="str">
        <f t="shared" si="589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90"/>
        <v/>
      </c>
      <c r="B5422" s="83" t="str">
        <f t="shared" si="595"/>
        <v/>
      </c>
      <c r="S5422" s="83" t="str">
        <f t="shared" si="591"/>
        <v/>
      </c>
      <c r="T5422" s="83" t="str">
        <f t="shared" si="589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90"/>
        <v/>
      </c>
      <c r="B5423" s="83" t="str">
        <f t="shared" si="595"/>
        <v/>
      </c>
      <c r="S5423" s="83" t="str">
        <f t="shared" si="591"/>
        <v/>
      </c>
      <c r="T5423" s="83" t="str">
        <f t="shared" si="589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90"/>
        <v/>
      </c>
      <c r="B5424" s="83" t="str">
        <f t="shared" si="595"/>
        <v/>
      </c>
      <c r="S5424" s="83" t="str">
        <f t="shared" si="591"/>
        <v/>
      </c>
      <c r="T5424" s="83" t="str">
        <f t="shared" si="589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90"/>
        <v/>
      </c>
      <c r="B5425" s="83" t="str">
        <f t="shared" si="595"/>
        <v/>
      </c>
      <c r="S5425" s="83" t="str">
        <f t="shared" si="591"/>
        <v/>
      </c>
      <c r="T5425" s="83" t="str">
        <f t="shared" si="589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90"/>
        <v/>
      </c>
      <c r="B5426" s="83" t="str">
        <f t="shared" si="595"/>
        <v/>
      </c>
      <c r="S5426" s="83" t="str">
        <f t="shared" si="591"/>
        <v/>
      </c>
      <c r="T5426" s="83" t="str">
        <f t="shared" si="589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90"/>
        <v/>
      </c>
      <c r="B5427" s="83" t="str">
        <f t="shared" si="595"/>
        <v/>
      </c>
      <c r="S5427" s="83" t="str">
        <f t="shared" si="591"/>
        <v/>
      </c>
      <c r="T5427" s="83" t="str">
        <f t="shared" si="589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90"/>
        <v/>
      </c>
      <c r="B5428" s="83" t="str">
        <f t="shared" si="595"/>
        <v/>
      </c>
      <c r="S5428" s="83" t="str">
        <f t="shared" si="591"/>
        <v/>
      </c>
      <c r="T5428" s="83" t="str">
        <f t="shared" si="589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90"/>
        <v/>
      </c>
      <c r="B5429" s="83" t="str">
        <f t="shared" si="595"/>
        <v/>
      </c>
      <c r="S5429" s="83" t="str">
        <f t="shared" si="591"/>
        <v/>
      </c>
      <c r="T5429" s="83" t="str">
        <f t="shared" si="589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90"/>
        <v/>
      </c>
      <c r="B5430" s="83" t="str">
        <f t="shared" si="595"/>
        <v/>
      </c>
      <c r="S5430" s="83" t="str">
        <f t="shared" si="591"/>
        <v/>
      </c>
      <c r="T5430" s="83" t="str">
        <f t="shared" si="589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90"/>
        <v/>
      </c>
      <c r="B5431" s="83" t="str">
        <f t="shared" si="595"/>
        <v/>
      </c>
      <c r="S5431" s="83" t="str">
        <f t="shared" si="591"/>
        <v/>
      </c>
      <c r="T5431" s="83" t="str">
        <f t="shared" si="589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90"/>
        <v/>
      </c>
      <c r="B5432" s="83" t="str">
        <f t="shared" si="595"/>
        <v/>
      </c>
      <c r="S5432" s="83" t="str">
        <f t="shared" si="591"/>
        <v/>
      </c>
      <c r="T5432" s="83" t="str">
        <f t="shared" si="589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90"/>
        <v/>
      </c>
      <c r="B5433" s="83" t="str">
        <f t="shared" si="595"/>
        <v/>
      </c>
      <c r="S5433" s="83" t="str">
        <f t="shared" si="591"/>
        <v/>
      </c>
      <c r="T5433" s="83" t="str">
        <f t="shared" si="589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90"/>
        <v/>
      </c>
      <c r="B5434" s="83" t="str">
        <f t="shared" si="595"/>
        <v/>
      </c>
      <c r="S5434" s="83" t="str">
        <f t="shared" si="591"/>
        <v/>
      </c>
      <c r="T5434" s="83" t="str">
        <f t="shared" si="589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90"/>
        <v/>
      </c>
      <c r="B5435" s="83" t="str">
        <f t="shared" si="595"/>
        <v/>
      </c>
      <c r="S5435" s="83" t="str">
        <f t="shared" si="591"/>
        <v/>
      </c>
      <c r="T5435" s="83" t="str">
        <f t="shared" si="589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90"/>
        <v/>
      </c>
      <c r="B5436" s="83" t="str">
        <f t="shared" si="595"/>
        <v/>
      </c>
      <c r="S5436" s="83" t="str">
        <f t="shared" si="591"/>
        <v/>
      </c>
      <c r="T5436" s="83" t="str">
        <f t="shared" si="589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90"/>
        <v/>
      </c>
      <c r="B5437" s="83" t="str">
        <f t="shared" si="595"/>
        <v/>
      </c>
      <c r="S5437" s="83" t="str">
        <f t="shared" si="591"/>
        <v/>
      </c>
      <c r="T5437" s="83" t="str">
        <f t="shared" si="589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90"/>
        <v/>
      </c>
      <c r="B5438" s="83" t="str">
        <f t="shared" si="595"/>
        <v/>
      </c>
      <c r="S5438" s="83" t="str">
        <f t="shared" si="591"/>
        <v/>
      </c>
      <c r="T5438" s="83" t="str">
        <f t="shared" si="589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90"/>
        <v/>
      </c>
      <c r="B5439" s="83" t="str">
        <f t="shared" si="595"/>
        <v/>
      </c>
      <c r="S5439" s="83" t="str">
        <f t="shared" si="591"/>
        <v/>
      </c>
      <c r="T5439" s="83" t="str">
        <f t="shared" si="589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90"/>
        <v/>
      </c>
      <c r="B5440" s="83" t="str">
        <f t="shared" si="595"/>
        <v/>
      </c>
      <c r="S5440" s="83" t="str">
        <f t="shared" si="591"/>
        <v/>
      </c>
      <c r="T5440" s="83" t="str">
        <f t="shared" si="589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90"/>
        <v/>
      </c>
      <c r="B5441" s="83" t="str">
        <f t="shared" si="595"/>
        <v/>
      </c>
      <c r="S5441" s="83" t="str">
        <f t="shared" si="591"/>
        <v/>
      </c>
      <c r="T5441" s="83" t="str">
        <f t="shared" si="589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90"/>
        <v/>
      </c>
      <c r="B5442" s="83" t="str">
        <f t="shared" si="595"/>
        <v/>
      </c>
      <c r="S5442" s="83" t="str">
        <f t="shared" si="591"/>
        <v/>
      </c>
      <c r="T5442" s="83" t="str">
        <f t="shared" ref="T5442:T5505" si="596">IF(A5442&lt;&gt;"",IF(FIND(" ",G5442)&gt;=1,MID(G5442,FIND(" ",G5442)+1,LEN(G5442)),""),"")</f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7">IF(G5443&amp;Q5443&lt;&gt;"",S5443&amp;Q5443,"")</f>
        <v/>
      </c>
      <c r="B5443" s="83" t="str">
        <f t="shared" si="595"/>
        <v/>
      </c>
      <c r="S5443" s="83" t="str">
        <f t="shared" ref="S5443:S5506" si="598">IF(G5443&lt;&gt;"",IF(FIND(" ",G5443)&gt;=1,MID(G5443,1,FIND(" ",G5443)-1),G5443),"")</f>
        <v/>
      </c>
      <c r="T5443" s="83" t="str">
        <f t="shared" si="596"/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7"/>
        <v/>
      </c>
      <c r="B5444" s="83" t="str">
        <f t="shared" si="595"/>
        <v/>
      </c>
      <c r="S5444" s="83" t="str">
        <f t="shared" si="598"/>
        <v/>
      </c>
      <c r="T5444" s="83" t="str">
        <f t="shared" si="596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7"/>
        <v/>
      </c>
      <c r="B5445" s="83" t="str">
        <f t="shared" si="595"/>
        <v/>
      </c>
      <c r="S5445" s="83" t="str">
        <f t="shared" si="598"/>
        <v/>
      </c>
      <c r="T5445" s="83" t="str">
        <f t="shared" si="596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7"/>
        <v/>
      </c>
      <c r="B5446" s="83" t="str">
        <f t="shared" si="595"/>
        <v/>
      </c>
      <c r="S5446" s="83" t="str">
        <f t="shared" si="598"/>
        <v/>
      </c>
      <c r="T5446" s="83" t="str">
        <f t="shared" si="596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7"/>
        <v/>
      </c>
      <c r="B5447" s="83" t="str">
        <f t="shared" si="595"/>
        <v/>
      </c>
      <c r="S5447" s="83" t="str">
        <f t="shared" si="598"/>
        <v/>
      </c>
      <c r="T5447" s="83" t="str">
        <f t="shared" si="596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7"/>
        <v/>
      </c>
      <c r="B5448" s="83" t="str">
        <f t="shared" si="595"/>
        <v/>
      </c>
      <c r="S5448" s="83" t="str">
        <f t="shared" si="598"/>
        <v/>
      </c>
      <c r="T5448" s="83" t="str">
        <f t="shared" si="596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7"/>
        <v/>
      </c>
      <c r="B5449" s="83" t="str">
        <f t="shared" si="595"/>
        <v/>
      </c>
      <c r="S5449" s="83" t="str">
        <f t="shared" si="598"/>
        <v/>
      </c>
      <c r="T5449" s="83" t="str">
        <f t="shared" si="596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7"/>
        <v/>
      </c>
      <c r="B5450" s="83" t="str">
        <f t="shared" si="595"/>
        <v/>
      </c>
      <c r="S5450" s="83" t="str">
        <f t="shared" si="598"/>
        <v/>
      </c>
      <c r="T5450" s="83" t="str">
        <f t="shared" si="596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7"/>
        <v/>
      </c>
      <c r="B5451" s="83" t="str">
        <f t="shared" si="595"/>
        <v/>
      </c>
      <c r="S5451" s="83" t="str">
        <f t="shared" si="598"/>
        <v/>
      </c>
      <c r="T5451" s="83" t="str">
        <f t="shared" si="596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7"/>
        <v/>
      </c>
      <c r="B5452" s="83" t="str">
        <f t="shared" si="595"/>
        <v/>
      </c>
      <c r="S5452" s="83" t="str">
        <f t="shared" si="598"/>
        <v/>
      </c>
      <c r="T5452" s="83" t="str">
        <f t="shared" si="596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7"/>
        <v/>
      </c>
      <c r="B5453" s="83" t="str">
        <f t="shared" si="595"/>
        <v/>
      </c>
      <c r="S5453" s="83" t="str">
        <f t="shared" si="598"/>
        <v/>
      </c>
      <c r="T5453" s="83" t="str">
        <f t="shared" si="596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7"/>
        <v/>
      </c>
      <c r="B5454" s="83" t="str">
        <f t="shared" si="595"/>
        <v/>
      </c>
      <c r="S5454" s="83" t="str">
        <f t="shared" si="598"/>
        <v/>
      </c>
      <c r="T5454" s="83" t="str">
        <f t="shared" si="596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7"/>
        <v/>
      </c>
      <c r="B5455" s="83" t="str">
        <f t="shared" si="595"/>
        <v/>
      </c>
      <c r="S5455" s="83" t="str">
        <f t="shared" si="598"/>
        <v/>
      </c>
      <c r="T5455" s="83" t="str">
        <f t="shared" si="596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7"/>
        <v/>
      </c>
      <c r="B5456" s="83" t="str">
        <f t="shared" si="595"/>
        <v/>
      </c>
      <c r="S5456" s="83" t="str">
        <f t="shared" si="598"/>
        <v/>
      </c>
      <c r="T5456" s="83" t="str">
        <f t="shared" si="596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7"/>
        <v/>
      </c>
      <c r="B5457" s="83" t="str">
        <f t="shared" si="595"/>
        <v/>
      </c>
      <c r="S5457" s="83" t="str">
        <f t="shared" si="598"/>
        <v/>
      </c>
      <c r="T5457" s="83" t="str">
        <f t="shared" si="596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7"/>
        <v/>
      </c>
      <c r="B5458" s="83" t="str">
        <f t="shared" si="595"/>
        <v/>
      </c>
      <c r="S5458" s="83" t="str">
        <f t="shared" si="598"/>
        <v/>
      </c>
      <c r="T5458" s="83" t="str">
        <f t="shared" si="596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7"/>
        <v/>
      </c>
      <c r="B5459" s="83" t="str">
        <f t="shared" si="595"/>
        <v/>
      </c>
      <c r="S5459" s="83" t="str">
        <f t="shared" si="598"/>
        <v/>
      </c>
      <c r="T5459" s="83" t="str">
        <f t="shared" si="596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7"/>
        <v/>
      </c>
      <c r="B5460" s="83" t="str">
        <f t="shared" si="595"/>
        <v/>
      </c>
      <c r="S5460" s="83" t="str">
        <f t="shared" si="598"/>
        <v/>
      </c>
      <c r="T5460" s="83" t="str">
        <f t="shared" si="596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7"/>
        <v/>
      </c>
      <c r="B5461" s="83" t="str">
        <f t="shared" si="595"/>
        <v/>
      </c>
      <c r="S5461" s="83" t="str">
        <f t="shared" si="598"/>
        <v/>
      </c>
      <c r="T5461" s="83" t="str">
        <f t="shared" si="596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7"/>
        <v/>
      </c>
      <c r="B5462" s="83" t="str">
        <f t="shared" si="595"/>
        <v/>
      </c>
      <c r="S5462" s="83" t="str">
        <f t="shared" si="598"/>
        <v/>
      </c>
      <c r="T5462" s="83" t="str">
        <f t="shared" si="596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7"/>
        <v/>
      </c>
      <c r="B5463" s="83" t="str">
        <f t="shared" si="595"/>
        <v/>
      </c>
      <c r="S5463" s="83" t="str">
        <f t="shared" si="598"/>
        <v/>
      </c>
      <c r="T5463" s="83" t="str">
        <f t="shared" si="596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7"/>
        <v/>
      </c>
      <c r="B5464" s="83" t="str">
        <f t="shared" si="595"/>
        <v/>
      </c>
      <c r="S5464" s="83" t="str">
        <f t="shared" si="598"/>
        <v/>
      </c>
      <c r="T5464" s="83" t="str">
        <f t="shared" si="596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7"/>
        <v/>
      </c>
      <c r="B5465" s="83" t="str">
        <f t="shared" si="595"/>
        <v/>
      </c>
      <c r="S5465" s="83" t="str">
        <f t="shared" si="598"/>
        <v/>
      </c>
      <c r="T5465" s="83" t="str">
        <f t="shared" si="596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7"/>
        <v/>
      </c>
      <c r="B5466" s="83" t="str">
        <f t="shared" si="595"/>
        <v/>
      </c>
      <c r="S5466" s="83" t="str">
        <f t="shared" si="598"/>
        <v/>
      </c>
      <c r="T5466" s="83" t="str">
        <f t="shared" si="596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7"/>
        <v/>
      </c>
      <c r="B5467" s="83" t="str">
        <f t="shared" si="595"/>
        <v/>
      </c>
      <c r="S5467" s="83" t="str">
        <f t="shared" si="598"/>
        <v/>
      </c>
      <c r="T5467" s="83" t="str">
        <f t="shared" si="596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7"/>
        <v/>
      </c>
      <c r="B5468" s="83" t="str">
        <f t="shared" si="595"/>
        <v/>
      </c>
      <c r="S5468" s="83" t="str">
        <f t="shared" si="598"/>
        <v/>
      </c>
      <c r="T5468" s="83" t="str">
        <f t="shared" si="596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7"/>
        <v/>
      </c>
      <c r="B5469" s="83" t="str">
        <f t="shared" si="595"/>
        <v/>
      </c>
      <c r="S5469" s="83" t="str">
        <f t="shared" si="598"/>
        <v/>
      </c>
      <c r="T5469" s="83" t="str">
        <f t="shared" si="596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7"/>
        <v/>
      </c>
      <c r="B5470" s="83" t="str">
        <f t="shared" si="595"/>
        <v/>
      </c>
      <c r="S5470" s="83" t="str">
        <f t="shared" si="598"/>
        <v/>
      </c>
      <c r="T5470" s="83" t="str">
        <f t="shared" si="596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7"/>
        <v/>
      </c>
      <c r="B5471" s="83" t="str">
        <f t="shared" si="595"/>
        <v/>
      </c>
      <c r="S5471" s="83" t="str">
        <f t="shared" si="598"/>
        <v/>
      </c>
      <c r="T5471" s="83" t="str">
        <f t="shared" si="596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7"/>
        <v/>
      </c>
      <c r="B5472" s="83" t="str">
        <f t="shared" si="595"/>
        <v/>
      </c>
      <c r="S5472" s="83" t="str">
        <f t="shared" si="598"/>
        <v/>
      </c>
      <c r="T5472" s="83" t="str">
        <f t="shared" si="596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7"/>
        <v/>
      </c>
      <c r="B5473" s="83" t="str">
        <f t="shared" ref="B5473:B5536" si="602">IF(C5473&lt;&gt;"",LEFT(C5473,9),"")</f>
        <v/>
      </c>
      <c r="S5473" s="83" t="str">
        <f t="shared" si="598"/>
        <v/>
      </c>
      <c r="T5473" s="83" t="str">
        <f t="shared" si="596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7"/>
        <v/>
      </c>
      <c r="B5474" s="83" t="str">
        <f t="shared" si="602"/>
        <v/>
      </c>
      <c r="S5474" s="83" t="str">
        <f t="shared" si="598"/>
        <v/>
      </c>
      <c r="T5474" s="83" t="str">
        <f t="shared" si="596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7"/>
        <v/>
      </c>
      <c r="B5475" s="83" t="str">
        <f t="shared" si="602"/>
        <v/>
      </c>
      <c r="S5475" s="83" t="str">
        <f t="shared" si="598"/>
        <v/>
      </c>
      <c r="T5475" s="83" t="str">
        <f t="shared" si="596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7"/>
        <v/>
      </c>
      <c r="B5476" s="83" t="str">
        <f t="shared" si="602"/>
        <v/>
      </c>
      <c r="S5476" s="83" t="str">
        <f t="shared" si="598"/>
        <v/>
      </c>
      <c r="T5476" s="83" t="str">
        <f t="shared" si="596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7"/>
        <v/>
      </c>
      <c r="B5477" s="83" t="str">
        <f t="shared" si="602"/>
        <v/>
      </c>
      <c r="S5477" s="83" t="str">
        <f t="shared" si="598"/>
        <v/>
      </c>
      <c r="T5477" s="83" t="str">
        <f t="shared" si="596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7"/>
        <v/>
      </c>
      <c r="B5478" s="83" t="str">
        <f t="shared" si="602"/>
        <v/>
      </c>
      <c r="S5478" s="83" t="str">
        <f t="shared" si="598"/>
        <v/>
      </c>
      <c r="T5478" s="83" t="str">
        <f t="shared" si="596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7"/>
        <v/>
      </c>
      <c r="B5479" s="83" t="str">
        <f t="shared" si="602"/>
        <v/>
      </c>
      <c r="S5479" s="83" t="str">
        <f t="shared" si="598"/>
        <v/>
      </c>
      <c r="T5479" s="83" t="str">
        <f t="shared" si="596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7"/>
        <v/>
      </c>
      <c r="B5480" s="83" t="str">
        <f t="shared" si="602"/>
        <v/>
      </c>
      <c r="S5480" s="83" t="str">
        <f t="shared" si="598"/>
        <v/>
      </c>
      <c r="T5480" s="83" t="str">
        <f t="shared" si="596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7"/>
        <v/>
      </c>
      <c r="B5481" s="83" t="str">
        <f t="shared" si="602"/>
        <v/>
      </c>
      <c r="S5481" s="83" t="str">
        <f t="shared" si="598"/>
        <v/>
      </c>
      <c r="T5481" s="83" t="str">
        <f t="shared" si="596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7"/>
        <v/>
      </c>
      <c r="B5482" s="83" t="str">
        <f t="shared" si="602"/>
        <v/>
      </c>
      <c r="S5482" s="83" t="str">
        <f t="shared" si="598"/>
        <v/>
      </c>
      <c r="T5482" s="83" t="str">
        <f t="shared" si="596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7"/>
        <v/>
      </c>
      <c r="B5483" s="83" t="str">
        <f t="shared" si="602"/>
        <v/>
      </c>
      <c r="S5483" s="83" t="str">
        <f t="shared" si="598"/>
        <v/>
      </c>
      <c r="T5483" s="83" t="str">
        <f t="shared" si="596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7"/>
        <v/>
      </c>
      <c r="B5484" s="83" t="str">
        <f t="shared" si="602"/>
        <v/>
      </c>
      <c r="S5484" s="83" t="str">
        <f t="shared" si="598"/>
        <v/>
      </c>
      <c r="T5484" s="83" t="str">
        <f t="shared" si="596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7"/>
        <v/>
      </c>
      <c r="B5485" s="83" t="str">
        <f t="shared" si="602"/>
        <v/>
      </c>
      <c r="S5485" s="83" t="str">
        <f t="shared" si="598"/>
        <v/>
      </c>
      <c r="T5485" s="83" t="str">
        <f t="shared" si="596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7"/>
        <v/>
      </c>
      <c r="B5486" s="83" t="str">
        <f t="shared" si="602"/>
        <v/>
      </c>
      <c r="S5486" s="83" t="str">
        <f t="shared" si="598"/>
        <v/>
      </c>
      <c r="T5486" s="83" t="str">
        <f t="shared" si="596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7"/>
        <v/>
      </c>
      <c r="B5487" s="83" t="str">
        <f t="shared" si="602"/>
        <v/>
      </c>
      <c r="S5487" s="83" t="str">
        <f t="shared" si="598"/>
        <v/>
      </c>
      <c r="T5487" s="83" t="str">
        <f t="shared" si="596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7"/>
        <v/>
      </c>
      <c r="B5488" s="83" t="str">
        <f t="shared" si="602"/>
        <v/>
      </c>
      <c r="S5488" s="83" t="str">
        <f t="shared" si="598"/>
        <v/>
      </c>
      <c r="T5488" s="83" t="str">
        <f t="shared" si="596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7"/>
        <v/>
      </c>
      <c r="B5489" s="83" t="str">
        <f t="shared" si="602"/>
        <v/>
      </c>
      <c r="S5489" s="83" t="str">
        <f t="shared" si="598"/>
        <v/>
      </c>
      <c r="T5489" s="83" t="str">
        <f t="shared" si="596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7"/>
        <v/>
      </c>
      <c r="B5490" s="83" t="str">
        <f t="shared" si="602"/>
        <v/>
      </c>
      <c r="S5490" s="83" t="str">
        <f t="shared" si="598"/>
        <v/>
      </c>
      <c r="T5490" s="83" t="str">
        <f t="shared" si="596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7"/>
        <v/>
      </c>
      <c r="B5491" s="83" t="str">
        <f t="shared" si="602"/>
        <v/>
      </c>
      <c r="S5491" s="83" t="str">
        <f t="shared" si="598"/>
        <v/>
      </c>
      <c r="T5491" s="83" t="str">
        <f t="shared" si="596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7"/>
        <v/>
      </c>
      <c r="B5492" s="83" t="str">
        <f t="shared" si="602"/>
        <v/>
      </c>
      <c r="S5492" s="83" t="str">
        <f t="shared" si="598"/>
        <v/>
      </c>
      <c r="T5492" s="83" t="str">
        <f t="shared" si="596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7"/>
        <v/>
      </c>
      <c r="B5493" s="83" t="str">
        <f t="shared" si="602"/>
        <v/>
      </c>
      <c r="S5493" s="83" t="str">
        <f t="shared" si="598"/>
        <v/>
      </c>
      <c r="T5493" s="83" t="str">
        <f t="shared" si="596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7"/>
        <v/>
      </c>
      <c r="B5494" s="83" t="str">
        <f t="shared" si="602"/>
        <v/>
      </c>
      <c r="S5494" s="83" t="str">
        <f t="shared" si="598"/>
        <v/>
      </c>
      <c r="T5494" s="83" t="str">
        <f t="shared" si="596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7"/>
        <v/>
      </c>
      <c r="B5495" s="83" t="str">
        <f t="shared" si="602"/>
        <v/>
      </c>
      <c r="S5495" s="83" t="str">
        <f t="shared" si="598"/>
        <v/>
      </c>
      <c r="T5495" s="83" t="str">
        <f t="shared" si="596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7"/>
        <v/>
      </c>
      <c r="B5496" s="83" t="str">
        <f t="shared" si="602"/>
        <v/>
      </c>
      <c r="S5496" s="83" t="str">
        <f t="shared" si="598"/>
        <v/>
      </c>
      <c r="T5496" s="83" t="str">
        <f t="shared" si="596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7"/>
        <v/>
      </c>
      <c r="B5497" s="83" t="str">
        <f t="shared" si="602"/>
        <v/>
      </c>
      <c r="S5497" s="83" t="str">
        <f t="shared" si="598"/>
        <v/>
      </c>
      <c r="T5497" s="83" t="str">
        <f t="shared" si="596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7"/>
        <v/>
      </c>
      <c r="B5498" s="83" t="str">
        <f t="shared" si="602"/>
        <v/>
      </c>
      <c r="S5498" s="83" t="str">
        <f t="shared" si="598"/>
        <v/>
      </c>
      <c r="T5498" s="83" t="str">
        <f t="shared" si="596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7"/>
        <v/>
      </c>
      <c r="B5499" s="83" t="str">
        <f t="shared" si="602"/>
        <v/>
      </c>
      <c r="S5499" s="83" t="str">
        <f t="shared" si="598"/>
        <v/>
      </c>
      <c r="T5499" s="83" t="str">
        <f t="shared" si="596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7"/>
        <v/>
      </c>
      <c r="B5500" s="83" t="str">
        <f t="shared" si="602"/>
        <v/>
      </c>
      <c r="S5500" s="83" t="str">
        <f t="shared" si="598"/>
        <v/>
      </c>
      <c r="T5500" s="83" t="str">
        <f t="shared" si="596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7"/>
        <v/>
      </c>
      <c r="B5501" s="83" t="str">
        <f t="shared" si="602"/>
        <v/>
      </c>
      <c r="S5501" s="83" t="str">
        <f t="shared" si="598"/>
        <v/>
      </c>
      <c r="T5501" s="83" t="str">
        <f t="shared" si="596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7"/>
        <v/>
      </c>
      <c r="B5502" s="83" t="str">
        <f t="shared" si="602"/>
        <v/>
      </c>
      <c r="S5502" s="83" t="str">
        <f t="shared" si="598"/>
        <v/>
      </c>
      <c r="T5502" s="83" t="str">
        <f t="shared" si="596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7"/>
        <v/>
      </c>
      <c r="B5503" s="83" t="str">
        <f t="shared" si="602"/>
        <v/>
      </c>
      <c r="S5503" s="83" t="str">
        <f t="shared" si="598"/>
        <v/>
      </c>
      <c r="T5503" s="83" t="str">
        <f t="shared" si="596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7"/>
        <v/>
      </c>
      <c r="B5504" s="83" t="str">
        <f t="shared" si="602"/>
        <v/>
      </c>
      <c r="S5504" s="83" t="str">
        <f t="shared" si="598"/>
        <v/>
      </c>
      <c r="T5504" s="83" t="str">
        <f t="shared" si="596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7"/>
        <v/>
      </c>
      <c r="B5505" s="83" t="str">
        <f t="shared" si="602"/>
        <v/>
      </c>
      <c r="S5505" s="83" t="str">
        <f t="shared" si="598"/>
        <v/>
      </c>
      <c r="T5505" s="83" t="str">
        <f t="shared" si="596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7"/>
        <v/>
      </c>
      <c r="B5506" s="83" t="str">
        <f t="shared" si="602"/>
        <v/>
      </c>
      <c r="S5506" s="83" t="str">
        <f t="shared" si="598"/>
        <v/>
      </c>
      <c r="T5506" s="83" t="str">
        <f t="shared" ref="T5506:T5569" si="603">IF(A5506&lt;&gt;"",IF(FIND(" ",G5506)&gt;=1,MID(G5506,FIND(" ",G5506)+1,LEN(G5506)),""),"")</f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4">IF(G5507&amp;Q5507&lt;&gt;"",S5507&amp;Q5507,"")</f>
        <v/>
      </c>
      <c r="B5507" s="83" t="str">
        <f t="shared" si="602"/>
        <v/>
      </c>
      <c r="S5507" s="83" t="str">
        <f t="shared" ref="S5507:S5570" si="605">IF(G5507&lt;&gt;"",IF(FIND(" ",G5507)&gt;=1,MID(G5507,1,FIND(" ",G5507)-1),G5507),"")</f>
        <v/>
      </c>
      <c r="T5507" s="83" t="str">
        <f t="shared" si="603"/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4"/>
        <v/>
      </c>
      <c r="B5508" s="83" t="str">
        <f t="shared" si="602"/>
        <v/>
      </c>
      <c r="S5508" s="83" t="str">
        <f t="shared" si="605"/>
        <v/>
      </c>
      <c r="T5508" s="83" t="str">
        <f t="shared" si="603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4"/>
        <v/>
      </c>
      <c r="B5509" s="83" t="str">
        <f t="shared" si="602"/>
        <v/>
      </c>
      <c r="S5509" s="83" t="str">
        <f t="shared" si="605"/>
        <v/>
      </c>
      <c r="T5509" s="83" t="str">
        <f t="shared" si="603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4"/>
        <v/>
      </c>
      <c r="B5510" s="83" t="str">
        <f t="shared" si="602"/>
        <v/>
      </c>
      <c r="S5510" s="83" t="str">
        <f t="shared" si="605"/>
        <v/>
      </c>
      <c r="T5510" s="83" t="str">
        <f t="shared" si="603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4"/>
        <v/>
      </c>
      <c r="B5511" s="83" t="str">
        <f t="shared" si="602"/>
        <v/>
      </c>
      <c r="S5511" s="83" t="str">
        <f t="shared" si="605"/>
        <v/>
      </c>
      <c r="T5511" s="83" t="str">
        <f t="shared" si="603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4"/>
        <v/>
      </c>
      <c r="B5512" s="83" t="str">
        <f t="shared" si="602"/>
        <v/>
      </c>
      <c r="S5512" s="83" t="str">
        <f t="shared" si="605"/>
        <v/>
      </c>
      <c r="T5512" s="83" t="str">
        <f t="shared" si="603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4"/>
        <v/>
      </c>
      <c r="B5513" s="83" t="str">
        <f t="shared" si="602"/>
        <v/>
      </c>
      <c r="S5513" s="83" t="str">
        <f t="shared" si="605"/>
        <v/>
      </c>
      <c r="T5513" s="83" t="str">
        <f t="shared" si="603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4"/>
        <v/>
      </c>
      <c r="B5514" s="83" t="str">
        <f t="shared" si="602"/>
        <v/>
      </c>
      <c r="S5514" s="83" t="str">
        <f t="shared" si="605"/>
        <v/>
      </c>
      <c r="T5514" s="83" t="str">
        <f t="shared" si="603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4"/>
        <v/>
      </c>
      <c r="B5515" s="83" t="str">
        <f t="shared" si="602"/>
        <v/>
      </c>
      <c r="S5515" s="83" t="str">
        <f t="shared" si="605"/>
        <v/>
      </c>
      <c r="T5515" s="83" t="str">
        <f t="shared" si="603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4"/>
        <v/>
      </c>
      <c r="B5516" s="83" t="str">
        <f t="shared" si="602"/>
        <v/>
      </c>
      <c r="S5516" s="83" t="str">
        <f t="shared" si="605"/>
        <v/>
      </c>
      <c r="T5516" s="83" t="str">
        <f t="shared" si="603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4"/>
        <v/>
      </c>
      <c r="B5517" s="83" t="str">
        <f t="shared" si="602"/>
        <v/>
      </c>
      <c r="S5517" s="83" t="str">
        <f t="shared" si="605"/>
        <v/>
      </c>
      <c r="T5517" s="83" t="str">
        <f t="shared" si="603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4"/>
        <v/>
      </c>
      <c r="B5518" s="83" t="str">
        <f t="shared" si="602"/>
        <v/>
      </c>
      <c r="S5518" s="83" t="str">
        <f t="shared" si="605"/>
        <v/>
      </c>
      <c r="T5518" s="83" t="str">
        <f t="shared" si="603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4"/>
        <v/>
      </c>
      <c r="B5519" s="83" t="str">
        <f t="shared" si="602"/>
        <v/>
      </c>
      <c r="S5519" s="83" t="str">
        <f t="shared" si="605"/>
        <v/>
      </c>
      <c r="T5519" s="83" t="str">
        <f t="shared" si="603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4"/>
        <v/>
      </c>
      <c r="B5520" s="83" t="str">
        <f t="shared" si="602"/>
        <v/>
      </c>
      <c r="S5520" s="83" t="str">
        <f t="shared" si="605"/>
        <v/>
      </c>
      <c r="T5520" s="83" t="str">
        <f t="shared" si="603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4"/>
        <v/>
      </c>
      <c r="B5521" s="83" t="str">
        <f t="shared" si="602"/>
        <v/>
      </c>
      <c r="S5521" s="83" t="str">
        <f t="shared" si="605"/>
        <v/>
      </c>
      <c r="T5521" s="83" t="str">
        <f t="shared" si="603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4"/>
        <v/>
      </c>
      <c r="B5522" s="83" t="str">
        <f t="shared" si="602"/>
        <v/>
      </c>
      <c r="S5522" s="83" t="str">
        <f t="shared" si="605"/>
        <v/>
      </c>
      <c r="T5522" s="83" t="str">
        <f t="shared" si="603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4"/>
        <v/>
      </c>
      <c r="B5523" s="83" t="str">
        <f t="shared" si="602"/>
        <v/>
      </c>
      <c r="S5523" s="83" t="str">
        <f t="shared" si="605"/>
        <v/>
      </c>
      <c r="T5523" s="83" t="str">
        <f t="shared" si="603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4"/>
        <v/>
      </c>
      <c r="B5524" s="83" t="str">
        <f t="shared" si="602"/>
        <v/>
      </c>
      <c r="S5524" s="83" t="str">
        <f t="shared" si="605"/>
        <v/>
      </c>
      <c r="T5524" s="83" t="str">
        <f t="shared" si="603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4"/>
        <v/>
      </c>
      <c r="B5525" s="83" t="str">
        <f t="shared" si="602"/>
        <v/>
      </c>
      <c r="S5525" s="83" t="str">
        <f t="shared" si="605"/>
        <v/>
      </c>
      <c r="T5525" s="83" t="str">
        <f t="shared" si="603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4"/>
        <v/>
      </c>
      <c r="B5526" s="83" t="str">
        <f t="shared" si="602"/>
        <v/>
      </c>
      <c r="S5526" s="83" t="str">
        <f t="shared" si="605"/>
        <v/>
      </c>
      <c r="T5526" s="83" t="str">
        <f t="shared" si="603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4"/>
        <v/>
      </c>
      <c r="B5527" s="83" t="str">
        <f t="shared" si="602"/>
        <v/>
      </c>
      <c r="S5527" s="83" t="str">
        <f t="shared" si="605"/>
        <v/>
      </c>
      <c r="T5527" s="83" t="str">
        <f t="shared" si="603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4"/>
        <v/>
      </c>
      <c r="B5528" s="83" t="str">
        <f t="shared" si="602"/>
        <v/>
      </c>
      <c r="S5528" s="83" t="str">
        <f t="shared" si="605"/>
        <v/>
      </c>
      <c r="T5528" s="83" t="str">
        <f t="shared" si="603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4"/>
        <v/>
      </c>
      <c r="B5529" s="83" t="str">
        <f t="shared" si="602"/>
        <v/>
      </c>
      <c r="S5529" s="83" t="str">
        <f t="shared" si="605"/>
        <v/>
      </c>
      <c r="T5529" s="83" t="str">
        <f t="shared" si="603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4"/>
        <v/>
      </c>
      <c r="B5530" s="83" t="str">
        <f t="shared" si="602"/>
        <v/>
      </c>
      <c r="S5530" s="83" t="str">
        <f t="shared" si="605"/>
        <v/>
      </c>
      <c r="T5530" s="83" t="str">
        <f t="shared" si="603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4"/>
        <v/>
      </c>
      <c r="B5531" s="83" t="str">
        <f t="shared" si="602"/>
        <v/>
      </c>
      <c r="S5531" s="83" t="str">
        <f t="shared" si="605"/>
        <v/>
      </c>
      <c r="T5531" s="83" t="str">
        <f t="shared" si="603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4"/>
        <v/>
      </c>
      <c r="B5532" s="83" t="str">
        <f t="shared" si="602"/>
        <v/>
      </c>
      <c r="S5532" s="83" t="str">
        <f t="shared" si="605"/>
        <v/>
      </c>
      <c r="T5532" s="83" t="str">
        <f t="shared" si="603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4"/>
        <v/>
      </c>
      <c r="B5533" s="83" t="str">
        <f t="shared" si="602"/>
        <v/>
      </c>
      <c r="S5533" s="83" t="str">
        <f t="shared" si="605"/>
        <v/>
      </c>
      <c r="T5533" s="83" t="str">
        <f t="shared" si="603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4"/>
        <v/>
      </c>
      <c r="B5534" s="83" t="str">
        <f t="shared" si="602"/>
        <v/>
      </c>
      <c r="S5534" s="83" t="str">
        <f t="shared" si="605"/>
        <v/>
      </c>
      <c r="T5534" s="83" t="str">
        <f t="shared" si="603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4"/>
        <v/>
      </c>
      <c r="B5535" s="83" t="str">
        <f t="shared" si="602"/>
        <v/>
      </c>
      <c r="S5535" s="83" t="str">
        <f t="shared" si="605"/>
        <v/>
      </c>
      <c r="T5535" s="83" t="str">
        <f t="shared" si="603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4"/>
        <v/>
      </c>
      <c r="B5536" s="83" t="str">
        <f t="shared" si="602"/>
        <v/>
      </c>
      <c r="S5536" s="83" t="str">
        <f t="shared" si="605"/>
        <v/>
      </c>
      <c r="T5536" s="83" t="str">
        <f t="shared" si="603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4"/>
        <v/>
      </c>
      <c r="B5537" s="83" t="str">
        <f t="shared" ref="B5537:B5600" si="609">IF(C5537&lt;&gt;"",LEFT(C5537,9),"")</f>
        <v/>
      </c>
      <c r="S5537" s="83" t="str">
        <f t="shared" si="605"/>
        <v/>
      </c>
      <c r="T5537" s="83" t="str">
        <f t="shared" si="603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4"/>
        <v/>
      </c>
      <c r="B5538" s="83" t="str">
        <f t="shared" si="609"/>
        <v/>
      </c>
      <c r="S5538" s="83" t="str">
        <f t="shared" si="605"/>
        <v/>
      </c>
      <c r="T5538" s="83" t="str">
        <f t="shared" si="603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4"/>
        <v/>
      </c>
      <c r="B5539" s="83" t="str">
        <f t="shared" si="609"/>
        <v/>
      </c>
      <c r="S5539" s="83" t="str">
        <f t="shared" si="605"/>
        <v/>
      </c>
      <c r="T5539" s="83" t="str">
        <f t="shared" si="603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4"/>
        <v/>
      </c>
      <c r="B5540" s="83" t="str">
        <f t="shared" si="609"/>
        <v/>
      </c>
      <c r="S5540" s="83" t="str">
        <f t="shared" si="605"/>
        <v/>
      </c>
      <c r="T5540" s="83" t="str">
        <f t="shared" si="603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4"/>
        <v/>
      </c>
      <c r="B5541" s="83" t="str">
        <f t="shared" si="609"/>
        <v/>
      </c>
      <c r="S5541" s="83" t="str">
        <f t="shared" si="605"/>
        <v/>
      </c>
      <c r="T5541" s="83" t="str">
        <f t="shared" si="603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4"/>
        <v/>
      </c>
      <c r="B5542" s="83" t="str">
        <f t="shared" si="609"/>
        <v/>
      </c>
      <c r="S5542" s="83" t="str">
        <f t="shared" si="605"/>
        <v/>
      </c>
      <c r="T5542" s="83" t="str">
        <f t="shared" si="603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4"/>
        <v/>
      </c>
      <c r="B5543" s="83" t="str">
        <f t="shared" si="609"/>
        <v/>
      </c>
      <c r="S5543" s="83" t="str">
        <f t="shared" si="605"/>
        <v/>
      </c>
      <c r="T5543" s="83" t="str">
        <f t="shared" si="603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4"/>
        <v/>
      </c>
      <c r="B5544" s="83" t="str">
        <f t="shared" si="609"/>
        <v/>
      </c>
      <c r="S5544" s="83" t="str">
        <f t="shared" si="605"/>
        <v/>
      </c>
      <c r="T5544" s="83" t="str">
        <f t="shared" si="603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4"/>
        <v/>
      </c>
      <c r="B5545" s="83" t="str">
        <f t="shared" si="609"/>
        <v/>
      </c>
      <c r="S5545" s="83" t="str">
        <f t="shared" si="605"/>
        <v/>
      </c>
      <c r="T5545" s="83" t="str">
        <f t="shared" si="603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4"/>
        <v/>
      </c>
      <c r="B5546" s="83" t="str">
        <f t="shared" si="609"/>
        <v/>
      </c>
      <c r="S5546" s="83" t="str">
        <f t="shared" si="605"/>
        <v/>
      </c>
      <c r="T5546" s="83" t="str">
        <f t="shared" si="603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4"/>
        <v/>
      </c>
      <c r="B5547" s="83" t="str">
        <f t="shared" si="609"/>
        <v/>
      </c>
      <c r="S5547" s="83" t="str">
        <f t="shared" si="605"/>
        <v/>
      </c>
      <c r="T5547" s="83" t="str">
        <f t="shared" si="603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4"/>
        <v/>
      </c>
      <c r="B5548" s="83" t="str">
        <f t="shared" si="609"/>
        <v/>
      </c>
      <c r="S5548" s="83" t="str">
        <f t="shared" si="605"/>
        <v/>
      </c>
      <c r="T5548" s="83" t="str">
        <f t="shared" si="603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4"/>
        <v/>
      </c>
      <c r="B5549" s="83" t="str">
        <f t="shared" si="609"/>
        <v/>
      </c>
      <c r="S5549" s="83" t="str">
        <f t="shared" si="605"/>
        <v/>
      </c>
      <c r="T5549" s="83" t="str">
        <f t="shared" si="603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4"/>
        <v/>
      </c>
      <c r="B5550" s="83" t="str">
        <f t="shared" si="609"/>
        <v/>
      </c>
      <c r="S5550" s="83" t="str">
        <f t="shared" si="605"/>
        <v/>
      </c>
      <c r="T5550" s="83" t="str">
        <f t="shared" si="603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4"/>
        <v/>
      </c>
      <c r="B5551" s="83" t="str">
        <f t="shared" si="609"/>
        <v/>
      </c>
      <c r="S5551" s="83" t="str">
        <f t="shared" si="605"/>
        <v/>
      </c>
      <c r="T5551" s="83" t="str">
        <f t="shared" si="603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4"/>
        <v/>
      </c>
      <c r="B5552" s="83" t="str">
        <f t="shared" si="609"/>
        <v/>
      </c>
      <c r="S5552" s="83" t="str">
        <f t="shared" si="605"/>
        <v/>
      </c>
      <c r="T5552" s="83" t="str">
        <f t="shared" si="603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4"/>
        <v/>
      </c>
      <c r="B5553" s="83" t="str">
        <f t="shared" si="609"/>
        <v/>
      </c>
      <c r="S5553" s="83" t="str">
        <f t="shared" si="605"/>
        <v/>
      </c>
      <c r="T5553" s="83" t="str">
        <f t="shared" si="603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4"/>
        <v/>
      </c>
      <c r="B5554" s="83" t="str">
        <f t="shared" si="609"/>
        <v/>
      </c>
      <c r="S5554" s="83" t="str">
        <f t="shared" si="605"/>
        <v/>
      </c>
      <c r="T5554" s="83" t="str">
        <f t="shared" si="603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4"/>
        <v/>
      </c>
      <c r="B5555" s="83" t="str">
        <f t="shared" si="609"/>
        <v/>
      </c>
      <c r="S5555" s="83" t="str">
        <f t="shared" si="605"/>
        <v/>
      </c>
      <c r="T5555" s="83" t="str">
        <f t="shared" si="603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4"/>
        <v/>
      </c>
      <c r="B5556" s="83" t="str">
        <f t="shared" si="609"/>
        <v/>
      </c>
      <c r="S5556" s="83" t="str">
        <f t="shared" si="605"/>
        <v/>
      </c>
      <c r="T5556" s="83" t="str">
        <f t="shared" si="603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4"/>
        <v/>
      </c>
      <c r="B5557" s="83" t="str">
        <f t="shared" si="609"/>
        <v/>
      </c>
      <c r="S5557" s="83" t="str">
        <f t="shared" si="605"/>
        <v/>
      </c>
      <c r="T5557" s="83" t="str">
        <f t="shared" si="603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4"/>
        <v/>
      </c>
      <c r="B5558" s="83" t="str">
        <f t="shared" si="609"/>
        <v/>
      </c>
      <c r="S5558" s="83" t="str">
        <f t="shared" si="605"/>
        <v/>
      </c>
      <c r="T5558" s="83" t="str">
        <f t="shared" si="603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4"/>
        <v/>
      </c>
      <c r="B5559" s="83" t="str">
        <f t="shared" si="609"/>
        <v/>
      </c>
      <c r="S5559" s="83" t="str">
        <f t="shared" si="605"/>
        <v/>
      </c>
      <c r="T5559" s="83" t="str">
        <f t="shared" si="603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4"/>
        <v/>
      </c>
      <c r="B5560" s="83" t="str">
        <f t="shared" si="609"/>
        <v/>
      </c>
      <c r="S5560" s="83" t="str">
        <f t="shared" si="605"/>
        <v/>
      </c>
      <c r="T5560" s="83" t="str">
        <f t="shared" si="603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4"/>
        <v/>
      </c>
      <c r="B5561" s="83" t="str">
        <f t="shared" si="609"/>
        <v/>
      </c>
      <c r="S5561" s="83" t="str">
        <f t="shared" si="605"/>
        <v/>
      </c>
      <c r="T5561" s="83" t="str">
        <f t="shared" si="603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4"/>
        <v/>
      </c>
      <c r="B5562" s="83" t="str">
        <f t="shared" si="609"/>
        <v/>
      </c>
      <c r="S5562" s="83" t="str">
        <f t="shared" si="605"/>
        <v/>
      </c>
      <c r="T5562" s="83" t="str">
        <f t="shared" si="603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4"/>
        <v/>
      </c>
      <c r="B5563" s="83" t="str">
        <f t="shared" si="609"/>
        <v/>
      </c>
      <c r="S5563" s="83" t="str">
        <f t="shared" si="605"/>
        <v/>
      </c>
      <c r="T5563" s="83" t="str">
        <f t="shared" si="603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4"/>
        <v/>
      </c>
      <c r="B5564" s="83" t="str">
        <f t="shared" si="609"/>
        <v/>
      </c>
      <c r="S5564" s="83" t="str">
        <f t="shared" si="605"/>
        <v/>
      </c>
      <c r="T5564" s="83" t="str">
        <f t="shared" si="603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4"/>
        <v/>
      </c>
      <c r="B5565" s="83" t="str">
        <f t="shared" si="609"/>
        <v/>
      </c>
      <c r="S5565" s="83" t="str">
        <f t="shared" si="605"/>
        <v/>
      </c>
      <c r="T5565" s="83" t="str">
        <f t="shared" si="603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4"/>
        <v/>
      </c>
      <c r="B5566" s="83" t="str">
        <f t="shared" si="609"/>
        <v/>
      </c>
      <c r="S5566" s="83" t="str">
        <f t="shared" si="605"/>
        <v/>
      </c>
      <c r="T5566" s="83" t="str">
        <f t="shared" si="603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4"/>
        <v/>
      </c>
      <c r="B5567" s="83" t="str">
        <f t="shared" si="609"/>
        <v/>
      </c>
      <c r="S5567" s="83" t="str">
        <f t="shared" si="605"/>
        <v/>
      </c>
      <c r="T5567" s="83" t="str">
        <f t="shared" si="603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4"/>
        <v/>
      </c>
      <c r="B5568" s="83" t="str">
        <f t="shared" si="609"/>
        <v/>
      </c>
      <c r="S5568" s="83" t="str">
        <f t="shared" si="605"/>
        <v/>
      </c>
      <c r="T5568" s="83" t="str">
        <f t="shared" si="603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4"/>
        <v/>
      </c>
      <c r="B5569" s="83" t="str">
        <f t="shared" si="609"/>
        <v/>
      </c>
      <c r="S5569" s="83" t="str">
        <f t="shared" si="605"/>
        <v/>
      </c>
      <c r="T5569" s="83" t="str">
        <f t="shared" si="603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4"/>
        <v/>
      </c>
      <c r="B5570" s="83" t="str">
        <f t="shared" si="609"/>
        <v/>
      </c>
      <c r="S5570" s="83" t="str">
        <f t="shared" si="605"/>
        <v/>
      </c>
      <c r="T5570" s="83" t="str">
        <f t="shared" ref="T5570:T5633" si="610">IF(A5570&lt;&gt;"",IF(FIND(" ",G5570)&gt;=1,MID(G5570,FIND(" ",G5570)+1,LEN(G5570)),""),"")</f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1">IF(G5571&amp;Q5571&lt;&gt;"",S5571&amp;Q5571,"")</f>
        <v/>
      </c>
      <c r="B5571" s="83" t="str">
        <f t="shared" si="609"/>
        <v/>
      </c>
      <c r="S5571" s="83" t="str">
        <f t="shared" ref="S5571:S5634" si="612">IF(G5571&lt;&gt;"",IF(FIND(" ",G5571)&gt;=1,MID(G5571,1,FIND(" ",G5571)-1),G5571),"")</f>
        <v/>
      </c>
      <c r="T5571" s="83" t="str">
        <f t="shared" si="610"/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1"/>
        <v/>
      </c>
      <c r="B5572" s="83" t="str">
        <f t="shared" si="609"/>
        <v/>
      </c>
      <c r="S5572" s="83" t="str">
        <f t="shared" si="612"/>
        <v/>
      </c>
      <c r="T5572" s="83" t="str">
        <f t="shared" si="610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1"/>
        <v/>
      </c>
      <c r="B5573" s="83" t="str">
        <f t="shared" si="609"/>
        <v/>
      </c>
      <c r="S5573" s="83" t="str">
        <f t="shared" si="612"/>
        <v/>
      </c>
      <c r="T5573" s="83" t="str">
        <f t="shared" si="610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1"/>
        <v/>
      </c>
      <c r="B5574" s="83" t="str">
        <f t="shared" si="609"/>
        <v/>
      </c>
      <c r="S5574" s="83" t="str">
        <f t="shared" si="612"/>
        <v/>
      </c>
      <c r="T5574" s="83" t="str">
        <f t="shared" si="610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1"/>
        <v/>
      </c>
      <c r="B5575" s="83" t="str">
        <f t="shared" si="609"/>
        <v/>
      </c>
      <c r="S5575" s="83" t="str">
        <f t="shared" si="612"/>
        <v/>
      </c>
      <c r="T5575" s="83" t="str">
        <f t="shared" si="610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1"/>
        <v/>
      </c>
      <c r="B5576" s="83" t="str">
        <f t="shared" si="609"/>
        <v/>
      </c>
      <c r="S5576" s="83" t="str">
        <f t="shared" si="612"/>
        <v/>
      </c>
      <c r="T5576" s="83" t="str">
        <f t="shared" si="610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1"/>
        <v/>
      </c>
      <c r="B5577" s="83" t="str">
        <f t="shared" si="609"/>
        <v/>
      </c>
      <c r="S5577" s="83" t="str">
        <f t="shared" si="612"/>
        <v/>
      </c>
      <c r="T5577" s="83" t="str">
        <f t="shared" si="610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1"/>
        <v/>
      </c>
      <c r="B5578" s="83" t="str">
        <f t="shared" si="609"/>
        <v/>
      </c>
      <c r="S5578" s="83" t="str">
        <f t="shared" si="612"/>
        <v/>
      </c>
      <c r="T5578" s="83" t="str">
        <f t="shared" si="610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1"/>
        <v/>
      </c>
      <c r="B5579" s="83" t="str">
        <f t="shared" si="609"/>
        <v/>
      </c>
      <c r="S5579" s="83" t="str">
        <f t="shared" si="612"/>
        <v/>
      </c>
      <c r="T5579" s="83" t="str">
        <f t="shared" si="610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1"/>
        <v/>
      </c>
      <c r="B5580" s="83" t="str">
        <f t="shared" si="609"/>
        <v/>
      </c>
      <c r="S5580" s="83" t="str">
        <f t="shared" si="612"/>
        <v/>
      </c>
      <c r="T5580" s="83" t="str">
        <f t="shared" si="610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1"/>
        <v/>
      </c>
      <c r="B5581" s="83" t="str">
        <f t="shared" si="609"/>
        <v/>
      </c>
      <c r="S5581" s="83" t="str">
        <f t="shared" si="612"/>
        <v/>
      </c>
      <c r="T5581" s="83" t="str">
        <f t="shared" si="610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1"/>
        <v/>
      </c>
      <c r="B5582" s="83" t="str">
        <f t="shared" si="609"/>
        <v/>
      </c>
      <c r="S5582" s="83" t="str">
        <f t="shared" si="612"/>
        <v/>
      </c>
      <c r="T5582" s="83" t="str">
        <f t="shared" si="610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1"/>
        <v/>
      </c>
      <c r="B5583" s="83" t="str">
        <f t="shared" si="609"/>
        <v/>
      </c>
      <c r="S5583" s="83" t="str">
        <f t="shared" si="612"/>
        <v/>
      </c>
      <c r="T5583" s="83" t="str">
        <f t="shared" si="610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1"/>
        <v/>
      </c>
      <c r="B5584" s="83" t="str">
        <f t="shared" si="609"/>
        <v/>
      </c>
      <c r="S5584" s="83" t="str">
        <f t="shared" si="612"/>
        <v/>
      </c>
      <c r="T5584" s="83" t="str">
        <f t="shared" si="610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1"/>
        <v/>
      </c>
      <c r="B5585" s="83" t="str">
        <f t="shared" si="609"/>
        <v/>
      </c>
      <c r="S5585" s="83" t="str">
        <f t="shared" si="612"/>
        <v/>
      </c>
      <c r="T5585" s="83" t="str">
        <f t="shared" si="610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1"/>
        <v/>
      </c>
      <c r="B5586" s="83" t="str">
        <f t="shared" si="609"/>
        <v/>
      </c>
      <c r="S5586" s="83" t="str">
        <f t="shared" si="612"/>
        <v/>
      </c>
      <c r="T5586" s="83" t="str">
        <f t="shared" si="610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1"/>
        <v/>
      </c>
      <c r="B5587" s="83" t="str">
        <f t="shared" si="609"/>
        <v/>
      </c>
      <c r="S5587" s="83" t="str">
        <f t="shared" si="612"/>
        <v/>
      </c>
      <c r="T5587" s="83" t="str">
        <f t="shared" si="610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1"/>
        <v/>
      </c>
      <c r="B5588" s="83" t="str">
        <f t="shared" si="609"/>
        <v/>
      </c>
      <c r="S5588" s="83" t="str">
        <f t="shared" si="612"/>
        <v/>
      </c>
      <c r="T5588" s="83" t="str">
        <f t="shared" si="610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1"/>
        <v/>
      </c>
      <c r="B5589" s="83" t="str">
        <f t="shared" si="609"/>
        <v/>
      </c>
      <c r="S5589" s="83" t="str">
        <f t="shared" si="612"/>
        <v/>
      </c>
      <c r="T5589" s="83" t="str">
        <f t="shared" si="610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1"/>
        <v/>
      </c>
      <c r="B5590" s="83" t="str">
        <f t="shared" si="609"/>
        <v/>
      </c>
      <c r="S5590" s="83" t="str">
        <f t="shared" si="612"/>
        <v/>
      </c>
      <c r="T5590" s="83" t="str">
        <f t="shared" si="610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1"/>
        <v/>
      </c>
      <c r="B5591" s="83" t="str">
        <f t="shared" si="609"/>
        <v/>
      </c>
      <c r="S5591" s="83" t="str">
        <f t="shared" si="612"/>
        <v/>
      </c>
      <c r="T5591" s="83" t="str">
        <f t="shared" si="610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1"/>
        <v/>
      </c>
      <c r="B5592" s="83" t="str">
        <f t="shared" si="609"/>
        <v/>
      </c>
      <c r="S5592" s="83" t="str">
        <f t="shared" si="612"/>
        <v/>
      </c>
      <c r="T5592" s="83" t="str">
        <f t="shared" si="610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1"/>
        <v/>
      </c>
      <c r="B5593" s="83" t="str">
        <f t="shared" si="609"/>
        <v/>
      </c>
      <c r="S5593" s="83" t="str">
        <f t="shared" si="612"/>
        <v/>
      </c>
      <c r="T5593" s="83" t="str">
        <f t="shared" si="610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1"/>
        <v/>
      </c>
      <c r="B5594" s="83" t="str">
        <f t="shared" si="609"/>
        <v/>
      </c>
      <c r="S5594" s="83" t="str">
        <f t="shared" si="612"/>
        <v/>
      </c>
      <c r="T5594" s="83" t="str">
        <f t="shared" si="610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1"/>
        <v/>
      </c>
      <c r="B5595" s="83" t="str">
        <f t="shared" si="609"/>
        <v/>
      </c>
      <c r="S5595" s="83" t="str">
        <f t="shared" si="612"/>
        <v/>
      </c>
      <c r="T5595" s="83" t="str">
        <f t="shared" si="610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1"/>
        <v/>
      </c>
      <c r="B5596" s="83" t="str">
        <f t="shared" si="609"/>
        <v/>
      </c>
      <c r="S5596" s="83" t="str">
        <f t="shared" si="612"/>
        <v/>
      </c>
      <c r="T5596" s="83" t="str">
        <f t="shared" si="610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1"/>
        <v/>
      </c>
      <c r="B5597" s="83" t="str">
        <f t="shared" si="609"/>
        <v/>
      </c>
      <c r="S5597" s="83" t="str">
        <f t="shared" si="612"/>
        <v/>
      </c>
      <c r="T5597" s="83" t="str">
        <f t="shared" si="610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1"/>
        <v/>
      </c>
      <c r="B5598" s="83" t="str">
        <f t="shared" si="609"/>
        <v/>
      </c>
      <c r="S5598" s="83" t="str">
        <f t="shared" si="612"/>
        <v/>
      </c>
      <c r="T5598" s="83" t="str">
        <f t="shared" si="610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1"/>
        <v/>
      </c>
      <c r="B5599" s="83" t="str">
        <f t="shared" si="609"/>
        <v/>
      </c>
      <c r="S5599" s="83" t="str">
        <f t="shared" si="612"/>
        <v/>
      </c>
      <c r="T5599" s="83" t="str">
        <f t="shared" si="610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1"/>
        <v/>
      </c>
      <c r="B5600" s="83" t="str">
        <f t="shared" si="609"/>
        <v/>
      </c>
      <c r="S5600" s="83" t="str">
        <f t="shared" si="612"/>
        <v/>
      </c>
      <c r="T5600" s="83" t="str">
        <f t="shared" si="610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1"/>
        <v/>
      </c>
      <c r="B5601" s="83" t="str">
        <f t="shared" ref="B5601:B5664" si="616">IF(C5601&lt;&gt;"",LEFT(C5601,9),"")</f>
        <v/>
      </c>
      <c r="S5601" s="83" t="str">
        <f t="shared" si="612"/>
        <v/>
      </c>
      <c r="T5601" s="83" t="str">
        <f t="shared" si="610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1"/>
        <v/>
      </c>
      <c r="B5602" s="83" t="str">
        <f t="shared" si="616"/>
        <v/>
      </c>
      <c r="S5602" s="83" t="str">
        <f t="shared" si="612"/>
        <v/>
      </c>
      <c r="T5602" s="83" t="str">
        <f t="shared" si="610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1"/>
        <v/>
      </c>
      <c r="B5603" s="83" t="str">
        <f t="shared" si="616"/>
        <v/>
      </c>
      <c r="S5603" s="83" t="str">
        <f t="shared" si="612"/>
        <v/>
      </c>
      <c r="T5603" s="83" t="str">
        <f t="shared" si="610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1"/>
        <v/>
      </c>
      <c r="B5604" s="83" t="str">
        <f t="shared" si="616"/>
        <v/>
      </c>
      <c r="S5604" s="83" t="str">
        <f t="shared" si="612"/>
        <v/>
      </c>
      <c r="T5604" s="83" t="str">
        <f t="shared" si="610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1"/>
        <v/>
      </c>
      <c r="B5605" s="83" t="str">
        <f t="shared" si="616"/>
        <v/>
      </c>
      <c r="S5605" s="83" t="str">
        <f t="shared" si="612"/>
        <v/>
      </c>
      <c r="T5605" s="83" t="str">
        <f t="shared" si="610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1"/>
        <v/>
      </c>
      <c r="B5606" s="83" t="str">
        <f t="shared" si="616"/>
        <v/>
      </c>
      <c r="S5606" s="83" t="str">
        <f t="shared" si="612"/>
        <v/>
      </c>
      <c r="T5606" s="83" t="str">
        <f t="shared" si="610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1"/>
        <v/>
      </c>
      <c r="B5607" s="83" t="str">
        <f t="shared" si="616"/>
        <v/>
      </c>
      <c r="S5607" s="83" t="str">
        <f t="shared" si="612"/>
        <v/>
      </c>
      <c r="T5607" s="83" t="str">
        <f t="shared" si="610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1"/>
        <v/>
      </c>
      <c r="B5608" s="83" t="str">
        <f t="shared" si="616"/>
        <v/>
      </c>
      <c r="S5608" s="83" t="str">
        <f t="shared" si="612"/>
        <v/>
      </c>
      <c r="T5608" s="83" t="str">
        <f t="shared" si="610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1"/>
        <v/>
      </c>
      <c r="B5609" s="83" t="str">
        <f t="shared" si="616"/>
        <v/>
      </c>
      <c r="S5609" s="83" t="str">
        <f t="shared" si="612"/>
        <v/>
      </c>
      <c r="T5609" s="83" t="str">
        <f t="shared" si="610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1"/>
        <v/>
      </c>
      <c r="B5610" s="83" t="str">
        <f t="shared" si="616"/>
        <v/>
      </c>
      <c r="S5610" s="83" t="str">
        <f t="shared" si="612"/>
        <v/>
      </c>
      <c r="T5610" s="83" t="str">
        <f t="shared" si="610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1"/>
        <v/>
      </c>
      <c r="B5611" s="83" t="str">
        <f t="shared" si="616"/>
        <v/>
      </c>
      <c r="S5611" s="83" t="str">
        <f t="shared" si="612"/>
        <v/>
      </c>
      <c r="T5611" s="83" t="str">
        <f t="shared" si="610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1"/>
        <v/>
      </c>
      <c r="B5612" s="83" t="str">
        <f t="shared" si="616"/>
        <v/>
      </c>
      <c r="S5612" s="83" t="str">
        <f t="shared" si="612"/>
        <v/>
      </c>
      <c r="T5612" s="83" t="str">
        <f t="shared" si="610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1"/>
        <v/>
      </c>
      <c r="B5613" s="83" t="str">
        <f t="shared" si="616"/>
        <v/>
      </c>
      <c r="S5613" s="83" t="str">
        <f t="shared" si="612"/>
        <v/>
      </c>
      <c r="T5613" s="83" t="str">
        <f t="shared" si="610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1"/>
        <v/>
      </c>
      <c r="B5614" s="83" t="str">
        <f t="shared" si="616"/>
        <v/>
      </c>
      <c r="S5614" s="83" t="str">
        <f t="shared" si="612"/>
        <v/>
      </c>
      <c r="T5614" s="83" t="str">
        <f t="shared" si="610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1"/>
        <v/>
      </c>
      <c r="B5615" s="83" t="str">
        <f t="shared" si="616"/>
        <v/>
      </c>
      <c r="S5615" s="83" t="str">
        <f t="shared" si="612"/>
        <v/>
      </c>
      <c r="T5615" s="83" t="str">
        <f t="shared" si="610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1"/>
        <v/>
      </c>
      <c r="B5616" s="83" t="str">
        <f t="shared" si="616"/>
        <v/>
      </c>
      <c r="S5616" s="83" t="str">
        <f t="shared" si="612"/>
        <v/>
      </c>
      <c r="T5616" s="83" t="str">
        <f t="shared" si="610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1"/>
        <v/>
      </c>
      <c r="B5617" s="83" t="str">
        <f t="shared" si="616"/>
        <v/>
      </c>
      <c r="S5617" s="83" t="str">
        <f t="shared" si="612"/>
        <v/>
      </c>
      <c r="T5617" s="83" t="str">
        <f t="shared" si="610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1"/>
        <v/>
      </c>
      <c r="B5618" s="83" t="str">
        <f t="shared" si="616"/>
        <v/>
      </c>
      <c r="S5618" s="83" t="str">
        <f t="shared" si="612"/>
        <v/>
      </c>
      <c r="T5618" s="83" t="str">
        <f t="shared" si="610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1"/>
        <v/>
      </c>
      <c r="B5619" s="83" t="str">
        <f t="shared" si="616"/>
        <v/>
      </c>
      <c r="S5619" s="83" t="str">
        <f t="shared" si="612"/>
        <v/>
      </c>
      <c r="T5619" s="83" t="str">
        <f t="shared" si="610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1"/>
        <v/>
      </c>
      <c r="B5620" s="83" t="str">
        <f t="shared" si="616"/>
        <v/>
      </c>
      <c r="S5620" s="83" t="str">
        <f t="shared" si="612"/>
        <v/>
      </c>
      <c r="T5620" s="83" t="str">
        <f t="shared" si="610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1"/>
        <v/>
      </c>
      <c r="B5621" s="83" t="str">
        <f t="shared" si="616"/>
        <v/>
      </c>
      <c r="S5621" s="83" t="str">
        <f t="shared" si="612"/>
        <v/>
      </c>
      <c r="T5621" s="83" t="str">
        <f t="shared" si="610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1"/>
        <v/>
      </c>
      <c r="B5622" s="83" t="str">
        <f t="shared" si="616"/>
        <v/>
      </c>
      <c r="S5622" s="83" t="str">
        <f t="shared" si="612"/>
        <v/>
      </c>
      <c r="T5622" s="83" t="str">
        <f t="shared" si="610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1"/>
        <v/>
      </c>
      <c r="B5623" s="83" t="str">
        <f t="shared" si="616"/>
        <v/>
      </c>
      <c r="S5623" s="83" t="str">
        <f t="shared" si="612"/>
        <v/>
      </c>
      <c r="T5623" s="83" t="str">
        <f t="shared" si="610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1"/>
        <v/>
      </c>
      <c r="B5624" s="83" t="str">
        <f t="shared" si="616"/>
        <v/>
      </c>
      <c r="S5624" s="83" t="str">
        <f t="shared" si="612"/>
        <v/>
      </c>
      <c r="T5624" s="83" t="str">
        <f t="shared" si="610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1"/>
        <v/>
      </c>
      <c r="B5625" s="83" t="str">
        <f t="shared" si="616"/>
        <v/>
      </c>
      <c r="S5625" s="83" t="str">
        <f t="shared" si="612"/>
        <v/>
      </c>
      <c r="T5625" s="83" t="str">
        <f t="shared" si="610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1"/>
        <v/>
      </c>
      <c r="B5626" s="83" t="str">
        <f t="shared" si="616"/>
        <v/>
      </c>
      <c r="S5626" s="83" t="str">
        <f t="shared" si="612"/>
        <v/>
      </c>
      <c r="T5626" s="83" t="str">
        <f t="shared" si="610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1"/>
        <v/>
      </c>
      <c r="B5627" s="83" t="str">
        <f t="shared" si="616"/>
        <v/>
      </c>
      <c r="S5627" s="83" t="str">
        <f t="shared" si="612"/>
        <v/>
      </c>
      <c r="T5627" s="83" t="str">
        <f t="shared" si="610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1"/>
        <v/>
      </c>
      <c r="B5628" s="83" t="str">
        <f t="shared" si="616"/>
        <v/>
      </c>
      <c r="S5628" s="83" t="str">
        <f t="shared" si="612"/>
        <v/>
      </c>
      <c r="T5628" s="83" t="str">
        <f t="shared" si="610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1"/>
        <v/>
      </c>
      <c r="B5629" s="83" t="str">
        <f t="shared" si="616"/>
        <v/>
      </c>
      <c r="S5629" s="83" t="str">
        <f t="shared" si="612"/>
        <v/>
      </c>
      <c r="T5629" s="83" t="str">
        <f t="shared" si="610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1"/>
        <v/>
      </c>
      <c r="B5630" s="83" t="str">
        <f t="shared" si="616"/>
        <v/>
      </c>
      <c r="S5630" s="83" t="str">
        <f t="shared" si="612"/>
        <v/>
      </c>
      <c r="T5630" s="83" t="str">
        <f t="shared" si="610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1"/>
        <v/>
      </c>
      <c r="B5631" s="83" t="str">
        <f t="shared" si="616"/>
        <v/>
      </c>
      <c r="S5631" s="83" t="str">
        <f t="shared" si="612"/>
        <v/>
      </c>
      <c r="T5631" s="83" t="str">
        <f t="shared" si="610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1"/>
        <v/>
      </c>
      <c r="B5632" s="83" t="str">
        <f t="shared" si="616"/>
        <v/>
      </c>
      <c r="S5632" s="83" t="str">
        <f t="shared" si="612"/>
        <v/>
      </c>
      <c r="T5632" s="83" t="str">
        <f t="shared" si="610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1"/>
        <v/>
      </c>
      <c r="B5633" s="83" t="str">
        <f t="shared" si="616"/>
        <v/>
      </c>
      <c r="S5633" s="83" t="str">
        <f t="shared" si="612"/>
        <v/>
      </c>
      <c r="T5633" s="83" t="str">
        <f t="shared" si="610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1"/>
        <v/>
      </c>
      <c r="B5634" s="83" t="str">
        <f t="shared" si="616"/>
        <v/>
      </c>
      <c r="S5634" s="83" t="str">
        <f t="shared" si="612"/>
        <v/>
      </c>
      <c r="T5634" s="83" t="str">
        <f t="shared" ref="T5634:T5697" si="617">IF(A5634&lt;&gt;"",IF(FIND(" ",G5634)&gt;=1,MID(G5634,FIND(" ",G5634)+1,LEN(G5634)),""),"")</f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8">IF(G5635&amp;Q5635&lt;&gt;"",S5635&amp;Q5635,"")</f>
        <v/>
      </c>
      <c r="B5635" s="83" t="str">
        <f t="shared" si="616"/>
        <v/>
      </c>
      <c r="S5635" s="83" t="str">
        <f t="shared" ref="S5635:S5698" si="619">IF(G5635&lt;&gt;"",IF(FIND(" ",G5635)&gt;=1,MID(G5635,1,FIND(" ",G5635)-1),G5635),"")</f>
        <v/>
      </c>
      <c r="T5635" s="83" t="str">
        <f t="shared" si="617"/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8"/>
        <v/>
      </c>
      <c r="B5636" s="83" t="str">
        <f t="shared" si="616"/>
        <v/>
      </c>
      <c r="S5636" s="83" t="str">
        <f t="shared" si="619"/>
        <v/>
      </c>
      <c r="T5636" s="83" t="str">
        <f t="shared" si="617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8"/>
        <v/>
      </c>
      <c r="B5637" s="83" t="str">
        <f t="shared" si="616"/>
        <v/>
      </c>
      <c r="S5637" s="83" t="str">
        <f t="shared" si="619"/>
        <v/>
      </c>
      <c r="T5637" s="83" t="str">
        <f t="shared" si="617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8"/>
        <v/>
      </c>
      <c r="B5638" s="83" t="str">
        <f t="shared" si="616"/>
        <v/>
      </c>
      <c r="S5638" s="83" t="str">
        <f t="shared" si="619"/>
        <v/>
      </c>
      <c r="T5638" s="83" t="str">
        <f t="shared" si="617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8"/>
        <v/>
      </c>
      <c r="B5639" s="83" t="str">
        <f t="shared" si="616"/>
        <v/>
      </c>
      <c r="S5639" s="83" t="str">
        <f t="shared" si="619"/>
        <v/>
      </c>
      <c r="T5639" s="83" t="str">
        <f t="shared" si="617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8"/>
        <v/>
      </c>
      <c r="B5640" s="83" t="str">
        <f t="shared" si="616"/>
        <v/>
      </c>
      <c r="S5640" s="83" t="str">
        <f t="shared" si="619"/>
        <v/>
      </c>
      <c r="T5640" s="83" t="str">
        <f t="shared" si="617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8"/>
        <v/>
      </c>
      <c r="B5641" s="83" t="str">
        <f t="shared" si="616"/>
        <v/>
      </c>
      <c r="S5641" s="83" t="str">
        <f t="shared" si="619"/>
        <v/>
      </c>
      <c r="T5641" s="83" t="str">
        <f t="shared" si="617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8"/>
        <v/>
      </c>
      <c r="B5642" s="83" t="str">
        <f t="shared" si="616"/>
        <v/>
      </c>
      <c r="S5642" s="83" t="str">
        <f t="shared" si="619"/>
        <v/>
      </c>
      <c r="T5642" s="83" t="str">
        <f t="shared" si="617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8"/>
        <v/>
      </c>
      <c r="B5643" s="83" t="str">
        <f t="shared" si="616"/>
        <v/>
      </c>
      <c r="S5643" s="83" t="str">
        <f t="shared" si="619"/>
        <v/>
      </c>
      <c r="T5643" s="83" t="str">
        <f t="shared" si="617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8"/>
        <v/>
      </c>
      <c r="B5644" s="83" t="str">
        <f t="shared" si="616"/>
        <v/>
      </c>
      <c r="S5644" s="83" t="str">
        <f t="shared" si="619"/>
        <v/>
      </c>
      <c r="T5644" s="83" t="str">
        <f t="shared" si="617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8"/>
        <v/>
      </c>
      <c r="B5645" s="83" t="str">
        <f t="shared" si="616"/>
        <v/>
      </c>
      <c r="S5645" s="83" t="str">
        <f t="shared" si="619"/>
        <v/>
      </c>
      <c r="T5645" s="83" t="str">
        <f t="shared" si="617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8"/>
        <v/>
      </c>
      <c r="B5646" s="83" t="str">
        <f t="shared" si="616"/>
        <v/>
      </c>
      <c r="S5646" s="83" t="str">
        <f t="shared" si="619"/>
        <v/>
      </c>
      <c r="T5646" s="83" t="str">
        <f t="shared" si="617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8"/>
        <v/>
      </c>
      <c r="B5647" s="83" t="str">
        <f t="shared" si="616"/>
        <v/>
      </c>
      <c r="S5647" s="83" t="str">
        <f t="shared" si="619"/>
        <v/>
      </c>
      <c r="T5647" s="83" t="str">
        <f t="shared" si="617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8"/>
        <v/>
      </c>
      <c r="B5648" s="83" t="str">
        <f t="shared" si="616"/>
        <v/>
      </c>
      <c r="S5648" s="83" t="str">
        <f t="shared" si="619"/>
        <v/>
      </c>
      <c r="T5648" s="83" t="str">
        <f t="shared" si="617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8"/>
        <v/>
      </c>
      <c r="B5649" s="83" t="str">
        <f t="shared" si="616"/>
        <v/>
      </c>
      <c r="S5649" s="83" t="str">
        <f t="shared" si="619"/>
        <v/>
      </c>
      <c r="T5649" s="83" t="str">
        <f t="shared" si="617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8"/>
        <v/>
      </c>
      <c r="B5650" s="83" t="str">
        <f t="shared" si="616"/>
        <v/>
      </c>
      <c r="S5650" s="83" t="str">
        <f t="shared" si="619"/>
        <v/>
      </c>
      <c r="T5650" s="83" t="str">
        <f t="shared" si="617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8"/>
        <v/>
      </c>
      <c r="B5651" s="83" t="str">
        <f t="shared" si="616"/>
        <v/>
      </c>
      <c r="S5651" s="83" t="str">
        <f t="shared" si="619"/>
        <v/>
      </c>
      <c r="T5651" s="83" t="str">
        <f t="shared" si="617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8"/>
        <v/>
      </c>
      <c r="B5652" s="83" t="str">
        <f t="shared" si="616"/>
        <v/>
      </c>
      <c r="S5652" s="83" t="str">
        <f t="shared" si="619"/>
        <v/>
      </c>
      <c r="T5652" s="83" t="str">
        <f t="shared" si="617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8"/>
        <v/>
      </c>
      <c r="B5653" s="83" t="str">
        <f t="shared" si="616"/>
        <v/>
      </c>
      <c r="S5653" s="83" t="str">
        <f t="shared" si="619"/>
        <v/>
      </c>
      <c r="T5653" s="83" t="str">
        <f t="shared" si="617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8"/>
        <v/>
      </c>
      <c r="B5654" s="83" t="str">
        <f t="shared" si="616"/>
        <v/>
      </c>
      <c r="S5654" s="83" t="str">
        <f t="shared" si="619"/>
        <v/>
      </c>
      <c r="T5654" s="83" t="str">
        <f t="shared" si="617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8"/>
        <v/>
      </c>
      <c r="B5655" s="83" t="str">
        <f t="shared" si="616"/>
        <v/>
      </c>
      <c r="S5655" s="83" t="str">
        <f t="shared" si="619"/>
        <v/>
      </c>
      <c r="T5655" s="83" t="str">
        <f t="shared" si="617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8"/>
        <v/>
      </c>
      <c r="B5656" s="83" t="str">
        <f t="shared" si="616"/>
        <v/>
      </c>
      <c r="S5656" s="83" t="str">
        <f t="shared" si="619"/>
        <v/>
      </c>
      <c r="T5656" s="83" t="str">
        <f t="shared" si="617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8"/>
        <v/>
      </c>
      <c r="B5657" s="83" t="str">
        <f t="shared" si="616"/>
        <v/>
      </c>
      <c r="S5657" s="83" t="str">
        <f t="shared" si="619"/>
        <v/>
      </c>
      <c r="T5657" s="83" t="str">
        <f t="shared" si="617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8"/>
        <v/>
      </c>
      <c r="B5658" s="83" t="str">
        <f t="shared" si="616"/>
        <v/>
      </c>
      <c r="S5658" s="83" t="str">
        <f t="shared" si="619"/>
        <v/>
      </c>
      <c r="T5658" s="83" t="str">
        <f t="shared" si="617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8"/>
        <v/>
      </c>
      <c r="B5659" s="83" t="str">
        <f t="shared" si="616"/>
        <v/>
      </c>
      <c r="S5659" s="83" t="str">
        <f t="shared" si="619"/>
        <v/>
      </c>
      <c r="T5659" s="83" t="str">
        <f t="shared" si="617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8"/>
        <v/>
      </c>
      <c r="B5660" s="83" t="str">
        <f t="shared" si="616"/>
        <v/>
      </c>
      <c r="S5660" s="83" t="str">
        <f t="shared" si="619"/>
        <v/>
      </c>
      <c r="T5660" s="83" t="str">
        <f t="shared" si="617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8"/>
        <v/>
      </c>
      <c r="B5661" s="83" t="str">
        <f t="shared" si="616"/>
        <v/>
      </c>
      <c r="S5661" s="83" t="str">
        <f t="shared" si="619"/>
        <v/>
      </c>
      <c r="T5661" s="83" t="str">
        <f t="shared" si="617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8"/>
        <v/>
      </c>
      <c r="B5662" s="83" t="str">
        <f t="shared" si="616"/>
        <v/>
      </c>
      <c r="S5662" s="83" t="str">
        <f t="shared" si="619"/>
        <v/>
      </c>
      <c r="T5662" s="83" t="str">
        <f t="shared" si="617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8"/>
        <v/>
      </c>
      <c r="B5663" s="83" t="str">
        <f t="shared" si="616"/>
        <v/>
      </c>
      <c r="S5663" s="83" t="str">
        <f t="shared" si="619"/>
        <v/>
      </c>
      <c r="T5663" s="83" t="str">
        <f t="shared" si="617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8"/>
        <v/>
      </c>
      <c r="B5664" s="83" t="str">
        <f t="shared" si="616"/>
        <v/>
      </c>
      <c r="S5664" s="83" t="str">
        <f t="shared" si="619"/>
        <v/>
      </c>
      <c r="T5664" s="83" t="str">
        <f t="shared" si="617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8"/>
        <v/>
      </c>
      <c r="B5665" s="83" t="str">
        <f t="shared" ref="B5665:B5728" si="623">IF(C5665&lt;&gt;"",LEFT(C5665,9),"")</f>
        <v/>
      </c>
      <c r="S5665" s="83" t="str">
        <f t="shared" si="619"/>
        <v/>
      </c>
      <c r="T5665" s="83" t="str">
        <f t="shared" si="617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8"/>
        <v/>
      </c>
      <c r="B5666" s="83" t="str">
        <f t="shared" si="623"/>
        <v/>
      </c>
      <c r="S5666" s="83" t="str">
        <f t="shared" si="619"/>
        <v/>
      </c>
      <c r="T5666" s="83" t="str">
        <f t="shared" si="617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8"/>
        <v/>
      </c>
      <c r="B5667" s="83" t="str">
        <f t="shared" si="623"/>
        <v/>
      </c>
      <c r="S5667" s="83" t="str">
        <f t="shared" si="619"/>
        <v/>
      </c>
      <c r="T5667" s="83" t="str">
        <f t="shared" si="617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8"/>
        <v/>
      </c>
      <c r="B5668" s="83" t="str">
        <f t="shared" si="623"/>
        <v/>
      </c>
      <c r="S5668" s="83" t="str">
        <f t="shared" si="619"/>
        <v/>
      </c>
      <c r="T5668" s="83" t="str">
        <f t="shared" si="617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8"/>
        <v/>
      </c>
      <c r="B5669" s="83" t="str">
        <f t="shared" si="623"/>
        <v/>
      </c>
      <c r="S5669" s="83" t="str">
        <f t="shared" si="619"/>
        <v/>
      </c>
      <c r="T5669" s="83" t="str">
        <f t="shared" si="617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8"/>
        <v/>
      </c>
      <c r="B5670" s="83" t="str">
        <f t="shared" si="623"/>
        <v/>
      </c>
      <c r="S5670" s="83" t="str">
        <f t="shared" si="619"/>
        <v/>
      </c>
      <c r="T5670" s="83" t="str">
        <f t="shared" si="617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8"/>
        <v/>
      </c>
      <c r="B5671" s="83" t="str">
        <f t="shared" si="623"/>
        <v/>
      </c>
      <c r="S5671" s="83" t="str">
        <f t="shared" si="619"/>
        <v/>
      </c>
      <c r="T5671" s="83" t="str">
        <f t="shared" si="617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8"/>
        <v/>
      </c>
      <c r="B5672" s="83" t="str">
        <f t="shared" si="623"/>
        <v/>
      </c>
      <c r="S5672" s="83" t="str">
        <f t="shared" si="619"/>
        <v/>
      </c>
      <c r="T5672" s="83" t="str">
        <f t="shared" si="617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8"/>
        <v/>
      </c>
      <c r="B5673" s="83" t="str">
        <f t="shared" si="623"/>
        <v/>
      </c>
      <c r="S5673" s="83" t="str">
        <f t="shared" si="619"/>
        <v/>
      </c>
      <c r="T5673" s="83" t="str">
        <f t="shared" si="617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8"/>
        <v/>
      </c>
      <c r="B5674" s="83" t="str">
        <f t="shared" si="623"/>
        <v/>
      </c>
      <c r="S5674" s="83" t="str">
        <f t="shared" si="619"/>
        <v/>
      </c>
      <c r="T5674" s="83" t="str">
        <f t="shared" si="617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8"/>
        <v/>
      </c>
      <c r="B5675" s="83" t="str">
        <f t="shared" si="623"/>
        <v/>
      </c>
      <c r="S5675" s="83" t="str">
        <f t="shared" si="619"/>
        <v/>
      </c>
      <c r="T5675" s="83" t="str">
        <f t="shared" si="617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8"/>
        <v/>
      </c>
      <c r="B5676" s="83" t="str">
        <f t="shared" si="623"/>
        <v/>
      </c>
      <c r="S5676" s="83" t="str">
        <f t="shared" si="619"/>
        <v/>
      </c>
      <c r="T5676" s="83" t="str">
        <f t="shared" si="617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8"/>
        <v/>
      </c>
      <c r="B5677" s="83" t="str">
        <f t="shared" si="623"/>
        <v/>
      </c>
      <c r="S5677" s="83" t="str">
        <f t="shared" si="619"/>
        <v/>
      </c>
      <c r="T5677" s="83" t="str">
        <f t="shared" si="617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8"/>
        <v/>
      </c>
      <c r="B5678" s="83" t="str">
        <f t="shared" si="623"/>
        <v/>
      </c>
      <c r="S5678" s="83" t="str">
        <f t="shared" si="619"/>
        <v/>
      </c>
      <c r="T5678" s="83" t="str">
        <f t="shared" si="617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8"/>
        <v/>
      </c>
      <c r="B5679" s="83" t="str">
        <f t="shared" si="623"/>
        <v/>
      </c>
      <c r="S5679" s="83" t="str">
        <f t="shared" si="619"/>
        <v/>
      </c>
      <c r="T5679" s="83" t="str">
        <f t="shared" si="617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8"/>
        <v/>
      </c>
      <c r="B5680" s="83" t="str">
        <f t="shared" si="623"/>
        <v/>
      </c>
      <c r="S5680" s="83" t="str">
        <f t="shared" si="619"/>
        <v/>
      </c>
      <c r="T5680" s="83" t="str">
        <f t="shared" si="617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8"/>
        <v/>
      </c>
      <c r="B5681" s="83" t="str">
        <f t="shared" si="623"/>
        <v/>
      </c>
      <c r="S5681" s="83" t="str">
        <f t="shared" si="619"/>
        <v/>
      </c>
      <c r="T5681" s="83" t="str">
        <f t="shared" si="617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8"/>
        <v/>
      </c>
      <c r="B5682" s="83" t="str">
        <f t="shared" si="623"/>
        <v/>
      </c>
      <c r="S5682" s="83" t="str">
        <f t="shared" si="619"/>
        <v/>
      </c>
      <c r="T5682" s="83" t="str">
        <f t="shared" si="617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8"/>
        <v/>
      </c>
      <c r="B5683" s="83" t="str">
        <f t="shared" si="623"/>
        <v/>
      </c>
      <c r="S5683" s="83" t="str">
        <f t="shared" si="619"/>
        <v/>
      </c>
      <c r="T5683" s="83" t="str">
        <f t="shared" si="617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8"/>
        <v/>
      </c>
      <c r="B5684" s="83" t="str">
        <f t="shared" si="623"/>
        <v/>
      </c>
      <c r="S5684" s="83" t="str">
        <f t="shared" si="619"/>
        <v/>
      </c>
      <c r="T5684" s="83" t="str">
        <f t="shared" si="617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8"/>
        <v/>
      </c>
      <c r="B5685" s="83" t="str">
        <f t="shared" si="623"/>
        <v/>
      </c>
      <c r="S5685" s="83" t="str">
        <f t="shared" si="619"/>
        <v/>
      </c>
      <c r="T5685" s="83" t="str">
        <f t="shared" si="617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8"/>
        <v/>
      </c>
      <c r="B5686" s="83" t="str">
        <f t="shared" si="623"/>
        <v/>
      </c>
      <c r="S5686" s="83" t="str">
        <f t="shared" si="619"/>
        <v/>
      </c>
      <c r="T5686" s="83" t="str">
        <f t="shared" si="617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8"/>
        <v/>
      </c>
      <c r="B5687" s="83" t="str">
        <f t="shared" si="623"/>
        <v/>
      </c>
      <c r="S5687" s="83" t="str">
        <f t="shared" si="619"/>
        <v/>
      </c>
      <c r="T5687" s="83" t="str">
        <f t="shared" si="617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8"/>
        <v/>
      </c>
      <c r="B5688" s="83" t="str">
        <f t="shared" si="623"/>
        <v/>
      </c>
      <c r="S5688" s="83" t="str">
        <f t="shared" si="619"/>
        <v/>
      </c>
      <c r="T5688" s="83" t="str">
        <f t="shared" si="617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8"/>
        <v/>
      </c>
      <c r="B5689" s="83" t="str">
        <f t="shared" si="623"/>
        <v/>
      </c>
      <c r="S5689" s="83" t="str">
        <f t="shared" si="619"/>
        <v/>
      </c>
      <c r="T5689" s="83" t="str">
        <f t="shared" si="617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8"/>
        <v/>
      </c>
      <c r="B5690" s="83" t="str">
        <f t="shared" si="623"/>
        <v/>
      </c>
      <c r="S5690" s="83" t="str">
        <f t="shared" si="619"/>
        <v/>
      </c>
      <c r="T5690" s="83" t="str">
        <f t="shared" si="617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8"/>
        <v/>
      </c>
      <c r="B5691" s="83" t="str">
        <f t="shared" si="623"/>
        <v/>
      </c>
      <c r="S5691" s="83" t="str">
        <f t="shared" si="619"/>
        <v/>
      </c>
      <c r="T5691" s="83" t="str">
        <f t="shared" si="617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8"/>
        <v/>
      </c>
      <c r="B5692" s="83" t="str">
        <f t="shared" si="623"/>
        <v/>
      </c>
      <c r="S5692" s="83" t="str">
        <f t="shared" si="619"/>
        <v/>
      </c>
      <c r="T5692" s="83" t="str">
        <f t="shared" si="617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8"/>
        <v/>
      </c>
      <c r="B5693" s="83" t="str">
        <f t="shared" si="623"/>
        <v/>
      </c>
      <c r="S5693" s="83" t="str">
        <f t="shared" si="619"/>
        <v/>
      </c>
      <c r="T5693" s="83" t="str">
        <f t="shared" si="617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8"/>
        <v/>
      </c>
      <c r="B5694" s="83" t="str">
        <f t="shared" si="623"/>
        <v/>
      </c>
      <c r="S5694" s="83" t="str">
        <f t="shared" si="619"/>
        <v/>
      </c>
      <c r="T5694" s="83" t="str">
        <f t="shared" si="617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8"/>
        <v/>
      </c>
      <c r="B5695" s="83" t="str">
        <f t="shared" si="623"/>
        <v/>
      </c>
      <c r="S5695" s="83" t="str">
        <f t="shared" si="619"/>
        <v/>
      </c>
      <c r="T5695" s="83" t="str">
        <f t="shared" si="617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8"/>
        <v/>
      </c>
      <c r="B5696" s="83" t="str">
        <f t="shared" si="623"/>
        <v/>
      </c>
      <c r="S5696" s="83" t="str">
        <f t="shared" si="619"/>
        <v/>
      </c>
      <c r="T5696" s="83" t="str">
        <f t="shared" si="617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8"/>
        <v/>
      </c>
      <c r="B5697" s="83" t="str">
        <f t="shared" si="623"/>
        <v/>
      </c>
      <c r="S5697" s="83" t="str">
        <f t="shared" si="619"/>
        <v/>
      </c>
      <c r="T5697" s="83" t="str">
        <f t="shared" si="617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8"/>
        <v/>
      </c>
      <c r="B5698" s="83" t="str">
        <f t="shared" si="623"/>
        <v/>
      </c>
      <c r="S5698" s="83" t="str">
        <f t="shared" si="619"/>
        <v/>
      </c>
      <c r="T5698" s="83" t="str">
        <f t="shared" ref="T5698:T5761" si="624">IF(A5698&lt;&gt;"",IF(FIND(" ",G5698)&gt;=1,MID(G5698,FIND(" ",G5698)+1,LEN(G5698)),""),"")</f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5">IF(G5699&amp;Q5699&lt;&gt;"",S5699&amp;Q5699,"")</f>
        <v/>
      </c>
      <c r="B5699" s="83" t="str">
        <f t="shared" si="623"/>
        <v/>
      </c>
      <c r="S5699" s="83" t="str">
        <f t="shared" ref="S5699:S5762" si="626">IF(G5699&lt;&gt;"",IF(FIND(" ",G5699)&gt;=1,MID(G5699,1,FIND(" ",G5699)-1),G5699),"")</f>
        <v/>
      </c>
      <c r="T5699" s="83" t="str">
        <f t="shared" si="624"/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5"/>
        <v/>
      </c>
      <c r="B5700" s="83" t="str">
        <f t="shared" si="623"/>
        <v/>
      </c>
      <c r="S5700" s="83" t="str">
        <f t="shared" si="626"/>
        <v/>
      </c>
      <c r="T5700" s="83" t="str">
        <f t="shared" si="624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5"/>
        <v/>
      </c>
      <c r="B5701" s="83" t="str">
        <f t="shared" si="623"/>
        <v/>
      </c>
      <c r="S5701" s="83" t="str">
        <f t="shared" si="626"/>
        <v/>
      </c>
      <c r="T5701" s="83" t="str">
        <f t="shared" si="624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5"/>
        <v/>
      </c>
      <c r="B5702" s="83" t="str">
        <f t="shared" si="623"/>
        <v/>
      </c>
      <c r="S5702" s="83" t="str">
        <f t="shared" si="626"/>
        <v/>
      </c>
      <c r="T5702" s="83" t="str">
        <f t="shared" si="624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5"/>
        <v/>
      </c>
      <c r="B5703" s="83" t="str">
        <f t="shared" si="623"/>
        <v/>
      </c>
      <c r="S5703" s="83" t="str">
        <f t="shared" si="626"/>
        <v/>
      </c>
      <c r="T5703" s="83" t="str">
        <f t="shared" si="624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5"/>
        <v/>
      </c>
      <c r="B5704" s="83" t="str">
        <f t="shared" si="623"/>
        <v/>
      </c>
      <c r="S5704" s="83" t="str">
        <f t="shared" si="626"/>
        <v/>
      </c>
      <c r="T5704" s="83" t="str">
        <f t="shared" si="624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5"/>
        <v/>
      </c>
      <c r="B5705" s="83" t="str">
        <f t="shared" si="623"/>
        <v/>
      </c>
      <c r="S5705" s="83" t="str">
        <f t="shared" si="626"/>
        <v/>
      </c>
      <c r="T5705" s="83" t="str">
        <f t="shared" si="624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5"/>
        <v/>
      </c>
      <c r="B5706" s="83" t="str">
        <f t="shared" si="623"/>
        <v/>
      </c>
      <c r="S5706" s="83" t="str">
        <f t="shared" si="626"/>
        <v/>
      </c>
      <c r="T5706" s="83" t="str">
        <f t="shared" si="624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5"/>
        <v/>
      </c>
      <c r="B5707" s="83" t="str">
        <f t="shared" si="623"/>
        <v/>
      </c>
      <c r="S5707" s="83" t="str">
        <f t="shared" si="626"/>
        <v/>
      </c>
      <c r="T5707" s="83" t="str">
        <f t="shared" si="624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5"/>
        <v/>
      </c>
      <c r="B5708" s="83" t="str">
        <f t="shared" si="623"/>
        <v/>
      </c>
      <c r="S5708" s="83" t="str">
        <f t="shared" si="626"/>
        <v/>
      </c>
      <c r="T5708" s="83" t="str">
        <f t="shared" si="624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5"/>
        <v/>
      </c>
      <c r="B5709" s="83" t="str">
        <f t="shared" si="623"/>
        <v/>
      </c>
      <c r="S5709" s="83" t="str">
        <f t="shared" si="626"/>
        <v/>
      </c>
      <c r="T5709" s="83" t="str">
        <f t="shared" si="624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5"/>
        <v/>
      </c>
      <c r="B5710" s="83" t="str">
        <f t="shared" si="623"/>
        <v/>
      </c>
      <c r="S5710" s="83" t="str">
        <f t="shared" si="626"/>
        <v/>
      </c>
      <c r="T5710" s="83" t="str">
        <f t="shared" si="624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5"/>
        <v/>
      </c>
      <c r="B5711" s="83" t="str">
        <f t="shared" si="623"/>
        <v/>
      </c>
      <c r="S5711" s="83" t="str">
        <f t="shared" si="626"/>
        <v/>
      </c>
      <c r="T5711" s="83" t="str">
        <f t="shared" si="624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5"/>
        <v/>
      </c>
      <c r="B5712" s="83" t="str">
        <f t="shared" si="623"/>
        <v/>
      </c>
      <c r="S5712" s="83" t="str">
        <f t="shared" si="626"/>
        <v/>
      </c>
      <c r="T5712" s="83" t="str">
        <f t="shared" si="624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5"/>
        <v/>
      </c>
      <c r="B5713" s="83" t="str">
        <f t="shared" si="623"/>
        <v/>
      </c>
      <c r="S5713" s="83" t="str">
        <f t="shared" si="626"/>
        <v/>
      </c>
      <c r="T5713" s="83" t="str">
        <f t="shared" si="624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5"/>
        <v/>
      </c>
      <c r="B5714" s="83" t="str">
        <f t="shared" si="623"/>
        <v/>
      </c>
      <c r="S5714" s="83" t="str">
        <f t="shared" si="626"/>
        <v/>
      </c>
      <c r="T5714" s="83" t="str">
        <f t="shared" si="624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5"/>
        <v/>
      </c>
      <c r="B5715" s="83" t="str">
        <f t="shared" si="623"/>
        <v/>
      </c>
      <c r="S5715" s="83" t="str">
        <f t="shared" si="626"/>
        <v/>
      </c>
      <c r="T5715" s="83" t="str">
        <f t="shared" si="624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5"/>
        <v/>
      </c>
      <c r="B5716" s="83" t="str">
        <f t="shared" si="623"/>
        <v/>
      </c>
      <c r="S5716" s="83" t="str">
        <f t="shared" si="626"/>
        <v/>
      </c>
      <c r="T5716" s="83" t="str">
        <f t="shared" si="624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5"/>
        <v/>
      </c>
      <c r="B5717" s="83" t="str">
        <f t="shared" si="623"/>
        <v/>
      </c>
      <c r="S5717" s="83" t="str">
        <f t="shared" si="626"/>
        <v/>
      </c>
      <c r="T5717" s="83" t="str">
        <f t="shared" si="624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5"/>
        <v/>
      </c>
      <c r="B5718" s="83" t="str">
        <f t="shared" si="623"/>
        <v/>
      </c>
      <c r="S5718" s="83" t="str">
        <f t="shared" si="626"/>
        <v/>
      </c>
      <c r="T5718" s="83" t="str">
        <f t="shared" si="624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5"/>
        <v/>
      </c>
      <c r="B5719" s="83" t="str">
        <f t="shared" si="623"/>
        <v/>
      </c>
      <c r="S5719" s="83" t="str">
        <f t="shared" si="626"/>
        <v/>
      </c>
      <c r="T5719" s="83" t="str">
        <f t="shared" si="624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5"/>
        <v/>
      </c>
      <c r="B5720" s="83" t="str">
        <f t="shared" si="623"/>
        <v/>
      </c>
      <c r="S5720" s="83" t="str">
        <f t="shared" si="626"/>
        <v/>
      </c>
      <c r="T5720" s="83" t="str">
        <f t="shared" si="624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5"/>
        <v/>
      </c>
      <c r="B5721" s="83" t="str">
        <f t="shared" si="623"/>
        <v/>
      </c>
      <c r="S5721" s="83" t="str">
        <f t="shared" si="626"/>
        <v/>
      </c>
      <c r="T5721" s="83" t="str">
        <f t="shared" si="624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5"/>
        <v/>
      </c>
      <c r="B5722" s="83" t="str">
        <f t="shared" si="623"/>
        <v/>
      </c>
      <c r="S5722" s="83" t="str">
        <f t="shared" si="626"/>
        <v/>
      </c>
      <c r="T5722" s="83" t="str">
        <f t="shared" si="624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5"/>
        <v/>
      </c>
      <c r="B5723" s="83" t="str">
        <f t="shared" si="623"/>
        <v/>
      </c>
      <c r="S5723" s="83" t="str">
        <f t="shared" si="626"/>
        <v/>
      </c>
      <c r="T5723" s="83" t="str">
        <f t="shared" si="624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5"/>
        <v/>
      </c>
      <c r="B5724" s="83" t="str">
        <f t="shared" si="623"/>
        <v/>
      </c>
      <c r="S5724" s="83" t="str">
        <f t="shared" si="626"/>
        <v/>
      </c>
      <c r="T5724" s="83" t="str">
        <f t="shared" si="624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5"/>
        <v/>
      </c>
      <c r="B5725" s="83" t="str">
        <f t="shared" si="623"/>
        <v/>
      </c>
      <c r="S5725" s="83" t="str">
        <f t="shared" si="626"/>
        <v/>
      </c>
      <c r="T5725" s="83" t="str">
        <f t="shared" si="624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5"/>
        <v/>
      </c>
      <c r="B5726" s="83" t="str">
        <f t="shared" si="623"/>
        <v/>
      </c>
      <c r="S5726" s="83" t="str">
        <f t="shared" si="626"/>
        <v/>
      </c>
      <c r="T5726" s="83" t="str">
        <f t="shared" si="624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5"/>
        <v/>
      </c>
      <c r="B5727" s="83" t="str">
        <f t="shared" si="623"/>
        <v/>
      </c>
      <c r="S5727" s="83" t="str">
        <f t="shared" si="626"/>
        <v/>
      </c>
      <c r="T5727" s="83" t="str">
        <f t="shared" si="624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5"/>
        <v/>
      </c>
      <c r="B5728" s="83" t="str">
        <f t="shared" si="623"/>
        <v/>
      </c>
      <c r="S5728" s="83" t="str">
        <f t="shared" si="626"/>
        <v/>
      </c>
      <c r="T5728" s="83" t="str">
        <f t="shared" si="624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5"/>
        <v/>
      </c>
      <c r="B5729" s="83" t="str">
        <f t="shared" ref="B5729:B5792" si="630">IF(C5729&lt;&gt;"",LEFT(C5729,9),"")</f>
        <v/>
      </c>
      <c r="S5729" s="83" t="str">
        <f t="shared" si="626"/>
        <v/>
      </c>
      <c r="T5729" s="83" t="str">
        <f t="shared" si="624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5"/>
        <v/>
      </c>
      <c r="B5730" s="83" t="str">
        <f t="shared" si="630"/>
        <v/>
      </c>
      <c r="S5730" s="83" t="str">
        <f t="shared" si="626"/>
        <v/>
      </c>
      <c r="T5730" s="83" t="str">
        <f t="shared" si="624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5"/>
        <v/>
      </c>
      <c r="B5731" s="83" t="str">
        <f t="shared" si="630"/>
        <v/>
      </c>
      <c r="S5731" s="83" t="str">
        <f t="shared" si="626"/>
        <v/>
      </c>
      <c r="T5731" s="83" t="str">
        <f t="shared" si="624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5"/>
        <v/>
      </c>
      <c r="B5732" s="83" t="str">
        <f t="shared" si="630"/>
        <v/>
      </c>
      <c r="S5732" s="83" t="str">
        <f t="shared" si="626"/>
        <v/>
      </c>
      <c r="T5732" s="83" t="str">
        <f t="shared" si="624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5"/>
        <v/>
      </c>
      <c r="B5733" s="83" t="str">
        <f t="shared" si="630"/>
        <v/>
      </c>
      <c r="S5733" s="83" t="str">
        <f t="shared" si="626"/>
        <v/>
      </c>
      <c r="T5733" s="83" t="str">
        <f t="shared" si="624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5"/>
        <v/>
      </c>
      <c r="B5734" s="83" t="str">
        <f t="shared" si="630"/>
        <v/>
      </c>
      <c r="S5734" s="83" t="str">
        <f t="shared" si="626"/>
        <v/>
      </c>
      <c r="T5734" s="83" t="str">
        <f t="shared" si="624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5"/>
        <v/>
      </c>
      <c r="B5735" s="83" t="str">
        <f t="shared" si="630"/>
        <v/>
      </c>
      <c r="S5735" s="83" t="str">
        <f t="shared" si="626"/>
        <v/>
      </c>
      <c r="T5735" s="83" t="str">
        <f t="shared" si="624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5"/>
        <v/>
      </c>
      <c r="B5736" s="83" t="str">
        <f t="shared" si="630"/>
        <v/>
      </c>
      <c r="S5736" s="83" t="str">
        <f t="shared" si="626"/>
        <v/>
      </c>
      <c r="T5736" s="83" t="str">
        <f t="shared" si="624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5"/>
        <v/>
      </c>
      <c r="B5737" s="83" t="str">
        <f t="shared" si="630"/>
        <v/>
      </c>
      <c r="S5737" s="83" t="str">
        <f t="shared" si="626"/>
        <v/>
      </c>
      <c r="T5737" s="83" t="str">
        <f t="shared" si="624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5"/>
        <v/>
      </c>
      <c r="B5738" s="83" t="str">
        <f t="shared" si="630"/>
        <v/>
      </c>
      <c r="S5738" s="83" t="str">
        <f t="shared" si="626"/>
        <v/>
      </c>
      <c r="T5738" s="83" t="str">
        <f t="shared" si="624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5"/>
        <v/>
      </c>
      <c r="B5739" s="83" t="str">
        <f t="shared" si="630"/>
        <v/>
      </c>
      <c r="S5739" s="83" t="str">
        <f t="shared" si="626"/>
        <v/>
      </c>
      <c r="T5739" s="83" t="str">
        <f t="shared" si="624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5"/>
        <v/>
      </c>
      <c r="B5740" s="83" t="str">
        <f t="shared" si="630"/>
        <v/>
      </c>
      <c r="S5740" s="83" t="str">
        <f t="shared" si="626"/>
        <v/>
      </c>
      <c r="T5740" s="83" t="str">
        <f t="shared" si="624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5"/>
        <v/>
      </c>
      <c r="B5741" s="83" t="str">
        <f t="shared" si="630"/>
        <v/>
      </c>
      <c r="S5741" s="83" t="str">
        <f t="shared" si="626"/>
        <v/>
      </c>
      <c r="T5741" s="83" t="str">
        <f t="shared" si="624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5"/>
        <v/>
      </c>
      <c r="B5742" s="83" t="str">
        <f t="shared" si="630"/>
        <v/>
      </c>
      <c r="S5742" s="83" t="str">
        <f t="shared" si="626"/>
        <v/>
      </c>
      <c r="T5742" s="83" t="str">
        <f t="shared" si="624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5"/>
        <v/>
      </c>
      <c r="B5743" s="83" t="str">
        <f t="shared" si="630"/>
        <v/>
      </c>
      <c r="S5743" s="83" t="str">
        <f t="shared" si="626"/>
        <v/>
      </c>
      <c r="T5743" s="83" t="str">
        <f t="shared" si="624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5"/>
        <v/>
      </c>
      <c r="B5744" s="83" t="str">
        <f t="shared" si="630"/>
        <v/>
      </c>
      <c r="S5744" s="83" t="str">
        <f t="shared" si="626"/>
        <v/>
      </c>
      <c r="T5744" s="83" t="str">
        <f t="shared" si="624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5"/>
        <v/>
      </c>
      <c r="B5745" s="83" t="str">
        <f t="shared" si="630"/>
        <v/>
      </c>
      <c r="S5745" s="83" t="str">
        <f t="shared" si="626"/>
        <v/>
      </c>
      <c r="T5745" s="83" t="str">
        <f t="shared" si="624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5"/>
        <v/>
      </c>
      <c r="B5746" s="83" t="str">
        <f t="shared" si="630"/>
        <v/>
      </c>
      <c r="S5746" s="83" t="str">
        <f t="shared" si="626"/>
        <v/>
      </c>
      <c r="T5746" s="83" t="str">
        <f t="shared" si="624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5"/>
        <v/>
      </c>
      <c r="B5747" s="83" t="str">
        <f t="shared" si="630"/>
        <v/>
      </c>
      <c r="S5747" s="83" t="str">
        <f t="shared" si="626"/>
        <v/>
      </c>
      <c r="T5747" s="83" t="str">
        <f t="shared" si="624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5"/>
        <v/>
      </c>
      <c r="B5748" s="83" t="str">
        <f t="shared" si="630"/>
        <v/>
      </c>
      <c r="S5748" s="83" t="str">
        <f t="shared" si="626"/>
        <v/>
      </c>
      <c r="T5748" s="83" t="str">
        <f t="shared" si="624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5"/>
        <v/>
      </c>
      <c r="B5749" s="83" t="str">
        <f t="shared" si="630"/>
        <v/>
      </c>
      <c r="S5749" s="83" t="str">
        <f t="shared" si="626"/>
        <v/>
      </c>
      <c r="T5749" s="83" t="str">
        <f t="shared" si="624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5"/>
        <v/>
      </c>
      <c r="B5750" s="83" t="str">
        <f t="shared" si="630"/>
        <v/>
      </c>
      <c r="S5750" s="83" t="str">
        <f t="shared" si="626"/>
        <v/>
      </c>
      <c r="T5750" s="83" t="str">
        <f t="shared" si="624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5"/>
        <v/>
      </c>
      <c r="B5751" s="83" t="str">
        <f t="shared" si="630"/>
        <v/>
      </c>
      <c r="S5751" s="83" t="str">
        <f t="shared" si="626"/>
        <v/>
      </c>
      <c r="T5751" s="83" t="str">
        <f t="shared" si="624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5"/>
        <v/>
      </c>
      <c r="B5752" s="83" t="str">
        <f t="shared" si="630"/>
        <v/>
      </c>
      <c r="S5752" s="83" t="str">
        <f t="shared" si="626"/>
        <v/>
      </c>
      <c r="T5752" s="83" t="str">
        <f t="shared" si="624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5"/>
        <v/>
      </c>
      <c r="B5753" s="83" t="str">
        <f t="shared" si="630"/>
        <v/>
      </c>
      <c r="S5753" s="83" t="str">
        <f t="shared" si="626"/>
        <v/>
      </c>
      <c r="T5753" s="83" t="str">
        <f t="shared" si="624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5"/>
        <v/>
      </c>
      <c r="B5754" s="83" t="str">
        <f t="shared" si="630"/>
        <v/>
      </c>
      <c r="S5754" s="83" t="str">
        <f t="shared" si="626"/>
        <v/>
      </c>
      <c r="T5754" s="83" t="str">
        <f t="shared" si="624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5"/>
        <v/>
      </c>
      <c r="B5755" s="83" t="str">
        <f t="shared" si="630"/>
        <v/>
      </c>
      <c r="S5755" s="83" t="str">
        <f t="shared" si="626"/>
        <v/>
      </c>
      <c r="T5755" s="83" t="str">
        <f t="shared" si="624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5"/>
        <v/>
      </c>
      <c r="B5756" s="83" t="str">
        <f t="shared" si="630"/>
        <v/>
      </c>
      <c r="S5756" s="83" t="str">
        <f t="shared" si="626"/>
        <v/>
      </c>
      <c r="T5756" s="83" t="str">
        <f t="shared" si="624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5"/>
        <v/>
      </c>
      <c r="B5757" s="83" t="str">
        <f t="shared" si="630"/>
        <v/>
      </c>
      <c r="S5757" s="83" t="str">
        <f t="shared" si="626"/>
        <v/>
      </c>
      <c r="T5757" s="83" t="str">
        <f t="shared" si="624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5"/>
        <v/>
      </c>
      <c r="B5758" s="83" t="str">
        <f t="shared" si="630"/>
        <v/>
      </c>
      <c r="S5758" s="83" t="str">
        <f t="shared" si="626"/>
        <v/>
      </c>
      <c r="T5758" s="83" t="str">
        <f t="shared" si="624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5"/>
        <v/>
      </c>
      <c r="B5759" s="83" t="str">
        <f t="shared" si="630"/>
        <v/>
      </c>
      <c r="S5759" s="83" t="str">
        <f t="shared" si="626"/>
        <v/>
      </c>
      <c r="T5759" s="83" t="str">
        <f t="shared" si="624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5"/>
        <v/>
      </c>
      <c r="B5760" s="83" t="str">
        <f t="shared" si="630"/>
        <v/>
      </c>
      <c r="S5760" s="83" t="str">
        <f t="shared" si="626"/>
        <v/>
      </c>
      <c r="T5760" s="83" t="str">
        <f t="shared" si="624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5"/>
        <v/>
      </c>
      <c r="B5761" s="83" t="str">
        <f t="shared" si="630"/>
        <v/>
      </c>
      <c r="S5761" s="83" t="str">
        <f t="shared" si="626"/>
        <v/>
      </c>
      <c r="T5761" s="83" t="str">
        <f t="shared" si="624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5"/>
        <v/>
      </c>
      <c r="B5762" s="83" t="str">
        <f t="shared" si="630"/>
        <v/>
      </c>
      <c r="S5762" s="83" t="str">
        <f t="shared" si="626"/>
        <v/>
      </c>
      <c r="T5762" s="83" t="str">
        <f t="shared" ref="T5762:T5825" si="631">IF(A5762&lt;&gt;"",IF(FIND(" ",G5762)&gt;=1,MID(G5762,FIND(" ",G5762)+1,LEN(G5762)),""),"")</f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2">IF(G5763&amp;Q5763&lt;&gt;"",S5763&amp;Q5763,"")</f>
        <v/>
      </c>
      <c r="B5763" s="83" t="str">
        <f t="shared" si="630"/>
        <v/>
      </c>
      <c r="S5763" s="83" t="str">
        <f t="shared" ref="S5763:S5826" si="633">IF(G5763&lt;&gt;"",IF(FIND(" ",G5763)&gt;=1,MID(G5763,1,FIND(" ",G5763)-1),G5763),"")</f>
        <v/>
      </c>
      <c r="T5763" s="83" t="str">
        <f t="shared" si="631"/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2"/>
        <v/>
      </c>
      <c r="B5764" s="83" t="str">
        <f t="shared" si="630"/>
        <v/>
      </c>
      <c r="S5764" s="83" t="str">
        <f t="shared" si="633"/>
        <v/>
      </c>
      <c r="T5764" s="83" t="str">
        <f t="shared" si="631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2"/>
        <v/>
      </c>
      <c r="B5765" s="83" t="str">
        <f t="shared" si="630"/>
        <v/>
      </c>
      <c r="S5765" s="83" t="str">
        <f t="shared" si="633"/>
        <v/>
      </c>
      <c r="T5765" s="83" t="str">
        <f t="shared" si="631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2"/>
        <v/>
      </c>
      <c r="B5766" s="83" t="str">
        <f t="shared" si="630"/>
        <v/>
      </c>
      <c r="S5766" s="83" t="str">
        <f t="shared" si="633"/>
        <v/>
      </c>
      <c r="T5766" s="83" t="str">
        <f t="shared" si="631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2"/>
        <v/>
      </c>
      <c r="B5767" s="83" t="str">
        <f t="shared" si="630"/>
        <v/>
      </c>
      <c r="S5767" s="83" t="str">
        <f t="shared" si="633"/>
        <v/>
      </c>
      <c r="T5767" s="83" t="str">
        <f t="shared" si="631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2"/>
        <v/>
      </c>
      <c r="B5768" s="83" t="str">
        <f t="shared" si="630"/>
        <v/>
      </c>
      <c r="S5768" s="83" t="str">
        <f t="shared" si="633"/>
        <v/>
      </c>
      <c r="T5768" s="83" t="str">
        <f t="shared" si="631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2"/>
        <v/>
      </c>
      <c r="B5769" s="83" t="str">
        <f t="shared" si="630"/>
        <v/>
      </c>
      <c r="S5769" s="83" t="str">
        <f t="shared" si="633"/>
        <v/>
      </c>
      <c r="T5769" s="83" t="str">
        <f t="shared" si="631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2"/>
        <v/>
      </c>
      <c r="B5770" s="83" t="str">
        <f t="shared" si="630"/>
        <v/>
      </c>
      <c r="S5770" s="83" t="str">
        <f t="shared" si="633"/>
        <v/>
      </c>
      <c r="T5770" s="83" t="str">
        <f t="shared" si="631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2"/>
        <v/>
      </c>
      <c r="B5771" s="83" t="str">
        <f t="shared" si="630"/>
        <v/>
      </c>
      <c r="S5771" s="83" t="str">
        <f t="shared" si="633"/>
        <v/>
      </c>
      <c r="T5771" s="83" t="str">
        <f t="shared" si="631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2"/>
        <v/>
      </c>
      <c r="B5772" s="83" t="str">
        <f t="shared" si="630"/>
        <v/>
      </c>
      <c r="S5772" s="83" t="str">
        <f t="shared" si="633"/>
        <v/>
      </c>
      <c r="T5772" s="83" t="str">
        <f t="shared" si="631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2"/>
        <v/>
      </c>
      <c r="B5773" s="83" t="str">
        <f t="shared" si="630"/>
        <v/>
      </c>
      <c r="S5773" s="83" t="str">
        <f t="shared" si="633"/>
        <v/>
      </c>
      <c r="T5773" s="83" t="str">
        <f t="shared" si="631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2"/>
        <v/>
      </c>
      <c r="B5774" s="83" t="str">
        <f t="shared" si="630"/>
        <v/>
      </c>
      <c r="S5774" s="83" t="str">
        <f t="shared" si="633"/>
        <v/>
      </c>
      <c r="T5774" s="83" t="str">
        <f t="shared" si="631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2"/>
        <v/>
      </c>
      <c r="B5775" s="83" t="str">
        <f t="shared" si="630"/>
        <v/>
      </c>
      <c r="S5775" s="83" t="str">
        <f t="shared" si="633"/>
        <v/>
      </c>
      <c r="T5775" s="83" t="str">
        <f t="shared" si="631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2"/>
        <v/>
      </c>
      <c r="B5776" s="83" t="str">
        <f t="shared" si="630"/>
        <v/>
      </c>
      <c r="S5776" s="83" t="str">
        <f t="shared" si="633"/>
        <v/>
      </c>
      <c r="T5776" s="83" t="str">
        <f t="shared" si="631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2"/>
        <v/>
      </c>
      <c r="B5777" s="83" t="str">
        <f t="shared" si="630"/>
        <v/>
      </c>
      <c r="S5777" s="83" t="str">
        <f t="shared" si="633"/>
        <v/>
      </c>
      <c r="T5777" s="83" t="str">
        <f t="shared" si="631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2"/>
        <v/>
      </c>
      <c r="B5778" s="83" t="str">
        <f t="shared" si="630"/>
        <v/>
      </c>
      <c r="S5778" s="83" t="str">
        <f t="shared" si="633"/>
        <v/>
      </c>
      <c r="T5778" s="83" t="str">
        <f t="shared" si="631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2"/>
        <v/>
      </c>
      <c r="B5779" s="83" t="str">
        <f t="shared" si="630"/>
        <v/>
      </c>
      <c r="S5779" s="83" t="str">
        <f t="shared" si="633"/>
        <v/>
      </c>
      <c r="T5779" s="83" t="str">
        <f t="shared" si="631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2"/>
        <v/>
      </c>
      <c r="B5780" s="83" t="str">
        <f t="shared" si="630"/>
        <v/>
      </c>
      <c r="S5780" s="83" t="str">
        <f t="shared" si="633"/>
        <v/>
      </c>
      <c r="T5780" s="83" t="str">
        <f t="shared" si="631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2"/>
        <v/>
      </c>
      <c r="B5781" s="83" t="str">
        <f t="shared" si="630"/>
        <v/>
      </c>
      <c r="S5781" s="83" t="str">
        <f t="shared" si="633"/>
        <v/>
      </c>
      <c r="T5781" s="83" t="str">
        <f t="shared" si="631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2"/>
        <v/>
      </c>
      <c r="B5782" s="83" t="str">
        <f t="shared" si="630"/>
        <v/>
      </c>
      <c r="S5782" s="83" t="str">
        <f t="shared" si="633"/>
        <v/>
      </c>
      <c r="T5782" s="83" t="str">
        <f t="shared" si="631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2"/>
        <v/>
      </c>
      <c r="B5783" s="83" t="str">
        <f t="shared" si="630"/>
        <v/>
      </c>
      <c r="S5783" s="83" t="str">
        <f t="shared" si="633"/>
        <v/>
      </c>
      <c r="T5783" s="83" t="str">
        <f t="shared" si="631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2"/>
        <v/>
      </c>
      <c r="B5784" s="83" t="str">
        <f t="shared" si="630"/>
        <v/>
      </c>
      <c r="S5784" s="83" t="str">
        <f t="shared" si="633"/>
        <v/>
      </c>
      <c r="T5784" s="83" t="str">
        <f t="shared" si="631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2"/>
        <v/>
      </c>
      <c r="B5785" s="83" t="str">
        <f t="shared" si="630"/>
        <v/>
      </c>
      <c r="S5785" s="83" t="str">
        <f t="shared" si="633"/>
        <v/>
      </c>
      <c r="T5785" s="83" t="str">
        <f t="shared" si="631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2"/>
        <v/>
      </c>
      <c r="B5786" s="83" t="str">
        <f t="shared" si="630"/>
        <v/>
      </c>
      <c r="S5786" s="83" t="str">
        <f t="shared" si="633"/>
        <v/>
      </c>
      <c r="T5786" s="83" t="str">
        <f t="shared" si="631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2"/>
        <v/>
      </c>
      <c r="B5787" s="83" t="str">
        <f t="shared" si="630"/>
        <v/>
      </c>
      <c r="S5787" s="83" t="str">
        <f t="shared" si="633"/>
        <v/>
      </c>
      <c r="T5787" s="83" t="str">
        <f t="shared" si="631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2"/>
        <v/>
      </c>
      <c r="B5788" s="83" t="str">
        <f t="shared" si="630"/>
        <v/>
      </c>
      <c r="S5788" s="83" t="str">
        <f t="shared" si="633"/>
        <v/>
      </c>
      <c r="T5788" s="83" t="str">
        <f t="shared" si="631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2"/>
        <v/>
      </c>
      <c r="B5789" s="83" t="str">
        <f t="shared" si="630"/>
        <v/>
      </c>
      <c r="S5789" s="83" t="str">
        <f t="shared" si="633"/>
        <v/>
      </c>
      <c r="T5789" s="83" t="str">
        <f t="shared" si="631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2"/>
        <v/>
      </c>
      <c r="B5790" s="83" t="str">
        <f t="shared" si="630"/>
        <v/>
      </c>
      <c r="S5790" s="83" t="str">
        <f t="shared" si="633"/>
        <v/>
      </c>
      <c r="T5790" s="83" t="str">
        <f t="shared" si="631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2"/>
        <v/>
      </c>
      <c r="B5791" s="83" t="str">
        <f t="shared" si="630"/>
        <v/>
      </c>
      <c r="S5791" s="83" t="str">
        <f t="shared" si="633"/>
        <v/>
      </c>
      <c r="T5791" s="83" t="str">
        <f t="shared" si="631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2"/>
        <v/>
      </c>
      <c r="B5792" s="83" t="str">
        <f t="shared" si="630"/>
        <v/>
      </c>
      <c r="S5792" s="83" t="str">
        <f t="shared" si="633"/>
        <v/>
      </c>
      <c r="T5792" s="83" t="str">
        <f t="shared" si="631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2"/>
        <v/>
      </c>
      <c r="B5793" s="83" t="str">
        <f t="shared" ref="B5793:B5856" si="637">IF(C5793&lt;&gt;"",LEFT(C5793,9),"")</f>
        <v/>
      </c>
      <c r="S5793" s="83" t="str">
        <f t="shared" si="633"/>
        <v/>
      </c>
      <c r="T5793" s="83" t="str">
        <f t="shared" si="631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2"/>
        <v/>
      </c>
      <c r="B5794" s="83" t="str">
        <f t="shared" si="637"/>
        <v/>
      </c>
      <c r="S5794" s="83" t="str">
        <f t="shared" si="633"/>
        <v/>
      </c>
      <c r="T5794" s="83" t="str">
        <f t="shared" si="631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2"/>
        <v/>
      </c>
      <c r="B5795" s="83" t="str">
        <f t="shared" si="637"/>
        <v/>
      </c>
      <c r="S5795" s="83" t="str">
        <f t="shared" si="633"/>
        <v/>
      </c>
      <c r="T5795" s="83" t="str">
        <f t="shared" si="631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2"/>
        <v/>
      </c>
      <c r="B5796" s="83" t="str">
        <f t="shared" si="637"/>
        <v/>
      </c>
      <c r="S5796" s="83" t="str">
        <f t="shared" si="633"/>
        <v/>
      </c>
      <c r="T5796" s="83" t="str">
        <f t="shared" si="631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2"/>
        <v/>
      </c>
      <c r="B5797" s="83" t="str">
        <f t="shared" si="637"/>
        <v/>
      </c>
      <c r="S5797" s="83" t="str">
        <f t="shared" si="633"/>
        <v/>
      </c>
      <c r="T5797" s="83" t="str">
        <f t="shared" si="631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2"/>
        <v/>
      </c>
      <c r="B5798" s="83" t="str">
        <f t="shared" si="637"/>
        <v/>
      </c>
      <c r="S5798" s="83" t="str">
        <f t="shared" si="633"/>
        <v/>
      </c>
      <c r="T5798" s="83" t="str">
        <f t="shared" si="631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2"/>
        <v/>
      </c>
      <c r="B5799" s="83" t="str">
        <f t="shared" si="637"/>
        <v/>
      </c>
      <c r="S5799" s="83" t="str">
        <f t="shared" si="633"/>
        <v/>
      </c>
      <c r="T5799" s="83" t="str">
        <f t="shared" si="631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2"/>
        <v/>
      </c>
      <c r="B5800" s="83" t="str">
        <f t="shared" si="637"/>
        <v/>
      </c>
      <c r="S5800" s="83" t="str">
        <f t="shared" si="633"/>
        <v/>
      </c>
      <c r="T5800" s="83" t="str">
        <f t="shared" si="631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2"/>
        <v/>
      </c>
      <c r="B5801" s="83" t="str">
        <f t="shared" si="637"/>
        <v/>
      </c>
      <c r="S5801" s="83" t="str">
        <f t="shared" si="633"/>
        <v/>
      </c>
      <c r="T5801" s="83" t="str">
        <f t="shared" si="631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2"/>
        <v/>
      </c>
      <c r="B5802" s="83" t="str">
        <f t="shared" si="637"/>
        <v/>
      </c>
      <c r="S5802" s="83" t="str">
        <f t="shared" si="633"/>
        <v/>
      </c>
      <c r="T5802" s="83" t="str">
        <f t="shared" si="631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2"/>
        <v/>
      </c>
      <c r="B5803" s="83" t="str">
        <f t="shared" si="637"/>
        <v/>
      </c>
      <c r="S5803" s="83" t="str">
        <f t="shared" si="633"/>
        <v/>
      </c>
      <c r="T5803" s="83" t="str">
        <f t="shared" si="631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2"/>
        <v/>
      </c>
      <c r="B5804" s="83" t="str">
        <f t="shared" si="637"/>
        <v/>
      </c>
      <c r="S5804" s="83" t="str">
        <f t="shared" si="633"/>
        <v/>
      </c>
      <c r="T5804" s="83" t="str">
        <f t="shared" si="631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2"/>
        <v/>
      </c>
      <c r="B5805" s="83" t="str">
        <f t="shared" si="637"/>
        <v/>
      </c>
      <c r="S5805" s="83" t="str">
        <f t="shared" si="633"/>
        <v/>
      </c>
      <c r="T5805" s="83" t="str">
        <f t="shared" si="631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2"/>
        <v/>
      </c>
      <c r="B5806" s="83" t="str">
        <f t="shared" si="637"/>
        <v/>
      </c>
      <c r="S5806" s="83" t="str">
        <f t="shared" si="633"/>
        <v/>
      </c>
      <c r="T5806" s="83" t="str">
        <f t="shared" si="631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2"/>
        <v/>
      </c>
      <c r="B5807" s="83" t="str">
        <f t="shared" si="637"/>
        <v/>
      </c>
      <c r="S5807" s="83" t="str">
        <f t="shared" si="633"/>
        <v/>
      </c>
      <c r="T5807" s="83" t="str">
        <f t="shared" si="631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2"/>
        <v/>
      </c>
      <c r="B5808" s="83" t="str">
        <f t="shared" si="637"/>
        <v/>
      </c>
      <c r="S5808" s="83" t="str">
        <f t="shared" si="633"/>
        <v/>
      </c>
      <c r="T5808" s="83" t="str">
        <f t="shared" si="631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2"/>
        <v/>
      </c>
      <c r="B5809" s="83" t="str">
        <f t="shared" si="637"/>
        <v/>
      </c>
      <c r="S5809" s="83" t="str">
        <f t="shared" si="633"/>
        <v/>
      </c>
      <c r="T5809" s="83" t="str">
        <f t="shared" si="631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2"/>
        <v/>
      </c>
      <c r="B5810" s="83" t="str">
        <f t="shared" si="637"/>
        <v/>
      </c>
      <c r="S5810" s="83" t="str">
        <f t="shared" si="633"/>
        <v/>
      </c>
      <c r="T5810" s="83" t="str">
        <f t="shared" si="631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2"/>
        <v/>
      </c>
      <c r="B5811" s="83" t="str">
        <f t="shared" si="637"/>
        <v/>
      </c>
      <c r="S5811" s="83" t="str">
        <f t="shared" si="633"/>
        <v/>
      </c>
      <c r="T5811" s="83" t="str">
        <f t="shared" si="631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2"/>
        <v/>
      </c>
      <c r="B5812" s="83" t="str">
        <f t="shared" si="637"/>
        <v/>
      </c>
      <c r="S5812" s="83" t="str">
        <f t="shared" si="633"/>
        <v/>
      </c>
      <c r="T5812" s="83" t="str">
        <f t="shared" si="631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2"/>
        <v/>
      </c>
      <c r="B5813" s="83" t="str">
        <f t="shared" si="637"/>
        <v/>
      </c>
      <c r="S5813" s="83" t="str">
        <f t="shared" si="633"/>
        <v/>
      </c>
      <c r="T5813" s="83" t="str">
        <f t="shared" si="631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2"/>
        <v/>
      </c>
      <c r="B5814" s="83" t="str">
        <f t="shared" si="637"/>
        <v/>
      </c>
      <c r="S5814" s="83" t="str">
        <f t="shared" si="633"/>
        <v/>
      </c>
      <c r="T5814" s="83" t="str">
        <f t="shared" si="631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2"/>
        <v/>
      </c>
      <c r="B5815" s="83" t="str">
        <f t="shared" si="637"/>
        <v/>
      </c>
      <c r="S5815" s="83" t="str">
        <f t="shared" si="633"/>
        <v/>
      </c>
      <c r="T5815" s="83" t="str">
        <f t="shared" si="631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2"/>
        <v/>
      </c>
      <c r="B5816" s="83" t="str">
        <f t="shared" si="637"/>
        <v/>
      </c>
      <c r="S5816" s="83" t="str">
        <f t="shared" si="633"/>
        <v/>
      </c>
      <c r="T5816" s="83" t="str">
        <f t="shared" si="631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2"/>
        <v/>
      </c>
      <c r="B5817" s="83" t="str">
        <f t="shared" si="637"/>
        <v/>
      </c>
      <c r="S5817" s="83" t="str">
        <f t="shared" si="633"/>
        <v/>
      </c>
      <c r="T5817" s="83" t="str">
        <f t="shared" si="631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2"/>
        <v/>
      </c>
      <c r="B5818" s="83" t="str">
        <f t="shared" si="637"/>
        <v/>
      </c>
      <c r="S5818" s="83" t="str">
        <f t="shared" si="633"/>
        <v/>
      </c>
      <c r="T5818" s="83" t="str">
        <f t="shared" si="631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2"/>
        <v/>
      </c>
      <c r="B5819" s="83" t="str">
        <f t="shared" si="637"/>
        <v/>
      </c>
      <c r="S5819" s="83" t="str">
        <f t="shared" si="633"/>
        <v/>
      </c>
      <c r="T5819" s="83" t="str">
        <f t="shared" si="631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2"/>
        <v/>
      </c>
      <c r="B5820" s="83" t="str">
        <f t="shared" si="637"/>
        <v/>
      </c>
      <c r="S5820" s="83" t="str">
        <f t="shared" si="633"/>
        <v/>
      </c>
      <c r="T5820" s="83" t="str">
        <f t="shared" si="631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2"/>
        <v/>
      </c>
      <c r="B5821" s="83" t="str">
        <f t="shared" si="637"/>
        <v/>
      </c>
      <c r="S5821" s="83" t="str">
        <f t="shared" si="633"/>
        <v/>
      </c>
      <c r="T5821" s="83" t="str">
        <f t="shared" si="631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2"/>
        <v/>
      </c>
      <c r="B5822" s="83" t="str">
        <f t="shared" si="637"/>
        <v/>
      </c>
      <c r="S5822" s="83" t="str">
        <f t="shared" si="633"/>
        <v/>
      </c>
      <c r="T5822" s="83" t="str">
        <f t="shared" si="631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2"/>
        <v/>
      </c>
      <c r="B5823" s="83" t="str">
        <f t="shared" si="637"/>
        <v/>
      </c>
      <c r="S5823" s="83" t="str">
        <f t="shared" si="633"/>
        <v/>
      </c>
      <c r="T5823" s="83" t="str">
        <f t="shared" si="631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2"/>
        <v/>
      </c>
      <c r="B5824" s="83" t="str">
        <f t="shared" si="637"/>
        <v/>
      </c>
      <c r="S5824" s="83" t="str">
        <f t="shared" si="633"/>
        <v/>
      </c>
      <c r="T5824" s="83" t="str">
        <f t="shared" si="631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2"/>
        <v/>
      </c>
      <c r="B5825" s="83" t="str">
        <f t="shared" si="637"/>
        <v/>
      </c>
      <c r="S5825" s="83" t="str">
        <f t="shared" si="633"/>
        <v/>
      </c>
      <c r="T5825" s="83" t="str">
        <f t="shared" si="631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2"/>
        <v/>
      </c>
      <c r="B5826" s="83" t="str">
        <f t="shared" si="637"/>
        <v/>
      </c>
      <c r="S5826" s="83" t="str">
        <f t="shared" si="633"/>
        <v/>
      </c>
      <c r="T5826" s="83" t="str">
        <f t="shared" ref="T5826:T5889" si="638">IF(A5826&lt;&gt;"",IF(FIND(" ",G5826)&gt;=1,MID(G5826,FIND(" ",G5826)+1,LEN(G5826)),""),"")</f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9">IF(G5827&amp;Q5827&lt;&gt;"",S5827&amp;Q5827,"")</f>
        <v/>
      </c>
      <c r="B5827" s="83" t="str">
        <f t="shared" si="637"/>
        <v/>
      </c>
      <c r="S5827" s="83" t="str">
        <f t="shared" ref="S5827:S5890" si="640">IF(G5827&lt;&gt;"",IF(FIND(" ",G5827)&gt;=1,MID(G5827,1,FIND(" ",G5827)-1),G5827),"")</f>
        <v/>
      </c>
      <c r="T5827" s="83" t="str">
        <f t="shared" si="638"/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9"/>
        <v/>
      </c>
      <c r="B5828" s="83" t="str">
        <f t="shared" si="637"/>
        <v/>
      </c>
      <c r="S5828" s="83" t="str">
        <f t="shared" si="640"/>
        <v/>
      </c>
      <c r="T5828" s="83" t="str">
        <f t="shared" si="638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9"/>
        <v/>
      </c>
      <c r="B5829" s="83" t="str">
        <f t="shared" si="637"/>
        <v/>
      </c>
      <c r="S5829" s="83" t="str">
        <f t="shared" si="640"/>
        <v/>
      </c>
      <c r="T5829" s="83" t="str">
        <f t="shared" si="638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9"/>
        <v/>
      </c>
      <c r="B5830" s="83" t="str">
        <f t="shared" si="637"/>
        <v/>
      </c>
      <c r="S5830" s="83" t="str">
        <f t="shared" si="640"/>
        <v/>
      </c>
      <c r="T5830" s="83" t="str">
        <f t="shared" si="638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9"/>
        <v/>
      </c>
      <c r="B5831" s="83" t="str">
        <f t="shared" si="637"/>
        <v/>
      </c>
      <c r="S5831" s="83" t="str">
        <f t="shared" si="640"/>
        <v/>
      </c>
      <c r="T5831" s="83" t="str">
        <f t="shared" si="638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9"/>
        <v/>
      </c>
      <c r="B5832" s="83" t="str">
        <f t="shared" si="637"/>
        <v/>
      </c>
      <c r="S5832" s="83" t="str">
        <f t="shared" si="640"/>
        <v/>
      </c>
      <c r="T5832" s="83" t="str">
        <f t="shared" si="638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9"/>
        <v/>
      </c>
      <c r="B5833" s="83" t="str">
        <f t="shared" si="637"/>
        <v/>
      </c>
      <c r="S5833" s="83" t="str">
        <f t="shared" si="640"/>
        <v/>
      </c>
      <c r="T5833" s="83" t="str">
        <f t="shared" si="638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9"/>
        <v/>
      </c>
      <c r="B5834" s="83" t="str">
        <f t="shared" si="637"/>
        <v/>
      </c>
      <c r="S5834" s="83" t="str">
        <f t="shared" si="640"/>
        <v/>
      </c>
      <c r="T5834" s="83" t="str">
        <f t="shared" si="638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9"/>
        <v/>
      </c>
      <c r="B5835" s="83" t="str">
        <f t="shared" si="637"/>
        <v/>
      </c>
      <c r="S5835" s="83" t="str">
        <f t="shared" si="640"/>
        <v/>
      </c>
      <c r="T5835" s="83" t="str">
        <f t="shared" si="638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9"/>
        <v/>
      </c>
      <c r="B5836" s="83" t="str">
        <f t="shared" si="637"/>
        <v/>
      </c>
      <c r="S5836" s="83" t="str">
        <f t="shared" si="640"/>
        <v/>
      </c>
      <c r="T5836" s="83" t="str">
        <f t="shared" si="638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9"/>
        <v/>
      </c>
      <c r="B5837" s="83" t="str">
        <f t="shared" si="637"/>
        <v/>
      </c>
      <c r="S5837" s="83" t="str">
        <f t="shared" si="640"/>
        <v/>
      </c>
      <c r="T5837" s="83" t="str">
        <f t="shared" si="638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9"/>
        <v/>
      </c>
      <c r="B5838" s="83" t="str">
        <f t="shared" si="637"/>
        <v/>
      </c>
      <c r="S5838" s="83" t="str">
        <f t="shared" si="640"/>
        <v/>
      </c>
      <c r="T5838" s="83" t="str">
        <f t="shared" si="638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9"/>
        <v/>
      </c>
      <c r="B5839" s="83" t="str">
        <f t="shared" si="637"/>
        <v/>
      </c>
      <c r="S5839" s="83" t="str">
        <f t="shared" si="640"/>
        <v/>
      </c>
      <c r="T5839" s="83" t="str">
        <f t="shared" si="638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9"/>
        <v/>
      </c>
      <c r="B5840" s="83" t="str">
        <f t="shared" si="637"/>
        <v/>
      </c>
      <c r="S5840" s="83" t="str">
        <f t="shared" si="640"/>
        <v/>
      </c>
      <c r="T5840" s="83" t="str">
        <f t="shared" si="638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9"/>
        <v/>
      </c>
      <c r="B5841" s="83" t="str">
        <f t="shared" si="637"/>
        <v/>
      </c>
      <c r="S5841" s="83" t="str">
        <f t="shared" si="640"/>
        <v/>
      </c>
      <c r="T5841" s="83" t="str">
        <f t="shared" si="638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9"/>
        <v/>
      </c>
      <c r="B5842" s="83" t="str">
        <f t="shared" si="637"/>
        <v/>
      </c>
      <c r="S5842" s="83" t="str">
        <f t="shared" si="640"/>
        <v/>
      </c>
      <c r="T5842" s="83" t="str">
        <f t="shared" si="638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9"/>
        <v/>
      </c>
      <c r="B5843" s="83" t="str">
        <f t="shared" si="637"/>
        <v/>
      </c>
      <c r="S5843" s="83" t="str">
        <f t="shared" si="640"/>
        <v/>
      </c>
      <c r="T5843" s="83" t="str">
        <f t="shared" si="638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9"/>
        <v/>
      </c>
      <c r="B5844" s="83" t="str">
        <f t="shared" si="637"/>
        <v/>
      </c>
      <c r="S5844" s="83" t="str">
        <f t="shared" si="640"/>
        <v/>
      </c>
      <c r="T5844" s="83" t="str">
        <f t="shared" si="638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9"/>
        <v/>
      </c>
      <c r="B5845" s="83" t="str">
        <f t="shared" si="637"/>
        <v/>
      </c>
      <c r="S5845" s="83" t="str">
        <f t="shared" si="640"/>
        <v/>
      </c>
      <c r="T5845" s="83" t="str">
        <f t="shared" si="638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9"/>
        <v/>
      </c>
      <c r="B5846" s="83" t="str">
        <f t="shared" si="637"/>
        <v/>
      </c>
      <c r="S5846" s="83" t="str">
        <f t="shared" si="640"/>
        <v/>
      </c>
      <c r="T5846" s="83" t="str">
        <f t="shared" si="638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9"/>
        <v/>
      </c>
      <c r="B5847" s="83" t="str">
        <f t="shared" si="637"/>
        <v/>
      </c>
      <c r="S5847" s="83" t="str">
        <f t="shared" si="640"/>
        <v/>
      </c>
      <c r="T5847" s="83" t="str">
        <f t="shared" si="638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9"/>
        <v/>
      </c>
      <c r="B5848" s="83" t="str">
        <f t="shared" si="637"/>
        <v/>
      </c>
      <c r="S5848" s="83" t="str">
        <f t="shared" si="640"/>
        <v/>
      </c>
      <c r="T5848" s="83" t="str">
        <f t="shared" si="638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9"/>
        <v/>
      </c>
      <c r="B5849" s="83" t="str">
        <f t="shared" si="637"/>
        <v/>
      </c>
      <c r="S5849" s="83" t="str">
        <f t="shared" si="640"/>
        <v/>
      </c>
      <c r="T5849" s="83" t="str">
        <f t="shared" si="638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9"/>
        <v/>
      </c>
      <c r="B5850" s="83" t="str">
        <f t="shared" si="637"/>
        <v/>
      </c>
      <c r="S5850" s="83" t="str">
        <f t="shared" si="640"/>
        <v/>
      </c>
      <c r="T5850" s="83" t="str">
        <f t="shared" si="638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9"/>
        <v/>
      </c>
      <c r="B5851" s="83" t="str">
        <f t="shared" si="637"/>
        <v/>
      </c>
      <c r="S5851" s="83" t="str">
        <f t="shared" si="640"/>
        <v/>
      </c>
      <c r="T5851" s="83" t="str">
        <f t="shared" si="638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9"/>
        <v/>
      </c>
      <c r="B5852" s="83" t="str">
        <f t="shared" si="637"/>
        <v/>
      </c>
      <c r="S5852" s="83" t="str">
        <f t="shared" si="640"/>
        <v/>
      </c>
      <c r="T5852" s="83" t="str">
        <f t="shared" si="638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9"/>
        <v/>
      </c>
      <c r="B5853" s="83" t="str">
        <f t="shared" si="637"/>
        <v/>
      </c>
      <c r="S5853" s="83" t="str">
        <f t="shared" si="640"/>
        <v/>
      </c>
      <c r="T5853" s="83" t="str">
        <f t="shared" si="638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9"/>
        <v/>
      </c>
      <c r="B5854" s="83" t="str">
        <f t="shared" si="637"/>
        <v/>
      </c>
      <c r="S5854" s="83" t="str">
        <f t="shared" si="640"/>
        <v/>
      </c>
      <c r="T5854" s="83" t="str">
        <f t="shared" si="638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9"/>
        <v/>
      </c>
      <c r="B5855" s="83" t="str">
        <f t="shared" si="637"/>
        <v/>
      </c>
      <c r="S5855" s="83" t="str">
        <f t="shared" si="640"/>
        <v/>
      </c>
      <c r="T5855" s="83" t="str">
        <f t="shared" si="638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9"/>
        <v/>
      </c>
      <c r="B5856" s="83" t="str">
        <f t="shared" si="637"/>
        <v/>
      </c>
      <c r="S5856" s="83" t="str">
        <f t="shared" si="640"/>
        <v/>
      </c>
      <c r="T5856" s="83" t="str">
        <f t="shared" si="638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9"/>
        <v/>
      </c>
      <c r="B5857" s="83" t="str">
        <f t="shared" ref="B5857:B5920" si="644">IF(C5857&lt;&gt;"",LEFT(C5857,9),"")</f>
        <v/>
      </c>
      <c r="S5857" s="83" t="str">
        <f t="shared" si="640"/>
        <v/>
      </c>
      <c r="T5857" s="83" t="str">
        <f t="shared" si="638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9"/>
        <v/>
      </c>
      <c r="B5858" s="83" t="str">
        <f t="shared" si="644"/>
        <v/>
      </c>
      <c r="S5858" s="83" t="str">
        <f t="shared" si="640"/>
        <v/>
      </c>
      <c r="T5858" s="83" t="str">
        <f t="shared" si="638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9"/>
        <v/>
      </c>
      <c r="B5859" s="83" t="str">
        <f t="shared" si="644"/>
        <v/>
      </c>
      <c r="S5859" s="83" t="str">
        <f t="shared" si="640"/>
        <v/>
      </c>
      <c r="T5859" s="83" t="str">
        <f t="shared" si="638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9"/>
        <v/>
      </c>
      <c r="B5860" s="83" t="str">
        <f t="shared" si="644"/>
        <v/>
      </c>
      <c r="S5860" s="83" t="str">
        <f t="shared" si="640"/>
        <v/>
      </c>
      <c r="T5860" s="83" t="str">
        <f t="shared" si="638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9"/>
        <v/>
      </c>
      <c r="B5861" s="83" t="str">
        <f t="shared" si="644"/>
        <v/>
      </c>
      <c r="S5861" s="83" t="str">
        <f t="shared" si="640"/>
        <v/>
      </c>
      <c r="T5861" s="83" t="str">
        <f t="shared" si="638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9"/>
        <v/>
      </c>
      <c r="B5862" s="83" t="str">
        <f t="shared" si="644"/>
        <v/>
      </c>
      <c r="S5862" s="83" t="str">
        <f t="shared" si="640"/>
        <v/>
      </c>
      <c r="T5862" s="83" t="str">
        <f t="shared" si="638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9"/>
        <v/>
      </c>
      <c r="B5863" s="83" t="str">
        <f t="shared" si="644"/>
        <v/>
      </c>
      <c r="S5863" s="83" t="str">
        <f t="shared" si="640"/>
        <v/>
      </c>
      <c r="T5863" s="83" t="str">
        <f t="shared" si="638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9"/>
        <v/>
      </c>
      <c r="B5864" s="83" t="str">
        <f t="shared" si="644"/>
        <v/>
      </c>
      <c r="S5864" s="83" t="str">
        <f t="shared" si="640"/>
        <v/>
      </c>
      <c r="T5864" s="83" t="str">
        <f t="shared" si="638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9"/>
        <v/>
      </c>
      <c r="B5865" s="83" t="str">
        <f t="shared" si="644"/>
        <v/>
      </c>
      <c r="S5865" s="83" t="str">
        <f t="shared" si="640"/>
        <v/>
      </c>
      <c r="T5865" s="83" t="str">
        <f t="shared" si="638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9"/>
        <v/>
      </c>
      <c r="B5866" s="83" t="str">
        <f t="shared" si="644"/>
        <v/>
      </c>
      <c r="S5866" s="83" t="str">
        <f t="shared" si="640"/>
        <v/>
      </c>
      <c r="T5866" s="83" t="str">
        <f t="shared" si="638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9"/>
        <v/>
      </c>
      <c r="B5867" s="83" t="str">
        <f t="shared" si="644"/>
        <v/>
      </c>
      <c r="S5867" s="83" t="str">
        <f t="shared" si="640"/>
        <v/>
      </c>
      <c r="T5867" s="83" t="str">
        <f t="shared" si="638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9"/>
        <v/>
      </c>
      <c r="B5868" s="83" t="str">
        <f t="shared" si="644"/>
        <v/>
      </c>
      <c r="S5868" s="83" t="str">
        <f t="shared" si="640"/>
        <v/>
      </c>
      <c r="T5868" s="83" t="str">
        <f t="shared" si="638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9"/>
        <v/>
      </c>
      <c r="B5869" s="83" t="str">
        <f t="shared" si="644"/>
        <v/>
      </c>
      <c r="S5869" s="83" t="str">
        <f t="shared" si="640"/>
        <v/>
      </c>
      <c r="T5869" s="83" t="str">
        <f t="shared" si="638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9"/>
        <v/>
      </c>
      <c r="B5870" s="83" t="str">
        <f t="shared" si="644"/>
        <v/>
      </c>
      <c r="S5870" s="83" t="str">
        <f t="shared" si="640"/>
        <v/>
      </c>
      <c r="T5870" s="83" t="str">
        <f t="shared" si="638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9"/>
        <v/>
      </c>
      <c r="B5871" s="83" t="str">
        <f t="shared" si="644"/>
        <v/>
      </c>
      <c r="S5871" s="83" t="str">
        <f t="shared" si="640"/>
        <v/>
      </c>
      <c r="T5871" s="83" t="str">
        <f t="shared" si="638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9"/>
        <v/>
      </c>
      <c r="B5872" s="83" t="str">
        <f t="shared" si="644"/>
        <v/>
      </c>
      <c r="S5872" s="83" t="str">
        <f t="shared" si="640"/>
        <v/>
      </c>
      <c r="T5872" s="83" t="str">
        <f t="shared" si="638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9"/>
        <v/>
      </c>
      <c r="B5873" s="83" t="str">
        <f t="shared" si="644"/>
        <v/>
      </c>
      <c r="S5873" s="83" t="str">
        <f t="shared" si="640"/>
        <v/>
      </c>
      <c r="T5873" s="83" t="str">
        <f t="shared" si="638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9"/>
        <v/>
      </c>
      <c r="B5874" s="83" t="str">
        <f t="shared" si="644"/>
        <v/>
      </c>
      <c r="S5874" s="83" t="str">
        <f t="shared" si="640"/>
        <v/>
      </c>
      <c r="T5874" s="83" t="str">
        <f t="shared" si="638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9"/>
        <v/>
      </c>
      <c r="B5875" s="83" t="str">
        <f t="shared" si="644"/>
        <v/>
      </c>
      <c r="S5875" s="83" t="str">
        <f t="shared" si="640"/>
        <v/>
      </c>
      <c r="T5875" s="83" t="str">
        <f t="shared" si="638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9"/>
        <v/>
      </c>
      <c r="B5876" s="83" t="str">
        <f t="shared" si="644"/>
        <v/>
      </c>
      <c r="S5876" s="83" t="str">
        <f t="shared" si="640"/>
        <v/>
      </c>
      <c r="T5876" s="83" t="str">
        <f t="shared" si="638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9"/>
        <v/>
      </c>
      <c r="B5877" s="83" t="str">
        <f t="shared" si="644"/>
        <v/>
      </c>
      <c r="S5877" s="83" t="str">
        <f t="shared" si="640"/>
        <v/>
      </c>
      <c r="T5877" s="83" t="str">
        <f t="shared" si="638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9"/>
        <v/>
      </c>
      <c r="B5878" s="83" t="str">
        <f t="shared" si="644"/>
        <v/>
      </c>
      <c r="S5878" s="83" t="str">
        <f t="shared" si="640"/>
        <v/>
      </c>
      <c r="T5878" s="83" t="str">
        <f t="shared" si="638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9"/>
        <v/>
      </c>
      <c r="B5879" s="83" t="str">
        <f t="shared" si="644"/>
        <v/>
      </c>
      <c r="S5879" s="83" t="str">
        <f t="shared" si="640"/>
        <v/>
      </c>
      <c r="T5879" s="83" t="str">
        <f t="shared" si="638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9"/>
        <v/>
      </c>
      <c r="B5880" s="83" t="str">
        <f t="shared" si="644"/>
        <v/>
      </c>
      <c r="S5880" s="83" t="str">
        <f t="shared" si="640"/>
        <v/>
      </c>
      <c r="T5880" s="83" t="str">
        <f t="shared" si="638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9"/>
        <v/>
      </c>
      <c r="B5881" s="83" t="str">
        <f t="shared" si="644"/>
        <v/>
      </c>
      <c r="S5881" s="83" t="str">
        <f t="shared" si="640"/>
        <v/>
      </c>
      <c r="T5881" s="83" t="str">
        <f t="shared" si="638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9"/>
        <v/>
      </c>
      <c r="B5882" s="83" t="str">
        <f t="shared" si="644"/>
        <v/>
      </c>
      <c r="S5882" s="83" t="str">
        <f t="shared" si="640"/>
        <v/>
      </c>
      <c r="T5882" s="83" t="str">
        <f t="shared" si="638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9"/>
        <v/>
      </c>
      <c r="B5883" s="83" t="str">
        <f t="shared" si="644"/>
        <v/>
      </c>
      <c r="S5883" s="83" t="str">
        <f t="shared" si="640"/>
        <v/>
      </c>
      <c r="T5883" s="83" t="str">
        <f t="shared" si="638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9"/>
        <v/>
      </c>
      <c r="B5884" s="83" t="str">
        <f t="shared" si="644"/>
        <v/>
      </c>
      <c r="S5884" s="83" t="str">
        <f t="shared" si="640"/>
        <v/>
      </c>
      <c r="T5884" s="83" t="str">
        <f t="shared" si="638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9"/>
        <v/>
      </c>
      <c r="B5885" s="83" t="str">
        <f t="shared" si="644"/>
        <v/>
      </c>
      <c r="S5885" s="83" t="str">
        <f t="shared" si="640"/>
        <v/>
      </c>
      <c r="T5885" s="83" t="str">
        <f t="shared" si="638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9"/>
        <v/>
      </c>
      <c r="B5886" s="83" t="str">
        <f t="shared" si="644"/>
        <v/>
      </c>
      <c r="S5886" s="83" t="str">
        <f t="shared" si="640"/>
        <v/>
      </c>
      <c r="T5886" s="83" t="str">
        <f t="shared" si="638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9"/>
        <v/>
      </c>
      <c r="B5887" s="83" t="str">
        <f t="shared" si="644"/>
        <v/>
      </c>
      <c r="S5887" s="83" t="str">
        <f t="shared" si="640"/>
        <v/>
      </c>
      <c r="T5887" s="83" t="str">
        <f t="shared" si="638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9"/>
        <v/>
      </c>
      <c r="B5888" s="83" t="str">
        <f t="shared" si="644"/>
        <v/>
      </c>
      <c r="S5888" s="83" t="str">
        <f t="shared" si="640"/>
        <v/>
      </c>
      <c r="T5888" s="83" t="str">
        <f t="shared" si="638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9"/>
        <v/>
      </c>
      <c r="B5889" s="83" t="str">
        <f t="shared" si="644"/>
        <v/>
      </c>
      <c r="S5889" s="83" t="str">
        <f t="shared" si="640"/>
        <v/>
      </c>
      <c r="T5889" s="83" t="str">
        <f t="shared" si="638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9"/>
        <v/>
      </c>
      <c r="B5890" s="83" t="str">
        <f t="shared" si="644"/>
        <v/>
      </c>
      <c r="S5890" s="83" t="str">
        <f t="shared" si="640"/>
        <v/>
      </c>
      <c r="T5890" s="83" t="str">
        <f t="shared" ref="T5890:T5953" si="645">IF(A5890&lt;&gt;"",IF(FIND(" ",G5890)&gt;=1,MID(G5890,FIND(" ",G5890)+1,LEN(G5890)),""),"")</f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6">IF(G5891&amp;Q5891&lt;&gt;"",S5891&amp;Q5891,"")</f>
        <v/>
      </c>
      <c r="B5891" s="83" t="str">
        <f t="shared" si="644"/>
        <v/>
      </c>
      <c r="S5891" s="83" t="str">
        <f t="shared" ref="S5891:S5954" si="647">IF(G5891&lt;&gt;"",IF(FIND(" ",G5891)&gt;=1,MID(G5891,1,FIND(" ",G5891)-1),G5891),"")</f>
        <v/>
      </c>
      <c r="T5891" s="83" t="str">
        <f t="shared" si="645"/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6"/>
        <v/>
      </c>
      <c r="B5892" s="83" t="str">
        <f t="shared" si="644"/>
        <v/>
      </c>
      <c r="S5892" s="83" t="str">
        <f t="shared" si="647"/>
        <v/>
      </c>
      <c r="T5892" s="83" t="str">
        <f t="shared" si="645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6"/>
        <v/>
      </c>
      <c r="B5893" s="83" t="str">
        <f t="shared" si="644"/>
        <v/>
      </c>
      <c r="S5893" s="83" t="str">
        <f t="shared" si="647"/>
        <v/>
      </c>
      <c r="T5893" s="83" t="str">
        <f t="shared" si="645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6"/>
        <v/>
      </c>
      <c r="B5894" s="83" t="str">
        <f t="shared" si="644"/>
        <v/>
      </c>
      <c r="S5894" s="83" t="str">
        <f t="shared" si="647"/>
        <v/>
      </c>
      <c r="T5894" s="83" t="str">
        <f t="shared" si="645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6"/>
        <v/>
      </c>
      <c r="B5895" s="83" t="str">
        <f t="shared" si="644"/>
        <v/>
      </c>
      <c r="S5895" s="83" t="str">
        <f t="shared" si="647"/>
        <v/>
      </c>
      <c r="T5895" s="83" t="str">
        <f t="shared" si="645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6"/>
        <v/>
      </c>
      <c r="B5896" s="83" t="str">
        <f t="shared" si="644"/>
        <v/>
      </c>
      <c r="S5896" s="83" t="str">
        <f t="shared" si="647"/>
        <v/>
      </c>
      <c r="T5896" s="83" t="str">
        <f t="shared" si="645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6"/>
        <v/>
      </c>
      <c r="B5897" s="83" t="str">
        <f t="shared" si="644"/>
        <v/>
      </c>
      <c r="S5897" s="83" t="str">
        <f t="shared" si="647"/>
        <v/>
      </c>
      <c r="T5897" s="83" t="str">
        <f t="shared" si="645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6"/>
        <v/>
      </c>
      <c r="B5898" s="83" t="str">
        <f t="shared" si="644"/>
        <v/>
      </c>
      <c r="S5898" s="83" t="str">
        <f t="shared" si="647"/>
        <v/>
      </c>
      <c r="T5898" s="83" t="str">
        <f t="shared" si="645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6"/>
        <v/>
      </c>
      <c r="B5899" s="83" t="str">
        <f t="shared" si="644"/>
        <v/>
      </c>
      <c r="S5899" s="83" t="str">
        <f t="shared" si="647"/>
        <v/>
      </c>
      <c r="T5899" s="83" t="str">
        <f t="shared" si="645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6"/>
        <v/>
      </c>
      <c r="B5900" s="83" t="str">
        <f t="shared" si="644"/>
        <v/>
      </c>
      <c r="S5900" s="83" t="str">
        <f t="shared" si="647"/>
        <v/>
      </c>
      <c r="T5900" s="83" t="str">
        <f t="shared" si="645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6"/>
        <v/>
      </c>
      <c r="B5901" s="83" t="str">
        <f t="shared" si="644"/>
        <v/>
      </c>
      <c r="S5901" s="83" t="str">
        <f t="shared" si="647"/>
        <v/>
      </c>
      <c r="T5901" s="83" t="str">
        <f t="shared" si="645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6"/>
        <v/>
      </c>
      <c r="B5902" s="83" t="str">
        <f t="shared" si="644"/>
        <v/>
      </c>
      <c r="S5902" s="83" t="str">
        <f t="shared" si="647"/>
        <v/>
      </c>
      <c r="T5902" s="83" t="str">
        <f t="shared" si="645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6"/>
        <v/>
      </c>
      <c r="B5903" s="83" t="str">
        <f t="shared" si="644"/>
        <v/>
      </c>
      <c r="S5903" s="83" t="str">
        <f t="shared" si="647"/>
        <v/>
      </c>
      <c r="T5903" s="83" t="str">
        <f t="shared" si="645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6"/>
        <v/>
      </c>
      <c r="B5904" s="83" t="str">
        <f t="shared" si="644"/>
        <v/>
      </c>
      <c r="S5904" s="83" t="str">
        <f t="shared" si="647"/>
        <v/>
      </c>
      <c r="T5904" s="83" t="str">
        <f t="shared" si="645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6"/>
        <v/>
      </c>
      <c r="B5905" s="83" t="str">
        <f t="shared" si="644"/>
        <v/>
      </c>
      <c r="S5905" s="83" t="str">
        <f t="shared" si="647"/>
        <v/>
      </c>
      <c r="T5905" s="83" t="str">
        <f t="shared" si="645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6"/>
        <v/>
      </c>
      <c r="B5906" s="83" t="str">
        <f t="shared" si="644"/>
        <v/>
      </c>
      <c r="S5906" s="83" t="str">
        <f t="shared" si="647"/>
        <v/>
      </c>
      <c r="T5906" s="83" t="str">
        <f t="shared" si="645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6"/>
        <v/>
      </c>
      <c r="B5907" s="83" t="str">
        <f t="shared" si="644"/>
        <v/>
      </c>
      <c r="S5907" s="83" t="str">
        <f t="shared" si="647"/>
        <v/>
      </c>
      <c r="T5907" s="83" t="str">
        <f t="shared" si="645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6"/>
        <v/>
      </c>
      <c r="B5908" s="83" t="str">
        <f t="shared" si="644"/>
        <v/>
      </c>
      <c r="S5908" s="83" t="str">
        <f t="shared" si="647"/>
        <v/>
      </c>
      <c r="T5908" s="83" t="str">
        <f t="shared" si="645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6"/>
        <v/>
      </c>
      <c r="B5909" s="83" t="str">
        <f t="shared" si="644"/>
        <v/>
      </c>
      <c r="S5909" s="83" t="str">
        <f t="shared" si="647"/>
        <v/>
      </c>
      <c r="T5909" s="83" t="str">
        <f t="shared" si="645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6"/>
        <v/>
      </c>
      <c r="B5910" s="83" t="str">
        <f t="shared" si="644"/>
        <v/>
      </c>
      <c r="S5910" s="83" t="str">
        <f t="shared" si="647"/>
        <v/>
      </c>
      <c r="T5910" s="83" t="str">
        <f t="shared" si="645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6"/>
        <v/>
      </c>
      <c r="B5911" s="83" t="str">
        <f t="shared" si="644"/>
        <v/>
      </c>
      <c r="S5911" s="83" t="str">
        <f t="shared" si="647"/>
        <v/>
      </c>
      <c r="T5911" s="83" t="str">
        <f t="shared" si="645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6"/>
        <v/>
      </c>
      <c r="B5912" s="83" t="str">
        <f t="shared" si="644"/>
        <v/>
      </c>
      <c r="S5912" s="83" t="str">
        <f t="shared" si="647"/>
        <v/>
      </c>
      <c r="T5912" s="83" t="str">
        <f t="shared" si="645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6"/>
        <v/>
      </c>
      <c r="B5913" s="83" t="str">
        <f t="shared" si="644"/>
        <v/>
      </c>
      <c r="S5913" s="83" t="str">
        <f t="shared" si="647"/>
        <v/>
      </c>
      <c r="T5913" s="83" t="str">
        <f t="shared" si="645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6"/>
        <v/>
      </c>
      <c r="B5914" s="83" t="str">
        <f t="shared" si="644"/>
        <v/>
      </c>
      <c r="S5914" s="83" t="str">
        <f t="shared" si="647"/>
        <v/>
      </c>
      <c r="T5914" s="83" t="str">
        <f t="shared" si="645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6"/>
        <v/>
      </c>
      <c r="B5915" s="83" t="str">
        <f t="shared" si="644"/>
        <v/>
      </c>
      <c r="S5915" s="83" t="str">
        <f t="shared" si="647"/>
        <v/>
      </c>
      <c r="T5915" s="83" t="str">
        <f t="shared" si="645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6"/>
        <v/>
      </c>
      <c r="B5916" s="83" t="str">
        <f t="shared" si="644"/>
        <v/>
      </c>
      <c r="S5916" s="83" t="str">
        <f t="shared" si="647"/>
        <v/>
      </c>
      <c r="T5916" s="83" t="str">
        <f t="shared" si="645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6"/>
        <v/>
      </c>
      <c r="B5917" s="83" t="str">
        <f t="shared" si="644"/>
        <v/>
      </c>
      <c r="S5917" s="83" t="str">
        <f t="shared" si="647"/>
        <v/>
      </c>
      <c r="T5917" s="83" t="str">
        <f t="shared" si="645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6"/>
        <v/>
      </c>
      <c r="B5918" s="83" t="str">
        <f t="shared" si="644"/>
        <v/>
      </c>
      <c r="S5918" s="83" t="str">
        <f t="shared" si="647"/>
        <v/>
      </c>
      <c r="T5918" s="83" t="str">
        <f t="shared" si="645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6"/>
        <v/>
      </c>
      <c r="B5919" s="83" t="str">
        <f t="shared" si="644"/>
        <v/>
      </c>
      <c r="S5919" s="83" t="str">
        <f t="shared" si="647"/>
        <v/>
      </c>
      <c r="T5919" s="83" t="str">
        <f t="shared" si="645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6"/>
        <v/>
      </c>
      <c r="B5920" s="83" t="str">
        <f t="shared" si="644"/>
        <v/>
      </c>
      <c r="S5920" s="83" t="str">
        <f t="shared" si="647"/>
        <v/>
      </c>
      <c r="T5920" s="83" t="str">
        <f t="shared" si="645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6"/>
        <v/>
      </c>
      <c r="B5921" s="83" t="str">
        <f t="shared" ref="B5921:B5984" si="651">IF(C5921&lt;&gt;"",LEFT(C5921,9),"")</f>
        <v/>
      </c>
      <c r="S5921" s="83" t="str">
        <f t="shared" si="647"/>
        <v/>
      </c>
      <c r="T5921" s="83" t="str">
        <f t="shared" si="645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6"/>
        <v/>
      </c>
      <c r="B5922" s="83" t="str">
        <f t="shared" si="651"/>
        <v/>
      </c>
      <c r="S5922" s="83" t="str">
        <f t="shared" si="647"/>
        <v/>
      </c>
      <c r="T5922" s="83" t="str">
        <f t="shared" si="645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6"/>
        <v/>
      </c>
      <c r="B5923" s="83" t="str">
        <f t="shared" si="651"/>
        <v/>
      </c>
      <c r="S5923" s="83" t="str">
        <f t="shared" si="647"/>
        <v/>
      </c>
      <c r="T5923" s="83" t="str">
        <f t="shared" si="645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6"/>
        <v/>
      </c>
      <c r="B5924" s="83" t="str">
        <f t="shared" si="651"/>
        <v/>
      </c>
      <c r="S5924" s="83" t="str">
        <f t="shared" si="647"/>
        <v/>
      </c>
      <c r="T5924" s="83" t="str">
        <f t="shared" si="645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6"/>
        <v/>
      </c>
      <c r="B5925" s="83" t="str">
        <f t="shared" si="651"/>
        <v/>
      </c>
      <c r="S5925" s="83" t="str">
        <f t="shared" si="647"/>
        <v/>
      </c>
      <c r="T5925" s="83" t="str">
        <f t="shared" si="645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6"/>
        <v/>
      </c>
      <c r="B5926" s="83" t="str">
        <f t="shared" si="651"/>
        <v/>
      </c>
      <c r="S5926" s="83" t="str">
        <f t="shared" si="647"/>
        <v/>
      </c>
      <c r="T5926" s="83" t="str">
        <f t="shared" si="645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6"/>
        <v/>
      </c>
      <c r="B5927" s="83" t="str">
        <f t="shared" si="651"/>
        <v/>
      </c>
      <c r="S5927" s="83" t="str">
        <f t="shared" si="647"/>
        <v/>
      </c>
      <c r="T5927" s="83" t="str">
        <f t="shared" si="645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6"/>
        <v/>
      </c>
      <c r="B5928" s="83" t="str">
        <f t="shared" si="651"/>
        <v/>
      </c>
      <c r="S5928" s="83" t="str">
        <f t="shared" si="647"/>
        <v/>
      </c>
      <c r="T5928" s="83" t="str">
        <f t="shared" si="645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6"/>
        <v/>
      </c>
      <c r="B5929" s="83" t="str">
        <f t="shared" si="651"/>
        <v/>
      </c>
      <c r="S5929" s="83" t="str">
        <f t="shared" si="647"/>
        <v/>
      </c>
      <c r="T5929" s="83" t="str">
        <f t="shared" si="645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6"/>
        <v/>
      </c>
      <c r="B5930" s="83" t="str">
        <f t="shared" si="651"/>
        <v/>
      </c>
      <c r="S5930" s="83" t="str">
        <f t="shared" si="647"/>
        <v/>
      </c>
      <c r="T5930" s="83" t="str">
        <f t="shared" si="645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6"/>
        <v/>
      </c>
      <c r="B5931" s="83" t="str">
        <f t="shared" si="651"/>
        <v/>
      </c>
      <c r="S5931" s="83" t="str">
        <f t="shared" si="647"/>
        <v/>
      </c>
      <c r="T5931" s="83" t="str">
        <f t="shared" si="645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6"/>
        <v/>
      </c>
      <c r="B5932" s="83" t="str">
        <f t="shared" si="651"/>
        <v/>
      </c>
      <c r="S5932" s="83" t="str">
        <f t="shared" si="647"/>
        <v/>
      </c>
      <c r="T5932" s="83" t="str">
        <f t="shared" si="645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6"/>
        <v/>
      </c>
      <c r="B5933" s="83" t="str">
        <f t="shared" si="651"/>
        <v/>
      </c>
      <c r="S5933" s="83" t="str">
        <f t="shared" si="647"/>
        <v/>
      </c>
      <c r="T5933" s="83" t="str">
        <f t="shared" si="645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6"/>
        <v/>
      </c>
      <c r="B5934" s="83" t="str">
        <f t="shared" si="651"/>
        <v/>
      </c>
      <c r="S5934" s="83" t="str">
        <f t="shared" si="647"/>
        <v/>
      </c>
      <c r="T5934" s="83" t="str">
        <f t="shared" si="645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6"/>
        <v/>
      </c>
      <c r="B5935" s="83" t="str">
        <f t="shared" si="651"/>
        <v/>
      </c>
      <c r="S5935" s="83" t="str">
        <f t="shared" si="647"/>
        <v/>
      </c>
      <c r="T5935" s="83" t="str">
        <f t="shared" si="645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6"/>
        <v/>
      </c>
      <c r="B5936" s="83" t="str">
        <f t="shared" si="651"/>
        <v/>
      </c>
      <c r="S5936" s="83" t="str">
        <f t="shared" si="647"/>
        <v/>
      </c>
      <c r="T5936" s="83" t="str">
        <f t="shared" si="645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6"/>
        <v/>
      </c>
      <c r="B5937" s="83" t="str">
        <f t="shared" si="651"/>
        <v/>
      </c>
      <c r="S5937" s="83" t="str">
        <f t="shared" si="647"/>
        <v/>
      </c>
      <c r="T5937" s="83" t="str">
        <f t="shared" si="645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6"/>
        <v/>
      </c>
      <c r="B5938" s="83" t="str">
        <f t="shared" si="651"/>
        <v/>
      </c>
      <c r="S5938" s="83" t="str">
        <f t="shared" si="647"/>
        <v/>
      </c>
      <c r="T5938" s="83" t="str">
        <f t="shared" si="645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6"/>
        <v/>
      </c>
      <c r="B5939" s="83" t="str">
        <f t="shared" si="651"/>
        <v/>
      </c>
      <c r="S5939" s="83" t="str">
        <f t="shared" si="647"/>
        <v/>
      </c>
      <c r="T5939" s="83" t="str">
        <f t="shared" si="645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6"/>
        <v/>
      </c>
      <c r="B5940" s="83" t="str">
        <f t="shared" si="651"/>
        <v/>
      </c>
      <c r="S5940" s="83" t="str">
        <f t="shared" si="647"/>
        <v/>
      </c>
      <c r="T5940" s="83" t="str">
        <f t="shared" si="645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6"/>
        <v/>
      </c>
      <c r="B5941" s="83" t="str">
        <f t="shared" si="651"/>
        <v/>
      </c>
      <c r="S5941" s="83" t="str">
        <f t="shared" si="647"/>
        <v/>
      </c>
      <c r="T5941" s="83" t="str">
        <f t="shared" si="645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6"/>
        <v/>
      </c>
      <c r="B5942" s="83" t="str">
        <f t="shared" si="651"/>
        <v/>
      </c>
      <c r="S5942" s="83" t="str">
        <f t="shared" si="647"/>
        <v/>
      </c>
      <c r="T5942" s="83" t="str">
        <f t="shared" si="645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6"/>
        <v/>
      </c>
      <c r="B5943" s="83" t="str">
        <f t="shared" si="651"/>
        <v/>
      </c>
      <c r="S5943" s="83" t="str">
        <f t="shared" si="647"/>
        <v/>
      </c>
      <c r="T5943" s="83" t="str">
        <f t="shared" si="645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6"/>
        <v/>
      </c>
      <c r="B5944" s="83" t="str">
        <f t="shared" si="651"/>
        <v/>
      </c>
      <c r="S5944" s="83" t="str">
        <f t="shared" si="647"/>
        <v/>
      </c>
      <c r="T5944" s="83" t="str">
        <f t="shared" si="645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6"/>
        <v/>
      </c>
      <c r="B5945" s="83" t="str">
        <f t="shared" si="651"/>
        <v/>
      </c>
      <c r="S5945" s="83" t="str">
        <f t="shared" si="647"/>
        <v/>
      </c>
      <c r="T5945" s="83" t="str">
        <f t="shared" si="645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6"/>
        <v/>
      </c>
      <c r="B5946" s="83" t="str">
        <f t="shared" si="651"/>
        <v/>
      </c>
      <c r="S5946" s="83" t="str">
        <f t="shared" si="647"/>
        <v/>
      </c>
      <c r="T5946" s="83" t="str">
        <f t="shared" si="645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6"/>
        <v/>
      </c>
      <c r="B5947" s="83" t="str">
        <f t="shared" si="651"/>
        <v/>
      </c>
      <c r="S5947" s="83" t="str">
        <f t="shared" si="647"/>
        <v/>
      </c>
      <c r="T5947" s="83" t="str">
        <f t="shared" si="645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6"/>
        <v/>
      </c>
      <c r="B5948" s="83" t="str">
        <f t="shared" si="651"/>
        <v/>
      </c>
      <c r="S5948" s="83" t="str">
        <f t="shared" si="647"/>
        <v/>
      </c>
      <c r="T5948" s="83" t="str">
        <f t="shared" si="645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6"/>
        <v/>
      </c>
      <c r="B5949" s="83" t="str">
        <f t="shared" si="651"/>
        <v/>
      </c>
      <c r="S5949" s="83" t="str">
        <f t="shared" si="647"/>
        <v/>
      </c>
      <c r="T5949" s="83" t="str">
        <f t="shared" si="645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6"/>
        <v/>
      </c>
      <c r="B5950" s="83" t="str">
        <f t="shared" si="651"/>
        <v/>
      </c>
      <c r="S5950" s="83" t="str">
        <f t="shared" si="647"/>
        <v/>
      </c>
      <c r="T5950" s="83" t="str">
        <f t="shared" si="645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6"/>
        <v/>
      </c>
      <c r="B5951" s="83" t="str">
        <f t="shared" si="651"/>
        <v/>
      </c>
      <c r="S5951" s="83" t="str">
        <f t="shared" si="647"/>
        <v/>
      </c>
      <c r="T5951" s="83" t="str">
        <f t="shared" si="645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6"/>
        <v/>
      </c>
      <c r="B5952" s="83" t="str">
        <f t="shared" si="651"/>
        <v/>
      </c>
      <c r="S5952" s="83" t="str">
        <f t="shared" si="647"/>
        <v/>
      </c>
      <c r="T5952" s="83" t="str">
        <f t="shared" si="645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6"/>
        <v/>
      </c>
      <c r="B5953" s="83" t="str">
        <f t="shared" si="651"/>
        <v/>
      </c>
      <c r="S5953" s="83" t="str">
        <f t="shared" si="647"/>
        <v/>
      </c>
      <c r="T5953" s="83" t="str">
        <f t="shared" si="645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6"/>
        <v/>
      </c>
      <c r="B5954" s="83" t="str">
        <f t="shared" si="651"/>
        <v/>
      </c>
      <c r="S5954" s="83" t="str">
        <f t="shared" si="647"/>
        <v/>
      </c>
      <c r="T5954" s="83" t="str">
        <f t="shared" ref="T5954:T6000" si="652">IF(A5954&lt;&gt;"",IF(FIND(" ",G5954)&gt;=1,MID(G5954,FIND(" ",G5954)+1,LEN(G5954)),""),"")</f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3">IF(G5955&amp;Q5955&lt;&gt;"",S5955&amp;Q5955,"")</f>
        <v/>
      </c>
      <c r="B5955" s="83" t="str">
        <f t="shared" si="651"/>
        <v/>
      </c>
      <c r="S5955" s="83" t="str">
        <f t="shared" ref="S5955:S6000" si="654">IF(G5955&lt;&gt;"",IF(FIND(" ",G5955)&gt;=1,MID(G5955,1,FIND(" ",G5955)-1),G5955),"")</f>
        <v/>
      </c>
      <c r="T5955" s="83" t="str">
        <f t="shared" si="652"/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3"/>
        <v/>
      </c>
      <c r="B5956" s="83" t="str">
        <f t="shared" si="651"/>
        <v/>
      </c>
      <c r="S5956" s="83" t="str">
        <f t="shared" si="654"/>
        <v/>
      </c>
      <c r="T5956" s="83" t="str">
        <f t="shared" si="652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3"/>
        <v/>
      </c>
      <c r="B5957" s="83" t="str">
        <f t="shared" si="651"/>
        <v/>
      </c>
      <c r="S5957" s="83" t="str">
        <f t="shared" si="654"/>
        <v/>
      </c>
      <c r="T5957" s="83" t="str">
        <f t="shared" si="652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3"/>
        <v/>
      </c>
      <c r="B5958" s="83" t="str">
        <f t="shared" si="651"/>
        <v/>
      </c>
      <c r="S5958" s="83" t="str">
        <f t="shared" si="654"/>
        <v/>
      </c>
      <c r="T5958" s="83" t="str">
        <f t="shared" si="652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3"/>
        <v/>
      </c>
      <c r="B5959" s="83" t="str">
        <f t="shared" si="651"/>
        <v/>
      </c>
      <c r="S5959" s="83" t="str">
        <f t="shared" si="654"/>
        <v/>
      </c>
      <c r="T5959" s="83" t="str">
        <f t="shared" si="652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3"/>
        <v/>
      </c>
      <c r="B5960" s="83" t="str">
        <f t="shared" si="651"/>
        <v/>
      </c>
      <c r="S5960" s="83" t="str">
        <f t="shared" si="654"/>
        <v/>
      </c>
      <c r="T5960" s="83" t="str">
        <f t="shared" si="652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3"/>
        <v/>
      </c>
      <c r="B5961" s="83" t="str">
        <f t="shared" si="651"/>
        <v/>
      </c>
      <c r="S5961" s="83" t="str">
        <f t="shared" si="654"/>
        <v/>
      </c>
      <c r="T5961" s="83" t="str">
        <f t="shared" si="652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3"/>
        <v/>
      </c>
      <c r="B5962" s="83" t="str">
        <f t="shared" si="651"/>
        <v/>
      </c>
      <c r="S5962" s="83" t="str">
        <f t="shared" si="654"/>
        <v/>
      </c>
      <c r="T5962" s="83" t="str">
        <f t="shared" si="652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3"/>
        <v/>
      </c>
      <c r="B5963" s="83" t="str">
        <f t="shared" si="651"/>
        <v/>
      </c>
      <c r="S5963" s="83" t="str">
        <f t="shared" si="654"/>
        <v/>
      </c>
      <c r="T5963" s="83" t="str">
        <f t="shared" si="652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3"/>
        <v/>
      </c>
      <c r="B5964" s="83" t="str">
        <f t="shared" si="651"/>
        <v/>
      </c>
      <c r="S5964" s="83" t="str">
        <f t="shared" si="654"/>
        <v/>
      </c>
      <c r="T5964" s="83" t="str">
        <f t="shared" si="652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3"/>
        <v/>
      </c>
      <c r="B5965" s="83" t="str">
        <f t="shared" si="651"/>
        <v/>
      </c>
      <c r="S5965" s="83" t="str">
        <f t="shared" si="654"/>
        <v/>
      </c>
      <c r="T5965" s="83" t="str">
        <f t="shared" si="652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3"/>
        <v/>
      </c>
      <c r="B5966" s="83" t="str">
        <f t="shared" si="651"/>
        <v/>
      </c>
      <c r="S5966" s="83" t="str">
        <f t="shared" si="654"/>
        <v/>
      </c>
      <c r="T5966" s="83" t="str">
        <f t="shared" si="652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3"/>
        <v/>
      </c>
      <c r="B5967" s="83" t="str">
        <f t="shared" si="651"/>
        <v/>
      </c>
      <c r="S5967" s="83" t="str">
        <f t="shared" si="654"/>
        <v/>
      </c>
      <c r="T5967" s="83" t="str">
        <f t="shared" si="652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3"/>
        <v/>
      </c>
      <c r="B5968" s="83" t="str">
        <f t="shared" si="651"/>
        <v/>
      </c>
      <c r="S5968" s="83" t="str">
        <f t="shared" si="654"/>
        <v/>
      </c>
      <c r="T5968" s="83" t="str">
        <f t="shared" si="652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3"/>
        <v/>
      </c>
      <c r="B5969" s="83" t="str">
        <f t="shared" si="651"/>
        <v/>
      </c>
      <c r="S5969" s="83" t="str">
        <f t="shared" si="654"/>
        <v/>
      </c>
      <c r="T5969" s="83" t="str">
        <f t="shared" si="652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3"/>
        <v/>
      </c>
      <c r="B5970" s="83" t="str">
        <f t="shared" si="651"/>
        <v/>
      </c>
      <c r="S5970" s="83" t="str">
        <f t="shared" si="654"/>
        <v/>
      </c>
      <c r="T5970" s="83" t="str">
        <f t="shared" si="652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3"/>
        <v/>
      </c>
      <c r="B5971" s="83" t="str">
        <f t="shared" si="651"/>
        <v/>
      </c>
      <c r="S5971" s="83" t="str">
        <f t="shared" si="654"/>
        <v/>
      </c>
      <c r="T5971" s="83" t="str">
        <f t="shared" si="652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3"/>
        <v/>
      </c>
      <c r="B5972" s="83" t="str">
        <f t="shared" si="651"/>
        <v/>
      </c>
      <c r="S5972" s="83" t="str">
        <f t="shared" si="654"/>
        <v/>
      </c>
      <c r="T5972" s="83" t="str">
        <f t="shared" si="652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3"/>
        <v/>
      </c>
      <c r="B5973" s="83" t="str">
        <f t="shared" si="651"/>
        <v/>
      </c>
      <c r="S5973" s="83" t="str">
        <f t="shared" si="654"/>
        <v/>
      </c>
      <c r="T5973" s="83" t="str">
        <f t="shared" si="652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3"/>
        <v/>
      </c>
      <c r="B5974" s="83" t="str">
        <f t="shared" si="651"/>
        <v/>
      </c>
      <c r="S5974" s="83" t="str">
        <f t="shared" si="654"/>
        <v/>
      </c>
      <c r="T5974" s="83" t="str">
        <f t="shared" si="652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3"/>
        <v/>
      </c>
      <c r="B5975" s="83" t="str">
        <f t="shared" si="651"/>
        <v/>
      </c>
      <c r="S5975" s="83" t="str">
        <f t="shared" si="654"/>
        <v/>
      </c>
      <c r="T5975" s="83" t="str">
        <f t="shared" si="652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3"/>
        <v/>
      </c>
      <c r="B5976" s="83" t="str">
        <f t="shared" si="651"/>
        <v/>
      </c>
      <c r="S5976" s="83" t="str">
        <f t="shared" si="654"/>
        <v/>
      </c>
      <c r="T5976" s="83" t="str">
        <f t="shared" si="652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3"/>
        <v/>
      </c>
      <c r="B5977" s="83" t="str">
        <f t="shared" si="651"/>
        <v/>
      </c>
      <c r="S5977" s="83" t="str">
        <f t="shared" si="654"/>
        <v/>
      </c>
      <c r="T5977" s="83" t="str">
        <f t="shared" si="652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3"/>
        <v/>
      </c>
      <c r="B5978" s="83" t="str">
        <f t="shared" si="651"/>
        <v/>
      </c>
      <c r="S5978" s="83" t="str">
        <f t="shared" si="654"/>
        <v/>
      </c>
      <c r="T5978" s="83" t="str">
        <f t="shared" si="652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3"/>
        <v/>
      </c>
      <c r="B5979" s="83" t="str">
        <f t="shared" si="651"/>
        <v/>
      </c>
      <c r="S5979" s="83" t="str">
        <f t="shared" si="654"/>
        <v/>
      </c>
      <c r="T5979" s="83" t="str">
        <f t="shared" si="652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3"/>
        <v/>
      </c>
      <c r="B5980" s="83" t="str">
        <f t="shared" si="651"/>
        <v/>
      </c>
      <c r="S5980" s="83" t="str">
        <f t="shared" si="654"/>
        <v/>
      </c>
      <c r="T5980" s="83" t="str">
        <f t="shared" si="652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3"/>
        <v/>
      </c>
      <c r="B5981" s="83" t="str">
        <f t="shared" si="651"/>
        <v/>
      </c>
      <c r="S5981" s="83" t="str">
        <f t="shared" si="654"/>
        <v/>
      </c>
      <c r="T5981" s="83" t="str">
        <f t="shared" si="652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3"/>
        <v/>
      </c>
      <c r="B5982" s="83" t="str">
        <f t="shared" si="651"/>
        <v/>
      </c>
      <c r="S5982" s="83" t="str">
        <f t="shared" si="654"/>
        <v/>
      </c>
      <c r="T5982" s="83" t="str">
        <f t="shared" si="652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3"/>
        <v/>
      </c>
      <c r="B5983" s="83" t="str">
        <f t="shared" si="651"/>
        <v/>
      </c>
      <c r="S5983" s="83" t="str">
        <f t="shared" si="654"/>
        <v/>
      </c>
      <c r="T5983" s="83" t="str">
        <f t="shared" si="652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3"/>
        <v/>
      </c>
      <c r="B5984" s="83" t="str">
        <f t="shared" si="651"/>
        <v/>
      </c>
      <c r="S5984" s="83" t="str">
        <f t="shared" si="654"/>
        <v/>
      </c>
      <c r="T5984" s="83" t="str">
        <f t="shared" si="652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3"/>
        <v/>
      </c>
      <c r="B5985" s="83" t="str">
        <f t="shared" ref="B5985:B6000" si="658">IF(C5985&lt;&gt;"",LEFT(C5985,9),"")</f>
        <v/>
      </c>
      <c r="S5985" s="83" t="str">
        <f t="shared" si="654"/>
        <v/>
      </c>
      <c r="T5985" s="83" t="str">
        <f t="shared" si="652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3"/>
        <v/>
      </c>
      <c r="B5986" s="83" t="str">
        <f t="shared" si="658"/>
        <v/>
      </c>
      <c r="S5986" s="83" t="str">
        <f t="shared" si="654"/>
        <v/>
      </c>
      <c r="T5986" s="83" t="str">
        <f t="shared" si="652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3"/>
        <v/>
      </c>
      <c r="B5987" s="83" t="str">
        <f t="shared" si="658"/>
        <v/>
      </c>
      <c r="S5987" s="83" t="str">
        <f t="shared" si="654"/>
        <v/>
      </c>
      <c r="T5987" s="83" t="str">
        <f t="shared" si="652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3"/>
        <v/>
      </c>
      <c r="B5988" s="83" t="str">
        <f t="shared" si="658"/>
        <v/>
      </c>
      <c r="S5988" s="83" t="str">
        <f t="shared" si="654"/>
        <v/>
      </c>
      <c r="T5988" s="83" t="str">
        <f t="shared" si="652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3"/>
        <v/>
      </c>
      <c r="B5989" s="83" t="str">
        <f t="shared" si="658"/>
        <v/>
      </c>
      <c r="S5989" s="83" t="str">
        <f t="shared" si="654"/>
        <v/>
      </c>
      <c r="T5989" s="83" t="str">
        <f t="shared" si="652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3"/>
        <v/>
      </c>
      <c r="B5990" s="83" t="str">
        <f t="shared" si="658"/>
        <v/>
      </c>
      <c r="S5990" s="83" t="str">
        <f t="shared" si="654"/>
        <v/>
      </c>
      <c r="T5990" s="83" t="str">
        <f t="shared" si="652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3"/>
        <v/>
      </c>
      <c r="B5991" s="83" t="str">
        <f t="shared" si="658"/>
        <v/>
      </c>
      <c r="S5991" s="83" t="str">
        <f t="shared" si="654"/>
        <v/>
      </c>
      <c r="T5991" s="83" t="str">
        <f t="shared" si="652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3"/>
        <v/>
      </c>
      <c r="B5992" s="83" t="str">
        <f t="shared" si="658"/>
        <v/>
      </c>
      <c r="S5992" s="83" t="str">
        <f t="shared" si="654"/>
        <v/>
      </c>
      <c r="T5992" s="83" t="str">
        <f t="shared" si="652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3"/>
        <v/>
      </c>
      <c r="B5993" s="83" t="str">
        <f t="shared" si="658"/>
        <v/>
      </c>
      <c r="S5993" s="83" t="str">
        <f t="shared" si="654"/>
        <v/>
      </c>
      <c r="T5993" s="83" t="str">
        <f t="shared" si="652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3"/>
        <v/>
      </c>
      <c r="B5994" s="83" t="str">
        <f t="shared" si="658"/>
        <v/>
      </c>
      <c r="S5994" s="83" t="str">
        <f t="shared" si="654"/>
        <v/>
      </c>
      <c r="T5994" s="83" t="str">
        <f t="shared" si="652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3"/>
        <v/>
      </c>
      <c r="B5995" s="83" t="str">
        <f t="shared" si="658"/>
        <v/>
      </c>
      <c r="S5995" s="83" t="str">
        <f t="shared" si="654"/>
        <v/>
      </c>
      <c r="T5995" s="83" t="str">
        <f t="shared" si="652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3"/>
        <v/>
      </c>
      <c r="B5996" s="83" t="str">
        <f t="shared" si="658"/>
        <v/>
      </c>
      <c r="S5996" s="83" t="str">
        <f t="shared" si="654"/>
        <v/>
      </c>
      <c r="T5996" s="83" t="str">
        <f t="shared" si="652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3"/>
        <v/>
      </c>
      <c r="B5997" s="83" t="str">
        <f t="shared" si="658"/>
        <v/>
      </c>
      <c r="S5997" s="83" t="str">
        <f t="shared" si="654"/>
        <v/>
      </c>
      <c r="T5997" s="83" t="str">
        <f t="shared" si="652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3"/>
        <v/>
      </c>
      <c r="B5998" s="83" t="str">
        <f t="shared" si="658"/>
        <v/>
      </c>
      <c r="S5998" s="83" t="str">
        <f t="shared" si="654"/>
        <v/>
      </c>
      <c r="T5998" s="83" t="str">
        <f t="shared" si="652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3"/>
        <v/>
      </c>
      <c r="B5999" s="125" t="str">
        <f t="shared" si="658"/>
        <v/>
      </c>
      <c r="C5999" s="126"/>
      <c r="D5999" s="126"/>
      <c r="E5999" s="126"/>
      <c r="F5999" s="127"/>
      <c r="G5999" s="126"/>
      <c r="H5999" s="126"/>
      <c r="I5999" s="126"/>
      <c r="J5999" s="126"/>
      <c r="K5999" s="126"/>
      <c r="L5999" s="126"/>
      <c r="M5999" s="126"/>
      <c r="N5999" s="126"/>
      <c r="O5999" s="126"/>
      <c r="P5999" s="126"/>
      <c r="Q5999" s="126"/>
      <c r="R5999" s="126"/>
      <c r="S5999" s="83" t="str">
        <f t="shared" si="654"/>
        <v/>
      </c>
      <c r="T5999" s="125" t="str">
        <f t="shared" si="652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9" customFormat="1" ht="15.75" thickBot="1">
      <c r="A6000" s="83" t="str">
        <f t="shared" si="653"/>
        <v/>
      </c>
      <c r="B6000" s="125" t="str">
        <f t="shared" si="658"/>
        <v/>
      </c>
      <c r="C6000" s="126"/>
      <c r="D6000" s="126"/>
      <c r="E6000" s="126"/>
      <c r="F6000" s="127"/>
      <c r="G6000" s="126"/>
      <c r="H6000" s="126"/>
      <c r="I6000" s="126"/>
      <c r="J6000" s="126"/>
      <c r="K6000" s="126"/>
      <c r="L6000" s="126"/>
      <c r="M6000" s="126"/>
      <c r="N6000" s="126"/>
      <c r="O6000" s="126"/>
      <c r="P6000" s="126"/>
      <c r="Q6000" s="126"/>
      <c r="R6000" s="126"/>
      <c r="S6000" s="83" t="str">
        <f t="shared" si="654"/>
        <v/>
      </c>
      <c r="T6000" s="125" t="str">
        <f t="shared" si="652"/>
        <v/>
      </c>
      <c r="U6000" s="116"/>
      <c r="V6000" s="116"/>
      <c r="W6000" s="116"/>
      <c r="X6000" s="116"/>
      <c r="Y6000" s="128">
        <f t="shared" si="655"/>
        <v>0</v>
      </c>
      <c r="Z6000" s="116">
        <f t="shared" si="656"/>
        <v>0</v>
      </c>
      <c r="AA6000" s="128">
        <f t="shared" si="657"/>
        <v>0</v>
      </c>
      <c r="AB6000" s="116"/>
      <c r="AC6000" s="116"/>
      <c r="AD6000" s="116"/>
      <c r="AE6000" s="128"/>
      <c r="AF6000" s="128"/>
      <c r="AG6000" s="116"/>
      <c r="AH6000" s="116"/>
      <c r="AI6000" s="116"/>
      <c r="AJ6000" s="116"/>
      <c r="AK6000" s="116"/>
      <c r="AL6000" s="116"/>
      <c r="AM6000" s="116"/>
    </row>
    <row r="6001" spans="1:39" s="116" customFormat="1" ht="15.75" thickBot="1">
      <c r="A6001" s="130"/>
      <c r="B6001" s="131"/>
      <c r="C6001" s="132"/>
      <c r="D6001" s="132"/>
      <c r="E6001" s="132"/>
      <c r="F6001" s="133"/>
      <c r="G6001" s="132"/>
      <c r="H6001" s="132"/>
      <c r="I6001" s="132"/>
      <c r="J6001" s="132"/>
      <c r="K6001" s="132"/>
      <c r="L6001" s="132"/>
      <c r="M6001" s="132"/>
      <c r="N6001" s="132"/>
      <c r="O6001" s="132"/>
      <c r="P6001" s="132"/>
      <c r="Q6001" s="132"/>
      <c r="R6001" s="132"/>
      <c r="S6001" s="131"/>
      <c r="T6001" s="131"/>
      <c r="Y6001" s="128"/>
      <c r="AA6001" s="128"/>
      <c r="AE6001" s="128"/>
      <c r="AF6001" s="128"/>
    </row>
    <row r="6002" spans="1:39" s="129" customFormat="1">
      <c r="A6002" s="89"/>
      <c r="B6002" s="89"/>
      <c r="C6002" s="111"/>
      <c r="D6002" s="111"/>
      <c r="E6002" s="111"/>
      <c r="F6002" s="112"/>
      <c r="G6002" s="111"/>
      <c r="H6002" s="111"/>
      <c r="I6002" s="111"/>
      <c r="J6002" s="111"/>
      <c r="K6002" s="111"/>
      <c r="L6002" s="111"/>
      <c r="M6002" s="111"/>
      <c r="N6002" s="111"/>
      <c r="O6002" s="111"/>
      <c r="P6002" s="111"/>
      <c r="Q6002" s="111"/>
      <c r="R6002" s="111"/>
      <c r="S6002" s="89"/>
      <c r="T6002" s="89"/>
      <c r="U6002" s="116"/>
      <c r="V6002" s="116"/>
      <c r="W6002" s="116"/>
      <c r="X6002" s="116"/>
      <c r="Y6002" s="128"/>
      <c r="Z6002" s="116"/>
      <c r="AA6002" s="128"/>
      <c r="AB6002" s="116"/>
      <c r="AC6002" s="116"/>
      <c r="AD6002" s="116"/>
      <c r="AE6002" s="128"/>
      <c r="AF6002" s="128"/>
      <c r="AG6002" s="116"/>
      <c r="AH6002" s="116"/>
      <c r="AI6002" s="116"/>
      <c r="AJ6002" s="116"/>
      <c r="AK6002" s="116"/>
      <c r="AL6002" s="116"/>
      <c r="AM6002" s="116"/>
    </row>
  </sheetData>
  <dataValidations count="1">
    <dataValidation type="list" allowBlank="1" showInputMessage="1" showErrorMessage="1" sqref="AF1" xr:uid="{00000000-0002-0000-0600-000000000000}">
      <formula1>Производители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64</vt:i4>
      </vt:variant>
    </vt:vector>
  </HeadingPairs>
  <TitlesOfParts>
    <vt:vector size="72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2022-02-15T12:57:21Z</dcterms:modified>
</cp:coreProperties>
</file>