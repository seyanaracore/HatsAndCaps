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Bailey\2022.06.20\"/>
    </mc:Choice>
  </mc:AlternateContent>
  <xr:revisionPtr revIDLastSave="0" documentId="13_ncr:1_{AF6D358D-B1EE-4CE7-BF3C-D114D92F33F3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Names" sheetId="9" r:id="rId1"/>
    <sheet name="data" sheetId="10" r:id="rId2"/>
    <sheet name="res" sheetId="11" r:id="rId3"/>
    <sheet name="Лист6" sheetId="12" r:id="rId4"/>
    <sheet name="Разобранные" sheetId="13" r:id="rId5"/>
    <sheet name="Prices" sheetId="14" r:id="rId6"/>
  </sheets>
  <definedNames>
    <definedName name="_xlpm.text" hidden="1" xlm="1">#NAME?</definedName>
    <definedName name="_xlnm._FilterDatabase" localSheetId="4" hidden="1">Разобранные!$A$1:$G$312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3" l="1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2" i="13"/>
  <c r="A2" i="14" l="1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" i="14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2" i="12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2" i="11"/>
  <c r="D320" i="10"/>
  <c r="C320" i="10"/>
  <c r="B320" i="10"/>
  <c r="D317" i="10"/>
  <c r="C317" i="10"/>
  <c r="B317" i="10"/>
  <c r="D314" i="10"/>
  <c r="C314" i="10"/>
  <c r="B314" i="10"/>
  <c r="D311" i="10"/>
  <c r="C311" i="10"/>
  <c r="B311" i="10"/>
  <c r="D308" i="10"/>
  <c r="C308" i="10"/>
  <c r="B308" i="10"/>
  <c r="D305" i="10"/>
  <c r="C305" i="10"/>
  <c r="B305" i="10"/>
  <c r="D302" i="10"/>
  <c r="C302" i="10"/>
  <c r="B302" i="10"/>
  <c r="D299" i="10"/>
  <c r="C299" i="10"/>
  <c r="B299" i="10"/>
  <c r="D296" i="10"/>
  <c r="C296" i="10"/>
  <c r="B296" i="10"/>
  <c r="D293" i="10"/>
  <c r="C293" i="10"/>
  <c r="B293" i="10"/>
  <c r="D290" i="10"/>
  <c r="C290" i="10"/>
  <c r="B290" i="10"/>
  <c r="D287" i="10"/>
  <c r="C287" i="10"/>
  <c r="B287" i="10"/>
  <c r="D284" i="10"/>
  <c r="C284" i="10"/>
  <c r="B284" i="10"/>
  <c r="D281" i="10"/>
  <c r="C281" i="10"/>
  <c r="B281" i="10"/>
  <c r="D278" i="10"/>
  <c r="C278" i="10"/>
  <c r="B278" i="10"/>
  <c r="D275" i="10"/>
  <c r="C275" i="10"/>
  <c r="B275" i="10"/>
  <c r="D272" i="10"/>
  <c r="C272" i="10"/>
  <c r="B272" i="10"/>
  <c r="D269" i="10"/>
  <c r="C269" i="10"/>
  <c r="B269" i="10"/>
  <c r="D266" i="10"/>
  <c r="C266" i="10"/>
  <c r="B266" i="10"/>
  <c r="D263" i="10"/>
  <c r="C263" i="10"/>
  <c r="B263" i="10"/>
  <c r="D260" i="10"/>
  <c r="C260" i="10"/>
  <c r="B260" i="10"/>
  <c r="D257" i="10"/>
  <c r="C257" i="10"/>
  <c r="B257" i="10"/>
  <c r="D254" i="10"/>
  <c r="C254" i="10"/>
  <c r="B254" i="10"/>
  <c r="D251" i="10"/>
  <c r="C251" i="10"/>
  <c r="B251" i="10"/>
  <c r="D248" i="10"/>
  <c r="C248" i="10"/>
  <c r="B248" i="10"/>
  <c r="D245" i="10"/>
  <c r="C245" i="10"/>
  <c r="B245" i="10"/>
  <c r="D242" i="10"/>
  <c r="C242" i="10"/>
  <c r="B242" i="10"/>
  <c r="D239" i="10"/>
  <c r="C239" i="10"/>
  <c r="B239" i="10"/>
  <c r="D236" i="10"/>
  <c r="C236" i="10"/>
  <c r="B236" i="10"/>
  <c r="D233" i="10"/>
  <c r="C233" i="10"/>
  <c r="B233" i="10"/>
  <c r="D230" i="10"/>
  <c r="C230" i="10"/>
  <c r="B230" i="10"/>
  <c r="D227" i="10"/>
  <c r="C227" i="10"/>
  <c r="B227" i="10"/>
  <c r="D224" i="10"/>
  <c r="C224" i="10"/>
  <c r="B224" i="10"/>
  <c r="D221" i="10"/>
  <c r="C221" i="10"/>
  <c r="B221" i="10"/>
  <c r="D218" i="10"/>
  <c r="C218" i="10"/>
  <c r="B218" i="10"/>
  <c r="D215" i="10"/>
  <c r="C215" i="10"/>
  <c r="B215" i="10"/>
  <c r="D212" i="10"/>
  <c r="C212" i="10"/>
  <c r="B212" i="10"/>
  <c r="D209" i="10"/>
  <c r="C209" i="10"/>
  <c r="B209" i="10"/>
  <c r="D206" i="10"/>
  <c r="C206" i="10"/>
  <c r="B206" i="10"/>
  <c r="D203" i="10"/>
  <c r="C203" i="10"/>
  <c r="B203" i="10"/>
  <c r="D200" i="10"/>
  <c r="C200" i="10"/>
  <c r="B200" i="10"/>
  <c r="D197" i="10"/>
  <c r="C197" i="10"/>
  <c r="B197" i="10"/>
  <c r="D194" i="10"/>
  <c r="C194" i="10"/>
  <c r="B194" i="10"/>
  <c r="D191" i="10"/>
  <c r="C191" i="10"/>
  <c r="B191" i="10"/>
  <c r="D188" i="10"/>
  <c r="C188" i="10"/>
  <c r="B188" i="10"/>
  <c r="D185" i="10"/>
  <c r="C185" i="10"/>
  <c r="B185" i="10"/>
  <c r="D182" i="10"/>
  <c r="C182" i="10"/>
  <c r="B182" i="10"/>
  <c r="D179" i="10"/>
  <c r="C179" i="10"/>
  <c r="B179" i="10"/>
  <c r="D176" i="10"/>
  <c r="C176" i="10"/>
  <c r="B176" i="10"/>
  <c r="D173" i="10"/>
  <c r="C173" i="10"/>
  <c r="B173" i="10"/>
  <c r="D170" i="10"/>
  <c r="C170" i="10"/>
  <c r="B170" i="10"/>
  <c r="D167" i="10"/>
  <c r="C167" i="10"/>
  <c r="B167" i="10"/>
  <c r="D164" i="10"/>
  <c r="C164" i="10"/>
  <c r="B164" i="10"/>
  <c r="D161" i="10"/>
  <c r="C161" i="10"/>
  <c r="B161" i="10"/>
  <c r="D158" i="10"/>
  <c r="C158" i="10"/>
  <c r="B158" i="10"/>
  <c r="D155" i="10"/>
  <c r="C155" i="10"/>
  <c r="B155" i="10"/>
  <c r="D152" i="10"/>
  <c r="C152" i="10"/>
  <c r="B152" i="10"/>
  <c r="D149" i="10"/>
  <c r="C149" i="10"/>
  <c r="B149" i="10"/>
  <c r="D146" i="10"/>
  <c r="C146" i="10"/>
  <c r="B146" i="10"/>
  <c r="D143" i="10"/>
  <c r="C143" i="10"/>
  <c r="B143" i="10"/>
  <c r="D140" i="10"/>
  <c r="C140" i="10"/>
  <c r="B140" i="10"/>
  <c r="D137" i="10"/>
  <c r="C137" i="10"/>
  <c r="B137" i="10"/>
  <c r="D134" i="10"/>
  <c r="C134" i="10"/>
  <c r="B134" i="10"/>
  <c r="D131" i="10"/>
  <c r="C131" i="10"/>
  <c r="B131" i="10"/>
  <c r="D128" i="10"/>
  <c r="C128" i="10"/>
  <c r="B128" i="10"/>
  <c r="D125" i="10"/>
  <c r="C125" i="10"/>
  <c r="B125" i="10"/>
  <c r="D122" i="10"/>
  <c r="C122" i="10"/>
  <c r="B122" i="10"/>
  <c r="D119" i="10"/>
  <c r="C119" i="10"/>
  <c r="B119" i="10"/>
  <c r="D116" i="10"/>
  <c r="C116" i="10"/>
  <c r="B116" i="10"/>
  <c r="D113" i="10"/>
  <c r="C113" i="10"/>
  <c r="B113" i="10"/>
  <c r="D110" i="10"/>
  <c r="C110" i="10"/>
  <c r="B110" i="10"/>
  <c r="D107" i="10"/>
  <c r="C107" i="10"/>
  <c r="B107" i="10"/>
  <c r="D104" i="10"/>
  <c r="C104" i="10"/>
  <c r="B104" i="10"/>
  <c r="D101" i="10"/>
  <c r="C101" i="10"/>
  <c r="B101" i="10"/>
  <c r="D98" i="10"/>
  <c r="C98" i="10"/>
  <c r="B98" i="10"/>
  <c r="D95" i="10"/>
  <c r="C95" i="10"/>
  <c r="B95" i="10"/>
  <c r="D92" i="10"/>
  <c r="C92" i="10"/>
  <c r="B92" i="10"/>
  <c r="D89" i="10"/>
  <c r="C89" i="10"/>
  <c r="B89" i="10"/>
  <c r="D86" i="10"/>
  <c r="C86" i="10"/>
  <c r="B86" i="10"/>
  <c r="D83" i="10"/>
  <c r="C83" i="10"/>
  <c r="B83" i="10"/>
  <c r="D80" i="10"/>
  <c r="C80" i="10"/>
  <c r="B80" i="10"/>
  <c r="D77" i="10"/>
  <c r="C77" i="10"/>
  <c r="B77" i="10"/>
  <c r="D74" i="10"/>
  <c r="C74" i="10"/>
  <c r="B74" i="10"/>
  <c r="D71" i="10"/>
  <c r="C71" i="10"/>
  <c r="B71" i="10"/>
  <c r="D68" i="10"/>
  <c r="C68" i="10"/>
  <c r="B68" i="10"/>
  <c r="D65" i="10"/>
  <c r="C65" i="10"/>
  <c r="B65" i="10"/>
  <c r="D62" i="10"/>
  <c r="C62" i="10"/>
  <c r="B62" i="10"/>
  <c r="D59" i="10"/>
  <c r="C59" i="10"/>
  <c r="B59" i="10"/>
  <c r="D56" i="10"/>
  <c r="C56" i="10"/>
  <c r="B56" i="10"/>
  <c r="D53" i="10"/>
  <c r="C53" i="10"/>
  <c r="B53" i="10"/>
  <c r="D50" i="10"/>
  <c r="C50" i="10"/>
  <c r="B50" i="10"/>
  <c r="D47" i="10"/>
  <c r="C47" i="10"/>
  <c r="B47" i="10"/>
  <c r="D44" i="10"/>
  <c r="C44" i="10"/>
  <c r="B44" i="10"/>
  <c r="D41" i="10"/>
  <c r="C41" i="10"/>
  <c r="B41" i="10"/>
  <c r="D38" i="10"/>
  <c r="C38" i="10"/>
  <c r="B38" i="10"/>
  <c r="D35" i="10"/>
  <c r="C35" i="10"/>
  <c r="B35" i="10"/>
  <c r="D32" i="10"/>
  <c r="C32" i="10"/>
  <c r="B32" i="10"/>
  <c r="D29" i="10"/>
  <c r="C29" i="10"/>
  <c r="B29" i="10"/>
  <c r="D26" i="10"/>
  <c r="C26" i="10"/>
  <c r="B26" i="10"/>
  <c r="D23" i="10"/>
  <c r="C23" i="10"/>
  <c r="B23" i="10"/>
  <c r="D20" i="10"/>
  <c r="C20" i="10"/>
  <c r="B20" i="10"/>
  <c r="D17" i="10"/>
  <c r="C17" i="10"/>
  <c r="B17" i="10"/>
  <c r="D14" i="10"/>
  <c r="C14" i="10"/>
  <c r="B14" i="10"/>
  <c r="D11" i="10"/>
  <c r="C11" i="10"/>
  <c r="B11" i="10"/>
  <c r="D8" i="10"/>
  <c r="C8" i="10"/>
  <c r="B8" i="10"/>
  <c r="D5" i="10"/>
  <c r="C5" i="10"/>
  <c r="B5" i="10"/>
  <c r="D2" i="10"/>
  <c r="C2" i="10"/>
  <c r="B2" i="10"/>
</calcChain>
</file>

<file path=xl/sharedStrings.xml><?xml version="1.0" encoding="utf-8"?>
<sst xmlns="http://schemas.openxmlformats.org/spreadsheetml/2006/main" count="3423" uniqueCount="837">
  <si>
    <t>22807BH BOREAL</t>
  </si>
  <si>
    <t>S, M, L, XL</t>
  </si>
  <si>
    <t>22808BH CORAM</t>
  </si>
  <si>
    <t>22809BH HURTLE</t>
  </si>
  <si>
    <t>22810BH ARION</t>
  </si>
  <si>
    <t>22811BH HORAN</t>
  </si>
  <si>
    <t>22812BH ALTAIR</t>
  </si>
  <si>
    <t>22813BH PHINEAS</t>
  </si>
  <si>
    <t>22818BH GILES</t>
  </si>
  <si>
    <t>22814BH BYSTROM</t>
  </si>
  <si>
    <t>22815BH EMIL</t>
  </si>
  <si>
    <t>Avion Window</t>
  </si>
  <si>
    <t>22816BH RACER</t>
  </si>
  <si>
    <t>22817BH CRISPIN</t>
  </si>
  <si>
    <t>22784BH TASMIN</t>
  </si>
  <si>
    <t>Natural Multi</t>
  </si>
  <si>
    <t>22804BH HERNEN</t>
  </si>
  <si>
    <t>S, M, L, XL, XXL</t>
  </si>
  <si>
    <t>22803BH RASK</t>
  </si>
  <si>
    <t>22806BH HINX</t>
  </si>
  <si>
    <t>Espresso Check</t>
  </si>
  <si>
    <t>22760BH LORING</t>
  </si>
  <si>
    <t>Natural</t>
  </si>
  <si>
    <t>22798BH WARLICK</t>
  </si>
  <si>
    <t>22757BH SALTER</t>
  </si>
  <si>
    <t>6 3/4, 6 7/8, 7, 7 1/8, 7 1/4, 7 3/8, 7 1/2, 7 5/8</t>
  </si>
  <si>
    <t>22805BH EZRA</t>
  </si>
  <si>
    <t>22787BH GIGER</t>
  </si>
  <si>
    <t>22790BH PARSON</t>
  </si>
  <si>
    <t>22750 ROLL UP II</t>
  </si>
  <si>
    <t>22705 CHAPLIN</t>
  </si>
  <si>
    <t>22786BH TESSIER</t>
  </si>
  <si>
    <t>22776BH CUBAN</t>
  </si>
  <si>
    <t>22719 CUTLER</t>
  </si>
  <si>
    <t>22791BH STANSFIELD</t>
  </si>
  <si>
    <t>22721 BROOKS</t>
  </si>
  <si>
    <t>63117 BLACKBURN</t>
  </si>
  <si>
    <t>63283BH RELIK</t>
  </si>
  <si>
    <t>63297BH BRAYLON</t>
  </si>
  <si>
    <t>63112 HANSON</t>
  </si>
  <si>
    <t>63125 KONRATH</t>
  </si>
  <si>
    <t>63114 GUTHRIE</t>
  </si>
  <si>
    <t>63200 SPENCER</t>
  </si>
  <si>
    <t>63298BH GLASER</t>
  </si>
  <si>
    <t>60003BH MELTON</t>
  </si>
  <si>
    <t>63302BH QUIL</t>
  </si>
  <si>
    <t>63294BH MAGNESS</t>
  </si>
  <si>
    <t>5009BH ADLAY</t>
  </si>
  <si>
    <t>5011BH ANKER</t>
  </si>
  <si>
    <t>5008BH ORSUN</t>
  </si>
  <si>
    <t>5000BH ROCKETT</t>
  </si>
  <si>
    <t>Tan</t>
  </si>
  <si>
    <t>5001BH DERIAN</t>
  </si>
  <si>
    <t>Burlap</t>
  </si>
  <si>
    <t>5010BH WINSTONE</t>
  </si>
  <si>
    <t>5006BH ROTHNEY</t>
  </si>
  <si>
    <t>81810 WAITS</t>
  </si>
  <si>
    <t>81745BH SCORSBY</t>
  </si>
  <si>
    <t>81746BH LOREK</t>
  </si>
  <si>
    <t>81749BH MAX</t>
  </si>
  <si>
    <t>81751BH KAI</t>
  </si>
  <si>
    <t>81750BH OTIS</t>
  </si>
  <si>
    <t>81738BH BALANS ROLL UP</t>
  </si>
  <si>
    <t>81744BH ELI</t>
  </si>
  <si>
    <t>81722BH ROKIT</t>
  </si>
  <si>
    <t>81717BH CRAIG</t>
  </si>
  <si>
    <t>81741BH WESTFIELD</t>
  </si>
  <si>
    <t>81732BH RONIT</t>
  </si>
  <si>
    <t>81747BH DARIO</t>
  </si>
  <si>
    <t>81739BH CARVER</t>
  </si>
  <si>
    <t>81702BH BERLE</t>
  </si>
  <si>
    <t>81695 MANNESROE</t>
  </si>
  <si>
    <t>81690 MANNES</t>
  </si>
  <si>
    <t>81670 BILLY</t>
  </si>
  <si>
    <t>81711BH TATE</t>
  </si>
  <si>
    <t>81727BH DENNEY</t>
  </si>
  <si>
    <t>81726BH HESTER</t>
  </si>
  <si>
    <t>81650 SALEM</t>
  </si>
  <si>
    <t>81710BH HOOPER</t>
  </si>
  <si>
    <t>81703BH FOLEY</t>
  </si>
  <si>
    <t>81652 ELLIOTT</t>
  </si>
  <si>
    <t>81720BH MULLAN</t>
  </si>
  <si>
    <t>1365 GRAHAM</t>
  </si>
  <si>
    <t>90058 SLATER</t>
  </si>
  <si>
    <t>90165BH VANDER</t>
  </si>
  <si>
    <t>90164BH ANSEL</t>
  </si>
  <si>
    <t>90163BH LEIF</t>
  </si>
  <si>
    <t>90166BH DUNSTAN</t>
  </si>
  <si>
    <t>90172BH CONALL</t>
  </si>
  <si>
    <t>90171BH HELIOS</t>
  </si>
  <si>
    <t>BC2202OD FEN</t>
  </si>
  <si>
    <t>One Size</t>
  </si>
  <si>
    <t>BC2203OD CONIFER</t>
  </si>
  <si>
    <t>BC2206OD SOBO</t>
  </si>
  <si>
    <t>BC2204OD LNT (LEAVE NO TRACE)</t>
  </si>
  <si>
    <t>BC2205OD DUODESS</t>
  </si>
  <si>
    <t>BC2201OD CACHE</t>
  </si>
  <si>
    <t>WR21A ORE</t>
  </si>
  <si>
    <t>S17WR2 KILGOR</t>
  </si>
  <si>
    <t>Oxford Tan</t>
  </si>
  <si>
    <t>S17WR1 OSWEGO</t>
  </si>
  <si>
    <t>S22WRB DAYTON</t>
  </si>
  <si>
    <t>BK2202OD NOSEEUM</t>
  </si>
  <si>
    <t>BK2204OD ICEFALL</t>
  </si>
  <si>
    <t>BK2201OD NOBO</t>
  </si>
  <si>
    <t>BW2202OD REDLINE</t>
  </si>
  <si>
    <t>BW2203OD THREE</t>
  </si>
  <si>
    <t>BW2208OD EDC (EVERY DAY CARRY)</t>
  </si>
  <si>
    <t>BK2205OD FAILSAFE</t>
  </si>
  <si>
    <t>BK2206OD ZERO HORIZON</t>
  </si>
  <si>
    <t>BK2207OD GLISSADE</t>
  </si>
  <si>
    <t>BK2208OD CAIRN</t>
  </si>
  <si>
    <t>BW2201OD OPSEC</t>
  </si>
  <si>
    <t>BW2207OD MONTANA</t>
  </si>
  <si>
    <t>BF2201OD BEZEL</t>
  </si>
  <si>
    <t>Cordova</t>
  </si>
  <si>
    <t>1362 DALTON</t>
  </si>
  <si>
    <t>BW2205OD RAINFLY</t>
  </si>
  <si>
    <t>13731BH BOLEY</t>
  </si>
  <si>
    <t>1369 JACKMAN</t>
  </si>
  <si>
    <t>Avion                 Oak</t>
  </si>
  <si>
    <t>Style</t>
  </si>
  <si>
    <t>Size</t>
  </si>
  <si>
    <t>Variants</t>
  </si>
  <si>
    <t>Sizes</t>
  </si>
  <si>
    <t>Data</t>
  </si>
  <si>
    <t>22818BH  GILES</t>
  </si>
  <si>
    <t>22807BH  BOREAL</t>
  </si>
  <si>
    <t>22811BH  HORAN</t>
  </si>
  <si>
    <t>Black               Natural</t>
  </si>
  <si>
    <t>22813BH  PHINEAS</t>
  </si>
  <si>
    <t>Avion/Natural     Oak/Natural</t>
  </si>
  <si>
    <t>22808BH  CORAM</t>
  </si>
  <si>
    <t>Avion               Natural               Tawny</t>
  </si>
  <si>
    <t>22809BH  HURTLE</t>
  </si>
  <si>
    <t>Black                Tawny</t>
  </si>
  <si>
    <t>Natural                Teak</t>
  </si>
  <si>
    <t>Sage                Tawny</t>
  </si>
  <si>
    <t>Charcoal          OD Green</t>
  </si>
  <si>
    <t>BW2205OD  RAINFLY</t>
  </si>
  <si>
    <t>BF2201OD  BEZEL</t>
  </si>
  <si>
    <t>Coffee Gold        Pale Olive</t>
  </si>
  <si>
    <t>13731BH  BOLEY</t>
  </si>
  <si>
    <t>BW2207OD  MONTANA</t>
  </si>
  <si>
    <t>Black            Dark Brown</t>
  </si>
  <si>
    <t>Nougat              Sudan</t>
  </si>
  <si>
    <t>1362  DALTON</t>
  </si>
  <si>
    <t>Black                Chino                Navy                  Tan</t>
  </si>
  <si>
    <t>Black             Burgundy           Charcoal  Dark Brown            Navy            Vanilla Bean</t>
  </si>
  <si>
    <t>BK2205OD  FAILSAFE</t>
  </si>
  <si>
    <t>Black                 Grey             OD Green</t>
  </si>
  <si>
    <t>BK2206OD  ZERO HORIZON</t>
  </si>
  <si>
    <t>Black           Blaze Orange       OD Green</t>
  </si>
  <si>
    <t>BK2207OD  GLISSADE</t>
  </si>
  <si>
    <t>Black           Blaze Orange           Grey             OD Green</t>
  </si>
  <si>
    <t>BK2208OD  CAIRN</t>
  </si>
  <si>
    <t>BW2201OD  OPSEC</t>
  </si>
  <si>
    <t>BW2202OD  REDLINE</t>
  </si>
  <si>
    <t>Black                Camel</t>
  </si>
  <si>
    <t>Black                 Mole</t>
  </si>
  <si>
    <t>BW2208OD  EDC (EVERY DAY CARRY)</t>
  </si>
  <si>
    <t>Beaver         Penns Woods</t>
  </si>
  <si>
    <t>Deepwoods Camo  Safety First Camo</t>
  </si>
  <si>
    <t>BK2204OD  ICEFALL</t>
  </si>
  <si>
    <t>Black           Blaze Orange           Grey              OD Green</t>
  </si>
  <si>
    <t>BK2201OD  NOBO</t>
  </si>
  <si>
    <t>BK2202OD  NOSEEUM</t>
  </si>
  <si>
    <t>Black           Warm Taupe</t>
  </si>
  <si>
    <t>Army Green           Stone</t>
  </si>
  <si>
    <t>S17WR1  OSWEGO</t>
  </si>
  <si>
    <t>S22WRB  DAYTON</t>
  </si>
  <si>
    <t>Dk Natural             Ivory                 Navy</t>
  </si>
  <si>
    <t>S17WR2  KILGOR</t>
  </si>
  <si>
    <t>BC2204OD  LNT (LEAVE NO TRACE)</t>
  </si>
  <si>
    <t>Black             OD Green         Tree Camo</t>
  </si>
  <si>
    <t>BC2206OD  SOBO</t>
  </si>
  <si>
    <t>Black             OD Green</t>
  </si>
  <si>
    <t>BC2205OD  DUODESS</t>
  </si>
  <si>
    <t>Black              OD Green</t>
  </si>
  <si>
    <t>BC2202OD  FEN</t>
  </si>
  <si>
    <t>BC2203OD  CONIFER</t>
  </si>
  <si>
    <t>BC2201OD  CACHE</t>
  </si>
  <si>
    <t>90171BH  HELIOS</t>
  </si>
  <si>
    <t>90172BH  CONALL</t>
  </si>
  <si>
    <t>Avion                Black                White</t>
  </si>
  <si>
    <t>90058  SLATER</t>
  </si>
  <si>
    <t>Avion            Basalt Grey         Burgundy           Graphite              Taupe</t>
  </si>
  <si>
    <t>1365  GRAHAM</t>
  </si>
  <si>
    <t>90163BH  LEIF</t>
  </si>
  <si>
    <t>Avion Stripe       Beige Stripe      Cream Stripe</t>
  </si>
  <si>
    <t>Bloodstone            Navy</t>
  </si>
  <si>
    <t>90166BH  DUNSTAN</t>
  </si>
  <si>
    <t>Bloodstone Plaid  Charcoal Plaid  Mahogany Plaid</t>
  </si>
  <si>
    <t>Ash Stripe    Bloodstone Stripe  Mahogany Stripe</t>
  </si>
  <si>
    <t>81652  ELLIOTT</t>
  </si>
  <si>
    <t>81703BH  FOLEY</t>
  </si>
  <si>
    <t>81710BH  HOOPER</t>
  </si>
  <si>
    <t>Charcoal              Earth               Natural</t>
  </si>
  <si>
    <t>81720BH  MULLAN</t>
  </si>
  <si>
    <t>Black               Copper               Sand</t>
  </si>
  <si>
    <t>81727BH  DENNEY</t>
  </si>
  <si>
    <t>Black                 Latte</t>
  </si>
  <si>
    <t>81690  MANNES</t>
  </si>
  <si>
    <t>81695  MANNESROE</t>
  </si>
  <si>
    <t>81726BH  HESTER</t>
  </si>
  <si>
    <t>Avion  Black Multi  Bloodstone  Brown Multi      Cement Multi    Charcoal Multi  Light Grey Multi     Navy Multi  Oak               Overcast            Skydiver              Tawny          Woods Multi</t>
  </si>
  <si>
    <t>Black/Charcoal Multi     Ivory/Adobe Multi     Overcast</t>
  </si>
  <si>
    <t>Avion               Copper               Grey                 Opal                 Sand                Tawny</t>
  </si>
  <si>
    <t>Black                 Latte             Light Grey             Navy              Off White</t>
  </si>
  <si>
    <t>81650  SALEM</t>
  </si>
  <si>
    <t>81670  BILLY</t>
  </si>
  <si>
    <t>Ash                  Black             Driftwood             Green              Natural              Navy                  Oak                  Rust                 Static                White</t>
  </si>
  <si>
    <t>Ash                  Black                  Black Heather      Bloodstone    Dk Blue Heather      Espresso             Gravel                Latte                 Navy                  Tan                 Tawny                White</t>
  </si>
  <si>
    <t>81747BH  DARIO</t>
  </si>
  <si>
    <t>81702BH  BERLE</t>
  </si>
  <si>
    <t>Kapok Green     Navy Heather         Natural              Vanilla</t>
  </si>
  <si>
    <t>Camo               Natural</t>
  </si>
  <si>
    <t>81739BH  CARVER</t>
  </si>
  <si>
    <t>Grey               Natural               Navy                Taupe</t>
  </si>
  <si>
    <t>81722BH  ROKIT</t>
  </si>
  <si>
    <t>Light Grey/Black  Natural/Storm</t>
  </si>
  <si>
    <t>81732BH  RONIT</t>
  </si>
  <si>
    <t>Burgundy            Natural</t>
  </si>
  <si>
    <t>81717BH  CRAIG</t>
  </si>
  <si>
    <t>Black                 Grey               Natural               Sky Blue                Tan                 Tawny               White</t>
  </si>
  <si>
    <t>81750BH  OTIS</t>
  </si>
  <si>
    <t>Avion                Black                 Oak</t>
  </si>
  <si>
    <t>81751BH  KAI</t>
  </si>
  <si>
    <t>Grey               Natural</t>
  </si>
  <si>
    <t>81738BH  BALANS ROLL UP</t>
  </si>
  <si>
    <t>Avion            Mushroom             Slate                Taupe</t>
  </si>
  <si>
    <t>81744BH  ELI</t>
  </si>
  <si>
    <t>Avion                Black            Bloodstone             Grey                Tawny</t>
  </si>
  <si>
    <t>81745BH  SCORSBY</t>
  </si>
  <si>
    <t>Black                 Grey                Natural</t>
  </si>
  <si>
    <t>81749BH  MAX</t>
  </si>
  <si>
    <t>Black                 Ivory                White</t>
  </si>
  <si>
    <t>81746BH  LOREK</t>
  </si>
  <si>
    <t>Black                 Blue                Copper              Green             Midnight Brown         Sand                Smoke               Tawny           Unbleached</t>
  </si>
  <si>
    <t>5008BH  ORSUN</t>
  </si>
  <si>
    <t>Kapok Green          Natural                Tan</t>
  </si>
  <si>
    <t>5006BH  ROTHNEY</t>
  </si>
  <si>
    <t>Ivory           Kapok Green</t>
  </si>
  <si>
    <t>5001BH  DERIAN</t>
  </si>
  <si>
    <t>5000BH  ROCKETT</t>
  </si>
  <si>
    <t>Dark Natural            Navy</t>
  </si>
  <si>
    <t>Black             Limestone           Natural</t>
  </si>
  <si>
    <t>63294BH  MAGNESS</t>
  </si>
  <si>
    <t>Natural/Black           Sand                 Silver</t>
  </si>
  <si>
    <t>60003BH  MELTON</t>
  </si>
  <si>
    <t>63302BH  QUIL</t>
  </si>
  <si>
    <t>63297BH  BRAYLON</t>
  </si>
  <si>
    <t>63112  HANSON</t>
  </si>
  <si>
    <t>Natural/Black Natural/Blue Print  Natural/Rust</t>
  </si>
  <si>
    <t>63114  GUTHRIE</t>
  </si>
  <si>
    <t>Natural/Black  Natural/Blue Print  Natural/Rust</t>
  </si>
  <si>
    <t>63125  KONRATH</t>
  </si>
  <si>
    <t>63200  SPENCER</t>
  </si>
  <si>
    <t>Ash                Natural                Tan          Weathered Oak</t>
  </si>
  <si>
    <t>63283BH  RELIK</t>
  </si>
  <si>
    <t>Natural         Natural/Taupe</t>
  </si>
  <si>
    <t>63117  BLACKBURN</t>
  </si>
  <si>
    <t>Caramel             Natural               Opal</t>
  </si>
  <si>
    <t>63298BH  GLASER</t>
  </si>
  <si>
    <t>22705  CHAPLIN</t>
  </si>
  <si>
    <t>Black           Media Bleach</t>
  </si>
  <si>
    <t>Antiqued Natural  Antiqued Sienna</t>
  </si>
  <si>
    <t>22721  BROOKS</t>
  </si>
  <si>
    <t>22719  CUTLER</t>
  </si>
  <si>
    <t>22776BH  CUBAN</t>
  </si>
  <si>
    <t>Dark Slate            Natural                Oak                 Taupe</t>
  </si>
  <si>
    <t>Avion              Ash Grey        Media Bleach        Mushroom           Natural               Tawny</t>
  </si>
  <si>
    <t>Amber        Nat/Vintage Blue        Natural         Natural/Earth   Natural/Sunrise</t>
  </si>
  <si>
    <t>22757BH  SALTER</t>
  </si>
  <si>
    <t>22750  ROLL UP II</t>
  </si>
  <si>
    <t>22790BH  PARSON</t>
  </si>
  <si>
    <t>Ink Stain         Natural/Navy        Tea Stain</t>
  </si>
  <si>
    <t>22798BH    WARLICK</t>
  </si>
  <si>
    <t>Black/Natural    Charcoal/Rust</t>
  </si>
  <si>
    <t>22805BH  EZRA</t>
  </si>
  <si>
    <t>22787BH  GIGER</t>
  </si>
  <si>
    <t>Breezy Plaid       Brown Plaid     Blue Surf Plaid       Tan Plaid</t>
  </si>
  <si>
    <t>22760BH   LORING</t>
  </si>
  <si>
    <t>22814BH  BYSTROM</t>
  </si>
  <si>
    <t>Natural               Tawny</t>
  </si>
  <si>
    <t>22815BH  EMIL</t>
  </si>
  <si>
    <t>22816BH  RACER</t>
  </si>
  <si>
    <t>Ash                Natural</t>
  </si>
  <si>
    <t>22817BH  CRISPIN</t>
  </si>
  <si>
    <t>Avion               Natural</t>
  </si>
  <si>
    <t>22806BH  HINX</t>
  </si>
  <si>
    <t>Butter               Cloud                  Ink                   Opal                  Rust</t>
  </si>
  <si>
    <t>22803BH  RASK</t>
  </si>
  <si>
    <t>Black               Sunset</t>
  </si>
  <si>
    <t>22804BH  HERNEN</t>
  </si>
  <si>
    <t>Black/Ash                        Tawny/Natural</t>
  </si>
  <si>
    <t>Natural                Oak                Ash                 Tawny</t>
  </si>
  <si>
    <t>Coffee Gold, Pale Olive</t>
  </si>
  <si>
    <t>Black, Dark Brown</t>
  </si>
  <si>
    <t>Black, Burgundy, Charcoal, Dark Brown, Navy, Vanilla Bean</t>
  </si>
  <si>
    <t>Nougat, Sudan</t>
  </si>
  <si>
    <t>Black, Chino, Navy, Tan</t>
  </si>
  <si>
    <t>Black, Grey, OD Green</t>
  </si>
  <si>
    <t>Black, Blaze Orange, OD Green</t>
  </si>
  <si>
    <t>Black, Blaze Orange, Grey, OD Green</t>
  </si>
  <si>
    <t>Deepwoods Camo, Safety First Camo</t>
  </si>
  <si>
    <t>Black, Camel</t>
  </si>
  <si>
    <t>Black, Mole</t>
  </si>
  <si>
    <t>Beaver, Penns Woods</t>
  </si>
  <si>
    <t>Black, Warm Taupe</t>
  </si>
  <si>
    <t>Army Green, Stone</t>
  </si>
  <si>
    <t>Dk Natural, Ivory, Navy</t>
  </si>
  <si>
    <t>Black, OD Green, Tree Camo</t>
  </si>
  <si>
    <t>Black, OD Green</t>
  </si>
  <si>
    <t>Charcoal, OD Green</t>
  </si>
  <si>
    <t>Sage, Tawny</t>
  </si>
  <si>
    <t>Avion, Black, White</t>
  </si>
  <si>
    <t>Avion, Basalt Grey, Burgundy, Graphite, Taupe</t>
  </si>
  <si>
    <t>Avion Stripe, Beige Stripe, Cream Stripe</t>
  </si>
  <si>
    <t>Ash Stripe, Bloodstone Stripe, Mahogany Stripe</t>
  </si>
  <si>
    <t>Bloodstone, Navy</t>
  </si>
  <si>
    <t>Bloodstone Plaid, Charcoal Plaid, Mahogany Plaid</t>
  </si>
  <si>
    <t>Natural, Teak</t>
  </si>
  <si>
    <t>Charcoal, Earth, Natural</t>
  </si>
  <si>
    <t>Black, Copper, Sand</t>
  </si>
  <si>
    <t>Black, Latte</t>
  </si>
  <si>
    <t>Avion, Black Multi, Bloodstone, Brown Multi, Cement Multi, Charcoal Multi, Light Grey Multi, Navy Multi, Oak, Overcast, Skydiver, Tawny, Woods Multi</t>
  </si>
  <si>
    <t>Black/Charcoal Multi, Ivory/Adobe Multi, Overcast</t>
  </si>
  <si>
    <t>Avion, Copper, Grey, Opal, Sand, Tawny</t>
  </si>
  <si>
    <t>Black, Latte, Light Grey, Navy, Off White</t>
  </si>
  <si>
    <t>Ash, Black, Driftwood, Green, Natural, Navy, Oak, Rust, Static, White</t>
  </si>
  <si>
    <t>Ash, Black, Black Heather, Bloodstone, Dk Blue Heather, Espresso, Gravel, Latte, Navy, Tan, Tawny, White</t>
  </si>
  <si>
    <t>Kapok Green, Navy Heather, Natural, Vanilla</t>
  </si>
  <si>
    <t>Camo, Natural</t>
  </si>
  <si>
    <t>Grey, Natural, Navy, Taupe</t>
  </si>
  <si>
    <t>Light Grey/Black, Natural/Storm</t>
  </si>
  <si>
    <t>Burgundy, Natural</t>
  </si>
  <si>
    <t>Black, Grey, Natural, Sky Blue, Tan, Tawny, White</t>
  </si>
  <si>
    <t>Avion, Black, Oak</t>
  </si>
  <si>
    <t>Grey, Natural</t>
  </si>
  <si>
    <t>Avion, Mushroom, Slate, Taupe</t>
  </si>
  <si>
    <t>Avion, Black, Bloodstone, Grey, Tawny</t>
  </si>
  <si>
    <t>Black, Blue, Copper, Green, Midnight Brown, Sand, Smoke, Tawny, Unbleached</t>
  </si>
  <si>
    <t>Black, Grey, Natural</t>
  </si>
  <si>
    <t>Black, Ivory, White</t>
  </si>
  <si>
    <t>Black, Natural</t>
  </si>
  <si>
    <t>Kapok Green, Natural, Tan</t>
  </si>
  <si>
    <t>Ivory, Kapok Green</t>
  </si>
  <si>
    <t>Dark Natural, Navy</t>
  </si>
  <si>
    <t>Black, Limestone, Natural</t>
  </si>
  <si>
    <t>Natural/Black, Sand, Silver</t>
  </si>
  <si>
    <t>Natural/Black Natural/Blue Print, Natural/Rust</t>
  </si>
  <si>
    <t>Natural/Black, Natural/Blue Print, Natural/Rust</t>
  </si>
  <si>
    <t>Ash, Natural, Tan, Weathered Oak</t>
  </si>
  <si>
    <t>Natural, Natural/Taupe</t>
  </si>
  <si>
    <t>Caramel, Natural, Opal</t>
  </si>
  <si>
    <t>Black, Media Bleach</t>
  </si>
  <si>
    <t>Antiqued Natural, Antiqued Sienna</t>
  </si>
  <si>
    <t>Avion, Ash Grey, Media Bleach, Mushroom, Natural, Tawny</t>
  </si>
  <si>
    <t>Amber, Nat/Vintage Blue, Natural, Natural/Earth, Natural/Sunrise</t>
  </si>
  <si>
    <t>Dark Slate, Natural, Oak, Taupe</t>
  </si>
  <si>
    <t>Ink Stain, Natural/Navy, Tea Stain</t>
  </si>
  <si>
    <t>Black/Natural, Charcoal/Rust</t>
  </si>
  <si>
    <t>Breezy Plaid, Brown Plaid, Blue Surf Plaid, Tan Plaid</t>
  </si>
  <si>
    <t>Natural, Tawny</t>
  </si>
  <si>
    <t>Ash, Natural</t>
  </si>
  <si>
    <t>Avion, Natural</t>
  </si>
  <si>
    <t>Butter, Cloud, Ink, Opal, Rust</t>
  </si>
  <si>
    <t>Black, Sunset</t>
  </si>
  <si>
    <t>Natural, Oak, Ash, Tawny</t>
  </si>
  <si>
    <t>Avion/Natural, Oak/Natural</t>
  </si>
  <si>
    <t>Avion, Oak</t>
  </si>
  <si>
    <t>Black/Ash, Tawny/Natural</t>
  </si>
  <si>
    <t>Avion, Natural, Tawny</t>
  </si>
  <si>
    <t>Black, Tawny</t>
  </si>
  <si>
    <t>items.map(el =&gt; el.variants.replace(/  +/g, ', '))</t>
  </si>
  <si>
    <t>Colors</t>
  </si>
  <si>
    <t>Coffee Gold</t>
  </si>
  <si>
    <t>Pale Olive</t>
  </si>
  <si>
    <t>Black</t>
  </si>
  <si>
    <t>Dark Brown</t>
  </si>
  <si>
    <t>Burgundy</t>
  </si>
  <si>
    <t>Charcoal</t>
  </si>
  <si>
    <t>Navy</t>
  </si>
  <si>
    <t>Vanilla Bean</t>
  </si>
  <si>
    <t>Nougat</t>
  </si>
  <si>
    <t>Sudan</t>
  </si>
  <si>
    <t>Chino</t>
  </si>
  <si>
    <t>Grey</t>
  </si>
  <si>
    <t>OD Green</t>
  </si>
  <si>
    <t>Blaze Orange</t>
  </si>
  <si>
    <t>Deepwoods Camo</t>
  </si>
  <si>
    <t>Safety First Camo</t>
  </si>
  <si>
    <t>Camel</t>
  </si>
  <si>
    <t>Mole</t>
  </si>
  <si>
    <t>Beaver</t>
  </si>
  <si>
    <t>Penns Woods</t>
  </si>
  <si>
    <t>Warm Taupe</t>
  </si>
  <si>
    <t>Army Green</t>
  </si>
  <si>
    <t>Stone</t>
  </si>
  <si>
    <t>Dk Natural</t>
  </si>
  <si>
    <t>Ivory</t>
  </si>
  <si>
    <t>Tree Camo</t>
  </si>
  <si>
    <t>Sage</t>
  </si>
  <si>
    <t>Tawny</t>
  </si>
  <si>
    <t>Avion</t>
  </si>
  <si>
    <t>White</t>
  </si>
  <si>
    <t>Basalt Grey</t>
  </si>
  <si>
    <t>Graphite</t>
  </si>
  <si>
    <t>Taupe</t>
  </si>
  <si>
    <t>Avion Stripe</t>
  </si>
  <si>
    <t>Beige Stripe</t>
  </si>
  <si>
    <t>Cream Stripe</t>
  </si>
  <si>
    <t>Ash Stripe</t>
  </si>
  <si>
    <t>Bloodstone Stripe</t>
  </si>
  <si>
    <t>Mahogany Stripe</t>
  </si>
  <si>
    <t>Bloodstone</t>
  </si>
  <si>
    <t>Bloodstone Plaid</t>
  </si>
  <si>
    <t>Charcoal Plaid</t>
  </si>
  <si>
    <t>Mahogany Plaid</t>
  </si>
  <si>
    <t>Teak</t>
  </si>
  <si>
    <t>Earth</t>
  </si>
  <si>
    <t>Copper</t>
  </si>
  <si>
    <t>Sand</t>
  </si>
  <si>
    <t>Latte</t>
  </si>
  <si>
    <t>Black Multi</t>
  </si>
  <si>
    <t>Brown Multi</t>
  </si>
  <si>
    <t>Cement Multi</t>
  </si>
  <si>
    <t>Charcoal Multi</t>
  </si>
  <si>
    <t>Light Grey Multi</t>
  </si>
  <si>
    <t>Navy Multi</t>
  </si>
  <si>
    <t>Oak</t>
  </si>
  <si>
    <t>Overcast</t>
  </si>
  <si>
    <t>Skydiver</t>
  </si>
  <si>
    <t>Woods Multi</t>
  </si>
  <si>
    <t>Black/Charcoal Multi</t>
  </si>
  <si>
    <t>Ivory/Adobe Multi</t>
  </si>
  <si>
    <t>Opal</t>
  </si>
  <si>
    <t>Light Grey</t>
  </si>
  <si>
    <t>Off White</t>
  </si>
  <si>
    <t>Ash</t>
  </si>
  <si>
    <t>Driftwood</t>
  </si>
  <si>
    <t>Green</t>
  </si>
  <si>
    <t>Rust</t>
  </si>
  <si>
    <t>Static</t>
  </si>
  <si>
    <t>Black Heather</t>
  </si>
  <si>
    <t>Dk Blue Heather</t>
  </si>
  <si>
    <t>Espresso</t>
  </si>
  <si>
    <t>Gravel</t>
  </si>
  <si>
    <t>Kapok Green</t>
  </si>
  <si>
    <t>Navy Heather</t>
  </si>
  <si>
    <t>Vanilla</t>
  </si>
  <si>
    <t>Camo</t>
  </si>
  <si>
    <t>Light Grey/Black</t>
  </si>
  <si>
    <t>Natural/Storm</t>
  </si>
  <si>
    <t>Sky Blue</t>
  </si>
  <si>
    <t>Mushroom</t>
  </si>
  <si>
    <t>Slate</t>
  </si>
  <si>
    <t>Blue</t>
  </si>
  <si>
    <t>Midnight Brown</t>
  </si>
  <si>
    <t>Smoke</t>
  </si>
  <si>
    <t>Unbleached</t>
  </si>
  <si>
    <t>Dark Natural</t>
  </si>
  <si>
    <t>Limestone</t>
  </si>
  <si>
    <t>Natural/Black</t>
  </si>
  <si>
    <t>Silver</t>
  </si>
  <si>
    <t>Natural/Black Natural/Blue Print</t>
  </si>
  <si>
    <t>Natural/Rust</t>
  </si>
  <si>
    <t>Natural/Blue Print</t>
  </si>
  <si>
    <t>Weathered Oak</t>
  </si>
  <si>
    <t>Natural/Taupe</t>
  </si>
  <si>
    <t>Caramel</t>
  </si>
  <si>
    <t>Media Bleach</t>
  </si>
  <si>
    <t>Antiqued Natural</t>
  </si>
  <si>
    <t>Antiqued Sienna</t>
  </si>
  <si>
    <t>Ash Grey</t>
  </si>
  <si>
    <t>Amber</t>
  </si>
  <si>
    <t>Nat/Vintage Blue</t>
  </si>
  <si>
    <t>Natural/Earth</t>
  </si>
  <si>
    <t>Natural/Sunrise</t>
  </si>
  <si>
    <t>Dark Slate</t>
  </si>
  <si>
    <t>Ink Stain</t>
  </si>
  <si>
    <t>Natural/Navy</t>
  </si>
  <si>
    <t>Tea Stain</t>
  </si>
  <si>
    <t>Black/Natural</t>
  </si>
  <si>
    <t>Charcoal/Rust</t>
  </si>
  <si>
    <t>Breezy Plaid</t>
  </si>
  <si>
    <t>Brown Plaid</t>
  </si>
  <si>
    <t>Blue Surf Plaid</t>
  </si>
  <si>
    <t>Tan Plaid</t>
  </si>
  <si>
    <t>Butter</t>
  </si>
  <si>
    <t>Cloud</t>
  </si>
  <si>
    <t>Ink</t>
  </si>
  <si>
    <t>Sunset</t>
  </si>
  <si>
    <t>Avion/Natural</t>
  </si>
  <si>
    <t>Oak/Natural</t>
  </si>
  <si>
    <t>Black/Ash</t>
  </si>
  <si>
    <t>Tawny/Natural</t>
  </si>
  <si>
    <t>Color</t>
  </si>
  <si>
    <t>5009BH</t>
  </si>
  <si>
    <t>Adlay</t>
  </si>
  <si>
    <t>22812BH</t>
  </si>
  <si>
    <t>Altair</t>
  </si>
  <si>
    <t>5011BH</t>
  </si>
  <si>
    <t>Anker</t>
  </si>
  <si>
    <t>90164BH</t>
  </si>
  <si>
    <t>Ansel</t>
  </si>
  <si>
    <t>22810BH</t>
  </si>
  <si>
    <t>Arion</t>
  </si>
  <si>
    <t>81738BH</t>
  </si>
  <si>
    <t>Balans Roll up</t>
  </si>
  <si>
    <t>81702BH</t>
  </si>
  <si>
    <t>Berle</t>
  </si>
  <si>
    <t>BF2201OD</t>
  </si>
  <si>
    <t>Bezel</t>
  </si>
  <si>
    <t>81670</t>
  </si>
  <si>
    <t>Billy</t>
  </si>
  <si>
    <t>63117</t>
  </si>
  <si>
    <t>Blackburn</t>
  </si>
  <si>
    <t>13731BH</t>
  </si>
  <si>
    <t>Boley</t>
  </si>
  <si>
    <t>22807BH</t>
  </si>
  <si>
    <t>Boreal</t>
  </si>
  <si>
    <t>63297BH</t>
  </si>
  <si>
    <t>Braylon</t>
  </si>
  <si>
    <t>22721</t>
  </si>
  <si>
    <t>Brooks</t>
  </si>
  <si>
    <t>22814BH</t>
  </si>
  <si>
    <t>Bystrom</t>
  </si>
  <si>
    <t>BC2201OD</t>
  </si>
  <si>
    <t>Cache</t>
  </si>
  <si>
    <t>BK2208OD</t>
  </si>
  <si>
    <t>Cairn</t>
  </si>
  <si>
    <t>81739BH</t>
  </si>
  <si>
    <t>Carver</t>
  </si>
  <si>
    <t>22705</t>
  </si>
  <si>
    <t>Chaplin</t>
  </si>
  <si>
    <t>90172BH</t>
  </si>
  <si>
    <t>Conall</t>
  </si>
  <si>
    <t>BC2203OD</t>
  </si>
  <si>
    <t>Conifer</t>
  </si>
  <si>
    <t>22808BH</t>
  </si>
  <si>
    <t>Coram</t>
  </si>
  <si>
    <t>81717BH</t>
  </si>
  <si>
    <t>Craig</t>
  </si>
  <si>
    <t>22817BH</t>
  </si>
  <si>
    <t>Crispin</t>
  </si>
  <si>
    <t>22776BH</t>
  </si>
  <si>
    <t>Cuban</t>
  </si>
  <si>
    <t>22719</t>
  </si>
  <si>
    <t>Cutler</t>
  </si>
  <si>
    <t>1362</t>
  </si>
  <si>
    <t>Dalton</t>
  </si>
  <si>
    <t>81747BH</t>
  </si>
  <si>
    <t>Dario</t>
  </si>
  <si>
    <t>S22WRB</t>
  </si>
  <si>
    <t>Dayton</t>
  </si>
  <si>
    <t>81727BH</t>
  </si>
  <si>
    <t>Denney</t>
  </si>
  <si>
    <t>5001BH</t>
  </si>
  <si>
    <t>Derian</t>
  </si>
  <si>
    <t>90166BH</t>
  </si>
  <si>
    <t>Dunstan</t>
  </si>
  <si>
    <t>BC2205OD</t>
  </si>
  <si>
    <t>Duodess</t>
  </si>
  <si>
    <t>BW2208OD</t>
  </si>
  <si>
    <t>EDC</t>
  </si>
  <si>
    <t>81744BH</t>
  </si>
  <si>
    <t>Eli</t>
  </si>
  <si>
    <t>22815BH</t>
  </si>
  <si>
    <t>Emil</t>
  </si>
  <si>
    <t>22805BH</t>
  </si>
  <si>
    <t>Ezra</t>
  </si>
  <si>
    <t>BK2205OD</t>
  </si>
  <si>
    <t>Failsafe</t>
  </si>
  <si>
    <t>BC2202OD</t>
  </si>
  <si>
    <t>Fen</t>
  </si>
  <si>
    <t>81703BH</t>
  </si>
  <si>
    <t>Foley</t>
  </si>
  <si>
    <t>90167BH</t>
  </si>
  <si>
    <t>Forte</t>
  </si>
  <si>
    <t>90119BH</t>
  </si>
  <si>
    <t>Ganey</t>
  </si>
  <si>
    <t>22787BH</t>
  </si>
  <si>
    <t>Giger</t>
  </si>
  <si>
    <t>22818BH</t>
  </si>
  <si>
    <t>Giles</t>
  </si>
  <si>
    <t>63298BH</t>
  </si>
  <si>
    <t>Glaser</t>
  </si>
  <si>
    <t>90169BH</t>
  </si>
  <si>
    <t>Glazer</t>
  </si>
  <si>
    <t>BK2207OD</t>
  </si>
  <si>
    <t>Glissade</t>
  </si>
  <si>
    <t>1365</t>
  </si>
  <si>
    <t>Graham</t>
  </si>
  <si>
    <t>63114</t>
  </si>
  <si>
    <t>Guthrie</t>
  </si>
  <si>
    <t>63112</t>
  </si>
  <si>
    <t>Hanson</t>
  </si>
  <si>
    <t>90171BH</t>
  </si>
  <si>
    <t>Helios</t>
  </si>
  <si>
    <t>22804BH</t>
  </si>
  <si>
    <t>Hernen</t>
  </si>
  <si>
    <t>81726BH</t>
  </si>
  <si>
    <t>Hester</t>
  </si>
  <si>
    <t>22806BH</t>
  </si>
  <si>
    <t>Hinx</t>
  </si>
  <si>
    <t>81710BH</t>
  </si>
  <si>
    <t>Hooper</t>
  </si>
  <si>
    <t>22811BH</t>
  </si>
  <si>
    <t>Horan</t>
  </si>
  <si>
    <t>22809BH</t>
  </si>
  <si>
    <t>Hurtle</t>
  </si>
  <si>
    <t>BK2204OD</t>
  </si>
  <si>
    <t>Icefall</t>
  </si>
  <si>
    <t>90170BH</t>
  </si>
  <si>
    <t>Idris</t>
  </si>
  <si>
    <t>1369</t>
  </si>
  <si>
    <t>Jackman</t>
  </si>
  <si>
    <t>81751BH</t>
  </si>
  <si>
    <t>Kai</t>
  </si>
  <si>
    <t>90109BH</t>
  </si>
  <si>
    <t>Keter</t>
  </si>
  <si>
    <t>S17WR2</t>
  </si>
  <si>
    <t>63125</t>
  </si>
  <si>
    <t>Konrath</t>
  </si>
  <si>
    <t>90163BH</t>
  </si>
  <si>
    <t>Leif</t>
  </si>
  <si>
    <t>90168BH</t>
  </si>
  <si>
    <t>Liam</t>
  </si>
  <si>
    <t>BC2204OD</t>
  </si>
  <si>
    <t>LNT</t>
  </si>
  <si>
    <t>81746BH</t>
  </si>
  <si>
    <t>Lorek</t>
  </si>
  <si>
    <t>22760BH</t>
  </si>
  <si>
    <t>Loring</t>
  </si>
  <si>
    <t>63294BH</t>
  </si>
  <si>
    <t>Magness</t>
  </si>
  <si>
    <t>81690</t>
  </si>
  <si>
    <t>Mannes</t>
  </si>
  <si>
    <t>81695</t>
  </si>
  <si>
    <t>Mannesroe</t>
  </si>
  <si>
    <t>81749BH</t>
  </si>
  <si>
    <t>Max</t>
  </si>
  <si>
    <t>60003BH</t>
  </si>
  <si>
    <t>Melton</t>
  </si>
  <si>
    <t>BW2207OD</t>
  </si>
  <si>
    <t>Montana</t>
  </si>
  <si>
    <t>81720BH</t>
  </si>
  <si>
    <t>Mullan</t>
  </si>
  <si>
    <t>BK2201OD</t>
  </si>
  <si>
    <t>NoBo</t>
  </si>
  <si>
    <t>BK2202OD</t>
  </si>
  <si>
    <t>Noseeum</t>
  </si>
  <si>
    <t>BW2201OD</t>
  </si>
  <si>
    <t>Opsec</t>
  </si>
  <si>
    <t>WR21A</t>
  </si>
  <si>
    <t>Ore</t>
  </si>
  <si>
    <t>5008BH</t>
  </si>
  <si>
    <t>Orsun</t>
  </si>
  <si>
    <t>S17WR1</t>
  </si>
  <si>
    <t>Oswego</t>
  </si>
  <si>
    <t>81750BH</t>
  </si>
  <si>
    <t>Otis</t>
  </si>
  <si>
    <t>22790BH</t>
  </si>
  <si>
    <t>Parson</t>
  </si>
  <si>
    <t>22813BH</t>
  </si>
  <si>
    <t>Phineas</t>
  </si>
  <si>
    <t>63302BH</t>
  </si>
  <si>
    <t>Quil</t>
  </si>
  <si>
    <t>22816BH</t>
  </si>
  <si>
    <t>Racer</t>
  </si>
  <si>
    <t>BW2205OD</t>
  </si>
  <si>
    <t>Rainfly</t>
  </si>
  <si>
    <t>22803BH</t>
  </si>
  <si>
    <t>Rask</t>
  </si>
  <si>
    <t>BW2202OD</t>
  </si>
  <si>
    <t>Redline</t>
  </si>
  <si>
    <t>63283BH</t>
  </si>
  <si>
    <t>Relik</t>
  </si>
  <si>
    <t>5000BH</t>
  </si>
  <si>
    <t>Rockett</t>
  </si>
  <si>
    <t>81722BH</t>
  </si>
  <si>
    <t>Rokit</t>
  </si>
  <si>
    <t>22750</t>
  </si>
  <si>
    <t>Roll Up II</t>
  </si>
  <si>
    <t>81732BH</t>
  </si>
  <si>
    <t>Ronit</t>
  </si>
  <si>
    <t>5006BH</t>
  </si>
  <si>
    <t>Rothney</t>
  </si>
  <si>
    <t>81650</t>
  </si>
  <si>
    <t>Salem</t>
  </si>
  <si>
    <t>22757BH</t>
  </si>
  <si>
    <t>Salter</t>
  </si>
  <si>
    <t>81745BH</t>
  </si>
  <si>
    <t>Scorsby</t>
  </si>
  <si>
    <t>90058</t>
  </si>
  <si>
    <t>Slater</t>
  </si>
  <si>
    <t>BC2206OD</t>
  </si>
  <si>
    <t>SoBo</t>
  </si>
  <si>
    <t>63200</t>
  </si>
  <si>
    <t>Spencer</t>
  </si>
  <si>
    <t>22791BH</t>
  </si>
  <si>
    <t>Stansfield</t>
  </si>
  <si>
    <t>22784BH</t>
  </si>
  <si>
    <t>Tasmin</t>
  </si>
  <si>
    <t>81711BH</t>
  </si>
  <si>
    <t>Tate</t>
  </si>
  <si>
    <t>22786BH</t>
  </si>
  <si>
    <t>Tessier</t>
  </si>
  <si>
    <t>BW2203OD</t>
  </si>
  <si>
    <t>Three</t>
  </si>
  <si>
    <t>90165BH</t>
  </si>
  <si>
    <t>Vander</t>
  </si>
  <si>
    <t>81810</t>
  </si>
  <si>
    <t>Waits</t>
  </si>
  <si>
    <t>22798BH</t>
  </si>
  <si>
    <t>Warlick</t>
  </si>
  <si>
    <t>81741BH</t>
  </si>
  <si>
    <t>Westfield</t>
  </si>
  <si>
    <t>5010BH</t>
  </si>
  <si>
    <t>Winstone</t>
  </si>
  <si>
    <t>81652</t>
  </si>
  <si>
    <t>BK2206OD</t>
  </si>
  <si>
    <t>Zero Horizon</t>
  </si>
  <si>
    <t xml:space="preserve">BC2204OD  LNT </t>
  </si>
  <si>
    <t xml:space="preserve">BW2208OD  EDC </t>
  </si>
  <si>
    <t>RAINFLY</t>
  </si>
  <si>
    <t>BOLEY</t>
  </si>
  <si>
    <t>JACKMAN</t>
  </si>
  <si>
    <t>BEZEL</t>
  </si>
  <si>
    <t>MONTANA</t>
  </si>
  <si>
    <t>DALTON</t>
  </si>
  <si>
    <t>FAILSAFE</t>
  </si>
  <si>
    <t>GLISSADE</t>
  </si>
  <si>
    <t>CAIRN</t>
  </si>
  <si>
    <t>OPSEC</t>
  </si>
  <si>
    <t>REDLINE</t>
  </si>
  <si>
    <t>THREE</t>
  </si>
  <si>
    <t>ICEFALL</t>
  </si>
  <si>
    <t>NOBO</t>
  </si>
  <si>
    <t>NOSEEUM</t>
  </si>
  <si>
    <t>ORE</t>
  </si>
  <si>
    <t>OSWEGO</t>
  </si>
  <si>
    <t>DAYTON</t>
  </si>
  <si>
    <t>KILGOR</t>
  </si>
  <si>
    <t>SOBO</t>
  </si>
  <si>
    <t>DUODESS</t>
  </si>
  <si>
    <t>FEN</t>
  </si>
  <si>
    <t>CONIFER</t>
  </si>
  <si>
    <t>CACHE</t>
  </si>
  <si>
    <t>HELIOS</t>
  </si>
  <si>
    <t>CONALL</t>
  </si>
  <si>
    <t>SLATER</t>
  </si>
  <si>
    <t>GRAHAM</t>
  </si>
  <si>
    <t>LEIF</t>
  </si>
  <si>
    <t>ANSEL</t>
  </si>
  <si>
    <t>VANDER</t>
  </si>
  <si>
    <t>DUNSTAN</t>
  </si>
  <si>
    <t>ELLIOTT</t>
  </si>
  <si>
    <t>FOLEY</t>
  </si>
  <si>
    <t>HOOPER</t>
  </si>
  <si>
    <t>MULLAN</t>
  </si>
  <si>
    <t>DENNEY</t>
  </si>
  <si>
    <t>MANNES</t>
  </si>
  <si>
    <t>MANNESROE</t>
  </si>
  <si>
    <t>HESTER</t>
  </si>
  <si>
    <t>TATE</t>
  </si>
  <si>
    <t>SALEM</t>
  </si>
  <si>
    <t>BILLY</t>
  </si>
  <si>
    <t>DARIO</t>
  </si>
  <si>
    <t>BERLE</t>
  </si>
  <si>
    <t>WESTFIELD</t>
  </si>
  <si>
    <t>CARVER</t>
  </si>
  <si>
    <t>ROKIT</t>
  </si>
  <si>
    <t>RONIT</t>
  </si>
  <si>
    <t>CRAIG</t>
  </si>
  <si>
    <t>OTIS</t>
  </si>
  <si>
    <t>KAI</t>
  </si>
  <si>
    <t>ELI</t>
  </si>
  <si>
    <t>WAITS</t>
  </si>
  <si>
    <t>SCORSBY</t>
  </si>
  <si>
    <t>MAX</t>
  </si>
  <si>
    <t>LOREK</t>
  </si>
  <si>
    <t>ORSUN</t>
  </si>
  <si>
    <t>ROTHNEY</t>
  </si>
  <si>
    <t>DERIAN</t>
  </si>
  <si>
    <t>ROCKETT</t>
  </si>
  <si>
    <t>ADLAY</t>
  </si>
  <si>
    <t>WINSTONE</t>
  </si>
  <si>
    <t>ANKER</t>
  </si>
  <si>
    <t>MAGNESS</t>
  </si>
  <si>
    <t>MELTON</t>
  </si>
  <si>
    <t>QUIL</t>
  </si>
  <si>
    <t>BRAYLON</t>
  </si>
  <si>
    <t>HANSON</t>
  </si>
  <si>
    <t>GUTHRIE</t>
  </si>
  <si>
    <t>KONRATH</t>
  </si>
  <si>
    <t>SPENCER</t>
  </si>
  <si>
    <t>RELIK</t>
  </si>
  <si>
    <t>BLACKBURN</t>
  </si>
  <si>
    <t>GLASER</t>
  </si>
  <si>
    <t>CHAPLIN</t>
  </si>
  <si>
    <t>TESSIER</t>
  </si>
  <si>
    <t>BROOKS</t>
  </si>
  <si>
    <t>CUTLER</t>
  </si>
  <si>
    <t>CUBAN</t>
  </si>
  <si>
    <t>STANSFIELD</t>
  </si>
  <si>
    <t>SALTER</t>
  </si>
  <si>
    <t>LORING</t>
  </si>
  <si>
    <t>PARSON</t>
  </si>
  <si>
    <t>WARLICK</t>
  </si>
  <si>
    <t>EZRA</t>
  </si>
  <si>
    <t>GIGER</t>
  </si>
  <si>
    <t>BYSTROM</t>
  </si>
  <si>
    <t>EMIL</t>
  </si>
  <si>
    <t>RACER</t>
  </si>
  <si>
    <t>CRISPIN</t>
  </si>
  <si>
    <t>HINX</t>
  </si>
  <si>
    <t>RASK</t>
  </si>
  <si>
    <t>HERNEN</t>
  </si>
  <si>
    <t>TASMIN</t>
  </si>
  <si>
    <t>ARION</t>
  </si>
  <si>
    <t>HORAN</t>
  </si>
  <si>
    <t>PHINEAS</t>
  </si>
  <si>
    <t>GILES</t>
  </si>
  <si>
    <t>BOREAL</t>
  </si>
  <si>
    <t>CORAM</t>
  </si>
  <si>
    <t>HURTLE</t>
  </si>
  <si>
    <t>BALANS ROLL UP</t>
  </si>
  <si>
    <t>ROLL UP II</t>
  </si>
  <si>
    <t>ZERO HORIZON</t>
  </si>
  <si>
    <t>Name</t>
  </si>
  <si>
    <t>Style&amp;Name</t>
  </si>
  <si>
    <t>Price</t>
  </si>
  <si>
    <t>Kilgor</t>
  </si>
  <si>
    <t>Style&amp;Name Orig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</si>
</sst>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#,##0.00\ [$€-1]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6" fontId="0" fillId="0" borderId="0" xfId="0" applyNumberFormat="1"/>
    <xf numFmtId="0" fontId="1" fillId="0" borderId="0" xfId="0" applyFont="1" applyAlignment="1">
      <alignment horizontal="center" vertical="center"/>
    </xf>
    <xf numFmtId="0" fontId="0" fillId="2" borderId="0" xfId="0" applyFill="1"/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165" fontId="1" fillId="3" borderId="1" xfId="0" applyNumberFormat="1" applyFont="1" applyFill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0</xdr:row>
          <xdr:rowOff>133350</xdr:rowOff>
        </xdr:from>
        <xdr:to>
          <xdr:col>4</xdr:col>
          <xdr:colOff>2114550</xdr:colOff>
          <xdr:row>0</xdr:row>
          <xdr:rowOff>571500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строки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E447E-8439-400D-9263-6504C2283EA0}">
  <sheetPr codeName="Лист3"/>
  <dimension ref="A2:A109"/>
  <sheetViews>
    <sheetView workbookViewId="0">
      <selection activeCell="A25" sqref="A1:A1048576"/>
    </sheetView>
  </sheetViews>
  <sheetFormatPr defaultRowHeight="15" x14ac:dyDescent="0.25"/>
  <cols>
    <col min="1" max="1" width="32.7109375" bestFit="1" customWidth="1"/>
  </cols>
  <sheetData>
    <row r="2" spans="1:1" x14ac:dyDescent="0.25">
      <c r="A2" t="s">
        <v>4</v>
      </c>
    </row>
    <row r="3" spans="1:1" x14ac:dyDescent="0.25">
      <c r="A3" t="s">
        <v>6</v>
      </c>
    </row>
    <row r="4" spans="1:1" x14ac:dyDescent="0.25">
      <c r="A4" t="s">
        <v>5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0</v>
      </c>
    </row>
    <row r="8" spans="1:1" x14ac:dyDescent="0.25">
      <c r="A8" t="s">
        <v>2</v>
      </c>
    </row>
    <row r="9" spans="1:1" x14ac:dyDescent="0.25">
      <c r="A9" t="s">
        <v>3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12</v>
      </c>
    </row>
    <row r="13" spans="1:1" x14ac:dyDescent="0.25">
      <c r="A13" t="s">
        <v>13</v>
      </c>
    </row>
    <row r="14" spans="1:1" x14ac:dyDescent="0.25">
      <c r="A14" t="s">
        <v>19</v>
      </c>
    </row>
    <row r="15" spans="1:1" x14ac:dyDescent="0.25">
      <c r="A15" t="s">
        <v>18</v>
      </c>
    </row>
    <row r="16" spans="1:1" x14ac:dyDescent="0.25">
      <c r="A16" t="s">
        <v>16</v>
      </c>
    </row>
    <row r="17" spans="1:1" x14ac:dyDescent="0.25">
      <c r="A17" t="s">
        <v>14</v>
      </c>
    </row>
    <row r="18" spans="1:1" x14ac:dyDescent="0.25">
      <c r="A18" t="s">
        <v>24</v>
      </c>
    </row>
    <row r="19" spans="1:1" x14ac:dyDescent="0.25">
      <c r="A19" t="s">
        <v>21</v>
      </c>
    </row>
    <row r="20" spans="1:1" x14ac:dyDescent="0.25">
      <c r="A20" t="s">
        <v>29</v>
      </c>
    </row>
    <row r="21" spans="1:1" x14ac:dyDescent="0.25">
      <c r="A21" t="s">
        <v>23</v>
      </c>
    </row>
    <row r="22" spans="1:1" x14ac:dyDescent="0.25">
      <c r="A22" t="s">
        <v>26</v>
      </c>
    </row>
    <row r="23" spans="1:1" x14ac:dyDescent="0.25">
      <c r="A23" t="s">
        <v>27</v>
      </c>
    </row>
    <row r="24" spans="1:1" x14ac:dyDescent="0.25">
      <c r="A24" t="s">
        <v>28</v>
      </c>
    </row>
    <row r="25" spans="1:1" x14ac:dyDescent="0.25">
      <c r="A25" t="s">
        <v>30</v>
      </c>
    </row>
    <row r="26" spans="1:1" x14ac:dyDescent="0.25">
      <c r="A26" t="s">
        <v>31</v>
      </c>
    </row>
    <row r="27" spans="1:1" x14ac:dyDescent="0.25">
      <c r="A27" t="s">
        <v>33</v>
      </c>
    </row>
    <row r="28" spans="1:1" x14ac:dyDescent="0.25">
      <c r="A28" t="s">
        <v>32</v>
      </c>
    </row>
    <row r="29" spans="1:1" x14ac:dyDescent="0.25">
      <c r="A29" t="s">
        <v>35</v>
      </c>
    </row>
    <row r="30" spans="1:1" x14ac:dyDescent="0.25">
      <c r="A30" t="s">
        <v>34</v>
      </c>
    </row>
    <row r="31" spans="1:1" x14ac:dyDescent="0.25">
      <c r="A31" t="s">
        <v>38</v>
      </c>
    </row>
    <row r="32" spans="1:1" x14ac:dyDescent="0.25">
      <c r="A32" t="s">
        <v>39</v>
      </c>
    </row>
    <row r="33" spans="1:1" x14ac:dyDescent="0.25">
      <c r="A33" t="s">
        <v>41</v>
      </c>
    </row>
    <row r="34" spans="1:1" x14ac:dyDescent="0.25">
      <c r="A34" t="s">
        <v>40</v>
      </c>
    </row>
    <row r="35" spans="1:1" x14ac:dyDescent="0.25">
      <c r="A35" t="s">
        <v>42</v>
      </c>
    </row>
    <row r="36" spans="1:1" x14ac:dyDescent="0.25">
      <c r="A36" t="s">
        <v>37</v>
      </c>
    </row>
    <row r="37" spans="1:1" x14ac:dyDescent="0.25">
      <c r="A37" t="s">
        <v>36</v>
      </c>
    </row>
    <row r="38" spans="1:1" x14ac:dyDescent="0.25">
      <c r="A38" t="s">
        <v>43</v>
      </c>
    </row>
    <row r="39" spans="1:1" x14ac:dyDescent="0.25">
      <c r="A39" t="s">
        <v>46</v>
      </c>
    </row>
    <row r="40" spans="1:1" x14ac:dyDescent="0.25">
      <c r="A40" t="s">
        <v>44</v>
      </c>
    </row>
    <row r="41" spans="1:1" x14ac:dyDescent="0.25">
      <c r="A41" t="s">
        <v>45</v>
      </c>
    </row>
    <row r="42" spans="1:1" x14ac:dyDescent="0.25">
      <c r="A42" t="s">
        <v>49</v>
      </c>
    </row>
    <row r="43" spans="1:1" x14ac:dyDescent="0.25">
      <c r="A43" t="s">
        <v>55</v>
      </c>
    </row>
    <row r="44" spans="1:1" x14ac:dyDescent="0.25">
      <c r="A44" t="s">
        <v>47</v>
      </c>
    </row>
    <row r="45" spans="1:1" x14ac:dyDescent="0.25">
      <c r="A45" t="s">
        <v>54</v>
      </c>
    </row>
    <row r="46" spans="1:1" x14ac:dyDescent="0.25">
      <c r="A46" t="s">
        <v>52</v>
      </c>
    </row>
    <row r="47" spans="1:1" x14ac:dyDescent="0.25">
      <c r="A47" t="s">
        <v>50</v>
      </c>
    </row>
    <row r="48" spans="1:1" x14ac:dyDescent="0.25">
      <c r="A48" t="s">
        <v>48</v>
      </c>
    </row>
    <row r="49" spans="1:1" x14ac:dyDescent="0.25">
      <c r="A49" t="s">
        <v>61</v>
      </c>
    </row>
    <row r="50" spans="1:1" x14ac:dyDescent="0.25">
      <c r="A50" t="s">
        <v>60</v>
      </c>
    </row>
    <row r="51" spans="1:1" x14ac:dyDescent="0.25">
      <c r="A51" t="s">
        <v>62</v>
      </c>
    </row>
    <row r="52" spans="1:1" x14ac:dyDescent="0.25">
      <c r="A52" t="s">
        <v>63</v>
      </c>
    </row>
    <row r="53" spans="1:1" x14ac:dyDescent="0.25">
      <c r="A53" t="s">
        <v>56</v>
      </c>
    </row>
    <row r="54" spans="1:1" x14ac:dyDescent="0.25">
      <c r="A54" t="s">
        <v>57</v>
      </c>
    </row>
    <row r="55" spans="1:1" x14ac:dyDescent="0.25">
      <c r="A55" t="s">
        <v>59</v>
      </c>
    </row>
    <row r="56" spans="1:1" x14ac:dyDescent="0.25">
      <c r="A56" t="s">
        <v>58</v>
      </c>
    </row>
    <row r="57" spans="1:1" x14ac:dyDescent="0.25">
      <c r="A57" t="s">
        <v>68</v>
      </c>
    </row>
    <row r="58" spans="1:1" x14ac:dyDescent="0.25">
      <c r="A58" t="s">
        <v>70</v>
      </c>
    </row>
    <row r="59" spans="1:1" x14ac:dyDescent="0.25">
      <c r="A59" t="s">
        <v>66</v>
      </c>
    </row>
    <row r="60" spans="1:1" x14ac:dyDescent="0.25">
      <c r="A60" t="s">
        <v>69</v>
      </c>
    </row>
    <row r="61" spans="1:1" x14ac:dyDescent="0.25">
      <c r="A61" t="s">
        <v>64</v>
      </c>
    </row>
    <row r="62" spans="1:1" x14ac:dyDescent="0.25">
      <c r="A62" t="s">
        <v>67</v>
      </c>
    </row>
    <row r="63" spans="1:1" x14ac:dyDescent="0.25">
      <c r="A63" t="s">
        <v>65</v>
      </c>
    </row>
    <row r="64" spans="1:1" x14ac:dyDescent="0.25">
      <c r="A64" t="s">
        <v>75</v>
      </c>
    </row>
    <row r="65" spans="1:1" x14ac:dyDescent="0.25">
      <c r="A65" t="s">
        <v>72</v>
      </c>
    </row>
    <row r="66" spans="1:1" x14ac:dyDescent="0.25">
      <c r="A66" t="s">
        <v>74</v>
      </c>
    </row>
    <row r="67" spans="1:1" x14ac:dyDescent="0.25">
      <c r="A67" t="s">
        <v>77</v>
      </c>
    </row>
    <row r="68" spans="1:1" x14ac:dyDescent="0.25">
      <c r="A68" t="s">
        <v>71</v>
      </c>
    </row>
    <row r="69" spans="1:1" x14ac:dyDescent="0.25">
      <c r="A69" t="s">
        <v>73</v>
      </c>
    </row>
    <row r="70" spans="1:1" x14ac:dyDescent="0.25">
      <c r="A70" t="s">
        <v>76</v>
      </c>
    </row>
    <row r="71" spans="1:1" x14ac:dyDescent="0.25">
      <c r="A71" t="s">
        <v>80</v>
      </c>
    </row>
    <row r="72" spans="1:1" x14ac:dyDescent="0.25">
      <c r="A72" t="s">
        <v>79</v>
      </c>
    </row>
    <row r="73" spans="1:1" x14ac:dyDescent="0.25">
      <c r="A73" t="s">
        <v>78</v>
      </c>
    </row>
    <row r="74" spans="1:1" x14ac:dyDescent="0.25">
      <c r="A74" t="s">
        <v>81</v>
      </c>
    </row>
    <row r="75" spans="1:1" x14ac:dyDescent="0.25">
      <c r="A75" t="s">
        <v>86</v>
      </c>
    </row>
    <row r="76" spans="1:1" x14ac:dyDescent="0.25">
      <c r="A76" t="s">
        <v>85</v>
      </c>
    </row>
    <row r="77" spans="1:1" x14ac:dyDescent="0.25">
      <c r="A77" t="s">
        <v>84</v>
      </c>
    </row>
    <row r="78" spans="1:1" x14ac:dyDescent="0.25">
      <c r="A78" t="s">
        <v>87</v>
      </c>
    </row>
    <row r="79" spans="1:1" x14ac:dyDescent="0.25">
      <c r="A79" t="s">
        <v>89</v>
      </c>
    </row>
    <row r="80" spans="1:1" x14ac:dyDescent="0.25">
      <c r="A80" t="s">
        <v>88</v>
      </c>
    </row>
    <row r="81" spans="1:1" x14ac:dyDescent="0.25">
      <c r="A81" t="s">
        <v>83</v>
      </c>
    </row>
    <row r="82" spans="1:1" x14ac:dyDescent="0.25">
      <c r="A82" t="s">
        <v>82</v>
      </c>
    </row>
    <row r="83" spans="1:1" x14ac:dyDescent="0.25">
      <c r="A83" t="s">
        <v>90</v>
      </c>
    </row>
    <row r="84" spans="1:1" x14ac:dyDescent="0.25">
      <c r="A84" t="s">
        <v>92</v>
      </c>
    </row>
    <row r="85" spans="1:1" x14ac:dyDescent="0.25">
      <c r="A85" t="s">
        <v>96</v>
      </c>
    </row>
    <row r="86" spans="1:1" x14ac:dyDescent="0.25">
      <c r="A86" t="s">
        <v>94</v>
      </c>
    </row>
    <row r="87" spans="1:1" x14ac:dyDescent="0.25">
      <c r="A87" t="s">
        <v>93</v>
      </c>
    </row>
    <row r="88" spans="1:1" x14ac:dyDescent="0.25">
      <c r="A88" t="s">
        <v>95</v>
      </c>
    </row>
    <row r="89" spans="1:1" x14ac:dyDescent="0.25">
      <c r="A89" t="s">
        <v>97</v>
      </c>
    </row>
    <row r="90" spans="1:1" x14ac:dyDescent="0.25">
      <c r="A90" t="s">
        <v>100</v>
      </c>
    </row>
    <row r="91" spans="1:1" x14ac:dyDescent="0.25">
      <c r="A91" t="s">
        <v>101</v>
      </c>
    </row>
    <row r="92" spans="1:1" x14ac:dyDescent="0.25">
      <c r="A92" t="s">
        <v>98</v>
      </c>
    </row>
    <row r="93" spans="1:1" x14ac:dyDescent="0.25">
      <c r="A93" t="s">
        <v>103</v>
      </c>
    </row>
    <row r="94" spans="1:1" x14ac:dyDescent="0.25">
      <c r="A94" t="s">
        <v>104</v>
      </c>
    </row>
    <row r="95" spans="1:1" x14ac:dyDescent="0.25">
      <c r="A95" t="s">
        <v>102</v>
      </c>
    </row>
    <row r="96" spans="1:1" x14ac:dyDescent="0.25">
      <c r="A96" t="s">
        <v>108</v>
      </c>
    </row>
    <row r="97" spans="1:1" x14ac:dyDescent="0.25">
      <c r="A97" t="s">
        <v>109</v>
      </c>
    </row>
    <row r="98" spans="1:1" x14ac:dyDescent="0.25">
      <c r="A98" t="s">
        <v>110</v>
      </c>
    </row>
    <row r="99" spans="1:1" x14ac:dyDescent="0.25">
      <c r="A99" t="s">
        <v>112</v>
      </c>
    </row>
    <row r="100" spans="1:1" x14ac:dyDescent="0.25">
      <c r="A100" t="s">
        <v>105</v>
      </c>
    </row>
    <row r="101" spans="1:1" x14ac:dyDescent="0.25">
      <c r="A101" t="s">
        <v>106</v>
      </c>
    </row>
    <row r="102" spans="1:1" x14ac:dyDescent="0.25">
      <c r="A102" t="s">
        <v>111</v>
      </c>
    </row>
    <row r="103" spans="1:1" x14ac:dyDescent="0.25">
      <c r="A103" t="s">
        <v>107</v>
      </c>
    </row>
    <row r="104" spans="1:1" x14ac:dyDescent="0.25">
      <c r="A104" t="s">
        <v>117</v>
      </c>
    </row>
    <row r="105" spans="1:1" x14ac:dyDescent="0.25">
      <c r="A105" t="s">
        <v>118</v>
      </c>
    </row>
    <row r="106" spans="1:1" x14ac:dyDescent="0.25">
      <c r="A106" t="s">
        <v>119</v>
      </c>
    </row>
    <row r="107" spans="1:1" x14ac:dyDescent="0.25">
      <c r="A107" t="s">
        <v>114</v>
      </c>
    </row>
    <row r="108" spans="1:1" x14ac:dyDescent="0.25">
      <c r="A108" t="s">
        <v>113</v>
      </c>
    </row>
    <row r="109" spans="1:1" x14ac:dyDescent="0.25">
      <c r="A109" t="s">
        <v>116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8A4A7-5B83-4B7E-9175-BEB446616758}">
  <sheetPr codeName="Лист4"/>
  <dimension ref="A1:D322"/>
  <sheetViews>
    <sheetView workbookViewId="0">
      <pane ySplit="1" topLeftCell="A2" activePane="bottomLeft" state="frozen"/>
      <selection pane="bottomLeft" activeCell="A124" sqref="A124"/>
    </sheetView>
  </sheetViews>
  <sheetFormatPr defaultRowHeight="15" x14ac:dyDescent="0.25"/>
  <cols>
    <col min="1" max="1" width="70.5703125" bestFit="1" customWidth="1"/>
    <col min="2" max="2" width="24.5703125" bestFit="1" customWidth="1"/>
    <col min="3" max="3" width="13.85546875" bestFit="1" customWidth="1"/>
    <col min="4" max="4" width="74.140625" bestFit="1" customWidth="1"/>
    <col min="5" max="5" width="37.7109375" bestFit="1" customWidth="1"/>
  </cols>
  <sheetData>
    <row r="1" spans="1:4" s="2" customFormat="1" ht="75" customHeight="1" x14ac:dyDescent="0.25">
      <c r="A1" s="2" t="s">
        <v>125</v>
      </c>
      <c r="B1" s="2" t="s">
        <v>121</v>
      </c>
      <c r="C1" s="2" t="s">
        <v>122</v>
      </c>
      <c r="D1" s="2" t="s">
        <v>123</v>
      </c>
    </row>
    <row r="2" spans="1:4" x14ac:dyDescent="0.25">
      <c r="A2" t="s">
        <v>139</v>
      </c>
      <c r="B2" t="str">
        <f>A2</f>
        <v>BW2205OD  RAINFLY</v>
      </c>
      <c r="C2" t="str">
        <f>A3</f>
        <v>S, M, L, XL</v>
      </c>
      <c r="D2" t="str">
        <f>A4</f>
        <v>Coffee Gold        Pale Olive</v>
      </c>
    </row>
    <row r="3" spans="1:4" x14ac:dyDescent="0.25">
      <c r="A3" t="s">
        <v>1</v>
      </c>
    </row>
    <row r="4" spans="1:4" x14ac:dyDescent="0.25">
      <c r="A4" t="s">
        <v>141</v>
      </c>
    </row>
    <row r="5" spans="1:4" x14ac:dyDescent="0.25">
      <c r="A5" t="s">
        <v>142</v>
      </c>
      <c r="B5" t="str">
        <f>A5</f>
        <v>13731BH  BOLEY</v>
      </c>
      <c r="C5" t="str">
        <f>A6</f>
        <v>S, M, L, XL</v>
      </c>
      <c r="D5" t="str">
        <f>A7</f>
        <v>Black            Dark Brown</v>
      </c>
    </row>
    <row r="6" spans="1:4" x14ac:dyDescent="0.25">
      <c r="A6" t="s">
        <v>1</v>
      </c>
    </row>
    <row r="7" spans="1:4" x14ac:dyDescent="0.25">
      <c r="A7" t="s">
        <v>144</v>
      </c>
    </row>
    <row r="8" spans="1:4" x14ac:dyDescent="0.25">
      <c r="A8" t="s">
        <v>119</v>
      </c>
      <c r="B8" t="str">
        <f>A8</f>
        <v>1369 JACKMAN</v>
      </c>
      <c r="C8" t="str">
        <f>A9</f>
        <v>S, M, L, XL, XXL</v>
      </c>
      <c r="D8" t="str">
        <f>A10</f>
        <v>Black             Burgundy           Charcoal  Dark Brown            Navy            Vanilla Bean</v>
      </c>
    </row>
    <row r="9" spans="1:4" x14ac:dyDescent="0.25">
      <c r="A9" t="s">
        <v>17</v>
      </c>
    </row>
    <row r="10" spans="1:4" x14ac:dyDescent="0.25">
      <c r="A10" t="s">
        <v>148</v>
      </c>
    </row>
    <row r="11" spans="1:4" x14ac:dyDescent="0.25">
      <c r="A11" t="s">
        <v>140</v>
      </c>
      <c r="B11" t="str">
        <f>A11</f>
        <v>BF2201OD  BEZEL</v>
      </c>
      <c r="C11" t="str">
        <f>A12</f>
        <v>S, M, L, XL</v>
      </c>
      <c r="D11" t="str">
        <f>A13</f>
        <v>Cordova</v>
      </c>
    </row>
    <row r="12" spans="1:4" x14ac:dyDescent="0.25">
      <c r="A12" t="s">
        <v>1</v>
      </c>
    </row>
    <row r="13" spans="1:4" x14ac:dyDescent="0.25">
      <c r="A13" t="s">
        <v>115</v>
      </c>
    </row>
    <row r="14" spans="1:4" x14ac:dyDescent="0.25">
      <c r="A14" t="s">
        <v>143</v>
      </c>
      <c r="B14" t="str">
        <f>A14</f>
        <v>BW2207OD  MONTANA</v>
      </c>
      <c r="C14" t="str">
        <f>A15</f>
        <v>S, M, L, XL</v>
      </c>
      <c r="D14" t="str">
        <f>A16</f>
        <v>Nougat              Sudan</v>
      </c>
    </row>
    <row r="15" spans="1:4" x14ac:dyDescent="0.25">
      <c r="A15" t="s">
        <v>1</v>
      </c>
    </row>
    <row r="16" spans="1:4" x14ac:dyDescent="0.25">
      <c r="A16" t="s">
        <v>145</v>
      </c>
    </row>
    <row r="17" spans="1:4" x14ac:dyDescent="0.25">
      <c r="A17" t="s">
        <v>146</v>
      </c>
      <c r="B17" t="str">
        <f>A17</f>
        <v>1362  DALTON</v>
      </c>
      <c r="C17" t="str">
        <f>A18</f>
        <v>S, M, L, XL, XXL</v>
      </c>
      <c r="D17" t="str">
        <f>A19</f>
        <v>Black                Chino                Navy                  Tan</v>
      </c>
    </row>
    <row r="18" spans="1:4" x14ac:dyDescent="0.25">
      <c r="A18" t="s">
        <v>17</v>
      </c>
    </row>
    <row r="19" spans="1:4" x14ac:dyDescent="0.25">
      <c r="A19" t="s">
        <v>147</v>
      </c>
    </row>
    <row r="20" spans="1:4" x14ac:dyDescent="0.25">
      <c r="A20" t="s">
        <v>149</v>
      </c>
      <c r="B20" t="str">
        <f>A20</f>
        <v>BK2205OD  FAILSAFE</v>
      </c>
      <c r="C20" t="str">
        <f>A21</f>
        <v>One Size</v>
      </c>
      <c r="D20" t="str">
        <f>A22</f>
        <v>Black                 Grey             OD Green</v>
      </c>
    </row>
    <row r="21" spans="1:4" x14ac:dyDescent="0.25">
      <c r="A21" t="s">
        <v>91</v>
      </c>
    </row>
    <row r="22" spans="1:4" x14ac:dyDescent="0.25">
      <c r="A22" t="s">
        <v>150</v>
      </c>
    </row>
    <row r="23" spans="1:4" x14ac:dyDescent="0.25">
      <c r="A23" t="s">
        <v>151</v>
      </c>
      <c r="B23" t="str">
        <f>A23</f>
        <v>BK2206OD  ZERO HORIZON</v>
      </c>
      <c r="C23" t="str">
        <f>A24</f>
        <v>One Size</v>
      </c>
      <c r="D23" t="str">
        <f>A25</f>
        <v>Black           Blaze Orange       OD Green</v>
      </c>
    </row>
    <row r="24" spans="1:4" x14ac:dyDescent="0.25">
      <c r="A24" t="s">
        <v>91</v>
      </c>
    </row>
    <row r="25" spans="1:4" x14ac:dyDescent="0.25">
      <c r="A25" t="s">
        <v>152</v>
      </c>
    </row>
    <row r="26" spans="1:4" x14ac:dyDescent="0.25">
      <c r="A26" t="s">
        <v>153</v>
      </c>
      <c r="B26" t="str">
        <f>A26</f>
        <v>BK2207OD  GLISSADE</v>
      </c>
      <c r="C26" t="str">
        <f>A27</f>
        <v>One Size</v>
      </c>
      <c r="D26" t="str">
        <f>A28</f>
        <v>Black           Blaze Orange           Grey             OD Green</v>
      </c>
    </row>
    <row r="27" spans="1:4" x14ac:dyDescent="0.25">
      <c r="A27" t="s">
        <v>91</v>
      </c>
    </row>
    <row r="28" spans="1:4" x14ac:dyDescent="0.25">
      <c r="A28" t="s">
        <v>154</v>
      </c>
    </row>
    <row r="29" spans="1:4" x14ac:dyDescent="0.25">
      <c r="A29" t="s">
        <v>155</v>
      </c>
      <c r="B29" t="str">
        <f>A29</f>
        <v>BK2208OD  CAIRN</v>
      </c>
      <c r="C29" t="str">
        <f>A30</f>
        <v>One Size</v>
      </c>
      <c r="D29" t="str">
        <f>A31</f>
        <v>Black           Blaze Orange           Grey             OD Green</v>
      </c>
    </row>
    <row r="30" spans="1:4" x14ac:dyDescent="0.25">
      <c r="A30" t="s">
        <v>91</v>
      </c>
    </row>
    <row r="31" spans="1:4" x14ac:dyDescent="0.25">
      <c r="A31" t="s">
        <v>154</v>
      </c>
    </row>
    <row r="32" spans="1:4" x14ac:dyDescent="0.25">
      <c r="A32" t="s">
        <v>156</v>
      </c>
      <c r="B32" t="str">
        <f>A32</f>
        <v>BW2201OD  OPSEC</v>
      </c>
      <c r="C32" t="str">
        <f>A33</f>
        <v>S, M, L, XL, XXL</v>
      </c>
      <c r="D32" t="str">
        <f>A34</f>
        <v>Deepwoods Camo  Safety First Camo</v>
      </c>
    </row>
    <row r="33" spans="1:4" x14ac:dyDescent="0.25">
      <c r="A33" t="s">
        <v>17</v>
      </c>
    </row>
    <row r="34" spans="1:4" x14ac:dyDescent="0.25">
      <c r="A34" t="s">
        <v>162</v>
      </c>
    </row>
    <row r="35" spans="1:4" x14ac:dyDescent="0.25">
      <c r="A35" t="s">
        <v>157</v>
      </c>
      <c r="B35" t="str">
        <f>A35</f>
        <v>BW2202OD  REDLINE</v>
      </c>
      <c r="C35" t="str">
        <f>A36</f>
        <v>S, M, L, XL, XXL</v>
      </c>
      <c r="D35" t="str">
        <f>A37</f>
        <v>Black                Camel</v>
      </c>
    </row>
    <row r="36" spans="1:4" x14ac:dyDescent="0.25">
      <c r="A36" t="s">
        <v>17</v>
      </c>
    </row>
    <row r="37" spans="1:4" x14ac:dyDescent="0.25">
      <c r="A37" t="s">
        <v>158</v>
      </c>
    </row>
    <row r="38" spans="1:4" x14ac:dyDescent="0.25">
      <c r="A38" t="s">
        <v>106</v>
      </c>
      <c r="B38" t="str">
        <f>A38</f>
        <v>BW2203OD THREE</v>
      </c>
      <c r="C38" t="str">
        <f>A39</f>
        <v>S, M, L, XL</v>
      </c>
      <c r="D38" t="str">
        <f>A40</f>
        <v>Black                 Mole</v>
      </c>
    </row>
    <row r="39" spans="1:4" x14ac:dyDescent="0.25">
      <c r="A39" t="s">
        <v>1</v>
      </c>
    </row>
    <row r="40" spans="1:4" x14ac:dyDescent="0.25">
      <c r="A40" t="s">
        <v>159</v>
      </c>
    </row>
    <row r="41" spans="1:4" x14ac:dyDescent="0.25">
      <c r="A41" t="s">
        <v>160</v>
      </c>
      <c r="B41" t="str">
        <f>A41</f>
        <v>BW2208OD  EDC (EVERY DAY CARRY)</v>
      </c>
      <c r="C41" t="str">
        <f>A42</f>
        <v>S, M, L, XL</v>
      </c>
      <c r="D41" t="str">
        <f>A43</f>
        <v>Beaver         Penns Woods</v>
      </c>
    </row>
    <row r="42" spans="1:4" x14ac:dyDescent="0.25">
      <c r="A42" t="s">
        <v>1</v>
      </c>
    </row>
    <row r="43" spans="1:4" x14ac:dyDescent="0.25">
      <c r="A43" t="s">
        <v>161</v>
      </c>
    </row>
    <row r="44" spans="1:4" x14ac:dyDescent="0.25">
      <c r="A44" t="s">
        <v>163</v>
      </c>
      <c r="B44" t="str">
        <f>A44</f>
        <v>BK2204OD  ICEFALL</v>
      </c>
      <c r="C44" t="str">
        <f>A45</f>
        <v>One Size</v>
      </c>
      <c r="D44" t="str">
        <f>A46</f>
        <v>Black           Blaze Orange           Grey              OD Green</v>
      </c>
    </row>
    <row r="45" spans="1:4" x14ac:dyDescent="0.25">
      <c r="A45" t="s">
        <v>91</v>
      </c>
    </row>
    <row r="46" spans="1:4" x14ac:dyDescent="0.25">
      <c r="A46" t="s">
        <v>164</v>
      </c>
    </row>
    <row r="47" spans="1:4" x14ac:dyDescent="0.25">
      <c r="A47" t="s">
        <v>165</v>
      </c>
      <c r="B47" t="str">
        <f>A47</f>
        <v>BK2201OD  NOBO</v>
      </c>
      <c r="C47" t="str">
        <f>A48</f>
        <v>One Size</v>
      </c>
      <c r="D47" t="str">
        <f>A49</f>
        <v>Black           Blaze Orange       OD Green</v>
      </c>
    </row>
    <row r="48" spans="1:4" x14ac:dyDescent="0.25">
      <c r="A48" t="s">
        <v>91</v>
      </c>
    </row>
    <row r="49" spans="1:4" x14ac:dyDescent="0.25">
      <c r="A49" t="s">
        <v>152</v>
      </c>
    </row>
    <row r="50" spans="1:4" x14ac:dyDescent="0.25">
      <c r="A50" t="s">
        <v>166</v>
      </c>
      <c r="B50" t="str">
        <f>A50</f>
        <v>BK2202OD  NOSEEUM</v>
      </c>
      <c r="C50" t="str">
        <f>A51</f>
        <v>S, M, L, XL</v>
      </c>
      <c r="D50" t="str">
        <f>A52</f>
        <v>Black           Warm Taupe</v>
      </c>
    </row>
    <row r="51" spans="1:4" x14ac:dyDescent="0.25">
      <c r="A51" t="s">
        <v>1</v>
      </c>
    </row>
    <row r="52" spans="1:4" x14ac:dyDescent="0.25">
      <c r="A52" t="s">
        <v>167</v>
      </c>
    </row>
    <row r="53" spans="1:4" x14ac:dyDescent="0.25">
      <c r="A53" t="s">
        <v>97</v>
      </c>
      <c r="B53" t="str">
        <f>A53</f>
        <v>WR21A ORE</v>
      </c>
      <c r="C53" t="str">
        <f>A54</f>
        <v>S, M, L, XL</v>
      </c>
      <c r="D53" t="str">
        <f>A55</f>
        <v>Army Green           Stone</v>
      </c>
    </row>
    <row r="54" spans="1:4" x14ac:dyDescent="0.25">
      <c r="A54" t="s">
        <v>1</v>
      </c>
    </row>
    <row r="55" spans="1:4" x14ac:dyDescent="0.25">
      <c r="A55" t="s">
        <v>168</v>
      </c>
    </row>
    <row r="56" spans="1:4" x14ac:dyDescent="0.25">
      <c r="A56" t="s">
        <v>169</v>
      </c>
      <c r="B56" t="str">
        <f>A56</f>
        <v>S17WR1  OSWEGO</v>
      </c>
      <c r="C56" t="str">
        <f>A57</f>
        <v>S, M, L, XL</v>
      </c>
      <c r="D56" t="str">
        <f>A58</f>
        <v>Natural</v>
      </c>
    </row>
    <row r="57" spans="1:4" x14ac:dyDescent="0.25">
      <c r="A57" t="s">
        <v>1</v>
      </c>
    </row>
    <row r="58" spans="1:4" x14ac:dyDescent="0.25">
      <c r="A58" t="s">
        <v>22</v>
      </c>
    </row>
    <row r="59" spans="1:4" x14ac:dyDescent="0.25">
      <c r="A59" t="s">
        <v>170</v>
      </c>
      <c r="B59" t="str">
        <f>A59</f>
        <v>S22WRB  DAYTON</v>
      </c>
      <c r="C59" t="str">
        <f>A60</f>
        <v>S, M, L, XL</v>
      </c>
      <c r="D59" t="str">
        <f>A61</f>
        <v>Dk Natural             Ivory                 Navy</v>
      </c>
    </row>
    <row r="60" spans="1:4" x14ac:dyDescent="0.25">
      <c r="A60" t="s">
        <v>1</v>
      </c>
    </row>
    <row r="61" spans="1:4" x14ac:dyDescent="0.25">
      <c r="A61" t="s">
        <v>171</v>
      </c>
    </row>
    <row r="62" spans="1:4" x14ac:dyDescent="0.25">
      <c r="A62" t="s">
        <v>172</v>
      </c>
      <c r="B62" t="str">
        <f>A62</f>
        <v>S17WR2  KILGOR</v>
      </c>
      <c r="C62" t="str">
        <f>A63</f>
        <v>S, M, L, XL</v>
      </c>
      <c r="D62" t="str">
        <f>A64</f>
        <v>Oxford Tan</v>
      </c>
    </row>
    <row r="63" spans="1:4" x14ac:dyDescent="0.25">
      <c r="A63" t="s">
        <v>1</v>
      </c>
    </row>
    <row r="64" spans="1:4" x14ac:dyDescent="0.25">
      <c r="A64" t="s">
        <v>99</v>
      </c>
    </row>
    <row r="65" spans="1:4" x14ac:dyDescent="0.25">
      <c r="A65" t="s">
        <v>173</v>
      </c>
      <c r="B65" t="str">
        <f>A65</f>
        <v>BC2204OD  LNT (LEAVE NO TRACE)</v>
      </c>
      <c r="C65" t="str">
        <f>A66</f>
        <v>S, M, L, XL</v>
      </c>
      <c r="D65" t="str">
        <f>A67</f>
        <v>Black             OD Green         Tree Camo</v>
      </c>
    </row>
    <row r="66" spans="1:4" x14ac:dyDescent="0.25">
      <c r="A66" t="s">
        <v>1</v>
      </c>
    </row>
    <row r="67" spans="1:4" x14ac:dyDescent="0.25">
      <c r="A67" t="s">
        <v>174</v>
      </c>
    </row>
    <row r="68" spans="1:4" x14ac:dyDescent="0.25">
      <c r="A68" t="s">
        <v>175</v>
      </c>
      <c r="B68" t="str">
        <f>A68</f>
        <v>BC2206OD  SOBO</v>
      </c>
      <c r="C68" t="str">
        <f>A69</f>
        <v>S, M, L, XL</v>
      </c>
      <c r="D68" t="str">
        <f>A70</f>
        <v>Black             OD Green</v>
      </c>
    </row>
    <row r="69" spans="1:4" x14ac:dyDescent="0.25">
      <c r="A69" t="s">
        <v>1</v>
      </c>
    </row>
    <row r="70" spans="1:4" x14ac:dyDescent="0.25">
      <c r="A70" t="s">
        <v>176</v>
      </c>
    </row>
    <row r="71" spans="1:4" x14ac:dyDescent="0.25">
      <c r="A71" t="s">
        <v>177</v>
      </c>
      <c r="B71" t="str">
        <f>A71</f>
        <v>BC2205OD  DUODESS</v>
      </c>
      <c r="C71" t="str">
        <f>A72</f>
        <v>S, M, L, XL</v>
      </c>
      <c r="D71" t="str">
        <f>A73</f>
        <v>Black              OD Green</v>
      </c>
    </row>
    <row r="72" spans="1:4" x14ac:dyDescent="0.25">
      <c r="A72" t="s">
        <v>1</v>
      </c>
    </row>
    <row r="73" spans="1:4" x14ac:dyDescent="0.25">
      <c r="A73" t="s">
        <v>178</v>
      </c>
    </row>
    <row r="74" spans="1:4" x14ac:dyDescent="0.25">
      <c r="A74" t="s">
        <v>179</v>
      </c>
      <c r="B74" t="str">
        <f>A74</f>
        <v>BC2202OD  FEN</v>
      </c>
      <c r="C74" t="str">
        <f>A75</f>
        <v>One Size</v>
      </c>
      <c r="D74" t="str">
        <f>A76</f>
        <v>Charcoal          OD Green</v>
      </c>
    </row>
    <row r="75" spans="1:4" x14ac:dyDescent="0.25">
      <c r="A75" t="s">
        <v>91</v>
      </c>
    </row>
    <row r="76" spans="1:4" x14ac:dyDescent="0.25">
      <c r="A76" t="s">
        <v>138</v>
      </c>
    </row>
    <row r="77" spans="1:4" x14ac:dyDescent="0.25">
      <c r="A77" t="s">
        <v>180</v>
      </c>
      <c r="B77" t="str">
        <f>A77</f>
        <v>BC2203OD  CONIFER</v>
      </c>
      <c r="C77" t="str">
        <f>A78</f>
        <v>One Size</v>
      </c>
      <c r="D77" t="str">
        <f>A79</f>
        <v>Black             OD Green</v>
      </c>
    </row>
    <row r="78" spans="1:4" x14ac:dyDescent="0.25">
      <c r="A78" t="s">
        <v>91</v>
      </c>
    </row>
    <row r="79" spans="1:4" x14ac:dyDescent="0.25">
      <c r="A79" t="s">
        <v>176</v>
      </c>
    </row>
    <row r="80" spans="1:4" x14ac:dyDescent="0.25">
      <c r="A80" t="s">
        <v>181</v>
      </c>
      <c r="B80" t="str">
        <f>A80</f>
        <v>BC2201OD  CACHE</v>
      </c>
      <c r="C80" t="str">
        <f>A81</f>
        <v>One Size</v>
      </c>
      <c r="D80" t="str">
        <f>A82</f>
        <v>Black             OD Green</v>
      </c>
    </row>
    <row r="81" spans="1:4" x14ac:dyDescent="0.25">
      <c r="A81" t="s">
        <v>91</v>
      </c>
    </row>
    <row r="82" spans="1:4" x14ac:dyDescent="0.25">
      <c r="A82" t="s">
        <v>176</v>
      </c>
    </row>
    <row r="83" spans="1:4" x14ac:dyDescent="0.25">
      <c r="A83" t="s">
        <v>182</v>
      </c>
      <c r="B83" t="str">
        <f>A83</f>
        <v>90171BH  HELIOS</v>
      </c>
      <c r="C83" t="str">
        <f>A84</f>
        <v>S, M, L, XL</v>
      </c>
      <c r="D83" t="str">
        <f>A85</f>
        <v>Sage                Tawny</v>
      </c>
    </row>
    <row r="84" spans="1:4" x14ac:dyDescent="0.25">
      <c r="A84" t="s">
        <v>1</v>
      </c>
    </row>
    <row r="85" spans="1:4" x14ac:dyDescent="0.25">
      <c r="A85" t="s">
        <v>137</v>
      </c>
    </row>
    <row r="86" spans="1:4" x14ac:dyDescent="0.25">
      <c r="A86" t="s">
        <v>183</v>
      </c>
      <c r="B86" t="str">
        <f>A86</f>
        <v>90172BH  CONALL</v>
      </c>
      <c r="C86" t="str">
        <f>A87</f>
        <v>S, M, L, XL</v>
      </c>
      <c r="D86" t="str">
        <f>A88</f>
        <v>Avion                Black                White</v>
      </c>
    </row>
    <row r="87" spans="1:4" x14ac:dyDescent="0.25">
      <c r="A87" t="s">
        <v>1</v>
      </c>
    </row>
    <row r="88" spans="1:4" x14ac:dyDescent="0.25">
      <c r="A88" t="s">
        <v>184</v>
      </c>
    </row>
    <row r="89" spans="1:4" x14ac:dyDescent="0.25">
      <c r="A89" t="s">
        <v>185</v>
      </c>
      <c r="B89" t="str">
        <f>A89</f>
        <v>90058  SLATER</v>
      </c>
      <c r="C89" t="str">
        <f>A90</f>
        <v>S, M, L, XL, XXL</v>
      </c>
      <c r="D89" t="str">
        <f>A91</f>
        <v>Avion            Basalt Grey         Burgundy           Graphite              Taupe</v>
      </c>
    </row>
    <row r="90" spans="1:4" x14ac:dyDescent="0.25">
      <c r="A90" t="s">
        <v>17</v>
      </c>
    </row>
    <row r="91" spans="1:4" x14ac:dyDescent="0.25">
      <c r="A91" t="s">
        <v>186</v>
      </c>
    </row>
    <row r="92" spans="1:4" x14ac:dyDescent="0.25">
      <c r="A92" t="s">
        <v>187</v>
      </c>
      <c r="B92" t="str">
        <f>A92</f>
        <v>1365  GRAHAM</v>
      </c>
      <c r="C92" t="str">
        <f>A93</f>
        <v>S, M, L, XL, XXL</v>
      </c>
      <c r="D92" t="str">
        <f>A94</f>
        <v>Black                Chino                Navy                  Tan</v>
      </c>
    </row>
    <row r="93" spans="1:4" x14ac:dyDescent="0.25">
      <c r="A93" t="s">
        <v>17</v>
      </c>
    </row>
    <row r="94" spans="1:4" x14ac:dyDescent="0.25">
      <c r="A94" t="s">
        <v>147</v>
      </c>
    </row>
    <row r="95" spans="1:4" x14ac:dyDescent="0.25">
      <c r="A95" t="s">
        <v>188</v>
      </c>
      <c r="B95" t="str">
        <f>A95</f>
        <v>90163BH  LEIF</v>
      </c>
      <c r="C95" t="str">
        <f>A96</f>
        <v>S, M, L, XL, XXL</v>
      </c>
      <c r="D95" t="str">
        <f>A97</f>
        <v>Avion Stripe       Beige Stripe      Cream Stripe</v>
      </c>
    </row>
    <row r="96" spans="1:4" x14ac:dyDescent="0.25">
      <c r="A96" t="s">
        <v>17</v>
      </c>
    </row>
    <row r="97" spans="1:4" x14ac:dyDescent="0.25">
      <c r="A97" t="s">
        <v>189</v>
      </c>
    </row>
    <row r="98" spans="1:4" x14ac:dyDescent="0.25">
      <c r="A98" t="s">
        <v>85</v>
      </c>
      <c r="B98" t="str">
        <f>A98</f>
        <v>90164BH ANSEL</v>
      </c>
      <c r="C98" t="str">
        <f>A99</f>
        <v>S, M, L, XL</v>
      </c>
      <c r="D98" t="str">
        <f>A100</f>
        <v>Ash Stripe    Bloodstone Stripe  Mahogany Stripe</v>
      </c>
    </row>
    <row r="99" spans="1:4" x14ac:dyDescent="0.25">
      <c r="A99" t="s">
        <v>1</v>
      </c>
    </row>
    <row r="100" spans="1:4" x14ac:dyDescent="0.25">
      <c r="A100" t="s">
        <v>193</v>
      </c>
    </row>
    <row r="101" spans="1:4" x14ac:dyDescent="0.25">
      <c r="A101" t="s">
        <v>84</v>
      </c>
      <c r="B101" t="str">
        <f>A101</f>
        <v>90165BH VANDER</v>
      </c>
      <c r="C101" t="str">
        <f>A102</f>
        <v>S, M, L, XL</v>
      </c>
      <c r="D101" t="str">
        <f>A103</f>
        <v>Bloodstone            Navy</v>
      </c>
    </row>
    <row r="102" spans="1:4" x14ac:dyDescent="0.25">
      <c r="A102" t="s">
        <v>1</v>
      </c>
    </row>
    <row r="103" spans="1:4" x14ac:dyDescent="0.25">
      <c r="A103" t="s">
        <v>190</v>
      </c>
    </row>
    <row r="104" spans="1:4" x14ac:dyDescent="0.25">
      <c r="A104" t="s">
        <v>191</v>
      </c>
      <c r="B104" t="str">
        <f>A104</f>
        <v>90166BH  DUNSTAN</v>
      </c>
      <c r="C104" t="str">
        <f>A105</f>
        <v>S, M, L, XL</v>
      </c>
      <c r="D104" t="str">
        <f>A106</f>
        <v>Bloodstone Plaid  Charcoal Plaid  Mahogany Plaid</v>
      </c>
    </row>
    <row r="105" spans="1:4" x14ac:dyDescent="0.25">
      <c r="A105" t="s">
        <v>1</v>
      </c>
    </row>
    <row r="106" spans="1:4" x14ac:dyDescent="0.25">
      <c r="A106" t="s">
        <v>192</v>
      </c>
    </row>
    <row r="107" spans="1:4" x14ac:dyDescent="0.25">
      <c r="A107" t="s">
        <v>194</v>
      </c>
      <c r="B107" t="str">
        <f>A107</f>
        <v>81652  ELLIOTT</v>
      </c>
      <c r="C107" t="str">
        <f>A108</f>
        <v>S, M, L, XL</v>
      </c>
      <c r="D107" t="str">
        <f>A109</f>
        <v>Natural</v>
      </c>
    </row>
    <row r="108" spans="1:4" x14ac:dyDescent="0.25">
      <c r="A108" t="s">
        <v>1</v>
      </c>
    </row>
    <row r="109" spans="1:4" x14ac:dyDescent="0.25">
      <c r="A109" t="s">
        <v>22</v>
      </c>
    </row>
    <row r="110" spans="1:4" x14ac:dyDescent="0.25">
      <c r="A110" t="s">
        <v>195</v>
      </c>
      <c r="B110" t="str">
        <f>A110</f>
        <v>81703BH  FOLEY</v>
      </c>
      <c r="C110" t="str">
        <f>A111</f>
        <v>S, M, L, XL</v>
      </c>
      <c r="D110" t="str">
        <f>A112</f>
        <v>Natural                Teak</v>
      </c>
    </row>
    <row r="111" spans="1:4" x14ac:dyDescent="0.25">
      <c r="A111" t="s">
        <v>1</v>
      </c>
    </row>
    <row r="112" spans="1:4" x14ac:dyDescent="0.25">
      <c r="A112" t="s">
        <v>136</v>
      </c>
    </row>
    <row r="113" spans="1:4" x14ac:dyDescent="0.25">
      <c r="A113" t="s">
        <v>196</v>
      </c>
      <c r="B113" t="str">
        <f>A113</f>
        <v>81710BH  HOOPER</v>
      </c>
      <c r="C113" t="str">
        <f>A114</f>
        <v>S, M, L, XL</v>
      </c>
      <c r="D113" t="str">
        <f>A115</f>
        <v>Charcoal              Earth               Natural</v>
      </c>
    </row>
    <row r="114" spans="1:4" x14ac:dyDescent="0.25">
      <c r="A114" t="s">
        <v>1</v>
      </c>
    </row>
    <row r="115" spans="1:4" x14ac:dyDescent="0.25">
      <c r="A115" t="s">
        <v>197</v>
      </c>
    </row>
    <row r="116" spans="1:4" x14ac:dyDescent="0.25">
      <c r="A116" t="s">
        <v>198</v>
      </c>
      <c r="B116" t="str">
        <f>A116</f>
        <v>81720BH  MULLAN</v>
      </c>
      <c r="C116" t="str">
        <f>A117</f>
        <v>S, M, L, XL</v>
      </c>
      <c r="D116" t="str">
        <f>A118</f>
        <v>Black               Copper               Sand</v>
      </c>
    </row>
    <row r="117" spans="1:4" x14ac:dyDescent="0.25">
      <c r="A117" t="s">
        <v>1</v>
      </c>
    </row>
    <row r="118" spans="1:4" x14ac:dyDescent="0.25">
      <c r="A118" t="s">
        <v>199</v>
      </c>
    </row>
    <row r="119" spans="1:4" x14ac:dyDescent="0.25">
      <c r="A119" t="s">
        <v>200</v>
      </c>
      <c r="B119" t="str">
        <f>A119</f>
        <v>81727BH  DENNEY</v>
      </c>
      <c r="C119" t="str">
        <f>A120</f>
        <v>S, M, L, XL</v>
      </c>
      <c r="D119" t="str">
        <f>A121</f>
        <v>Black                 Latte</v>
      </c>
    </row>
    <row r="120" spans="1:4" x14ac:dyDescent="0.25">
      <c r="A120" t="s">
        <v>1</v>
      </c>
    </row>
    <row r="121" spans="1:4" x14ac:dyDescent="0.25">
      <c r="A121" t="s">
        <v>201</v>
      </c>
    </row>
    <row r="122" spans="1:4" x14ac:dyDescent="0.25">
      <c r="A122" t="s">
        <v>202</v>
      </c>
      <c r="B122" t="str">
        <f>A122</f>
        <v>81690  MANNES</v>
      </c>
      <c r="C122" t="str">
        <f>A123</f>
        <v>S, M, L, XL, XXL</v>
      </c>
      <c r="D122" t="str">
        <f>A124</f>
        <v>Avion  Black Multi  Bloodstone  Brown Multi      Cement Multi    Charcoal Multi  Light Grey Multi     Navy Multi  Oak               Overcast            Skydiver              Tawny          Woods Multi</v>
      </c>
    </row>
    <row r="123" spans="1:4" x14ac:dyDescent="0.25">
      <c r="A123" t="s">
        <v>17</v>
      </c>
    </row>
    <row r="124" spans="1:4" x14ac:dyDescent="0.25">
      <c r="A124" t="s">
        <v>205</v>
      </c>
    </row>
    <row r="125" spans="1:4" x14ac:dyDescent="0.25">
      <c r="A125" t="s">
        <v>203</v>
      </c>
      <c r="B125" t="str">
        <f>A125</f>
        <v>81695  MANNESROE</v>
      </c>
      <c r="C125" t="str">
        <f>A126</f>
        <v>S, M, L, XL, XXL</v>
      </c>
      <c r="D125" t="str">
        <f>A127</f>
        <v>Black/Charcoal Multi     Ivory/Adobe Multi     Overcast</v>
      </c>
    </row>
    <row r="126" spans="1:4" x14ac:dyDescent="0.25">
      <c r="A126" t="s">
        <v>17</v>
      </c>
    </row>
    <row r="127" spans="1:4" x14ac:dyDescent="0.25">
      <c r="A127" t="s">
        <v>206</v>
      </c>
    </row>
    <row r="128" spans="1:4" x14ac:dyDescent="0.25">
      <c r="A128" t="s">
        <v>204</v>
      </c>
      <c r="B128" t="str">
        <f>A128</f>
        <v>81726BH  HESTER</v>
      </c>
      <c r="C128" t="str">
        <f>A129</f>
        <v>S, M, L, XL</v>
      </c>
      <c r="D128" t="str">
        <f>A130</f>
        <v>Avion               Copper               Grey                 Opal                 Sand                Tawny</v>
      </c>
    </row>
    <row r="129" spans="1:4" x14ac:dyDescent="0.25">
      <c r="A129" t="s">
        <v>1</v>
      </c>
    </row>
    <row r="130" spans="1:4" x14ac:dyDescent="0.25">
      <c r="A130" t="s">
        <v>207</v>
      </c>
    </row>
    <row r="131" spans="1:4" x14ac:dyDescent="0.25">
      <c r="A131" t="s">
        <v>74</v>
      </c>
      <c r="B131" t="str">
        <f>A131</f>
        <v>81711BH TATE</v>
      </c>
      <c r="C131" t="str">
        <f>A132</f>
        <v>S, M, L, XL</v>
      </c>
      <c r="D131" t="str">
        <f>A133</f>
        <v>Black                 Latte             Light Grey             Navy              Off White</v>
      </c>
    </row>
    <row r="132" spans="1:4" x14ac:dyDescent="0.25">
      <c r="A132" t="s">
        <v>1</v>
      </c>
    </row>
    <row r="133" spans="1:4" x14ac:dyDescent="0.25">
      <c r="A133" t="s">
        <v>208</v>
      </c>
    </row>
    <row r="134" spans="1:4" x14ac:dyDescent="0.25">
      <c r="A134" t="s">
        <v>209</v>
      </c>
      <c r="B134" t="str">
        <f>A134</f>
        <v>81650  SALEM</v>
      </c>
      <c r="C134" t="str">
        <f>A135</f>
        <v>S, M, L, XL, XXL</v>
      </c>
      <c r="D134" t="str">
        <f>A136</f>
        <v>Ash                  Black             Driftwood             Green              Natural              Navy                  Oak                  Rust                 Static                White</v>
      </c>
    </row>
    <row r="135" spans="1:4" x14ac:dyDescent="0.25">
      <c r="A135" t="s">
        <v>17</v>
      </c>
    </row>
    <row r="136" spans="1:4" x14ac:dyDescent="0.25">
      <c r="A136" t="s">
        <v>211</v>
      </c>
    </row>
    <row r="137" spans="1:4" x14ac:dyDescent="0.25">
      <c r="A137" t="s">
        <v>210</v>
      </c>
      <c r="B137" t="str">
        <f>A137</f>
        <v>81670  BILLY</v>
      </c>
      <c r="C137" t="str">
        <f>A138</f>
        <v>S, M, L, XL, XXL</v>
      </c>
      <c r="D137" t="str">
        <f>A139</f>
        <v>Ash                  Black                  Black Heather      Bloodstone    Dk Blue Heather      Espresso             Gravel                Latte                 Navy                  Tan                 Tawny                White</v>
      </c>
    </row>
    <row r="138" spans="1:4" x14ac:dyDescent="0.25">
      <c r="A138" t="s">
        <v>17</v>
      </c>
    </row>
    <row r="139" spans="1:4" x14ac:dyDescent="0.25">
      <c r="A139" t="s">
        <v>212</v>
      </c>
    </row>
    <row r="140" spans="1:4" x14ac:dyDescent="0.25">
      <c r="A140" t="s">
        <v>213</v>
      </c>
      <c r="B140" t="str">
        <f>A140</f>
        <v>81747BH  DARIO</v>
      </c>
      <c r="C140" t="str">
        <f>A141</f>
        <v>S, M, L, XL</v>
      </c>
      <c r="D140" t="str">
        <f>A142</f>
        <v>Natural</v>
      </c>
    </row>
    <row r="141" spans="1:4" x14ac:dyDescent="0.25">
      <c r="A141" t="s">
        <v>1</v>
      </c>
    </row>
    <row r="142" spans="1:4" x14ac:dyDescent="0.25">
      <c r="A142" t="s">
        <v>22</v>
      </c>
    </row>
    <row r="143" spans="1:4" x14ac:dyDescent="0.25">
      <c r="A143" t="s">
        <v>214</v>
      </c>
      <c r="B143" t="str">
        <f>A143</f>
        <v>81702BH  BERLE</v>
      </c>
      <c r="C143" t="str">
        <f>A144</f>
        <v>S, M, L, XL</v>
      </c>
      <c r="D143" t="str">
        <f>A145</f>
        <v>Kapok Green     Navy Heather         Natural              Vanilla</v>
      </c>
    </row>
    <row r="144" spans="1:4" x14ac:dyDescent="0.25">
      <c r="A144" t="s">
        <v>1</v>
      </c>
    </row>
    <row r="145" spans="1:4" x14ac:dyDescent="0.25">
      <c r="A145" t="s">
        <v>215</v>
      </c>
    </row>
    <row r="146" spans="1:4" x14ac:dyDescent="0.25">
      <c r="A146" t="s">
        <v>66</v>
      </c>
      <c r="B146" t="str">
        <f>A146</f>
        <v>81741BH WESTFIELD</v>
      </c>
      <c r="C146" t="str">
        <f>A147</f>
        <v>S, M, L, XL</v>
      </c>
      <c r="D146" t="str">
        <f>A148</f>
        <v>Camo               Natural</v>
      </c>
    </row>
    <row r="147" spans="1:4" x14ac:dyDescent="0.25">
      <c r="A147" t="s">
        <v>1</v>
      </c>
    </row>
    <row r="148" spans="1:4" x14ac:dyDescent="0.25">
      <c r="A148" t="s">
        <v>216</v>
      </c>
    </row>
    <row r="149" spans="1:4" x14ac:dyDescent="0.25">
      <c r="A149" t="s">
        <v>217</v>
      </c>
      <c r="B149" t="str">
        <f>A149</f>
        <v>81739BH  CARVER</v>
      </c>
      <c r="C149" t="str">
        <f>A150</f>
        <v>S, M, L, XL</v>
      </c>
      <c r="D149" t="str">
        <f>A151</f>
        <v>Grey               Natural               Navy                Taupe</v>
      </c>
    </row>
    <row r="150" spans="1:4" x14ac:dyDescent="0.25">
      <c r="A150" t="s">
        <v>1</v>
      </c>
    </row>
    <row r="151" spans="1:4" x14ac:dyDescent="0.25">
      <c r="A151" t="s">
        <v>218</v>
      </c>
    </row>
    <row r="152" spans="1:4" x14ac:dyDescent="0.25">
      <c r="A152" t="s">
        <v>219</v>
      </c>
      <c r="B152" t="str">
        <f>A152</f>
        <v>81722BH  ROKIT</v>
      </c>
      <c r="C152" t="str">
        <f>A153</f>
        <v>S, M, L, XL</v>
      </c>
      <c r="D152" t="str">
        <f>A154</f>
        <v>Light Grey/Black  Natural/Storm</v>
      </c>
    </row>
    <row r="153" spans="1:4" x14ac:dyDescent="0.25">
      <c r="A153" t="s">
        <v>1</v>
      </c>
    </row>
    <row r="154" spans="1:4" x14ac:dyDescent="0.25">
      <c r="A154" t="s">
        <v>220</v>
      </c>
    </row>
    <row r="155" spans="1:4" x14ac:dyDescent="0.25">
      <c r="A155" t="s">
        <v>221</v>
      </c>
      <c r="B155" t="str">
        <f>A155</f>
        <v>81732BH  RONIT</v>
      </c>
      <c r="C155" t="str">
        <f>A156</f>
        <v>S, M, L, XL</v>
      </c>
      <c r="D155" t="str">
        <f>A157</f>
        <v>Burgundy            Natural</v>
      </c>
    </row>
    <row r="156" spans="1:4" x14ac:dyDescent="0.25">
      <c r="A156" t="s">
        <v>1</v>
      </c>
    </row>
    <row r="157" spans="1:4" x14ac:dyDescent="0.25">
      <c r="A157" t="s">
        <v>222</v>
      </c>
    </row>
    <row r="158" spans="1:4" x14ac:dyDescent="0.25">
      <c r="A158" t="s">
        <v>223</v>
      </c>
      <c r="B158" t="str">
        <f>A158</f>
        <v>81717BH  CRAIG</v>
      </c>
      <c r="C158" t="str">
        <f>A159</f>
        <v>S, M, L, XL</v>
      </c>
      <c r="D158" t="str">
        <f>A160</f>
        <v>Black                 Grey               Natural               Sky Blue                Tan                 Tawny               White</v>
      </c>
    </row>
    <row r="159" spans="1:4" x14ac:dyDescent="0.25">
      <c r="A159" t="s">
        <v>1</v>
      </c>
    </row>
    <row r="160" spans="1:4" x14ac:dyDescent="0.25">
      <c r="A160" t="s">
        <v>224</v>
      </c>
    </row>
    <row r="161" spans="1:4" x14ac:dyDescent="0.25">
      <c r="A161" t="s">
        <v>225</v>
      </c>
      <c r="B161" t="str">
        <f>A161</f>
        <v>81750BH  OTIS</v>
      </c>
      <c r="C161" t="str">
        <f>A162</f>
        <v>S, M, L, XL</v>
      </c>
      <c r="D161" t="str">
        <f>A163</f>
        <v>Avion                Black                 Oak</v>
      </c>
    </row>
    <row r="162" spans="1:4" x14ac:dyDescent="0.25">
      <c r="A162" t="s">
        <v>1</v>
      </c>
    </row>
    <row r="163" spans="1:4" x14ac:dyDescent="0.25">
      <c r="A163" t="s">
        <v>226</v>
      </c>
    </row>
    <row r="164" spans="1:4" x14ac:dyDescent="0.25">
      <c r="A164" t="s">
        <v>227</v>
      </c>
      <c r="B164" t="str">
        <f>A164</f>
        <v>81751BH  KAI</v>
      </c>
      <c r="C164" t="str">
        <f>A165</f>
        <v>S, M, L, XL</v>
      </c>
      <c r="D164" t="str">
        <f>A166</f>
        <v>Grey               Natural</v>
      </c>
    </row>
    <row r="165" spans="1:4" x14ac:dyDescent="0.25">
      <c r="A165" t="s">
        <v>1</v>
      </c>
    </row>
    <row r="166" spans="1:4" x14ac:dyDescent="0.25">
      <c r="A166" t="s">
        <v>228</v>
      </c>
    </row>
    <row r="167" spans="1:4" x14ac:dyDescent="0.25">
      <c r="A167" t="s">
        <v>229</v>
      </c>
      <c r="B167" t="str">
        <f>A167</f>
        <v>81738BH  BALANS ROLL UP</v>
      </c>
      <c r="C167" t="str">
        <f>A168</f>
        <v>S, M, L, XL</v>
      </c>
      <c r="D167" t="str">
        <f>A169</f>
        <v>Avion            Mushroom             Slate                Taupe</v>
      </c>
    </row>
    <row r="168" spans="1:4" x14ac:dyDescent="0.25">
      <c r="A168" t="s">
        <v>1</v>
      </c>
    </row>
    <row r="169" spans="1:4" x14ac:dyDescent="0.25">
      <c r="A169" t="s">
        <v>230</v>
      </c>
    </row>
    <row r="170" spans="1:4" x14ac:dyDescent="0.25">
      <c r="A170" t="s">
        <v>231</v>
      </c>
      <c r="B170" t="str">
        <f>A170</f>
        <v>81744BH  ELI</v>
      </c>
      <c r="C170" t="str">
        <f>A171</f>
        <v>S, M, L, XL</v>
      </c>
      <c r="D170" t="str">
        <f>A172</f>
        <v>Avion                Black            Bloodstone             Grey                Tawny</v>
      </c>
    </row>
    <row r="171" spans="1:4" x14ac:dyDescent="0.25">
      <c r="A171" t="s">
        <v>1</v>
      </c>
    </row>
    <row r="172" spans="1:4" x14ac:dyDescent="0.25">
      <c r="A172" t="s">
        <v>232</v>
      </c>
    </row>
    <row r="173" spans="1:4" x14ac:dyDescent="0.25">
      <c r="A173" t="s">
        <v>56</v>
      </c>
      <c r="B173" t="str">
        <f>A173</f>
        <v>81810 WAITS</v>
      </c>
      <c r="C173" t="str">
        <f>A174</f>
        <v>S, M, L, XL, XXL</v>
      </c>
      <c r="D173" t="str">
        <f>A175</f>
        <v>Black                 Blue                Copper              Green             Midnight Brown         Sand                Smoke               Tawny           Unbleached</v>
      </c>
    </row>
    <row r="174" spans="1:4" x14ac:dyDescent="0.25">
      <c r="A174" t="s">
        <v>17</v>
      </c>
    </row>
    <row r="175" spans="1:4" x14ac:dyDescent="0.25">
      <c r="A175" t="s">
        <v>238</v>
      </c>
    </row>
    <row r="176" spans="1:4" x14ac:dyDescent="0.25">
      <c r="A176" t="s">
        <v>233</v>
      </c>
      <c r="B176" t="str">
        <f>A176</f>
        <v>81745BH  SCORSBY</v>
      </c>
      <c r="C176" t="str">
        <f>A177</f>
        <v>S, M, L, XL</v>
      </c>
      <c r="D176" t="str">
        <f>A178</f>
        <v>Black                 Grey                Natural</v>
      </c>
    </row>
    <row r="177" spans="1:4" x14ac:dyDescent="0.25">
      <c r="A177" t="s">
        <v>1</v>
      </c>
    </row>
    <row r="178" spans="1:4" x14ac:dyDescent="0.25">
      <c r="A178" t="s">
        <v>234</v>
      </c>
    </row>
    <row r="179" spans="1:4" x14ac:dyDescent="0.25">
      <c r="A179" t="s">
        <v>235</v>
      </c>
      <c r="B179" t="str">
        <f>A179</f>
        <v>81749BH  MAX</v>
      </c>
      <c r="C179" t="str">
        <f>A180</f>
        <v>S, M, L, XL</v>
      </c>
      <c r="D179" t="str">
        <f>A181</f>
        <v>Black                 Ivory                White</v>
      </c>
    </row>
    <row r="180" spans="1:4" x14ac:dyDescent="0.25">
      <c r="A180" t="s">
        <v>1</v>
      </c>
    </row>
    <row r="181" spans="1:4" x14ac:dyDescent="0.25">
      <c r="A181" t="s">
        <v>236</v>
      </c>
    </row>
    <row r="182" spans="1:4" x14ac:dyDescent="0.25">
      <c r="A182" t="s">
        <v>237</v>
      </c>
      <c r="B182" t="str">
        <f>A182</f>
        <v>81746BH  LOREK</v>
      </c>
      <c r="C182" t="str">
        <f>A183</f>
        <v>S, M, L, XL</v>
      </c>
      <c r="D182" t="str">
        <f>A184</f>
        <v>Black               Natural</v>
      </c>
    </row>
    <row r="183" spans="1:4" x14ac:dyDescent="0.25">
      <c r="A183" t="s">
        <v>1</v>
      </c>
    </row>
    <row r="184" spans="1:4" x14ac:dyDescent="0.25">
      <c r="A184" t="s">
        <v>129</v>
      </c>
    </row>
    <row r="185" spans="1:4" x14ac:dyDescent="0.25">
      <c r="A185" t="s">
        <v>239</v>
      </c>
      <c r="B185" t="str">
        <f>A185</f>
        <v>5008BH  ORSUN</v>
      </c>
      <c r="C185" t="str">
        <f>A186</f>
        <v>S, M, L, XL</v>
      </c>
      <c r="D185" t="str">
        <f>A187</f>
        <v>Kapok Green          Natural                Tan</v>
      </c>
    </row>
    <row r="186" spans="1:4" x14ac:dyDescent="0.25">
      <c r="A186" t="s">
        <v>1</v>
      </c>
    </row>
    <row r="187" spans="1:4" x14ac:dyDescent="0.25">
      <c r="A187" t="s">
        <v>240</v>
      </c>
    </row>
    <row r="188" spans="1:4" x14ac:dyDescent="0.25">
      <c r="A188" t="s">
        <v>241</v>
      </c>
      <c r="B188" t="str">
        <f>A188</f>
        <v>5006BH  ROTHNEY</v>
      </c>
      <c r="C188" t="str">
        <f>A189</f>
        <v>S, M, L, XL</v>
      </c>
      <c r="D188" t="str">
        <f>A190</f>
        <v>Ivory           Kapok Green</v>
      </c>
    </row>
    <row r="189" spans="1:4" x14ac:dyDescent="0.25">
      <c r="A189" t="s">
        <v>1</v>
      </c>
    </row>
    <row r="190" spans="1:4" x14ac:dyDescent="0.25">
      <c r="A190" t="s">
        <v>242</v>
      </c>
    </row>
    <row r="191" spans="1:4" x14ac:dyDescent="0.25">
      <c r="A191" t="s">
        <v>243</v>
      </c>
      <c r="B191" t="str">
        <f>A191</f>
        <v>5001BH  DERIAN</v>
      </c>
      <c r="C191" t="str">
        <f>A192</f>
        <v>S, M, L, XL</v>
      </c>
      <c r="D191" t="str">
        <f>A193</f>
        <v>Burlap</v>
      </c>
    </row>
    <row r="192" spans="1:4" x14ac:dyDescent="0.25">
      <c r="A192" t="s">
        <v>1</v>
      </c>
    </row>
    <row r="193" spans="1:4" x14ac:dyDescent="0.25">
      <c r="A193" t="s">
        <v>53</v>
      </c>
    </row>
    <row r="194" spans="1:4" x14ac:dyDescent="0.25">
      <c r="A194" t="s">
        <v>244</v>
      </c>
      <c r="B194" t="str">
        <f>A194</f>
        <v>5000BH  ROCKETT</v>
      </c>
      <c r="C194" t="str">
        <f>A195</f>
        <v>S, M, L, XL</v>
      </c>
      <c r="D194" t="str">
        <f>A196</f>
        <v>Tan</v>
      </c>
    </row>
    <row r="195" spans="1:4" x14ac:dyDescent="0.25">
      <c r="A195" t="s">
        <v>1</v>
      </c>
    </row>
    <row r="196" spans="1:4" x14ac:dyDescent="0.25">
      <c r="A196" t="s">
        <v>51</v>
      </c>
    </row>
    <row r="197" spans="1:4" x14ac:dyDescent="0.25">
      <c r="A197" t="s">
        <v>47</v>
      </c>
      <c r="B197" t="str">
        <f>A197</f>
        <v>5009BH ADLAY</v>
      </c>
      <c r="C197" t="str">
        <f>A198</f>
        <v>S, M, L, XL</v>
      </c>
      <c r="D197" t="str">
        <f>A199</f>
        <v>Dark Natural            Navy</v>
      </c>
    </row>
    <row r="198" spans="1:4" x14ac:dyDescent="0.25">
      <c r="A198" t="s">
        <v>1</v>
      </c>
    </row>
    <row r="199" spans="1:4" x14ac:dyDescent="0.25">
      <c r="A199" t="s">
        <v>245</v>
      </c>
    </row>
    <row r="200" spans="1:4" x14ac:dyDescent="0.25">
      <c r="A200" t="s">
        <v>54</v>
      </c>
      <c r="B200" t="str">
        <f>A200</f>
        <v>5010BH WINSTONE</v>
      </c>
      <c r="C200" t="str">
        <f>A201</f>
        <v>S, M, L, XL</v>
      </c>
      <c r="D200" t="str">
        <f>A202</f>
        <v>Black             Limestone           Natural</v>
      </c>
    </row>
    <row r="201" spans="1:4" x14ac:dyDescent="0.25">
      <c r="A201" t="s">
        <v>1</v>
      </c>
    </row>
    <row r="202" spans="1:4" x14ac:dyDescent="0.25">
      <c r="A202" t="s">
        <v>246</v>
      </c>
    </row>
    <row r="203" spans="1:4" x14ac:dyDescent="0.25">
      <c r="A203" t="s">
        <v>48</v>
      </c>
      <c r="B203" t="str">
        <f>A203</f>
        <v>5011BH ANKER</v>
      </c>
      <c r="C203" t="str">
        <f>A204</f>
        <v>S, M, L, XL</v>
      </c>
      <c r="D203" t="str">
        <f>A205</f>
        <v>Grey               Natural</v>
      </c>
    </row>
    <row r="204" spans="1:4" x14ac:dyDescent="0.25">
      <c r="A204" t="s">
        <v>1</v>
      </c>
    </row>
    <row r="205" spans="1:4" x14ac:dyDescent="0.25">
      <c r="A205" t="s">
        <v>228</v>
      </c>
    </row>
    <row r="206" spans="1:4" x14ac:dyDescent="0.25">
      <c r="A206" t="s">
        <v>247</v>
      </c>
      <c r="B206" t="str">
        <f>A206</f>
        <v>63294BH  MAGNESS</v>
      </c>
      <c r="C206" t="str">
        <f>A207</f>
        <v>S, M, L, XL</v>
      </c>
      <c r="D206" t="str">
        <f>A208</f>
        <v>Natural/Black           Sand                 Silver</v>
      </c>
    </row>
    <row r="207" spans="1:4" x14ac:dyDescent="0.25">
      <c r="A207" t="s">
        <v>1</v>
      </c>
    </row>
    <row r="208" spans="1:4" x14ac:dyDescent="0.25">
      <c r="A208" t="s">
        <v>248</v>
      </c>
    </row>
    <row r="209" spans="1:4" x14ac:dyDescent="0.25">
      <c r="A209" t="s">
        <v>249</v>
      </c>
      <c r="B209" t="str">
        <f>A209</f>
        <v>60003BH  MELTON</v>
      </c>
      <c r="C209" t="str">
        <f>A210</f>
        <v>S, M, L, XL</v>
      </c>
      <c r="D209" t="str">
        <f>A211</f>
        <v>Natural</v>
      </c>
    </row>
    <row r="210" spans="1:4" x14ac:dyDescent="0.25">
      <c r="A210" t="s">
        <v>1</v>
      </c>
    </row>
    <row r="211" spans="1:4" x14ac:dyDescent="0.25">
      <c r="A211" t="s">
        <v>22</v>
      </c>
    </row>
    <row r="212" spans="1:4" x14ac:dyDescent="0.25">
      <c r="A212" t="s">
        <v>250</v>
      </c>
      <c r="B212" t="str">
        <f>A212</f>
        <v>63302BH  QUIL</v>
      </c>
      <c r="C212" t="str">
        <f>A213</f>
        <v>S, M, L, XL</v>
      </c>
      <c r="D212" t="str">
        <f>A214</f>
        <v>Black               Natural</v>
      </c>
    </row>
    <row r="213" spans="1:4" x14ac:dyDescent="0.25">
      <c r="A213" t="s">
        <v>1</v>
      </c>
    </row>
    <row r="214" spans="1:4" x14ac:dyDescent="0.25">
      <c r="A214" t="s">
        <v>129</v>
      </c>
    </row>
    <row r="215" spans="1:4" x14ac:dyDescent="0.25">
      <c r="A215" t="s">
        <v>251</v>
      </c>
      <c r="B215" t="str">
        <f>A215</f>
        <v>63297BH  BRAYLON</v>
      </c>
      <c r="C215" t="str">
        <f>A216</f>
        <v>S, M, L, XL</v>
      </c>
      <c r="D215" t="str">
        <f>A217</f>
        <v>Black               Natural</v>
      </c>
    </row>
    <row r="216" spans="1:4" x14ac:dyDescent="0.25">
      <c r="A216" t="s">
        <v>1</v>
      </c>
    </row>
    <row r="217" spans="1:4" x14ac:dyDescent="0.25">
      <c r="A217" t="s">
        <v>129</v>
      </c>
    </row>
    <row r="218" spans="1:4" x14ac:dyDescent="0.25">
      <c r="A218" t="s">
        <v>252</v>
      </c>
      <c r="B218" t="str">
        <f>A218</f>
        <v>63112  HANSON</v>
      </c>
      <c r="C218" t="str">
        <f>A219</f>
        <v>S, M, L, XL</v>
      </c>
      <c r="D218" t="str">
        <f>A220</f>
        <v>Natural/Black Natural/Blue Print  Natural/Rust</v>
      </c>
    </row>
    <row r="219" spans="1:4" x14ac:dyDescent="0.25">
      <c r="A219" t="s">
        <v>1</v>
      </c>
    </row>
    <row r="220" spans="1:4" x14ac:dyDescent="0.25">
      <c r="A220" t="s">
        <v>253</v>
      </c>
    </row>
    <row r="221" spans="1:4" x14ac:dyDescent="0.25">
      <c r="A221" t="s">
        <v>254</v>
      </c>
      <c r="B221" t="str">
        <f>A221</f>
        <v>63114  GUTHRIE</v>
      </c>
      <c r="C221" t="str">
        <f>A222</f>
        <v>S, M, L, XL, XXL</v>
      </c>
      <c r="D221" t="str">
        <f>A223</f>
        <v>Natural/Black  Natural/Blue Print  Natural/Rust</v>
      </c>
    </row>
    <row r="222" spans="1:4" x14ac:dyDescent="0.25">
      <c r="A222" t="s">
        <v>17</v>
      </c>
    </row>
    <row r="223" spans="1:4" x14ac:dyDescent="0.25">
      <c r="A223" t="s">
        <v>255</v>
      </c>
    </row>
    <row r="224" spans="1:4" x14ac:dyDescent="0.25">
      <c r="A224" t="s">
        <v>256</v>
      </c>
      <c r="B224" t="str">
        <f>A224</f>
        <v>63125  KONRATH</v>
      </c>
      <c r="C224" t="str">
        <f>A225</f>
        <v>S, M, L, XL</v>
      </c>
      <c r="D224" t="str">
        <f>A226</f>
        <v>Natural</v>
      </c>
    </row>
    <row r="225" spans="1:4" x14ac:dyDescent="0.25">
      <c r="A225" t="s">
        <v>1</v>
      </c>
    </row>
    <row r="226" spans="1:4" x14ac:dyDescent="0.25">
      <c r="A226" t="s">
        <v>22</v>
      </c>
    </row>
    <row r="227" spans="1:4" x14ac:dyDescent="0.25">
      <c r="A227" t="s">
        <v>257</v>
      </c>
      <c r="B227" t="str">
        <f>A227</f>
        <v>63200  SPENCER</v>
      </c>
      <c r="C227" t="str">
        <f>A228</f>
        <v>S, M, L, XL, XXL</v>
      </c>
      <c r="D227" t="str">
        <f>A229</f>
        <v>Ash                Natural                Tan          Weathered Oak</v>
      </c>
    </row>
    <row r="228" spans="1:4" x14ac:dyDescent="0.25">
      <c r="A228" t="s">
        <v>17</v>
      </c>
    </row>
    <row r="229" spans="1:4" x14ac:dyDescent="0.25">
      <c r="A229" t="s">
        <v>258</v>
      </c>
    </row>
    <row r="230" spans="1:4" x14ac:dyDescent="0.25">
      <c r="A230" t="s">
        <v>259</v>
      </c>
      <c r="B230" t="str">
        <f>A230</f>
        <v>63283BH  RELIK</v>
      </c>
      <c r="C230" t="str">
        <f>A231</f>
        <v>S, M, L, XL</v>
      </c>
      <c r="D230" t="str">
        <f>A232</f>
        <v>Natural         Natural/Taupe</v>
      </c>
    </row>
    <row r="231" spans="1:4" x14ac:dyDescent="0.25">
      <c r="A231" t="s">
        <v>1</v>
      </c>
    </row>
    <row r="232" spans="1:4" x14ac:dyDescent="0.25">
      <c r="A232" t="s">
        <v>260</v>
      </c>
    </row>
    <row r="233" spans="1:4" x14ac:dyDescent="0.25">
      <c r="A233" t="s">
        <v>261</v>
      </c>
      <c r="B233" t="str">
        <f>A233</f>
        <v>63117  BLACKBURN</v>
      </c>
      <c r="C233" t="str">
        <f>A234</f>
        <v>S, M, L, XL</v>
      </c>
      <c r="D233" t="str">
        <f>A235</f>
        <v>Caramel             Natural               Opal</v>
      </c>
    </row>
    <row r="234" spans="1:4" x14ac:dyDescent="0.25">
      <c r="A234" t="s">
        <v>1</v>
      </c>
    </row>
    <row r="235" spans="1:4" x14ac:dyDescent="0.25">
      <c r="A235" t="s">
        <v>262</v>
      </c>
    </row>
    <row r="236" spans="1:4" x14ac:dyDescent="0.25">
      <c r="A236" t="s">
        <v>263</v>
      </c>
      <c r="B236" t="str">
        <f>A236</f>
        <v>63298BH  GLASER</v>
      </c>
      <c r="C236" t="str">
        <f>A237</f>
        <v>S, M, L, XL</v>
      </c>
      <c r="D236" t="str">
        <f>A238</f>
        <v>Black               Natural</v>
      </c>
    </row>
    <row r="237" spans="1:4" x14ac:dyDescent="0.25">
      <c r="A237" t="s">
        <v>1</v>
      </c>
    </row>
    <row r="238" spans="1:4" x14ac:dyDescent="0.25">
      <c r="A238" t="s">
        <v>129</v>
      </c>
    </row>
    <row r="239" spans="1:4" x14ac:dyDescent="0.25">
      <c r="A239" t="s">
        <v>264</v>
      </c>
      <c r="B239" t="str">
        <f>A239</f>
        <v>22705  CHAPLIN</v>
      </c>
      <c r="C239" t="str">
        <f>A240</f>
        <v>S, M, L, XL</v>
      </c>
      <c r="D239" t="str">
        <f>A241</f>
        <v>Black           Media Bleach</v>
      </c>
    </row>
    <row r="240" spans="1:4" x14ac:dyDescent="0.25">
      <c r="A240" t="s">
        <v>1</v>
      </c>
    </row>
    <row r="241" spans="1:4" x14ac:dyDescent="0.25">
      <c r="A241" t="s">
        <v>265</v>
      </c>
    </row>
    <row r="242" spans="1:4" x14ac:dyDescent="0.25">
      <c r="A242" t="s">
        <v>31</v>
      </c>
      <c r="B242" t="str">
        <f>A242</f>
        <v>22786BH TESSIER</v>
      </c>
      <c r="C242" t="str">
        <f>A243</f>
        <v>S, M, L, XL</v>
      </c>
      <c r="D242" t="str">
        <f>A244</f>
        <v>Antiqued Natural  Antiqued Sienna</v>
      </c>
    </row>
    <row r="243" spans="1:4" x14ac:dyDescent="0.25">
      <c r="A243" t="s">
        <v>1</v>
      </c>
    </row>
    <row r="244" spans="1:4" x14ac:dyDescent="0.25">
      <c r="A244" t="s">
        <v>266</v>
      </c>
    </row>
    <row r="245" spans="1:4" x14ac:dyDescent="0.25">
      <c r="A245" t="s">
        <v>267</v>
      </c>
      <c r="B245" t="str">
        <f>A245</f>
        <v>22721  BROOKS</v>
      </c>
      <c r="C245" t="str">
        <f>A246</f>
        <v>S, M, L, XL, XXL</v>
      </c>
      <c r="D245" t="str">
        <f>A247</f>
        <v>Avion              Ash Grey        Media Bleach        Mushroom           Natural               Tawny</v>
      </c>
    </row>
    <row r="246" spans="1:4" x14ac:dyDescent="0.25">
      <c r="A246" t="s">
        <v>17</v>
      </c>
    </row>
    <row r="247" spans="1:4" x14ac:dyDescent="0.25">
      <c r="A247" t="s">
        <v>271</v>
      </c>
    </row>
    <row r="248" spans="1:4" x14ac:dyDescent="0.25">
      <c r="A248" t="s">
        <v>268</v>
      </c>
      <c r="B248" t="str">
        <f>A248</f>
        <v>22719  CUTLER</v>
      </c>
      <c r="C248" t="str">
        <f>A249</f>
        <v>S, M, L, XL</v>
      </c>
      <c r="D248" t="str">
        <f>A250</f>
        <v>Natural</v>
      </c>
    </row>
    <row r="249" spans="1:4" x14ac:dyDescent="0.25">
      <c r="A249" t="s">
        <v>1</v>
      </c>
    </row>
    <row r="250" spans="1:4" x14ac:dyDescent="0.25">
      <c r="A250" t="s">
        <v>22</v>
      </c>
    </row>
    <row r="251" spans="1:4" x14ac:dyDescent="0.25">
      <c r="A251" t="s">
        <v>269</v>
      </c>
      <c r="B251" t="str">
        <f>A251</f>
        <v>22776BH  CUBAN</v>
      </c>
      <c r="C251" t="str">
        <f>A252</f>
        <v>S, M, L, XL</v>
      </c>
      <c r="D251" t="str">
        <f>A253</f>
        <v>Amber        Nat/Vintage Blue        Natural         Natural/Earth   Natural/Sunrise</v>
      </c>
    </row>
    <row r="252" spans="1:4" x14ac:dyDescent="0.25">
      <c r="A252" t="s">
        <v>1</v>
      </c>
    </row>
    <row r="253" spans="1:4" x14ac:dyDescent="0.25">
      <c r="A253" t="s">
        <v>272</v>
      </c>
    </row>
    <row r="254" spans="1:4" x14ac:dyDescent="0.25">
      <c r="A254" t="s">
        <v>34</v>
      </c>
      <c r="B254" t="str">
        <f>A254</f>
        <v>22791BH STANSFIELD</v>
      </c>
      <c r="C254" t="str">
        <f>A255</f>
        <v>S, M, L, XL</v>
      </c>
      <c r="D254" t="str">
        <f>A256</f>
        <v>Dark Slate            Natural                Oak                 Taupe</v>
      </c>
    </row>
    <row r="255" spans="1:4" x14ac:dyDescent="0.25">
      <c r="A255" t="s">
        <v>1</v>
      </c>
    </row>
    <row r="256" spans="1:4" x14ac:dyDescent="0.25">
      <c r="A256" t="s">
        <v>270</v>
      </c>
    </row>
    <row r="257" spans="1:4" x14ac:dyDescent="0.25">
      <c r="A257" t="s">
        <v>273</v>
      </c>
      <c r="B257" t="str">
        <f>A257</f>
        <v>22757BH  SALTER</v>
      </c>
      <c r="C257" t="str">
        <f>A258</f>
        <v>6 3/4, 6 7/8, 7, 7 1/8, 7 1/4, 7 3/8, 7 1/2, 7 5/8</v>
      </c>
      <c r="D257" t="str">
        <f>A259</f>
        <v>Natural</v>
      </c>
    </row>
    <row r="258" spans="1:4" x14ac:dyDescent="0.25">
      <c r="A258" s="1" t="s">
        <v>25</v>
      </c>
    </row>
    <row r="259" spans="1:4" x14ac:dyDescent="0.25">
      <c r="A259" t="s">
        <v>22</v>
      </c>
    </row>
    <row r="260" spans="1:4" x14ac:dyDescent="0.25">
      <c r="A260" t="s">
        <v>282</v>
      </c>
      <c r="B260" t="str">
        <f>A260</f>
        <v>22760BH   LORING</v>
      </c>
      <c r="C260" t="str">
        <f>A261</f>
        <v>S, M, L, XL</v>
      </c>
      <c r="D260" t="str">
        <f>A262</f>
        <v>Natural</v>
      </c>
    </row>
    <row r="261" spans="1:4" x14ac:dyDescent="0.25">
      <c r="A261" t="s">
        <v>1</v>
      </c>
    </row>
    <row r="262" spans="1:4" x14ac:dyDescent="0.25">
      <c r="A262" t="s">
        <v>22</v>
      </c>
    </row>
    <row r="263" spans="1:4" x14ac:dyDescent="0.25">
      <c r="A263" t="s">
        <v>274</v>
      </c>
      <c r="B263" t="str">
        <f>A263</f>
        <v>22750  ROLL UP II</v>
      </c>
      <c r="C263" t="str">
        <f>A264</f>
        <v>S, M, L, XL</v>
      </c>
      <c r="D263" t="str">
        <f>A265</f>
        <v>Natural</v>
      </c>
    </row>
    <row r="264" spans="1:4" x14ac:dyDescent="0.25">
      <c r="A264" t="s">
        <v>1</v>
      </c>
    </row>
    <row r="265" spans="1:4" x14ac:dyDescent="0.25">
      <c r="A265" t="s">
        <v>22</v>
      </c>
    </row>
    <row r="266" spans="1:4" x14ac:dyDescent="0.25">
      <c r="A266" t="s">
        <v>275</v>
      </c>
      <c r="B266" t="str">
        <f>A266</f>
        <v>22790BH  PARSON</v>
      </c>
      <c r="C266" t="str">
        <f>A267</f>
        <v>S, M, L, XL</v>
      </c>
      <c r="D266" t="str">
        <f>A268</f>
        <v>Ink Stain         Natural/Navy        Tea Stain</v>
      </c>
    </row>
    <row r="267" spans="1:4" x14ac:dyDescent="0.25">
      <c r="A267" t="s">
        <v>1</v>
      </c>
    </row>
    <row r="268" spans="1:4" x14ac:dyDescent="0.25">
      <c r="A268" t="s">
        <v>276</v>
      </c>
    </row>
    <row r="269" spans="1:4" x14ac:dyDescent="0.25">
      <c r="A269" t="s">
        <v>277</v>
      </c>
      <c r="B269" t="str">
        <f>A269</f>
        <v>22798BH    WARLICK</v>
      </c>
      <c r="C269" t="str">
        <f>A270</f>
        <v>S, M, L, XL</v>
      </c>
      <c r="D269" t="str">
        <f>A271</f>
        <v>Black/Natural    Charcoal/Rust</v>
      </c>
    </row>
    <row r="270" spans="1:4" x14ac:dyDescent="0.25">
      <c r="A270" t="s">
        <v>1</v>
      </c>
    </row>
    <row r="271" spans="1:4" x14ac:dyDescent="0.25">
      <c r="A271" t="s">
        <v>278</v>
      </c>
    </row>
    <row r="272" spans="1:4" x14ac:dyDescent="0.25">
      <c r="A272" t="s">
        <v>279</v>
      </c>
      <c r="B272" t="str">
        <f>A272</f>
        <v>22805BH  EZRA</v>
      </c>
      <c r="C272" t="str">
        <f>A273</f>
        <v>S, M, L, XL</v>
      </c>
      <c r="D272" t="str">
        <f>A274</f>
        <v>Natural</v>
      </c>
    </row>
    <row r="273" spans="1:4" x14ac:dyDescent="0.25">
      <c r="A273" t="s">
        <v>1</v>
      </c>
    </row>
    <row r="274" spans="1:4" x14ac:dyDescent="0.25">
      <c r="A274" t="s">
        <v>22</v>
      </c>
    </row>
    <row r="275" spans="1:4" x14ac:dyDescent="0.25">
      <c r="A275" t="s">
        <v>280</v>
      </c>
      <c r="B275" t="str">
        <f>A275</f>
        <v>22787BH  GIGER</v>
      </c>
      <c r="C275" t="str">
        <f>A276</f>
        <v>S, M, L, XL</v>
      </c>
      <c r="D275" t="str">
        <f>A277</f>
        <v>Breezy Plaid       Brown Plaid     Blue Surf Plaid       Tan Plaid</v>
      </c>
    </row>
    <row r="276" spans="1:4" x14ac:dyDescent="0.25">
      <c r="A276" t="s">
        <v>1</v>
      </c>
    </row>
    <row r="277" spans="1:4" x14ac:dyDescent="0.25">
      <c r="A277" t="s">
        <v>281</v>
      </c>
    </row>
    <row r="278" spans="1:4" x14ac:dyDescent="0.25">
      <c r="A278" t="s">
        <v>283</v>
      </c>
      <c r="B278" t="str">
        <f>A278</f>
        <v>22814BH  BYSTROM</v>
      </c>
      <c r="C278" t="str">
        <f>A279</f>
        <v>S, M, L, XL</v>
      </c>
      <c r="D278" t="str">
        <f>A280</f>
        <v>Natural               Tawny</v>
      </c>
    </row>
    <row r="279" spans="1:4" x14ac:dyDescent="0.25">
      <c r="A279" t="s">
        <v>1</v>
      </c>
    </row>
    <row r="280" spans="1:4" x14ac:dyDescent="0.25">
      <c r="A280" t="s">
        <v>284</v>
      </c>
    </row>
    <row r="281" spans="1:4" x14ac:dyDescent="0.25">
      <c r="A281" t="s">
        <v>285</v>
      </c>
      <c r="B281" t="str">
        <f>A281</f>
        <v>22815BH  EMIL</v>
      </c>
      <c r="C281" t="str">
        <f>A282</f>
        <v>S, M, L, XL</v>
      </c>
      <c r="D281" t="str">
        <f>A283</f>
        <v>Avion Window</v>
      </c>
    </row>
    <row r="282" spans="1:4" x14ac:dyDescent="0.25">
      <c r="A282" t="s">
        <v>1</v>
      </c>
    </row>
    <row r="283" spans="1:4" x14ac:dyDescent="0.25">
      <c r="A283" t="s">
        <v>11</v>
      </c>
    </row>
    <row r="284" spans="1:4" x14ac:dyDescent="0.25">
      <c r="A284" t="s">
        <v>286</v>
      </c>
      <c r="B284" t="str">
        <f>A284</f>
        <v>22816BH  RACER</v>
      </c>
      <c r="C284" t="str">
        <f>A285</f>
        <v>S, M, L, XL</v>
      </c>
      <c r="D284" t="str">
        <f>A286</f>
        <v>Ash                Natural</v>
      </c>
    </row>
    <row r="285" spans="1:4" x14ac:dyDescent="0.25">
      <c r="A285" t="s">
        <v>1</v>
      </c>
    </row>
    <row r="286" spans="1:4" x14ac:dyDescent="0.25">
      <c r="A286" t="s">
        <v>287</v>
      </c>
    </row>
    <row r="287" spans="1:4" x14ac:dyDescent="0.25">
      <c r="A287" t="s">
        <v>288</v>
      </c>
      <c r="B287" t="str">
        <f>A287</f>
        <v>22817BH  CRISPIN</v>
      </c>
      <c r="C287" t="str">
        <f>A288</f>
        <v>S, M, L, XL</v>
      </c>
      <c r="D287" t="str">
        <f>A289</f>
        <v>Avion               Natural</v>
      </c>
    </row>
    <row r="288" spans="1:4" x14ac:dyDescent="0.25">
      <c r="A288" t="s">
        <v>1</v>
      </c>
    </row>
    <row r="289" spans="1:4" x14ac:dyDescent="0.25">
      <c r="A289" t="s">
        <v>289</v>
      </c>
    </row>
    <row r="290" spans="1:4" x14ac:dyDescent="0.25">
      <c r="A290" t="s">
        <v>290</v>
      </c>
      <c r="B290" t="str">
        <f>A290</f>
        <v>22806BH  HINX</v>
      </c>
      <c r="C290" t="str">
        <f>A291</f>
        <v>S, M, L, XL</v>
      </c>
      <c r="D290" t="str">
        <f>A292</f>
        <v>Butter               Cloud                  Ink                   Opal                  Rust</v>
      </c>
    </row>
    <row r="291" spans="1:4" x14ac:dyDescent="0.25">
      <c r="A291" t="s">
        <v>1</v>
      </c>
    </row>
    <row r="292" spans="1:4" x14ac:dyDescent="0.25">
      <c r="A292" t="s">
        <v>291</v>
      </c>
    </row>
    <row r="293" spans="1:4" x14ac:dyDescent="0.25">
      <c r="A293" t="s">
        <v>292</v>
      </c>
      <c r="B293" t="str">
        <f>A293</f>
        <v>22803BH  RASK</v>
      </c>
      <c r="C293" t="str">
        <f>A294</f>
        <v>S, M, L, XL</v>
      </c>
      <c r="D293" t="str">
        <f>A295</f>
        <v>Black               Sunset</v>
      </c>
    </row>
    <row r="294" spans="1:4" x14ac:dyDescent="0.25">
      <c r="A294" t="s">
        <v>1</v>
      </c>
    </row>
    <row r="295" spans="1:4" x14ac:dyDescent="0.25">
      <c r="A295" t="s">
        <v>293</v>
      </c>
    </row>
    <row r="296" spans="1:4" x14ac:dyDescent="0.25">
      <c r="A296" t="s">
        <v>294</v>
      </c>
      <c r="B296" t="str">
        <f>A296</f>
        <v>22804BH  HERNEN</v>
      </c>
      <c r="C296" t="str">
        <f>A297</f>
        <v>S, M, L, XL, XXL</v>
      </c>
      <c r="D296" t="str">
        <f>A298</f>
        <v>Espresso Check</v>
      </c>
    </row>
    <row r="297" spans="1:4" x14ac:dyDescent="0.25">
      <c r="A297" t="s">
        <v>17</v>
      </c>
    </row>
    <row r="298" spans="1:4" x14ac:dyDescent="0.25">
      <c r="A298" t="s">
        <v>20</v>
      </c>
    </row>
    <row r="299" spans="1:4" x14ac:dyDescent="0.25">
      <c r="A299" t="s">
        <v>14</v>
      </c>
      <c r="B299" t="str">
        <f>A299</f>
        <v>22784BH TASMIN</v>
      </c>
      <c r="C299" t="str">
        <f>A300</f>
        <v>S, M, L, XL</v>
      </c>
      <c r="D299" t="str">
        <f>A301</f>
        <v>Natural Multi</v>
      </c>
    </row>
    <row r="300" spans="1:4" x14ac:dyDescent="0.25">
      <c r="A300" t="s">
        <v>1</v>
      </c>
    </row>
    <row r="301" spans="1:4" x14ac:dyDescent="0.25">
      <c r="A301" t="s">
        <v>15</v>
      </c>
    </row>
    <row r="302" spans="1:4" x14ac:dyDescent="0.25">
      <c r="A302" t="s">
        <v>4</v>
      </c>
      <c r="B302" t="str">
        <f>A302</f>
        <v>22810BH ARION</v>
      </c>
      <c r="C302" t="str">
        <f>A303</f>
        <v>S, M, L, XL</v>
      </c>
      <c r="D302" t="str">
        <f>A304</f>
        <v>Natural                Oak                Ash                 Tawny</v>
      </c>
    </row>
    <row r="303" spans="1:4" x14ac:dyDescent="0.25">
      <c r="A303" t="s">
        <v>1</v>
      </c>
    </row>
    <row r="304" spans="1:4" x14ac:dyDescent="0.25">
      <c r="A304" t="s">
        <v>296</v>
      </c>
    </row>
    <row r="305" spans="1:4" x14ac:dyDescent="0.25">
      <c r="A305" t="s">
        <v>128</v>
      </c>
      <c r="B305" t="str">
        <f>A305</f>
        <v>22811BH  HORAN</v>
      </c>
      <c r="C305" t="str">
        <f>A306</f>
        <v>S, M, L, XL</v>
      </c>
      <c r="D305" t="str">
        <f>A307</f>
        <v>Black               Natural</v>
      </c>
    </row>
    <row r="306" spans="1:4" x14ac:dyDescent="0.25">
      <c r="A306" t="s">
        <v>1</v>
      </c>
    </row>
    <row r="307" spans="1:4" x14ac:dyDescent="0.25">
      <c r="A307" t="s">
        <v>129</v>
      </c>
    </row>
    <row r="308" spans="1:4" x14ac:dyDescent="0.25">
      <c r="A308" t="s">
        <v>130</v>
      </c>
      <c r="B308" t="str">
        <f>A308</f>
        <v>22813BH  PHINEAS</v>
      </c>
      <c r="C308" t="str">
        <f>A309</f>
        <v>S, M, L, XL</v>
      </c>
      <c r="D308" t="str">
        <f>A310</f>
        <v>Avion/Natural     Oak/Natural</v>
      </c>
    </row>
    <row r="309" spans="1:4" x14ac:dyDescent="0.25">
      <c r="A309" t="s">
        <v>1</v>
      </c>
    </row>
    <row r="310" spans="1:4" x14ac:dyDescent="0.25">
      <c r="A310" t="s">
        <v>131</v>
      </c>
    </row>
    <row r="311" spans="1:4" x14ac:dyDescent="0.25">
      <c r="A311" t="s">
        <v>126</v>
      </c>
      <c r="B311" t="str">
        <f>A311</f>
        <v>22818BH  GILES</v>
      </c>
      <c r="C311" t="str">
        <f>A312</f>
        <v>S, M, L, XL</v>
      </c>
      <c r="D311" t="str">
        <f>A313</f>
        <v>Avion                 Oak</v>
      </c>
    </row>
    <row r="312" spans="1:4" x14ac:dyDescent="0.25">
      <c r="A312" t="s">
        <v>1</v>
      </c>
    </row>
    <row r="313" spans="1:4" x14ac:dyDescent="0.25">
      <c r="A313" t="s">
        <v>120</v>
      </c>
    </row>
    <row r="314" spans="1:4" x14ac:dyDescent="0.25">
      <c r="A314" t="s">
        <v>127</v>
      </c>
      <c r="B314" t="str">
        <f>A314</f>
        <v>22807BH  BOREAL</v>
      </c>
      <c r="C314" t="str">
        <f>A315</f>
        <v>S, M, L, XL</v>
      </c>
      <c r="D314" t="str">
        <f>A316</f>
        <v>Black/Ash                        Tawny/Natural</v>
      </c>
    </row>
    <row r="315" spans="1:4" x14ac:dyDescent="0.25">
      <c r="A315" t="s">
        <v>1</v>
      </c>
    </row>
    <row r="316" spans="1:4" x14ac:dyDescent="0.25">
      <c r="A316" t="s">
        <v>295</v>
      </c>
    </row>
    <row r="317" spans="1:4" x14ac:dyDescent="0.25">
      <c r="A317" t="s">
        <v>132</v>
      </c>
      <c r="B317" t="str">
        <f>A317</f>
        <v>22808BH  CORAM</v>
      </c>
      <c r="C317" t="str">
        <f>A318</f>
        <v>S, M, L, XL</v>
      </c>
      <c r="D317" t="str">
        <f>A319</f>
        <v>Avion               Natural               Tawny</v>
      </c>
    </row>
    <row r="318" spans="1:4" x14ac:dyDescent="0.25">
      <c r="A318" t="s">
        <v>1</v>
      </c>
    </row>
    <row r="319" spans="1:4" x14ac:dyDescent="0.25">
      <c r="A319" t="s">
        <v>133</v>
      </c>
    </row>
    <row r="320" spans="1:4" x14ac:dyDescent="0.25">
      <c r="A320" t="s">
        <v>134</v>
      </c>
      <c r="B320" t="str">
        <f>A320</f>
        <v>22809BH  HURTLE</v>
      </c>
      <c r="C320" t="str">
        <f>A321</f>
        <v>S, M, L, XL</v>
      </c>
      <c r="D320" t="str">
        <f>A322</f>
        <v>Black                Tawny</v>
      </c>
    </row>
    <row r="321" spans="1:1" x14ac:dyDescent="0.25">
      <c r="A321" t="s">
        <v>1</v>
      </c>
    </row>
    <row r="322" spans="1:1" x14ac:dyDescent="0.25">
      <c r="A322" t="s">
        <v>135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eleteRows">
                <anchor moveWithCells="1" sizeWithCells="1">
                  <from>
                    <xdr:col>4</xdr:col>
                    <xdr:colOff>361950</xdr:colOff>
                    <xdr:row>0</xdr:row>
                    <xdr:rowOff>133350</xdr:rowOff>
                  </from>
                  <to>
                    <xdr:col>4</xdr:col>
                    <xdr:colOff>2114550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87533-F522-4E61-B63B-A07DB9F5C3C0}">
  <sheetPr codeName="Лист5"/>
  <dimension ref="A1:E108"/>
  <sheetViews>
    <sheetView topLeftCell="C26" workbookViewId="0">
      <selection activeCell="D46" sqref="D46"/>
    </sheetView>
  </sheetViews>
  <sheetFormatPr defaultRowHeight="15" x14ac:dyDescent="0.25"/>
  <cols>
    <col min="1" max="1" width="33.140625" bestFit="1" customWidth="1"/>
    <col min="2" max="2" width="40" bestFit="1" customWidth="1"/>
    <col min="3" max="3" width="158.7109375" bestFit="1" customWidth="1"/>
    <col min="4" max="4" width="61.5703125" customWidth="1"/>
    <col min="5" max="5" width="137.42578125" bestFit="1" customWidth="1"/>
  </cols>
  <sheetData>
    <row r="1" spans="1:5" x14ac:dyDescent="0.25">
      <c r="A1" t="s">
        <v>121</v>
      </c>
      <c r="B1" t="s">
        <v>122</v>
      </c>
      <c r="C1" t="s">
        <v>123</v>
      </c>
      <c r="D1" s="3" t="s">
        <v>375</v>
      </c>
    </row>
    <row r="2" spans="1:5" x14ac:dyDescent="0.25">
      <c r="A2" t="s">
        <v>139</v>
      </c>
      <c r="B2" t="s">
        <v>1</v>
      </c>
      <c r="C2" t="s">
        <v>141</v>
      </c>
      <c r="D2" t="str">
        <f>"{style: '"&amp;A2&amp;"', variants: '"&amp;C2&amp;"'},"</f>
        <v>{style: 'BW2205OD  RAINFLY', variants: 'Coffee Gold        Pale Olive'},</v>
      </c>
      <c r="E2" t="s">
        <v>297</v>
      </c>
    </row>
    <row r="3" spans="1:5" x14ac:dyDescent="0.25">
      <c r="A3" t="s">
        <v>142</v>
      </c>
      <c r="B3" t="s">
        <v>1</v>
      </c>
      <c r="C3" t="s">
        <v>144</v>
      </c>
      <c r="D3" t="str">
        <f t="shared" ref="D3:D66" si="0">"{style: '"&amp;A3&amp;"', variants: '"&amp;C3&amp;"'},"</f>
        <v>{style: '13731BH  BOLEY', variants: 'Black            Dark Brown'},</v>
      </c>
      <c r="E3" t="s">
        <v>298</v>
      </c>
    </row>
    <row r="4" spans="1:5" x14ac:dyDescent="0.25">
      <c r="A4" t="s">
        <v>119</v>
      </c>
      <c r="B4" t="s">
        <v>17</v>
      </c>
      <c r="C4" t="s">
        <v>148</v>
      </c>
      <c r="D4" t="str">
        <f t="shared" si="0"/>
        <v>{style: '1369 JACKMAN', variants: 'Black             Burgundy           Charcoal  Dark Brown            Navy            Vanilla Bean'},</v>
      </c>
      <c r="E4" t="s">
        <v>299</v>
      </c>
    </row>
    <row r="5" spans="1:5" x14ac:dyDescent="0.25">
      <c r="A5" t="s">
        <v>140</v>
      </c>
      <c r="B5" t="s">
        <v>1</v>
      </c>
      <c r="C5" t="s">
        <v>115</v>
      </c>
      <c r="D5" t="str">
        <f t="shared" si="0"/>
        <v>{style: 'BF2201OD  BEZEL', variants: 'Cordova'},</v>
      </c>
      <c r="E5" t="s">
        <v>115</v>
      </c>
    </row>
    <row r="6" spans="1:5" x14ac:dyDescent="0.25">
      <c r="A6" t="s">
        <v>143</v>
      </c>
      <c r="B6" t="s">
        <v>1</v>
      </c>
      <c r="C6" t="s">
        <v>145</v>
      </c>
      <c r="D6" t="str">
        <f t="shared" si="0"/>
        <v>{style: 'BW2207OD  MONTANA', variants: 'Nougat              Sudan'},</v>
      </c>
      <c r="E6" t="s">
        <v>300</v>
      </c>
    </row>
    <row r="7" spans="1:5" x14ac:dyDescent="0.25">
      <c r="A7" t="s">
        <v>146</v>
      </c>
      <c r="B7" t="s">
        <v>17</v>
      </c>
      <c r="C7" t="s">
        <v>147</v>
      </c>
      <c r="D7" t="str">
        <f t="shared" si="0"/>
        <v>{style: '1362  DALTON', variants: 'Black                Chino                Navy                  Tan'},</v>
      </c>
      <c r="E7" t="s">
        <v>301</v>
      </c>
    </row>
    <row r="8" spans="1:5" x14ac:dyDescent="0.25">
      <c r="A8" t="s">
        <v>149</v>
      </c>
      <c r="B8" t="s">
        <v>91</v>
      </c>
      <c r="C8" t="s">
        <v>150</v>
      </c>
      <c r="D8" t="str">
        <f t="shared" si="0"/>
        <v>{style: 'BK2205OD  FAILSAFE', variants: 'Black                 Grey             OD Green'},</v>
      </c>
      <c r="E8" t="s">
        <v>302</v>
      </c>
    </row>
    <row r="9" spans="1:5" x14ac:dyDescent="0.25">
      <c r="A9" t="s">
        <v>151</v>
      </c>
      <c r="B9" t="s">
        <v>91</v>
      </c>
      <c r="C9" t="s">
        <v>152</v>
      </c>
      <c r="D9" t="str">
        <f t="shared" si="0"/>
        <v>{style: 'BK2206OD  ZERO HORIZON', variants: 'Black           Blaze Orange       OD Green'},</v>
      </c>
      <c r="E9" t="s">
        <v>303</v>
      </c>
    </row>
    <row r="10" spans="1:5" x14ac:dyDescent="0.25">
      <c r="A10" t="s">
        <v>153</v>
      </c>
      <c r="B10" t="s">
        <v>91</v>
      </c>
      <c r="C10" t="s">
        <v>154</v>
      </c>
      <c r="D10" t="str">
        <f t="shared" si="0"/>
        <v>{style: 'BK2207OD  GLISSADE', variants: 'Black           Blaze Orange           Grey             OD Green'},</v>
      </c>
      <c r="E10" t="s">
        <v>304</v>
      </c>
    </row>
    <row r="11" spans="1:5" x14ac:dyDescent="0.25">
      <c r="A11" t="s">
        <v>155</v>
      </c>
      <c r="B11" t="s">
        <v>91</v>
      </c>
      <c r="C11" t="s">
        <v>154</v>
      </c>
      <c r="D11" t="str">
        <f t="shared" si="0"/>
        <v>{style: 'BK2208OD  CAIRN', variants: 'Black           Blaze Orange           Grey             OD Green'},</v>
      </c>
      <c r="E11" t="s">
        <v>304</v>
      </c>
    </row>
    <row r="12" spans="1:5" x14ac:dyDescent="0.25">
      <c r="A12" t="s">
        <v>156</v>
      </c>
      <c r="B12" t="s">
        <v>17</v>
      </c>
      <c r="C12" t="s">
        <v>162</v>
      </c>
      <c r="D12" t="str">
        <f t="shared" si="0"/>
        <v>{style: 'BW2201OD  OPSEC', variants: 'Deepwoods Camo  Safety First Camo'},</v>
      </c>
      <c r="E12" t="s">
        <v>305</v>
      </c>
    </row>
    <row r="13" spans="1:5" x14ac:dyDescent="0.25">
      <c r="A13" t="s">
        <v>157</v>
      </c>
      <c r="B13" t="s">
        <v>17</v>
      </c>
      <c r="C13" t="s">
        <v>158</v>
      </c>
      <c r="D13" t="str">
        <f t="shared" si="0"/>
        <v>{style: 'BW2202OD  REDLINE', variants: 'Black                Camel'},</v>
      </c>
      <c r="E13" t="s">
        <v>306</v>
      </c>
    </row>
    <row r="14" spans="1:5" x14ac:dyDescent="0.25">
      <c r="A14" t="s">
        <v>106</v>
      </c>
      <c r="B14" t="s">
        <v>1</v>
      </c>
      <c r="C14" t="s">
        <v>159</v>
      </c>
      <c r="D14" t="str">
        <f t="shared" si="0"/>
        <v>{style: 'BW2203OD THREE', variants: 'Black                 Mole'},</v>
      </c>
      <c r="E14" t="s">
        <v>307</v>
      </c>
    </row>
    <row r="15" spans="1:5" x14ac:dyDescent="0.25">
      <c r="A15" t="s">
        <v>160</v>
      </c>
      <c r="B15" t="s">
        <v>1</v>
      </c>
      <c r="C15" t="s">
        <v>161</v>
      </c>
      <c r="D15" t="str">
        <f t="shared" si="0"/>
        <v>{style: 'BW2208OD  EDC (EVERY DAY CARRY)', variants: 'Beaver         Penns Woods'},</v>
      </c>
      <c r="E15" t="s">
        <v>308</v>
      </c>
    </row>
    <row r="16" spans="1:5" x14ac:dyDescent="0.25">
      <c r="A16" t="s">
        <v>163</v>
      </c>
      <c r="B16" t="s">
        <v>91</v>
      </c>
      <c r="C16" t="s">
        <v>164</v>
      </c>
      <c r="D16" t="str">
        <f t="shared" si="0"/>
        <v>{style: 'BK2204OD  ICEFALL', variants: 'Black           Blaze Orange           Grey              OD Green'},</v>
      </c>
      <c r="E16" t="s">
        <v>304</v>
      </c>
    </row>
    <row r="17" spans="1:5" x14ac:dyDescent="0.25">
      <c r="A17" t="s">
        <v>165</v>
      </c>
      <c r="B17" t="s">
        <v>91</v>
      </c>
      <c r="C17" t="s">
        <v>152</v>
      </c>
      <c r="D17" t="str">
        <f t="shared" si="0"/>
        <v>{style: 'BK2201OD  NOBO', variants: 'Black           Blaze Orange       OD Green'},</v>
      </c>
      <c r="E17" t="s">
        <v>303</v>
      </c>
    </row>
    <row r="18" spans="1:5" x14ac:dyDescent="0.25">
      <c r="A18" t="s">
        <v>166</v>
      </c>
      <c r="B18" t="s">
        <v>1</v>
      </c>
      <c r="C18" t="s">
        <v>167</v>
      </c>
      <c r="D18" t="str">
        <f t="shared" si="0"/>
        <v>{style: 'BK2202OD  NOSEEUM', variants: 'Black           Warm Taupe'},</v>
      </c>
      <c r="E18" t="s">
        <v>309</v>
      </c>
    </row>
    <row r="19" spans="1:5" x14ac:dyDescent="0.25">
      <c r="A19" t="s">
        <v>97</v>
      </c>
      <c r="B19" t="s">
        <v>1</v>
      </c>
      <c r="C19" t="s">
        <v>168</v>
      </c>
      <c r="D19" t="str">
        <f t="shared" si="0"/>
        <v>{style: 'WR21A ORE', variants: 'Army Green           Stone'},</v>
      </c>
      <c r="E19" t="s">
        <v>310</v>
      </c>
    </row>
    <row r="20" spans="1:5" x14ac:dyDescent="0.25">
      <c r="A20" t="s">
        <v>169</v>
      </c>
      <c r="B20" t="s">
        <v>1</v>
      </c>
      <c r="C20" t="s">
        <v>22</v>
      </c>
      <c r="D20" t="str">
        <f t="shared" si="0"/>
        <v>{style: 'S17WR1  OSWEGO', variants: 'Natural'},</v>
      </c>
      <c r="E20" t="s">
        <v>22</v>
      </c>
    </row>
    <row r="21" spans="1:5" x14ac:dyDescent="0.25">
      <c r="A21" t="s">
        <v>170</v>
      </c>
      <c r="B21" t="s">
        <v>1</v>
      </c>
      <c r="C21" t="s">
        <v>171</v>
      </c>
      <c r="D21" t="str">
        <f t="shared" si="0"/>
        <v>{style: 'S22WRB  DAYTON', variants: 'Dk Natural             Ivory                 Navy'},</v>
      </c>
      <c r="E21" t="s">
        <v>311</v>
      </c>
    </row>
    <row r="22" spans="1:5" x14ac:dyDescent="0.25">
      <c r="A22" t="s">
        <v>172</v>
      </c>
      <c r="B22" t="s">
        <v>1</v>
      </c>
      <c r="C22" t="s">
        <v>99</v>
      </c>
      <c r="D22" t="str">
        <f t="shared" si="0"/>
        <v>{style: 'S17WR2  KILGOR', variants: 'Oxford Tan'},</v>
      </c>
      <c r="E22" t="s">
        <v>99</v>
      </c>
    </row>
    <row r="23" spans="1:5" x14ac:dyDescent="0.25">
      <c r="A23" t="s">
        <v>173</v>
      </c>
      <c r="B23" t="s">
        <v>1</v>
      </c>
      <c r="C23" t="s">
        <v>174</v>
      </c>
      <c r="D23" t="str">
        <f t="shared" si="0"/>
        <v>{style: 'BC2204OD  LNT (LEAVE NO TRACE)', variants: 'Black             OD Green         Tree Camo'},</v>
      </c>
      <c r="E23" t="s">
        <v>312</v>
      </c>
    </row>
    <row r="24" spans="1:5" x14ac:dyDescent="0.25">
      <c r="A24" t="s">
        <v>175</v>
      </c>
      <c r="B24" t="s">
        <v>1</v>
      </c>
      <c r="C24" t="s">
        <v>176</v>
      </c>
      <c r="D24" t="str">
        <f t="shared" si="0"/>
        <v>{style: 'BC2206OD  SOBO', variants: 'Black             OD Green'},</v>
      </c>
      <c r="E24" t="s">
        <v>313</v>
      </c>
    </row>
    <row r="25" spans="1:5" x14ac:dyDescent="0.25">
      <c r="A25" t="s">
        <v>177</v>
      </c>
      <c r="B25" t="s">
        <v>1</v>
      </c>
      <c r="C25" t="s">
        <v>178</v>
      </c>
      <c r="D25" t="str">
        <f t="shared" si="0"/>
        <v>{style: 'BC2205OD  DUODESS', variants: 'Black              OD Green'},</v>
      </c>
      <c r="E25" t="s">
        <v>313</v>
      </c>
    </row>
    <row r="26" spans="1:5" x14ac:dyDescent="0.25">
      <c r="A26" t="s">
        <v>179</v>
      </c>
      <c r="B26" t="s">
        <v>91</v>
      </c>
      <c r="C26" t="s">
        <v>138</v>
      </c>
      <c r="D26" t="str">
        <f t="shared" si="0"/>
        <v>{style: 'BC2202OD  FEN', variants: 'Charcoal          OD Green'},</v>
      </c>
      <c r="E26" t="s">
        <v>314</v>
      </c>
    </row>
    <row r="27" spans="1:5" x14ac:dyDescent="0.25">
      <c r="A27" t="s">
        <v>180</v>
      </c>
      <c r="B27" t="s">
        <v>91</v>
      </c>
      <c r="C27" t="s">
        <v>176</v>
      </c>
      <c r="D27" t="str">
        <f t="shared" si="0"/>
        <v>{style: 'BC2203OD  CONIFER', variants: 'Black             OD Green'},</v>
      </c>
      <c r="E27" t="s">
        <v>313</v>
      </c>
    </row>
    <row r="28" spans="1:5" x14ac:dyDescent="0.25">
      <c r="A28" t="s">
        <v>181</v>
      </c>
      <c r="B28" t="s">
        <v>91</v>
      </c>
      <c r="C28" t="s">
        <v>176</v>
      </c>
      <c r="D28" t="str">
        <f t="shared" si="0"/>
        <v>{style: 'BC2201OD  CACHE', variants: 'Black             OD Green'},</v>
      </c>
      <c r="E28" t="s">
        <v>313</v>
      </c>
    </row>
    <row r="29" spans="1:5" x14ac:dyDescent="0.25">
      <c r="A29" t="s">
        <v>182</v>
      </c>
      <c r="B29" t="s">
        <v>1</v>
      </c>
      <c r="C29" t="s">
        <v>137</v>
      </c>
      <c r="D29" t="str">
        <f t="shared" si="0"/>
        <v>{style: '90171BH  HELIOS', variants: 'Sage                Tawny'},</v>
      </c>
      <c r="E29" t="s">
        <v>315</v>
      </c>
    </row>
    <row r="30" spans="1:5" x14ac:dyDescent="0.25">
      <c r="A30" t="s">
        <v>183</v>
      </c>
      <c r="B30" t="s">
        <v>1</v>
      </c>
      <c r="C30" t="s">
        <v>184</v>
      </c>
      <c r="D30" t="str">
        <f t="shared" si="0"/>
        <v>{style: '90172BH  CONALL', variants: 'Avion                Black                White'},</v>
      </c>
      <c r="E30" t="s">
        <v>316</v>
      </c>
    </row>
    <row r="31" spans="1:5" x14ac:dyDescent="0.25">
      <c r="A31" t="s">
        <v>185</v>
      </c>
      <c r="B31" t="s">
        <v>17</v>
      </c>
      <c r="C31" t="s">
        <v>186</v>
      </c>
      <c r="D31" t="str">
        <f t="shared" si="0"/>
        <v>{style: '90058  SLATER', variants: 'Avion            Basalt Grey         Burgundy           Graphite              Taupe'},</v>
      </c>
      <c r="E31" t="s">
        <v>317</v>
      </c>
    </row>
    <row r="32" spans="1:5" x14ac:dyDescent="0.25">
      <c r="A32" t="s">
        <v>187</v>
      </c>
      <c r="B32" t="s">
        <v>17</v>
      </c>
      <c r="C32" t="s">
        <v>147</v>
      </c>
      <c r="D32" t="str">
        <f t="shared" si="0"/>
        <v>{style: '1365  GRAHAM', variants: 'Black                Chino                Navy                  Tan'},</v>
      </c>
      <c r="E32" t="s">
        <v>301</v>
      </c>
    </row>
    <row r="33" spans="1:5" x14ac:dyDescent="0.25">
      <c r="A33" t="s">
        <v>188</v>
      </c>
      <c r="B33" t="s">
        <v>17</v>
      </c>
      <c r="C33" t="s">
        <v>189</v>
      </c>
      <c r="D33" t="str">
        <f t="shared" si="0"/>
        <v>{style: '90163BH  LEIF', variants: 'Avion Stripe       Beige Stripe      Cream Stripe'},</v>
      </c>
      <c r="E33" t="s">
        <v>318</v>
      </c>
    </row>
    <row r="34" spans="1:5" x14ac:dyDescent="0.25">
      <c r="A34" t="s">
        <v>85</v>
      </c>
      <c r="B34" t="s">
        <v>1</v>
      </c>
      <c r="C34" t="s">
        <v>193</v>
      </c>
      <c r="D34" t="str">
        <f t="shared" si="0"/>
        <v>{style: '90164BH ANSEL', variants: 'Ash Stripe    Bloodstone Stripe  Mahogany Stripe'},</v>
      </c>
      <c r="E34" t="s">
        <v>319</v>
      </c>
    </row>
    <row r="35" spans="1:5" x14ac:dyDescent="0.25">
      <c r="A35" t="s">
        <v>84</v>
      </c>
      <c r="B35" t="s">
        <v>1</v>
      </c>
      <c r="C35" t="s">
        <v>190</v>
      </c>
      <c r="D35" t="str">
        <f t="shared" si="0"/>
        <v>{style: '90165BH VANDER', variants: 'Bloodstone            Navy'},</v>
      </c>
      <c r="E35" t="s">
        <v>320</v>
      </c>
    </row>
    <row r="36" spans="1:5" x14ac:dyDescent="0.25">
      <c r="A36" t="s">
        <v>191</v>
      </c>
      <c r="B36" t="s">
        <v>1</v>
      </c>
      <c r="C36" t="s">
        <v>192</v>
      </c>
      <c r="D36" t="str">
        <f t="shared" si="0"/>
        <v>{style: '90166BH  DUNSTAN', variants: 'Bloodstone Plaid  Charcoal Plaid  Mahogany Plaid'},</v>
      </c>
      <c r="E36" t="s">
        <v>321</v>
      </c>
    </row>
    <row r="37" spans="1:5" x14ac:dyDescent="0.25">
      <c r="A37" t="s">
        <v>194</v>
      </c>
      <c r="B37" t="s">
        <v>1</v>
      </c>
      <c r="C37" t="s">
        <v>22</v>
      </c>
      <c r="D37" t="str">
        <f t="shared" si="0"/>
        <v>{style: '81652  ELLIOTT', variants: 'Natural'},</v>
      </c>
      <c r="E37" t="s">
        <v>22</v>
      </c>
    </row>
    <row r="38" spans="1:5" x14ac:dyDescent="0.25">
      <c r="A38" t="s">
        <v>195</v>
      </c>
      <c r="B38" t="s">
        <v>1</v>
      </c>
      <c r="C38" t="s">
        <v>136</v>
      </c>
      <c r="D38" t="str">
        <f t="shared" si="0"/>
        <v>{style: '81703BH  FOLEY', variants: 'Natural                Teak'},</v>
      </c>
      <c r="E38" t="s">
        <v>322</v>
      </c>
    </row>
    <row r="39" spans="1:5" x14ac:dyDescent="0.25">
      <c r="A39" t="s">
        <v>196</v>
      </c>
      <c r="B39" t="s">
        <v>1</v>
      </c>
      <c r="C39" t="s">
        <v>197</v>
      </c>
      <c r="D39" t="str">
        <f t="shared" si="0"/>
        <v>{style: '81710BH  HOOPER', variants: 'Charcoal              Earth               Natural'},</v>
      </c>
      <c r="E39" t="s">
        <v>323</v>
      </c>
    </row>
    <row r="40" spans="1:5" x14ac:dyDescent="0.25">
      <c r="A40" t="s">
        <v>198</v>
      </c>
      <c r="B40" t="s">
        <v>1</v>
      </c>
      <c r="C40" t="s">
        <v>199</v>
      </c>
      <c r="D40" t="str">
        <f t="shared" si="0"/>
        <v>{style: '81720BH  MULLAN', variants: 'Black               Copper               Sand'},</v>
      </c>
      <c r="E40" t="s">
        <v>324</v>
      </c>
    </row>
    <row r="41" spans="1:5" x14ac:dyDescent="0.25">
      <c r="A41" t="s">
        <v>200</v>
      </c>
      <c r="B41" t="s">
        <v>1</v>
      </c>
      <c r="C41" t="s">
        <v>201</v>
      </c>
      <c r="D41" t="str">
        <f t="shared" si="0"/>
        <v>{style: '81727BH  DENNEY', variants: 'Black                 Latte'},</v>
      </c>
      <c r="E41" t="s">
        <v>325</v>
      </c>
    </row>
    <row r="42" spans="1:5" x14ac:dyDescent="0.25">
      <c r="A42" t="s">
        <v>202</v>
      </c>
      <c r="B42" t="s">
        <v>17</v>
      </c>
      <c r="C42" t="s">
        <v>205</v>
      </c>
      <c r="D42" t="str">
        <f t="shared" si="0"/>
        <v>{style: '81690  MANNES', variants: 'Avion  Black Multi  Bloodstone  Brown Multi      Cement Multi    Charcoal Multi  Light Grey Multi     Navy Multi  Oak               Overcast            Skydiver              Tawny          Woods Multi'},</v>
      </c>
      <c r="E42" t="s">
        <v>326</v>
      </c>
    </row>
    <row r="43" spans="1:5" x14ac:dyDescent="0.25">
      <c r="A43" t="s">
        <v>203</v>
      </c>
      <c r="B43" t="s">
        <v>17</v>
      </c>
      <c r="C43" t="s">
        <v>206</v>
      </c>
      <c r="D43" t="str">
        <f t="shared" si="0"/>
        <v>{style: '81695  MANNESROE', variants: 'Black/Charcoal Multi     Ivory/Adobe Multi     Overcast'},</v>
      </c>
      <c r="E43" t="s">
        <v>327</v>
      </c>
    </row>
    <row r="44" spans="1:5" x14ac:dyDescent="0.25">
      <c r="A44" t="s">
        <v>204</v>
      </c>
      <c r="B44" t="s">
        <v>1</v>
      </c>
      <c r="C44" t="s">
        <v>207</v>
      </c>
      <c r="D44" t="str">
        <f t="shared" si="0"/>
        <v>{style: '81726BH  HESTER', variants: 'Avion               Copper               Grey                 Opal                 Sand                Tawny'},</v>
      </c>
      <c r="E44" t="s">
        <v>328</v>
      </c>
    </row>
    <row r="45" spans="1:5" x14ac:dyDescent="0.25">
      <c r="A45" t="s">
        <v>74</v>
      </c>
      <c r="B45" t="s">
        <v>1</v>
      </c>
      <c r="C45" t="s">
        <v>208</v>
      </c>
      <c r="D45" t="str">
        <f t="shared" si="0"/>
        <v>{style: '81711BH TATE', variants: 'Black                 Latte             Light Grey             Navy              Off White'},</v>
      </c>
      <c r="E45" t="s">
        <v>329</v>
      </c>
    </row>
    <row r="46" spans="1:5" x14ac:dyDescent="0.25">
      <c r="A46" t="s">
        <v>209</v>
      </c>
      <c r="B46" t="s">
        <v>17</v>
      </c>
      <c r="C46" t="s">
        <v>211</v>
      </c>
      <c r="D46" t="str">
        <f t="shared" si="0"/>
        <v>{style: '81650  SALEM', variants: 'Ash                  Black             Driftwood             Green              Natural              Navy                  Oak                  Rust                 Static                White'},</v>
      </c>
      <c r="E46" t="s">
        <v>330</v>
      </c>
    </row>
    <row r="47" spans="1:5" x14ac:dyDescent="0.25">
      <c r="A47" t="s">
        <v>210</v>
      </c>
      <c r="B47" t="s">
        <v>17</v>
      </c>
      <c r="C47" t="s">
        <v>212</v>
      </c>
      <c r="D47" t="str">
        <f t="shared" si="0"/>
        <v>{style: '81670  BILLY', variants: 'Ash                  Black                  Black Heather      Bloodstone    Dk Blue Heather      Espresso             Gravel                Latte                 Navy                  Tan                 Tawny                White'},</v>
      </c>
      <c r="E47" t="s">
        <v>331</v>
      </c>
    </row>
    <row r="48" spans="1:5" x14ac:dyDescent="0.25">
      <c r="A48" t="s">
        <v>213</v>
      </c>
      <c r="B48" t="s">
        <v>1</v>
      </c>
      <c r="C48" t="s">
        <v>22</v>
      </c>
      <c r="D48" t="str">
        <f t="shared" si="0"/>
        <v>{style: '81747BH  DARIO', variants: 'Natural'},</v>
      </c>
      <c r="E48" t="s">
        <v>22</v>
      </c>
    </row>
    <row r="49" spans="1:5" x14ac:dyDescent="0.25">
      <c r="A49" t="s">
        <v>214</v>
      </c>
      <c r="B49" t="s">
        <v>1</v>
      </c>
      <c r="C49" t="s">
        <v>215</v>
      </c>
      <c r="D49" t="str">
        <f t="shared" si="0"/>
        <v>{style: '81702BH  BERLE', variants: 'Kapok Green     Navy Heather         Natural              Vanilla'},</v>
      </c>
      <c r="E49" t="s">
        <v>332</v>
      </c>
    </row>
    <row r="50" spans="1:5" x14ac:dyDescent="0.25">
      <c r="A50" t="s">
        <v>66</v>
      </c>
      <c r="B50" t="s">
        <v>1</v>
      </c>
      <c r="C50" t="s">
        <v>216</v>
      </c>
      <c r="D50" t="str">
        <f t="shared" si="0"/>
        <v>{style: '81741BH WESTFIELD', variants: 'Camo               Natural'},</v>
      </c>
      <c r="E50" t="s">
        <v>333</v>
      </c>
    </row>
    <row r="51" spans="1:5" x14ac:dyDescent="0.25">
      <c r="A51" t="s">
        <v>217</v>
      </c>
      <c r="B51" t="s">
        <v>1</v>
      </c>
      <c r="C51" t="s">
        <v>218</v>
      </c>
      <c r="D51" t="str">
        <f t="shared" si="0"/>
        <v>{style: '81739BH  CARVER', variants: 'Grey               Natural               Navy                Taupe'},</v>
      </c>
      <c r="E51" t="s">
        <v>334</v>
      </c>
    </row>
    <row r="52" spans="1:5" x14ac:dyDescent="0.25">
      <c r="A52" t="s">
        <v>219</v>
      </c>
      <c r="B52" t="s">
        <v>1</v>
      </c>
      <c r="C52" t="s">
        <v>220</v>
      </c>
      <c r="D52" t="str">
        <f t="shared" si="0"/>
        <v>{style: '81722BH  ROKIT', variants: 'Light Grey/Black  Natural/Storm'},</v>
      </c>
      <c r="E52" t="s">
        <v>335</v>
      </c>
    </row>
    <row r="53" spans="1:5" x14ac:dyDescent="0.25">
      <c r="A53" t="s">
        <v>221</v>
      </c>
      <c r="B53" t="s">
        <v>1</v>
      </c>
      <c r="C53" t="s">
        <v>222</v>
      </c>
      <c r="D53" t="str">
        <f t="shared" si="0"/>
        <v>{style: '81732BH  RONIT', variants: 'Burgundy            Natural'},</v>
      </c>
      <c r="E53" t="s">
        <v>336</v>
      </c>
    </row>
    <row r="54" spans="1:5" x14ac:dyDescent="0.25">
      <c r="A54" t="s">
        <v>223</v>
      </c>
      <c r="B54" t="s">
        <v>1</v>
      </c>
      <c r="C54" t="s">
        <v>224</v>
      </c>
      <c r="D54" t="str">
        <f t="shared" si="0"/>
        <v>{style: '81717BH  CRAIG', variants: 'Black                 Grey               Natural               Sky Blue                Tan                 Tawny               White'},</v>
      </c>
      <c r="E54" t="s">
        <v>337</v>
      </c>
    </row>
    <row r="55" spans="1:5" x14ac:dyDescent="0.25">
      <c r="A55" t="s">
        <v>225</v>
      </c>
      <c r="B55" t="s">
        <v>1</v>
      </c>
      <c r="C55" t="s">
        <v>226</v>
      </c>
      <c r="D55" t="str">
        <f t="shared" si="0"/>
        <v>{style: '81750BH  OTIS', variants: 'Avion                Black                 Oak'},</v>
      </c>
      <c r="E55" t="s">
        <v>338</v>
      </c>
    </row>
    <row r="56" spans="1:5" x14ac:dyDescent="0.25">
      <c r="A56" t="s">
        <v>227</v>
      </c>
      <c r="B56" t="s">
        <v>1</v>
      </c>
      <c r="C56" t="s">
        <v>228</v>
      </c>
      <c r="D56" t="str">
        <f t="shared" si="0"/>
        <v>{style: '81751BH  KAI', variants: 'Grey               Natural'},</v>
      </c>
      <c r="E56" t="s">
        <v>339</v>
      </c>
    </row>
    <row r="57" spans="1:5" x14ac:dyDescent="0.25">
      <c r="A57" t="s">
        <v>229</v>
      </c>
      <c r="B57" t="s">
        <v>1</v>
      </c>
      <c r="C57" t="s">
        <v>230</v>
      </c>
      <c r="D57" t="str">
        <f t="shared" si="0"/>
        <v>{style: '81738BH  BALANS ROLL UP', variants: 'Avion            Mushroom             Slate                Taupe'},</v>
      </c>
      <c r="E57" t="s">
        <v>340</v>
      </c>
    </row>
    <row r="58" spans="1:5" x14ac:dyDescent="0.25">
      <c r="A58" t="s">
        <v>231</v>
      </c>
      <c r="B58" t="s">
        <v>1</v>
      </c>
      <c r="C58" t="s">
        <v>232</v>
      </c>
      <c r="D58" t="str">
        <f t="shared" si="0"/>
        <v>{style: '81744BH  ELI', variants: 'Avion                Black            Bloodstone             Grey                Tawny'},</v>
      </c>
      <c r="E58" t="s">
        <v>341</v>
      </c>
    </row>
    <row r="59" spans="1:5" x14ac:dyDescent="0.25">
      <c r="A59" t="s">
        <v>56</v>
      </c>
      <c r="B59" t="s">
        <v>17</v>
      </c>
      <c r="C59" t="s">
        <v>238</v>
      </c>
      <c r="D59" t="str">
        <f t="shared" si="0"/>
        <v>{style: '81810 WAITS', variants: 'Black                 Blue                Copper              Green             Midnight Brown         Sand                Smoke               Tawny           Unbleached'},</v>
      </c>
      <c r="E59" t="s">
        <v>342</v>
      </c>
    </row>
    <row r="60" spans="1:5" x14ac:dyDescent="0.25">
      <c r="A60" t="s">
        <v>233</v>
      </c>
      <c r="B60" t="s">
        <v>1</v>
      </c>
      <c r="C60" t="s">
        <v>234</v>
      </c>
      <c r="D60" t="str">
        <f t="shared" si="0"/>
        <v>{style: '81745BH  SCORSBY', variants: 'Black                 Grey                Natural'},</v>
      </c>
      <c r="E60" t="s">
        <v>343</v>
      </c>
    </row>
    <row r="61" spans="1:5" x14ac:dyDescent="0.25">
      <c r="A61" t="s">
        <v>235</v>
      </c>
      <c r="B61" t="s">
        <v>1</v>
      </c>
      <c r="C61" t="s">
        <v>236</v>
      </c>
      <c r="D61" t="str">
        <f t="shared" si="0"/>
        <v>{style: '81749BH  MAX', variants: 'Black                 Ivory                White'},</v>
      </c>
      <c r="E61" t="s">
        <v>344</v>
      </c>
    </row>
    <row r="62" spans="1:5" x14ac:dyDescent="0.25">
      <c r="A62" t="s">
        <v>237</v>
      </c>
      <c r="B62" t="s">
        <v>1</v>
      </c>
      <c r="C62" t="s">
        <v>129</v>
      </c>
      <c r="D62" t="str">
        <f t="shared" si="0"/>
        <v>{style: '81746BH  LOREK', variants: 'Black               Natural'},</v>
      </c>
      <c r="E62" t="s">
        <v>345</v>
      </c>
    </row>
    <row r="63" spans="1:5" x14ac:dyDescent="0.25">
      <c r="A63" t="s">
        <v>239</v>
      </c>
      <c r="B63" t="s">
        <v>1</v>
      </c>
      <c r="C63" t="s">
        <v>240</v>
      </c>
      <c r="D63" t="str">
        <f t="shared" si="0"/>
        <v>{style: '5008BH  ORSUN', variants: 'Kapok Green          Natural                Tan'},</v>
      </c>
      <c r="E63" t="s">
        <v>346</v>
      </c>
    </row>
    <row r="64" spans="1:5" x14ac:dyDescent="0.25">
      <c r="A64" t="s">
        <v>241</v>
      </c>
      <c r="B64" t="s">
        <v>1</v>
      </c>
      <c r="C64" t="s">
        <v>242</v>
      </c>
      <c r="D64" t="str">
        <f t="shared" si="0"/>
        <v>{style: '5006BH  ROTHNEY', variants: 'Ivory           Kapok Green'},</v>
      </c>
      <c r="E64" t="s">
        <v>347</v>
      </c>
    </row>
    <row r="65" spans="1:5" x14ac:dyDescent="0.25">
      <c r="A65" t="s">
        <v>243</v>
      </c>
      <c r="B65" t="s">
        <v>1</v>
      </c>
      <c r="C65" t="s">
        <v>53</v>
      </c>
      <c r="D65" t="str">
        <f t="shared" si="0"/>
        <v>{style: '5001BH  DERIAN', variants: 'Burlap'},</v>
      </c>
      <c r="E65" t="s">
        <v>53</v>
      </c>
    </row>
    <row r="66" spans="1:5" x14ac:dyDescent="0.25">
      <c r="A66" t="s">
        <v>244</v>
      </c>
      <c r="B66" t="s">
        <v>1</v>
      </c>
      <c r="C66" t="s">
        <v>51</v>
      </c>
      <c r="D66" t="str">
        <f t="shared" si="0"/>
        <v>{style: '5000BH  ROCKETT', variants: 'Tan'},</v>
      </c>
      <c r="E66" t="s">
        <v>51</v>
      </c>
    </row>
    <row r="67" spans="1:5" x14ac:dyDescent="0.25">
      <c r="A67" t="s">
        <v>47</v>
      </c>
      <c r="B67" t="s">
        <v>1</v>
      </c>
      <c r="C67" t="s">
        <v>245</v>
      </c>
      <c r="D67" t="str">
        <f t="shared" ref="D67:D108" si="1">"{style: '"&amp;A67&amp;"', variants: '"&amp;C67&amp;"'},"</f>
        <v>{style: '5009BH ADLAY', variants: 'Dark Natural            Navy'},</v>
      </c>
      <c r="E67" t="s">
        <v>348</v>
      </c>
    </row>
    <row r="68" spans="1:5" x14ac:dyDescent="0.25">
      <c r="A68" t="s">
        <v>54</v>
      </c>
      <c r="B68" t="s">
        <v>1</v>
      </c>
      <c r="C68" t="s">
        <v>246</v>
      </c>
      <c r="D68" t="str">
        <f t="shared" si="1"/>
        <v>{style: '5010BH WINSTONE', variants: 'Black             Limestone           Natural'},</v>
      </c>
      <c r="E68" t="s">
        <v>349</v>
      </c>
    </row>
    <row r="69" spans="1:5" x14ac:dyDescent="0.25">
      <c r="A69" t="s">
        <v>48</v>
      </c>
      <c r="B69" t="s">
        <v>1</v>
      </c>
      <c r="C69" t="s">
        <v>228</v>
      </c>
      <c r="D69" t="str">
        <f t="shared" si="1"/>
        <v>{style: '5011BH ANKER', variants: 'Grey               Natural'},</v>
      </c>
      <c r="E69" t="s">
        <v>339</v>
      </c>
    </row>
    <row r="70" spans="1:5" x14ac:dyDescent="0.25">
      <c r="A70" t="s">
        <v>247</v>
      </c>
      <c r="B70" t="s">
        <v>1</v>
      </c>
      <c r="C70" t="s">
        <v>248</v>
      </c>
      <c r="D70" t="str">
        <f t="shared" si="1"/>
        <v>{style: '63294BH  MAGNESS', variants: 'Natural/Black           Sand                 Silver'},</v>
      </c>
      <c r="E70" t="s">
        <v>350</v>
      </c>
    </row>
    <row r="71" spans="1:5" x14ac:dyDescent="0.25">
      <c r="A71" t="s">
        <v>249</v>
      </c>
      <c r="B71" t="s">
        <v>1</v>
      </c>
      <c r="C71" t="s">
        <v>22</v>
      </c>
      <c r="D71" t="str">
        <f t="shared" si="1"/>
        <v>{style: '60003BH  MELTON', variants: 'Natural'},</v>
      </c>
      <c r="E71" t="s">
        <v>22</v>
      </c>
    </row>
    <row r="72" spans="1:5" x14ac:dyDescent="0.25">
      <c r="A72" t="s">
        <v>250</v>
      </c>
      <c r="B72" t="s">
        <v>1</v>
      </c>
      <c r="C72" t="s">
        <v>129</v>
      </c>
      <c r="D72" t="str">
        <f t="shared" si="1"/>
        <v>{style: '63302BH  QUIL', variants: 'Black               Natural'},</v>
      </c>
      <c r="E72" t="s">
        <v>345</v>
      </c>
    </row>
    <row r="73" spans="1:5" x14ac:dyDescent="0.25">
      <c r="A73" t="s">
        <v>251</v>
      </c>
      <c r="B73" t="s">
        <v>1</v>
      </c>
      <c r="C73" t="s">
        <v>129</v>
      </c>
      <c r="D73" t="str">
        <f t="shared" si="1"/>
        <v>{style: '63297BH  BRAYLON', variants: 'Black               Natural'},</v>
      </c>
      <c r="E73" t="s">
        <v>345</v>
      </c>
    </row>
    <row r="74" spans="1:5" x14ac:dyDescent="0.25">
      <c r="A74" t="s">
        <v>252</v>
      </c>
      <c r="B74" t="s">
        <v>1</v>
      </c>
      <c r="C74" t="s">
        <v>253</v>
      </c>
      <c r="D74" t="str">
        <f t="shared" si="1"/>
        <v>{style: '63112  HANSON', variants: 'Natural/Black Natural/Blue Print  Natural/Rust'},</v>
      </c>
      <c r="E74" t="s">
        <v>351</v>
      </c>
    </row>
    <row r="75" spans="1:5" x14ac:dyDescent="0.25">
      <c r="A75" t="s">
        <v>254</v>
      </c>
      <c r="B75" t="s">
        <v>17</v>
      </c>
      <c r="C75" t="s">
        <v>255</v>
      </c>
      <c r="D75" t="str">
        <f t="shared" si="1"/>
        <v>{style: '63114  GUTHRIE', variants: 'Natural/Black  Natural/Blue Print  Natural/Rust'},</v>
      </c>
      <c r="E75" t="s">
        <v>352</v>
      </c>
    </row>
    <row r="76" spans="1:5" x14ac:dyDescent="0.25">
      <c r="A76" t="s">
        <v>256</v>
      </c>
      <c r="B76" t="s">
        <v>1</v>
      </c>
      <c r="C76" t="s">
        <v>22</v>
      </c>
      <c r="D76" t="str">
        <f t="shared" si="1"/>
        <v>{style: '63125  KONRATH', variants: 'Natural'},</v>
      </c>
      <c r="E76" t="s">
        <v>22</v>
      </c>
    </row>
    <row r="77" spans="1:5" x14ac:dyDescent="0.25">
      <c r="A77" t="s">
        <v>257</v>
      </c>
      <c r="B77" t="s">
        <v>17</v>
      </c>
      <c r="C77" t="s">
        <v>258</v>
      </c>
      <c r="D77" t="str">
        <f t="shared" si="1"/>
        <v>{style: '63200  SPENCER', variants: 'Ash                Natural                Tan          Weathered Oak'},</v>
      </c>
      <c r="E77" t="s">
        <v>353</v>
      </c>
    </row>
    <row r="78" spans="1:5" x14ac:dyDescent="0.25">
      <c r="A78" t="s">
        <v>259</v>
      </c>
      <c r="B78" t="s">
        <v>1</v>
      </c>
      <c r="C78" t="s">
        <v>260</v>
      </c>
      <c r="D78" t="str">
        <f t="shared" si="1"/>
        <v>{style: '63283BH  RELIK', variants: 'Natural         Natural/Taupe'},</v>
      </c>
      <c r="E78" t="s">
        <v>354</v>
      </c>
    </row>
    <row r="79" spans="1:5" x14ac:dyDescent="0.25">
      <c r="A79" t="s">
        <v>261</v>
      </c>
      <c r="B79" t="s">
        <v>1</v>
      </c>
      <c r="C79" t="s">
        <v>262</v>
      </c>
      <c r="D79" t="str">
        <f t="shared" si="1"/>
        <v>{style: '63117  BLACKBURN', variants: 'Caramel             Natural               Opal'},</v>
      </c>
      <c r="E79" t="s">
        <v>355</v>
      </c>
    </row>
    <row r="80" spans="1:5" x14ac:dyDescent="0.25">
      <c r="A80" t="s">
        <v>263</v>
      </c>
      <c r="B80" t="s">
        <v>1</v>
      </c>
      <c r="C80" t="s">
        <v>129</v>
      </c>
      <c r="D80" t="str">
        <f t="shared" si="1"/>
        <v>{style: '63298BH  GLASER', variants: 'Black               Natural'},</v>
      </c>
      <c r="E80" t="s">
        <v>345</v>
      </c>
    </row>
    <row r="81" spans="1:5" x14ac:dyDescent="0.25">
      <c r="A81" t="s">
        <v>264</v>
      </c>
      <c r="B81" t="s">
        <v>1</v>
      </c>
      <c r="C81" t="s">
        <v>265</v>
      </c>
      <c r="D81" t="str">
        <f t="shared" si="1"/>
        <v>{style: '22705  CHAPLIN', variants: 'Black           Media Bleach'},</v>
      </c>
      <c r="E81" t="s">
        <v>356</v>
      </c>
    </row>
    <row r="82" spans="1:5" x14ac:dyDescent="0.25">
      <c r="A82" t="s">
        <v>31</v>
      </c>
      <c r="B82" t="s">
        <v>1</v>
      </c>
      <c r="C82" t="s">
        <v>266</v>
      </c>
      <c r="D82" t="str">
        <f t="shared" si="1"/>
        <v>{style: '22786BH TESSIER', variants: 'Antiqued Natural  Antiqued Sienna'},</v>
      </c>
      <c r="E82" t="s">
        <v>357</v>
      </c>
    </row>
    <row r="83" spans="1:5" x14ac:dyDescent="0.25">
      <c r="A83" t="s">
        <v>267</v>
      </c>
      <c r="B83" t="s">
        <v>17</v>
      </c>
      <c r="C83" t="s">
        <v>271</v>
      </c>
      <c r="D83" t="str">
        <f t="shared" si="1"/>
        <v>{style: '22721  BROOKS', variants: 'Avion              Ash Grey        Media Bleach        Mushroom           Natural               Tawny'},</v>
      </c>
      <c r="E83" t="s">
        <v>358</v>
      </c>
    </row>
    <row r="84" spans="1:5" x14ac:dyDescent="0.25">
      <c r="A84" t="s">
        <v>268</v>
      </c>
      <c r="B84" t="s">
        <v>1</v>
      </c>
      <c r="C84" t="s">
        <v>22</v>
      </c>
      <c r="D84" t="str">
        <f t="shared" si="1"/>
        <v>{style: '22719  CUTLER', variants: 'Natural'},</v>
      </c>
      <c r="E84" t="s">
        <v>22</v>
      </c>
    </row>
    <row r="85" spans="1:5" x14ac:dyDescent="0.25">
      <c r="A85" t="s">
        <v>269</v>
      </c>
      <c r="B85" t="s">
        <v>1</v>
      </c>
      <c r="C85" t="s">
        <v>272</v>
      </c>
      <c r="D85" t="str">
        <f t="shared" si="1"/>
        <v>{style: '22776BH  CUBAN', variants: 'Amber        Nat/Vintage Blue        Natural         Natural/Earth   Natural/Sunrise'},</v>
      </c>
      <c r="E85" t="s">
        <v>359</v>
      </c>
    </row>
    <row r="86" spans="1:5" x14ac:dyDescent="0.25">
      <c r="A86" t="s">
        <v>34</v>
      </c>
      <c r="B86" t="s">
        <v>1</v>
      </c>
      <c r="C86" t="s">
        <v>270</v>
      </c>
      <c r="D86" t="str">
        <f t="shared" si="1"/>
        <v>{style: '22791BH STANSFIELD', variants: 'Dark Slate            Natural                Oak                 Taupe'},</v>
      </c>
      <c r="E86" t="s">
        <v>360</v>
      </c>
    </row>
    <row r="87" spans="1:5" x14ac:dyDescent="0.25">
      <c r="A87" t="s">
        <v>273</v>
      </c>
      <c r="B87" t="s">
        <v>25</v>
      </c>
      <c r="C87" t="s">
        <v>22</v>
      </c>
      <c r="D87" t="str">
        <f t="shared" si="1"/>
        <v>{style: '22757BH  SALTER', variants: 'Natural'},</v>
      </c>
      <c r="E87" t="s">
        <v>22</v>
      </c>
    </row>
    <row r="88" spans="1:5" x14ac:dyDescent="0.25">
      <c r="A88" t="s">
        <v>282</v>
      </c>
      <c r="B88" t="s">
        <v>1</v>
      </c>
      <c r="C88" t="s">
        <v>22</v>
      </c>
      <c r="D88" t="str">
        <f t="shared" si="1"/>
        <v>{style: '22760BH   LORING', variants: 'Natural'},</v>
      </c>
      <c r="E88" t="s">
        <v>22</v>
      </c>
    </row>
    <row r="89" spans="1:5" x14ac:dyDescent="0.25">
      <c r="A89" t="s">
        <v>274</v>
      </c>
      <c r="B89" t="s">
        <v>1</v>
      </c>
      <c r="C89" t="s">
        <v>22</v>
      </c>
      <c r="D89" t="str">
        <f t="shared" si="1"/>
        <v>{style: '22750  ROLL UP II', variants: 'Natural'},</v>
      </c>
      <c r="E89" t="s">
        <v>22</v>
      </c>
    </row>
    <row r="90" spans="1:5" x14ac:dyDescent="0.25">
      <c r="A90" t="s">
        <v>275</v>
      </c>
      <c r="B90" t="s">
        <v>1</v>
      </c>
      <c r="C90" t="s">
        <v>276</v>
      </c>
      <c r="D90" t="str">
        <f t="shared" si="1"/>
        <v>{style: '22790BH  PARSON', variants: 'Ink Stain         Natural/Navy        Tea Stain'},</v>
      </c>
      <c r="E90" t="s">
        <v>361</v>
      </c>
    </row>
    <row r="91" spans="1:5" x14ac:dyDescent="0.25">
      <c r="A91" t="s">
        <v>277</v>
      </c>
      <c r="B91" t="s">
        <v>1</v>
      </c>
      <c r="C91" t="s">
        <v>278</v>
      </c>
      <c r="D91" t="str">
        <f t="shared" si="1"/>
        <v>{style: '22798BH    WARLICK', variants: 'Black/Natural    Charcoal/Rust'},</v>
      </c>
      <c r="E91" t="s">
        <v>362</v>
      </c>
    </row>
    <row r="92" spans="1:5" x14ac:dyDescent="0.25">
      <c r="A92" t="s">
        <v>279</v>
      </c>
      <c r="B92" t="s">
        <v>1</v>
      </c>
      <c r="C92" t="s">
        <v>22</v>
      </c>
      <c r="D92" t="str">
        <f t="shared" si="1"/>
        <v>{style: '22805BH  EZRA', variants: 'Natural'},</v>
      </c>
      <c r="E92" t="s">
        <v>22</v>
      </c>
    </row>
    <row r="93" spans="1:5" x14ac:dyDescent="0.25">
      <c r="A93" t="s">
        <v>280</v>
      </c>
      <c r="B93" t="s">
        <v>1</v>
      </c>
      <c r="C93" t="s">
        <v>281</v>
      </c>
      <c r="D93" t="str">
        <f t="shared" si="1"/>
        <v>{style: '22787BH  GIGER', variants: 'Breezy Plaid       Brown Plaid     Blue Surf Plaid       Tan Plaid'},</v>
      </c>
      <c r="E93" t="s">
        <v>363</v>
      </c>
    </row>
    <row r="94" spans="1:5" x14ac:dyDescent="0.25">
      <c r="A94" t="s">
        <v>283</v>
      </c>
      <c r="B94" t="s">
        <v>1</v>
      </c>
      <c r="C94" t="s">
        <v>284</v>
      </c>
      <c r="D94" t="str">
        <f t="shared" si="1"/>
        <v>{style: '22814BH  BYSTROM', variants: 'Natural               Tawny'},</v>
      </c>
      <c r="E94" t="s">
        <v>364</v>
      </c>
    </row>
    <row r="95" spans="1:5" x14ac:dyDescent="0.25">
      <c r="A95" t="s">
        <v>285</v>
      </c>
      <c r="B95" t="s">
        <v>1</v>
      </c>
      <c r="C95" t="s">
        <v>11</v>
      </c>
      <c r="D95" t="str">
        <f t="shared" si="1"/>
        <v>{style: '22815BH  EMIL', variants: 'Avion Window'},</v>
      </c>
      <c r="E95" t="s">
        <v>11</v>
      </c>
    </row>
    <row r="96" spans="1:5" x14ac:dyDescent="0.25">
      <c r="A96" t="s">
        <v>286</v>
      </c>
      <c r="B96" t="s">
        <v>1</v>
      </c>
      <c r="C96" t="s">
        <v>287</v>
      </c>
      <c r="D96" t="str">
        <f t="shared" si="1"/>
        <v>{style: '22816BH  RACER', variants: 'Ash                Natural'},</v>
      </c>
      <c r="E96" t="s">
        <v>365</v>
      </c>
    </row>
    <row r="97" spans="1:5" x14ac:dyDescent="0.25">
      <c r="A97" t="s">
        <v>288</v>
      </c>
      <c r="B97" t="s">
        <v>1</v>
      </c>
      <c r="C97" t="s">
        <v>289</v>
      </c>
      <c r="D97" t="str">
        <f t="shared" si="1"/>
        <v>{style: '22817BH  CRISPIN', variants: 'Avion               Natural'},</v>
      </c>
      <c r="E97" t="s">
        <v>366</v>
      </c>
    </row>
    <row r="98" spans="1:5" x14ac:dyDescent="0.25">
      <c r="A98" t="s">
        <v>290</v>
      </c>
      <c r="B98" t="s">
        <v>1</v>
      </c>
      <c r="C98" t="s">
        <v>291</v>
      </c>
      <c r="D98" t="str">
        <f t="shared" si="1"/>
        <v>{style: '22806BH  HINX', variants: 'Butter               Cloud                  Ink                   Opal                  Rust'},</v>
      </c>
      <c r="E98" t="s">
        <v>367</v>
      </c>
    </row>
    <row r="99" spans="1:5" x14ac:dyDescent="0.25">
      <c r="A99" t="s">
        <v>292</v>
      </c>
      <c r="B99" t="s">
        <v>1</v>
      </c>
      <c r="C99" t="s">
        <v>293</v>
      </c>
      <c r="D99" t="str">
        <f t="shared" si="1"/>
        <v>{style: '22803BH  RASK', variants: 'Black               Sunset'},</v>
      </c>
      <c r="E99" t="s">
        <v>368</v>
      </c>
    </row>
    <row r="100" spans="1:5" x14ac:dyDescent="0.25">
      <c r="A100" t="s">
        <v>294</v>
      </c>
      <c r="B100" t="s">
        <v>17</v>
      </c>
      <c r="C100" t="s">
        <v>20</v>
      </c>
      <c r="D100" t="str">
        <f t="shared" si="1"/>
        <v>{style: '22804BH  HERNEN', variants: 'Espresso Check'},</v>
      </c>
      <c r="E100" t="s">
        <v>20</v>
      </c>
    </row>
    <row r="101" spans="1:5" x14ac:dyDescent="0.25">
      <c r="A101" t="s">
        <v>14</v>
      </c>
      <c r="B101" t="s">
        <v>1</v>
      </c>
      <c r="C101" t="s">
        <v>15</v>
      </c>
      <c r="D101" t="str">
        <f t="shared" si="1"/>
        <v>{style: '22784BH TASMIN', variants: 'Natural Multi'},</v>
      </c>
      <c r="E101" t="s">
        <v>15</v>
      </c>
    </row>
    <row r="102" spans="1:5" x14ac:dyDescent="0.25">
      <c r="A102" t="s">
        <v>4</v>
      </c>
      <c r="B102" t="s">
        <v>1</v>
      </c>
      <c r="C102" t="s">
        <v>296</v>
      </c>
      <c r="D102" t="str">
        <f t="shared" si="1"/>
        <v>{style: '22810BH ARION', variants: 'Natural                Oak                Ash                 Tawny'},</v>
      </c>
      <c r="E102" t="s">
        <v>369</v>
      </c>
    </row>
    <row r="103" spans="1:5" x14ac:dyDescent="0.25">
      <c r="A103" t="s">
        <v>128</v>
      </c>
      <c r="B103" t="s">
        <v>1</v>
      </c>
      <c r="C103" t="s">
        <v>129</v>
      </c>
      <c r="D103" t="str">
        <f t="shared" si="1"/>
        <v>{style: '22811BH  HORAN', variants: 'Black               Natural'},</v>
      </c>
      <c r="E103" t="s">
        <v>345</v>
      </c>
    </row>
    <row r="104" spans="1:5" x14ac:dyDescent="0.25">
      <c r="A104" t="s">
        <v>130</v>
      </c>
      <c r="B104" t="s">
        <v>1</v>
      </c>
      <c r="C104" t="s">
        <v>131</v>
      </c>
      <c r="D104" t="str">
        <f t="shared" si="1"/>
        <v>{style: '22813BH  PHINEAS', variants: 'Avion/Natural     Oak/Natural'},</v>
      </c>
      <c r="E104" t="s">
        <v>370</v>
      </c>
    </row>
    <row r="105" spans="1:5" x14ac:dyDescent="0.25">
      <c r="A105" t="s">
        <v>126</v>
      </c>
      <c r="B105" t="s">
        <v>1</v>
      </c>
      <c r="C105" t="s">
        <v>120</v>
      </c>
      <c r="D105" t="str">
        <f t="shared" si="1"/>
        <v>{style: '22818BH  GILES', variants: 'Avion                 Oak'},</v>
      </c>
      <c r="E105" t="s">
        <v>371</v>
      </c>
    </row>
    <row r="106" spans="1:5" x14ac:dyDescent="0.25">
      <c r="A106" t="s">
        <v>127</v>
      </c>
      <c r="B106" t="s">
        <v>1</v>
      </c>
      <c r="C106" t="s">
        <v>295</v>
      </c>
      <c r="D106" t="str">
        <f t="shared" si="1"/>
        <v>{style: '22807BH  BOREAL', variants: 'Black/Ash                        Tawny/Natural'},</v>
      </c>
      <c r="E106" t="s">
        <v>372</v>
      </c>
    </row>
    <row r="107" spans="1:5" x14ac:dyDescent="0.25">
      <c r="A107" t="s">
        <v>132</v>
      </c>
      <c r="B107" t="s">
        <v>1</v>
      </c>
      <c r="C107" t="s">
        <v>133</v>
      </c>
      <c r="D107" t="str">
        <f t="shared" si="1"/>
        <v>{style: '22808BH  CORAM', variants: 'Avion               Natural               Tawny'},</v>
      </c>
      <c r="E107" t="s">
        <v>373</v>
      </c>
    </row>
    <row r="108" spans="1:5" x14ac:dyDescent="0.25">
      <c r="A108" t="s">
        <v>134</v>
      </c>
      <c r="B108" t="s">
        <v>1</v>
      </c>
      <c r="C108" t="s">
        <v>135</v>
      </c>
      <c r="D108" t="str">
        <f t="shared" si="1"/>
        <v>{style: '22809BH  HURTLE', variants: 'Black                Tawny'},</v>
      </c>
      <c r="E108" t="s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638F7-5233-4D95-9F17-FD5F1E97047B}">
  <sheetPr codeName="Лист6"/>
  <dimension ref="A1:D108"/>
  <sheetViews>
    <sheetView topLeftCell="D11" workbookViewId="0">
      <selection activeCell="D2" sqref="D2:D108"/>
    </sheetView>
  </sheetViews>
  <sheetFormatPr defaultRowHeight="15" x14ac:dyDescent="0.25"/>
  <cols>
    <col min="1" max="1" width="33.140625" bestFit="1" customWidth="1"/>
    <col min="2" max="2" width="40" bestFit="1" customWidth="1"/>
    <col min="3" max="3" width="137.42578125" bestFit="1" customWidth="1"/>
    <col min="4" max="4" width="170.140625" bestFit="1" customWidth="1"/>
  </cols>
  <sheetData>
    <row r="1" spans="1:4" x14ac:dyDescent="0.25">
      <c r="A1" t="s">
        <v>121</v>
      </c>
      <c r="B1" t="s">
        <v>124</v>
      </c>
      <c r="C1" t="s">
        <v>376</v>
      </c>
    </row>
    <row r="2" spans="1:4" x14ac:dyDescent="0.25">
      <c r="A2" t="s">
        <v>139</v>
      </c>
      <c r="B2" t="s">
        <v>1</v>
      </c>
      <c r="C2" t="s">
        <v>297</v>
      </c>
      <c r="D2" t="str">
        <f>"{style: '"&amp;A2&amp;"', variants: '"&amp;C2&amp;"', sizes: '"&amp;B2&amp;"'},"</f>
        <v>{style: 'BW2205OD  RAINFLY', variants: 'Coffee Gold, Pale Olive', sizes: 'S, M, L, XL'},</v>
      </c>
    </row>
    <row r="3" spans="1:4" x14ac:dyDescent="0.25">
      <c r="A3" t="s">
        <v>142</v>
      </c>
      <c r="B3" t="s">
        <v>1</v>
      </c>
      <c r="C3" t="s">
        <v>298</v>
      </c>
      <c r="D3" t="str">
        <f t="shared" ref="D3:D66" si="0">"{style: '"&amp;A3&amp;"', variants: '"&amp;C3&amp;"', sizes: '"&amp;B3&amp;"'},"</f>
        <v>{style: '13731BH  BOLEY', variants: 'Black, Dark Brown', sizes: 'S, M, L, XL'},</v>
      </c>
    </row>
    <row r="4" spans="1:4" x14ac:dyDescent="0.25">
      <c r="A4" t="s">
        <v>119</v>
      </c>
      <c r="B4" t="s">
        <v>17</v>
      </c>
      <c r="C4" t="s">
        <v>299</v>
      </c>
      <c r="D4" t="str">
        <f t="shared" si="0"/>
        <v>{style: '1369 JACKMAN', variants: 'Black, Burgundy, Charcoal, Dark Brown, Navy, Vanilla Bean', sizes: 'S, M, L, XL, XXL'},</v>
      </c>
    </row>
    <row r="5" spans="1:4" x14ac:dyDescent="0.25">
      <c r="A5" t="s">
        <v>140</v>
      </c>
      <c r="B5" t="s">
        <v>1</v>
      </c>
      <c r="C5" t="s">
        <v>115</v>
      </c>
      <c r="D5" t="str">
        <f t="shared" si="0"/>
        <v>{style: 'BF2201OD  BEZEL', variants: 'Cordova', sizes: 'S, M, L, XL'},</v>
      </c>
    </row>
    <row r="6" spans="1:4" x14ac:dyDescent="0.25">
      <c r="A6" t="s">
        <v>143</v>
      </c>
      <c r="B6" t="s">
        <v>1</v>
      </c>
      <c r="C6" t="s">
        <v>300</v>
      </c>
      <c r="D6" t="str">
        <f t="shared" si="0"/>
        <v>{style: 'BW2207OD  MONTANA', variants: 'Nougat, Sudan', sizes: 'S, M, L, XL'},</v>
      </c>
    </row>
    <row r="7" spans="1:4" x14ac:dyDescent="0.25">
      <c r="A7" t="s">
        <v>146</v>
      </c>
      <c r="B7" t="s">
        <v>17</v>
      </c>
      <c r="C7" t="s">
        <v>301</v>
      </c>
      <c r="D7" t="str">
        <f t="shared" si="0"/>
        <v>{style: '1362  DALTON', variants: 'Black, Chino, Navy, Tan', sizes: 'S, M, L, XL, XXL'},</v>
      </c>
    </row>
    <row r="8" spans="1:4" x14ac:dyDescent="0.25">
      <c r="A8" t="s">
        <v>149</v>
      </c>
      <c r="B8" t="s">
        <v>91</v>
      </c>
      <c r="C8" t="s">
        <v>302</v>
      </c>
      <c r="D8" t="str">
        <f t="shared" si="0"/>
        <v>{style: 'BK2205OD  FAILSAFE', variants: 'Black, Grey, OD Green', sizes: 'One Size'},</v>
      </c>
    </row>
    <row r="9" spans="1:4" x14ac:dyDescent="0.25">
      <c r="A9" t="s">
        <v>151</v>
      </c>
      <c r="B9" t="s">
        <v>91</v>
      </c>
      <c r="C9" t="s">
        <v>303</v>
      </c>
      <c r="D9" t="str">
        <f t="shared" si="0"/>
        <v>{style: 'BK2206OD  ZERO HORIZON', variants: 'Black, Blaze Orange, OD Green', sizes: 'One Size'},</v>
      </c>
    </row>
    <row r="10" spans="1:4" x14ac:dyDescent="0.25">
      <c r="A10" t="s">
        <v>153</v>
      </c>
      <c r="B10" t="s">
        <v>91</v>
      </c>
      <c r="C10" t="s">
        <v>304</v>
      </c>
      <c r="D10" t="str">
        <f t="shared" si="0"/>
        <v>{style: 'BK2207OD  GLISSADE', variants: 'Black, Blaze Orange, Grey, OD Green', sizes: 'One Size'},</v>
      </c>
    </row>
    <row r="11" spans="1:4" x14ac:dyDescent="0.25">
      <c r="A11" t="s">
        <v>155</v>
      </c>
      <c r="B11" t="s">
        <v>91</v>
      </c>
      <c r="C11" t="s">
        <v>304</v>
      </c>
      <c r="D11" t="str">
        <f t="shared" si="0"/>
        <v>{style: 'BK2208OD  CAIRN', variants: 'Black, Blaze Orange, Grey, OD Green', sizes: 'One Size'},</v>
      </c>
    </row>
    <row r="12" spans="1:4" x14ac:dyDescent="0.25">
      <c r="A12" t="s">
        <v>156</v>
      </c>
      <c r="B12" t="s">
        <v>17</v>
      </c>
      <c r="C12" t="s">
        <v>305</v>
      </c>
      <c r="D12" t="str">
        <f t="shared" si="0"/>
        <v>{style: 'BW2201OD  OPSEC', variants: 'Deepwoods Camo, Safety First Camo', sizes: 'S, M, L, XL, XXL'},</v>
      </c>
    </row>
    <row r="13" spans="1:4" x14ac:dyDescent="0.25">
      <c r="A13" t="s">
        <v>157</v>
      </c>
      <c r="B13" t="s">
        <v>17</v>
      </c>
      <c r="C13" t="s">
        <v>306</v>
      </c>
      <c r="D13" t="str">
        <f t="shared" si="0"/>
        <v>{style: 'BW2202OD  REDLINE', variants: 'Black, Camel', sizes: 'S, M, L, XL, XXL'},</v>
      </c>
    </row>
    <row r="14" spans="1:4" x14ac:dyDescent="0.25">
      <c r="A14" t="s">
        <v>106</v>
      </c>
      <c r="B14" t="s">
        <v>1</v>
      </c>
      <c r="C14" t="s">
        <v>307</v>
      </c>
      <c r="D14" t="str">
        <f t="shared" si="0"/>
        <v>{style: 'BW2203OD THREE', variants: 'Black, Mole', sizes: 'S, M, L, XL'},</v>
      </c>
    </row>
    <row r="15" spans="1:4" x14ac:dyDescent="0.25">
      <c r="A15" t="s">
        <v>160</v>
      </c>
      <c r="B15" t="s">
        <v>1</v>
      </c>
      <c r="C15" t="s">
        <v>308</v>
      </c>
      <c r="D15" t="str">
        <f t="shared" si="0"/>
        <v>{style: 'BW2208OD  EDC (EVERY DAY CARRY)', variants: 'Beaver, Penns Woods', sizes: 'S, M, L, XL'},</v>
      </c>
    </row>
    <row r="16" spans="1:4" x14ac:dyDescent="0.25">
      <c r="A16" t="s">
        <v>163</v>
      </c>
      <c r="B16" t="s">
        <v>91</v>
      </c>
      <c r="C16" t="s">
        <v>304</v>
      </c>
      <c r="D16" t="str">
        <f t="shared" si="0"/>
        <v>{style: 'BK2204OD  ICEFALL', variants: 'Black, Blaze Orange, Grey, OD Green', sizes: 'One Size'},</v>
      </c>
    </row>
    <row r="17" spans="1:4" x14ac:dyDescent="0.25">
      <c r="A17" t="s">
        <v>165</v>
      </c>
      <c r="B17" t="s">
        <v>91</v>
      </c>
      <c r="C17" t="s">
        <v>303</v>
      </c>
      <c r="D17" t="str">
        <f t="shared" si="0"/>
        <v>{style: 'BK2201OD  NOBO', variants: 'Black, Blaze Orange, OD Green', sizes: 'One Size'},</v>
      </c>
    </row>
    <row r="18" spans="1:4" x14ac:dyDescent="0.25">
      <c r="A18" t="s">
        <v>166</v>
      </c>
      <c r="B18" t="s">
        <v>1</v>
      </c>
      <c r="C18" t="s">
        <v>309</v>
      </c>
      <c r="D18" t="str">
        <f t="shared" si="0"/>
        <v>{style: 'BK2202OD  NOSEEUM', variants: 'Black, Warm Taupe', sizes: 'S, M, L, XL'},</v>
      </c>
    </row>
    <row r="19" spans="1:4" x14ac:dyDescent="0.25">
      <c r="A19" t="s">
        <v>97</v>
      </c>
      <c r="B19" t="s">
        <v>1</v>
      </c>
      <c r="C19" t="s">
        <v>310</v>
      </c>
      <c r="D19" t="str">
        <f t="shared" si="0"/>
        <v>{style: 'WR21A ORE', variants: 'Army Green, Stone', sizes: 'S, M, L, XL'},</v>
      </c>
    </row>
    <row r="20" spans="1:4" x14ac:dyDescent="0.25">
      <c r="A20" t="s">
        <v>169</v>
      </c>
      <c r="B20" t="s">
        <v>1</v>
      </c>
      <c r="C20" t="s">
        <v>22</v>
      </c>
      <c r="D20" t="str">
        <f t="shared" si="0"/>
        <v>{style: 'S17WR1  OSWEGO', variants: 'Natural', sizes: 'S, M, L, XL'},</v>
      </c>
    </row>
    <row r="21" spans="1:4" x14ac:dyDescent="0.25">
      <c r="A21" t="s">
        <v>170</v>
      </c>
      <c r="B21" t="s">
        <v>1</v>
      </c>
      <c r="C21" t="s">
        <v>311</v>
      </c>
      <c r="D21" t="str">
        <f t="shared" si="0"/>
        <v>{style: 'S22WRB  DAYTON', variants: 'Dk Natural, Ivory, Navy', sizes: 'S, M, L, XL'},</v>
      </c>
    </row>
    <row r="22" spans="1:4" x14ac:dyDescent="0.25">
      <c r="A22" t="s">
        <v>172</v>
      </c>
      <c r="B22" t="s">
        <v>1</v>
      </c>
      <c r="C22" t="s">
        <v>99</v>
      </c>
      <c r="D22" t="str">
        <f t="shared" si="0"/>
        <v>{style: 'S17WR2  KILGOR', variants: 'Oxford Tan', sizes: 'S, M, L, XL'},</v>
      </c>
    </row>
    <row r="23" spans="1:4" x14ac:dyDescent="0.25">
      <c r="A23" t="s">
        <v>173</v>
      </c>
      <c r="B23" t="s">
        <v>1</v>
      </c>
      <c r="C23" t="s">
        <v>312</v>
      </c>
      <c r="D23" t="str">
        <f t="shared" si="0"/>
        <v>{style: 'BC2204OD  LNT (LEAVE NO TRACE)', variants: 'Black, OD Green, Tree Camo', sizes: 'S, M, L, XL'},</v>
      </c>
    </row>
    <row r="24" spans="1:4" x14ac:dyDescent="0.25">
      <c r="A24" t="s">
        <v>175</v>
      </c>
      <c r="B24" t="s">
        <v>1</v>
      </c>
      <c r="C24" t="s">
        <v>313</v>
      </c>
      <c r="D24" t="str">
        <f t="shared" si="0"/>
        <v>{style: 'BC2206OD  SOBO', variants: 'Black, OD Green', sizes: 'S, M, L, XL'},</v>
      </c>
    </row>
    <row r="25" spans="1:4" x14ac:dyDescent="0.25">
      <c r="A25" t="s">
        <v>177</v>
      </c>
      <c r="B25" t="s">
        <v>1</v>
      </c>
      <c r="C25" t="s">
        <v>313</v>
      </c>
      <c r="D25" t="str">
        <f t="shared" si="0"/>
        <v>{style: 'BC2205OD  DUODESS', variants: 'Black, OD Green', sizes: 'S, M, L, XL'},</v>
      </c>
    </row>
    <row r="26" spans="1:4" x14ac:dyDescent="0.25">
      <c r="A26" t="s">
        <v>179</v>
      </c>
      <c r="B26" t="s">
        <v>91</v>
      </c>
      <c r="C26" t="s">
        <v>314</v>
      </c>
      <c r="D26" t="str">
        <f t="shared" si="0"/>
        <v>{style: 'BC2202OD  FEN', variants: 'Charcoal, OD Green', sizes: 'One Size'},</v>
      </c>
    </row>
    <row r="27" spans="1:4" x14ac:dyDescent="0.25">
      <c r="A27" t="s">
        <v>180</v>
      </c>
      <c r="B27" t="s">
        <v>91</v>
      </c>
      <c r="C27" t="s">
        <v>313</v>
      </c>
      <c r="D27" t="str">
        <f t="shared" si="0"/>
        <v>{style: 'BC2203OD  CONIFER', variants: 'Black, OD Green', sizes: 'One Size'},</v>
      </c>
    </row>
    <row r="28" spans="1:4" x14ac:dyDescent="0.25">
      <c r="A28" t="s">
        <v>181</v>
      </c>
      <c r="B28" t="s">
        <v>91</v>
      </c>
      <c r="C28" t="s">
        <v>313</v>
      </c>
      <c r="D28" t="str">
        <f t="shared" si="0"/>
        <v>{style: 'BC2201OD  CACHE', variants: 'Black, OD Green', sizes: 'One Size'},</v>
      </c>
    </row>
    <row r="29" spans="1:4" x14ac:dyDescent="0.25">
      <c r="A29" t="s">
        <v>182</v>
      </c>
      <c r="B29" t="s">
        <v>1</v>
      </c>
      <c r="C29" t="s">
        <v>315</v>
      </c>
      <c r="D29" t="str">
        <f t="shared" si="0"/>
        <v>{style: '90171BH  HELIOS', variants: 'Sage, Tawny', sizes: 'S, M, L, XL'},</v>
      </c>
    </row>
    <row r="30" spans="1:4" x14ac:dyDescent="0.25">
      <c r="A30" t="s">
        <v>183</v>
      </c>
      <c r="B30" t="s">
        <v>1</v>
      </c>
      <c r="C30" t="s">
        <v>316</v>
      </c>
      <c r="D30" t="str">
        <f t="shared" si="0"/>
        <v>{style: '90172BH  CONALL', variants: 'Avion, Black, White', sizes: 'S, M, L, XL'},</v>
      </c>
    </row>
    <row r="31" spans="1:4" x14ac:dyDescent="0.25">
      <c r="A31" t="s">
        <v>185</v>
      </c>
      <c r="B31" t="s">
        <v>17</v>
      </c>
      <c r="C31" t="s">
        <v>317</v>
      </c>
      <c r="D31" t="str">
        <f t="shared" si="0"/>
        <v>{style: '90058  SLATER', variants: 'Avion, Basalt Grey, Burgundy, Graphite, Taupe', sizes: 'S, M, L, XL, XXL'},</v>
      </c>
    </row>
    <row r="32" spans="1:4" x14ac:dyDescent="0.25">
      <c r="A32" t="s">
        <v>187</v>
      </c>
      <c r="B32" t="s">
        <v>17</v>
      </c>
      <c r="C32" t="s">
        <v>301</v>
      </c>
      <c r="D32" t="str">
        <f t="shared" si="0"/>
        <v>{style: '1365  GRAHAM', variants: 'Black, Chino, Navy, Tan', sizes: 'S, M, L, XL, XXL'},</v>
      </c>
    </row>
    <row r="33" spans="1:4" x14ac:dyDescent="0.25">
      <c r="A33" t="s">
        <v>188</v>
      </c>
      <c r="B33" t="s">
        <v>17</v>
      </c>
      <c r="C33" t="s">
        <v>318</v>
      </c>
      <c r="D33" t="str">
        <f t="shared" si="0"/>
        <v>{style: '90163BH  LEIF', variants: 'Avion Stripe, Beige Stripe, Cream Stripe', sizes: 'S, M, L, XL, XXL'},</v>
      </c>
    </row>
    <row r="34" spans="1:4" x14ac:dyDescent="0.25">
      <c r="A34" t="s">
        <v>85</v>
      </c>
      <c r="B34" t="s">
        <v>1</v>
      </c>
      <c r="C34" t="s">
        <v>319</v>
      </c>
      <c r="D34" t="str">
        <f t="shared" si="0"/>
        <v>{style: '90164BH ANSEL', variants: 'Ash Stripe, Bloodstone Stripe, Mahogany Stripe', sizes: 'S, M, L, XL'},</v>
      </c>
    </row>
    <row r="35" spans="1:4" x14ac:dyDescent="0.25">
      <c r="A35" t="s">
        <v>84</v>
      </c>
      <c r="B35" t="s">
        <v>1</v>
      </c>
      <c r="C35" t="s">
        <v>320</v>
      </c>
      <c r="D35" t="str">
        <f t="shared" si="0"/>
        <v>{style: '90165BH VANDER', variants: 'Bloodstone, Navy', sizes: 'S, M, L, XL'},</v>
      </c>
    </row>
    <row r="36" spans="1:4" x14ac:dyDescent="0.25">
      <c r="A36" t="s">
        <v>191</v>
      </c>
      <c r="B36" t="s">
        <v>1</v>
      </c>
      <c r="C36" t="s">
        <v>321</v>
      </c>
      <c r="D36" t="str">
        <f t="shared" si="0"/>
        <v>{style: '90166BH  DUNSTAN', variants: 'Bloodstone Plaid, Charcoal Plaid, Mahogany Plaid', sizes: 'S, M, L, XL'},</v>
      </c>
    </row>
    <row r="37" spans="1:4" x14ac:dyDescent="0.25">
      <c r="A37" t="s">
        <v>194</v>
      </c>
      <c r="B37" t="s">
        <v>1</v>
      </c>
      <c r="C37" t="s">
        <v>22</v>
      </c>
      <c r="D37" t="str">
        <f t="shared" si="0"/>
        <v>{style: '81652  ELLIOTT', variants: 'Natural', sizes: 'S, M, L, XL'},</v>
      </c>
    </row>
    <row r="38" spans="1:4" x14ac:dyDescent="0.25">
      <c r="A38" t="s">
        <v>195</v>
      </c>
      <c r="B38" t="s">
        <v>1</v>
      </c>
      <c r="C38" t="s">
        <v>322</v>
      </c>
      <c r="D38" t="str">
        <f t="shared" si="0"/>
        <v>{style: '81703BH  FOLEY', variants: 'Natural, Teak', sizes: 'S, M, L, XL'},</v>
      </c>
    </row>
    <row r="39" spans="1:4" x14ac:dyDescent="0.25">
      <c r="A39" t="s">
        <v>196</v>
      </c>
      <c r="B39" t="s">
        <v>1</v>
      </c>
      <c r="C39" t="s">
        <v>323</v>
      </c>
      <c r="D39" t="str">
        <f t="shared" si="0"/>
        <v>{style: '81710BH  HOOPER', variants: 'Charcoal, Earth, Natural', sizes: 'S, M, L, XL'},</v>
      </c>
    </row>
    <row r="40" spans="1:4" x14ac:dyDescent="0.25">
      <c r="A40" t="s">
        <v>198</v>
      </c>
      <c r="B40" t="s">
        <v>1</v>
      </c>
      <c r="C40" t="s">
        <v>324</v>
      </c>
      <c r="D40" t="str">
        <f t="shared" si="0"/>
        <v>{style: '81720BH  MULLAN', variants: 'Black, Copper, Sand', sizes: 'S, M, L, XL'},</v>
      </c>
    </row>
    <row r="41" spans="1:4" x14ac:dyDescent="0.25">
      <c r="A41" t="s">
        <v>200</v>
      </c>
      <c r="B41" t="s">
        <v>1</v>
      </c>
      <c r="C41" t="s">
        <v>325</v>
      </c>
      <c r="D41" t="str">
        <f t="shared" si="0"/>
        <v>{style: '81727BH  DENNEY', variants: 'Black, Latte', sizes: 'S, M, L, XL'},</v>
      </c>
    </row>
    <row r="42" spans="1:4" x14ac:dyDescent="0.25">
      <c r="A42" t="s">
        <v>202</v>
      </c>
      <c r="B42" t="s">
        <v>17</v>
      </c>
      <c r="C42" t="s">
        <v>326</v>
      </c>
      <c r="D42" t="str">
        <f t="shared" si="0"/>
        <v>{style: '81690  MANNES', variants: 'Avion, Black Multi, Bloodstone, Brown Multi, Cement Multi, Charcoal Multi, Light Grey Multi, Navy Multi, Oak, Overcast, Skydiver, Tawny, Woods Multi', sizes: 'S, M, L, XL, XXL'},</v>
      </c>
    </row>
    <row r="43" spans="1:4" x14ac:dyDescent="0.25">
      <c r="A43" t="s">
        <v>203</v>
      </c>
      <c r="B43" t="s">
        <v>17</v>
      </c>
      <c r="C43" t="s">
        <v>327</v>
      </c>
      <c r="D43" t="str">
        <f t="shared" si="0"/>
        <v>{style: '81695  MANNESROE', variants: 'Black/Charcoal Multi, Ivory/Adobe Multi, Overcast', sizes: 'S, M, L, XL, XXL'},</v>
      </c>
    </row>
    <row r="44" spans="1:4" x14ac:dyDescent="0.25">
      <c r="A44" t="s">
        <v>204</v>
      </c>
      <c r="B44" t="s">
        <v>1</v>
      </c>
      <c r="C44" t="s">
        <v>328</v>
      </c>
      <c r="D44" t="str">
        <f t="shared" si="0"/>
        <v>{style: '81726BH  HESTER', variants: 'Avion, Copper, Grey, Opal, Sand, Tawny', sizes: 'S, M, L, XL'},</v>
      </c>
    </row>
    <row r="45" spans="1:4" x14ac:dyDescent="0.25">
      <c r="A45" t="s">
        <v>74</v>
      </c>
      <c r="B45" t="s">
        <v>1</v>
      </c>
      <c r="C45" t="s">
        <v>329</v>
      </c>
      <c r="D45" t="str">
        <f t="shared" si="0"/>
        <v>{style: '81711BH TATE', variants: 'Black, Latte, Light Grey, Navy, Off White', sizes: 'S, M, L, XL'},</v>
      </c>
    </row>
    <row r="46" spans="1:4" x14ac:dyDescent="0.25">
      <c r="A46" t="s">
        <v>209</v>
      </c>
      <c r="B46" t="s">
        <v>17</v>
      </c>
      <c r="C46" t="s">
        <v>330</v>
      </c>
      <c r="D46" t="str">
        <f t="shared" si="0"/>
        <v>{style: '81650  SALEM', variants: 'Ash, Black, Driftwood, Green, Natural, Navy, Oak, Rust, Static, White', sizes: 'S, M, L, XL, XXL'},</v>
      </c>
    </row>
    <row r="47" spans="1:4" x14ac:dyDescent="0.25">
      <c r="A47" t="s">
        <v>210</v>
      </c>
      <c r="B47" t="s">
        <v>17</v>
      </c>
      <c r="C47" t="s">
        <v>331</v>
      </c>
      <c r="D47" t="str">
        <f t="shared" si="0"/>
        <v>{style: '81670  BILLY', variants: 'Ash, Black, Black Heather, Bloodstone, Dk Blue Heather, Espresso, Gravel, Latte, Navy, Tan, Tawny, White', sizes: 'S, M, L, XL, XXL'},</v>
      </c>
    </row>
    <row r="48" spans="1:4" x14ac:dyDescent="0.25">
      <c r="A48" t="s">
        <v>213</v>
      </c>
      <c r="B48" t="s">
        <v>1</v>
      </c>
      <c r="C48" t="s">
        <v>22</v>
      </c>
      <c r="D48" t="str">
        <f t="shared" si="0"/>
        <v>{style: '81747BH  DARIO', variants: 'Natural', sizes: 'S, M, L, XL'},</v>
      </c>
    </row>
    <row r="49" spans="1:4" x14ac:dyDescent="0.25">
      <c r="A49" t="s">
        <v>214</v>
      </c>
      <c r="B49" t="s">
        <v>1</v>
      </c>
      <c r="C49" t="s">
        <v>332</v>
      </c>
      <c r="D49" t="str">
        <f t="shared" si="0"/>
        <v>{style: '81702BH  BERLE', variants: 'Kapok Green, Navy Heather, Natural, Vanilla', sizes: 'S, M, L, XL'},</v>
      </c>
    </row>
    <row r="50" spans="1:4" x14ac:dyDescent="0.25">
      <c r="A50" t="s">
        <v>66</v>
      </c>
      <c r="B50" t="s">
        <v>1</v>
      </c>
      <c r="C50" t="s">
        <v>333</v>
      </c>
      <c r="D50" t="str">
        <f t="shared" si="0"/>
        <v>{style: '81741BH WESTFIELD', variants: 'Camo, Natural', sizes: 'S, M, L, XL'},</v>
      </c>
    </row>
    <row r="51" spans="1:4" x14ac:dyDescent="0.25">
      <c r="A51" t="s">
        <v>217</v>
      </c>
      <c r="B51" t="s">
        <v>1</v>
      </c>
      <c r="C51" t="s">
        <v>334</v>
      </c>
      <c r="D51" t="str">
        <f t="shared" si="0"/>
        <v>{style: '81739BH  CARVER', variants: 'Grey, Natural, Navy, Taupe', sizes: 'S, M, L, XL'},</v>
      </c>
    </row>
    <row r="52" spans="1:4" x14ac:dyDescent="0.25">
      <c r="A52" t="s">
        <v>219</v>
      </c>
      <c r="B52" t="s">
        <v>1</v>
      </c>
      <c r="C52" t="s">
        <v>335</v>
      </c>
      <c r="D52" t="str">
        <f t="shared" si="0"/>
        <v>{style: '81722BH  ROKIT', variants: 'Light Grey/Black, Natural/Storm', sizes: 'S, M, L, XL'},</v>
      </c>
    </row>
    <row r="53" spans="1:4" x14ac:dyDescent="0.25">
      <c r="A53" t="s">
        <v>221</v>
      </c>
      <c r="B53" t="s">
        <v>1</v>
      </c>
      <c r="C53" t="s">
        <v>336</v>
      </c>
      <c r="D53" t="str">
        <f t="shared" si="0"/>
        <v>{style: '81732BH  RONIT', variants: 'Burgundy, Natural', sizes: 'S, M, L, XL'},</v>
      </c>
    </row>
    <row r="54" spans="1:4" x14ac:dyDescent="0.25">
      <c r="A54" t="s">
        <v>223</v>
      </c>
      <c r="B54" t="s">
        <v>1</v>
      </c>
      <c r="C54" t="s">
        <v>337</v>
      </c>
      <c r="D54" t="str">
        <f t="shared" si="0"/>
        <v>{style: '81717BH  CRAIG', variants: 'Black, Grey, Natural, Sky Blue, Tan, Tawny, White', sizes: 'S, M, L, XL'},</v>
      </c>
    </row>
    <row r="55" spans="1:4" x14ac:dyDescent="0.25">
      <c r="A55" t="s">
        <v>225</v>
      </c>
      <c r="B55" t="s">
        <v>1</v>
      </c>
      <c r="C55" t="s">
        <v>338</v>
      </c>
      <c r="D55" t="str">
        <f t="shared" si="0"/>
        <v>{style: '81750BH  OTIS', variants: 'Avion, Black, Oak', sizes: 'S, M, L, XL'},</v>
      </c>
    </row>
    <row r="56" spans="1:4" x14ac:dyDescent="0.25">
      <c r="A56" t="s">
        <v>227</v>
      </c>
      <c r="B56" t="s">
        <v>1</v>
      </c>
      <c r="C56" t="s">
        <v>339</v>
      </c>
      <c r="D56" t="str">
        <f t="shared" si="0"/>
        <v>{style: '81751BH  KAI', variants: 'Grey, Natural', sizes: 'S, M, L, XL'},</v>
      </c>
    </row>
    <row r="57" spans="1:4" x14ac:dyDescent="0.25">
      <c r="A57" t="s">
        <v>229</v>
      </c>
      <c r="B57" t="s">
        <v>1</v>
      </c>
      <c r="C57" t="s">
        <v>340</v>
      </c>
      <c r="D57" t="str">
        <f t="shared" si="0"/>
        <v>{style: '81738BH  BALANS ROLL UP', variants: 'Avion, Mushroom, Slate, Taupe', sizes: 'S, M, L, XL'},</v>
      </c>
    </row>
    <row r="58" spans="1:4" x14ac:dyDescent="0.25">
      <c r="A58" t="s">
        <v>231</v>
      </c>
      <c r="B58" t="s">
        <v>1</v>
      </c>
      <c r="C58" t="s">
        <v>341</v>
      </c>
      <c r="D58" t="str">
        <f t="shared" si="0"/>
        <v>{style: '81744BH  ELI', variants: 'Avion, Black, Bloodstone, Grey, Tawny', sizes: 'S, M, L, XL'},</v>
      </c>
    </row>
    <row r="59" spans="1:4" x14ac:dyDescent="0.25">
      <c r="A59" t="s">
        <v>56</v>
      </c>
      <c r="B59" t="s">
        <v>17</v>
      </c>
      <c r="C59" t="s">
        <v>342</v>
      </c>
      <c r="D59" t="str">
        <f t="shared" si="0"/>
        <v>{style: '81810 WAITS', variants: 'Black, Blue, Copper, Green, Midnight Brown, Sand, Smoke, Tawny, Unbleached', sizes: 'S, M, L, XL, XXL'},</v>
      </c>
    </row>
    <row r="60" spans="1:4" x14ac:dyDescent="0.25">
      <c r="A60" t="s">
        <v>233</v>
      </c>
      <c r="B60" t="s">
        <v>1</v>
      </c>
      <c r="C60" t="s">
        <v>343</v>
      </c>
      <c r="D60" t="str">
        <f t="shared" si="0"/>
        <v>{style: '81745BH  SCORSBY', variants: 'Black, Grey, Natural', sizes: 'S, M, L, XL'},</v>
      </c>
    </row>
    <row r="61" spans="1:4" x14ac:dyDescent="0.25">
      <c r="A61" t="s">
        <v>235</v>
      </c>
      <c r="B61" t="s">
        <v>1</v>
      </c>
      <c r="C61" t="s">
        <v>344</v>
      </c>
      <c r="D61" t="str">
        <f t="shared" si="0"/>
        <v>{style: '81749BH  MAX', variants: 'Black, Ivory, White', sizes: 'S, M, L, XL'},</v>
      </c>
    </row>
    <row r="62" spans="1:4" x14ac:dyDescent="0.25">
      <c r="A62" t="s">
        <v>237</v>
      </c>
      <c r="B62" t="s">
        <v>1</v>
      </c>
      <c r="C62" t="s">
        <v>345</v>
      </c>
      <c r="D62" t="str">
        <f t="shared" si="0"/>
        <v>{style: '81746BH  LOREK', variants: 'Black, Natural', sizes: 'S, M, L, XL'},</v>
      </c>
    </row>
    <row r="63" spans="1:4" x14ac:dyDescent="0.25">
      <c r="A63" t="s">
        <v>239</v>
      </c>
      <c r="B63" t="s">
        <v>1</v>
      </c>
      <c r="C63" t="s">
        <v>346</v>
      </c>
      <c r="D63" t="str">
        <f t="shared" si="0"/>
        <v>{style: '5008BH  ORSUN', variants: 'Kapok Green, Natural, Tan', sizes: 'S, M, L, XL'},</v>
      </c>
    </row>
    <row r="64" spans="1:4" x14ac:dyDescent="0.25">
      <c r="A64" t="s">
        <v>241</v>
      </c>
      <c r="B64" t="s">
        <v>1</v>
      </c>
      <c r="C64" t="s">
        <v>347</v>
      </c>
      <c r="D64" t="str">
        <f t="shared" si="0"/>
        <v>{style: '5006BH  ROTHNEY', variants: 'Ivory, Kapok Green', sizes: 'S, M, L, XL'},</v>
      </c>
    </row>
    <row r="65" spans="1:4" x14ac:dyDescent="0.25">
      <c r="A65" t="s">
        <v>243</v>
      </c>
      <c r="B65" t="s">
        <v>1</v>
      </c>
      <c r="C65" t="s">
        <v>53</v>
      </c>
      <c r="D65" t="str">
        <f t="shared" si="0"/>
        <v>{style: '5001BH  DERIAN', variants: 'Burlap', sizes: 'S, M, L, XL'},</v>
      </c>
    </row>
    <row r="66" spans="1:4" x14ac:dyDescent="0.25">
      <c r="A66" t="s">
        <v>244</v>
      </c>
      <c r="B66" t="s">
        <v>1</v>
      </c>
      <c r="C66" t="s">
        <v>51</v>
      </c>
      <c r="D66" t="str">
        <f t="shared" si="0"/>
        <v>{style: '5000BH  ROCKETT', variants: 'Tan', sizes: 'S, M, L, XL'},</v>
      </c>
    </row>
    <row r="67" spans="1:4" x14ac:dyDescent="0.25">
      <c r="A67" t="s">
        <v>47</v>
      </c>
      <c r="B67" t="s">
        <v>1</v>
      </c>
      <c r="C67" t="s">
        <v>348</v>
      </c>
      <c r="D67" t="str">
        <f t="shared" ref="D67:D108" si="1">"{style: '"&amp;A67&amp;"', variants: '"&amp;C67&amp;"', sizes: '"&amp;B67&amp;"'},"</f>
        <v>{style: '5009BH ADLAY', variants: 'Dark Natural, Navy', sizes: 'S, M, L, XL'},</v>
      </c>
    </row>
    <row r="68" spans="1:4" x14ac:dyDescent="0.25">
      <c r="A68" t="s">
        <v>54</v>
      </c>
      <c r="B68" t="s">
        <v>1</v>
      </c>
      <c r="C68" t="s">
        <v>349</v>
      </c>
      <c r="D68" t="str">
        <f t="shared" si="1"/>
        <v>{style: '5010BH WINSTONE', variants: 'Black, Limestone, Natural', sizes: 'S, M, L, XL'},</v>
      </c>
    </row>
    <row r="69" spans="1:4" x14ac:dyDescent="0.25">
      <c r="A69" t="s">
        <v>48</v>
      </c>
      <c r="B69" t="s">
        <v>1</v>
      </c>
      <c r="C69" t="s">
        <v>339</v>
      </c>
      <c r="D69" t="str">
        <f t="shared" si="1"/>
        <v>{style: '5011BH ANKER', variants: 'Grey, Natural', sizes: 'S, M, L, XL'},</v>
      </c>
    </row>
    <row r="70" spans="1:4" x14ac:dyDescent="0.25">
      <c r="A70" t="s">
        <v>247</v>
      </c>
      <c r="B70" t="s">
        <v>1</v>
      </c>
      <c r="C70" t="s">
        <v>350</v>
      </c>
      <c r="D70" t="str">
        <f t="shared" si="1"/>
        <v>{style: '63294BH  MAGNESS', variants: 'Natural/Black, Sand, Silver', sizes: 'S, M, L, XL'},</v>
      </c>
    </row>
    <row r="71" spans="1:4" x14ac:dyDescent="0.25">
      <c r="A71" t="s">
        <v>249</v>
      </c>
      <c r="B71" t="s">
        <v>1</v>
      </c>
      <c r="C71" t="s">
        <v>22</v>
      </c>
      <c r="D71" t="str">
        <f t="shared" si="1"/>
        <v>{style: '60003BH  MELTON', variants: 'Natural', sizes: 'S, M, L, XL'},</v>
      </c>
    </row>
    <row r="72" spans="1:4" x14ac:dyDescent="0.25">
      <c r="A72" t="s">
        <v>250</v>
      </c>
      <c r="B72" t="s">
        <v>1</v>
      </c>
      <c r="C72" t="s">
        <v>345</v>
      </c>
      <c r="D72" t="str">
        <f t="shared" si="1"/>
        <v>{style: '63302BH  QUIL', variants: 'Black, Natural', sizes: 'S, M, L, XL'},</v>
      </c>
    </row>
    <row r="73" spans="1:4" x14ac:dyDescent="0.25">
      <c r="A73" t="s">
        <v>251</v>
      </c>
      <c r="B73" t="s">
        <v>1</v>
      </c>
      <c r="C73" t="s">
        <v>345</v>
      </c>
      <c r="D73" t="str">
        <f t="shared" si="1"/>
        <v>{style: '63297BH  BRAYLON', variants: 'Black, Natural', sizes: 'S, M, L, XL'},</v>
      </c>
    </row>
    <row r="74" spans="1:4" x14ac:dyDescent="0.25">
      <c r="A74" t="s">
        <v>252</v>
      </c>
      <c r="B74" t="s">
        <v>1</v>
      </c>
      <c r="C74" t="s">
        <v>351</v>
      </c>
      <c r="D74" t="str">
        <f t="shared" si="1"/>
        <v>{style: '63112  HANSON', variants: 'Natural/Black Natural/Blue Print, Natural/Rust', sizes: 'S, M, L, XL'},</v>
      </c>
    </row>
    <row r="75" spans="1:4" x14ac:dyDescent="0.25">
      <c r="A75" t="s">
        <v>254</v>
      </c>
      <c r="B75" t="s">
        <v>17</v>
      </c>
      <c r="C75" t="s">
        <v>352</v>
      </c>
      <c r="D75" t="str">
        <f t="shared" si="1"/>
        <v>{style: '63114  GUTHRIE', variants: 'Natural/Black, Natural/Blue Print, Natural/Rust', sizes: 'S, M, L, XL, XXL'},</v>
      </c>
    </row>
    <row r="76" spans="1:4" x14ac:dyDescent="0.25">
      <c r="A76" t="s">
        <v>256</v>
      </c>
      <c r="B76" t="s">
        <v>1</v>
      </c>
      <c r="C76" t="s">
        <v>22</v>
      </c>
      <c r="D76" t="str">
        <f t="shared" si="1"/>
        <v>{style: '63125  KONRATH', variants: 'Natural', sizes: 'S, M, L, XL'},</v>
      </c>
    </row>
    <row r="77" spans="1:4" x14ac:dyDescent="0.25">
      <c r="A77" t="s">
        <v>257</v>
      </c>
      <c r="B77" t="s">
        <v>17</v>
      </c>
      <c r="C77" t="s">
        <v>353</v>
      </c>
      <c r="D77" t="str">
        <f t="shared" si="1"/>
        <v>{style: '63200  SPENCER', variants: 'Ash, Natural, Tan, Weathered Oak', sizes: 'S, M, L, XL, XXL'},</v>
      </c>
    </row>
    <row r="78" spans="1:4" x14ac:dyDescent="0.25">
      <c r="A78" t="s">
        <v>259</v>
      </c>
      <c r="B78" t="s">
        <v>1</v>
      </c>
      <c r="C78" t="s">
        <v>354</v>
      </c>
      <c r="D78" t="str">
        <f t="shared" si="1"/>
        <v>{style: '63283BH  RELIK', variants: 'Natural, Natural/Taupe', sizes: 'S, M, L, XL'},</v>
      </c>
    </row>
    <row r="79" spans="1:4" x14ac:dyDescent="0.25">
      <c r="A79" t="s">
        <v>261</v>
      </c>
      <c r="B79" t="s">
        <v>1</v>
      </c>
      <c r="C79" t="s">
        <v>355</v>
      </c>
      <c r="D79" t="str">
        <f t="shared" si="1"/>
        <v>{style: '63117  BLACKBURN', variants: 'Caramel, Natural, Opal', sizes: 'S, M, L, XL'},</v>
      </c>
    </row>
    <row r="80" spans="1:4" x14ac:dyDescent="0.25">
      <c r="A80" t="s">
        <v>263</v>
      </c>
      <c r="B80" t="s">
        <v>1</v>
      </c>
      <c r="C80" t="s">
        <v>345</v>
      </c>
      <c r="D80" t="str">
        <f t="shared" si="1"/>
        <v>{style: '63298BH  GLASER', variants: 'Black, Natural', sizes: 'S, M, L, XL'},</v>
      </c>
    </row>
    <row r="81" spans="1:4" x14ac:dyDescent="0.25">
      <c r="A81" t="s">
        <v>264</v>
      </c>
      <c r="B81" t="s">
        <v>1</v>
      </c>
      <c r="C81" t="s">
        <v>356</v>
      </c>
      <c r="D81" t="str">
        <f t="shared" si="1"/>
        <v>{style: '22705  CHAPLIN', variants: 'Black, Media Bleach', sizes: 'S, M, L, XL'},</v>
      </c>
    </row>
    <row r="82" spans="1:4" x14ac:dyDescent="0.25">
      <c r="A82" t="s">
        <v>31</v>
      </c>
      <c r="B82" t="s">
        <v>1</v>
      </c>
      <c r="C82" t="s">
        <v>357</v>
      </c>
      <c r="D82" t="str">
        <f t="shared" si="1"/>
        <v>{style: '22786BH TESSIER', variants: 'Antiqued Natural, Antiqued Sienna', sizes: 'S, M, L, XL'},</v>
      </c>
    </row>
    <row r="83" spans="1:4" x14ac:dyDescent="0.25">
      <c r="A83" t="s">
        <v>267</v>
      </c>
      <c r="B83" t="s">
        <v>17</v>
      </c>
      <c r="C83" t="s">
        <v>358</v>
      </c>
      <c r="D83" t="str">
        <f t="shared" si="1"/>
        <v>{style: '22721  BROOKS', variants: 'Avion, Ash Grey, Media Bleach, Mushroom, Natural, Tawny', sizes: 'S, M, L, XL, XXL'},</v>
      </c>
    </row>
    <row r="84" spans="1:4" x14ac:dyDescent="0.25">
      <c r="A84" t="s">
        <v>268</v>
      </c>
      <c r="B84" t="s">
        <v>1</v>
      </c>
      <c r="C84" t="s">
        <v>22</v>
      </c>
      <c r="D84" t="str">
        <f t="shared" si="1"/>
        <v>{style: '22719  CUTLER', variants: 'Natural', sizes: 'S, M, L, XL'},</v>
      </c>
    </row>
    <row r="85" spans="1:4" x14ac:dyDescent="0.25">
      <c r="A85" t="s">
        <v>269</v>
      </c>
      <c r="B85" t="s">
        <v>1</v>
      </c>
      <c r="C85" t="s">
        <v>359</v>
      </c>
      <c r="D85" t="str">
        <f t="shared" si="1"/>
        <v>{style: '22776BH  CUBAN', variants: 'Amber, Nat/Vintage Blue, Natural, Natural/Earth, Natural/Sunrise', sizes: 'S, M, L, XL'},</v>
      </c>
    </row>
    <row r="86" spans="1:4" x14ac:dyDescent="0.25">
      <c r="A86" t="s">
        <v>34</v>
      </c>
      <c r="B86" t="s">
        <v>1</v>
      </c>
      <c r="C86" t="s">
        <v>360</v>
      </c>
      <c r="D86" t="str">
        <f t="shared" si="1"/>
        <v>{style: '22791BH STANSFIELD', variants: 'Dark Slate, Natural, Oak, Taupe', sizes: 'S, M, L, XL'},</v>
      </c>
    </row>
    <row r="87" spans="1:4" x14ac:dyDescent="0.25">
      <c r="A87" t="s">
        <v>273</v>
      </c>
      <c r="B87" t="s">
        <v>25</v>
      </c>
      <c r="C87" t="s">
        <v>22</v>
      </c>
      <c r="D87" t="str">
        <f t="shared" si="1"/>
        <v>{style: '22757BH  SALTER', variants: 'Natural', sizes: '6 3/4, 6 7/8, 7, 7 1/8, 7 1/4, 7 3/8, 7 1/2, 7 5/8'},</v>
      </c>
    </row>
    <row r="88" spans="1:4" x14ac:dyDescent="0.25">
      <c r="A88" t="s">
        <v>282</v>
      </c>
      <c r="B88" t="s">
        <v>1</v>
      </c>
      <c r="C88" t="s">
        <v>22</v>
      </c>
      <c r="D88" t="str">
        <f t="shared" si="1"/>
        <v>{style: '22760BH   LORING', variants: 'Natural', sizes: 'S, M, L, XL'},</v>
      </c>
    </row>
    <row r="89" spans="1:4" x14ac:dyDescent="0.25">
      <c r="A89" t="s">
        <v>274</v>
      </c>
      <c r="B89" t="s">
        <v>1</v>
      </c>
      <c r="C89" t="s">
        <v>22</v>
      </c>
      <c r="D89" t="str">
        <f t="shared" si="1"/>
        <v>{style: '22750  ROLL UP II', variants: 'Natural', sizes: 'S, M, L, XL'},</v>
      </c>
    </row>
    <row r="90" spans="1:4" x14ac:dyDescent="0.25">
      <c r="A90" t="s">
        <v>275</v>
      </c>
      <c r="B90" t="s">
        <v>1</v>
      </c>
      <c r="C90" t="s">
        <v>361</v>
      </c>
      <c r="D90" t="str">
        <f t="shared" si="1"/>
        <v>{style: '22790BH  PARSON', variants: 'Ink Stain, Natural/Navy, Tea Stain', sizes: 'S, M, L, XL'},</v>
      </c>
    </row>
    <row r="91" spans="1:4" x14ac:dyDescent="0.25">
      <c r="A91" t="s">
        <v>277</v>
      </c>
      <c r="B91" t="s">
        <v>1</v>
      </c>
      <c r="C91" t="s">
        <v>362</v>
      </c>
      <c r="D91" t="str">
        <f t="shared" si="1"/>
        <v>{style: '22798BH    WARLICK', variants: 'Black/Natural, Charcoal/Rust', sizes: 'S, M, L, XL'},</v>
      </c>
    </row>
    <row r="92" spans="1:4" x14ac:dyDescent="0.25">
      <c r="A92" t="s">
        <v>279</v>
      </c>
      <c r="B92" t="s">
        <v>1</v>
      </c>
      <c r="C92" t="s">
        <v>22</v>
      </c>
      <c r="D92" t="str">
        <f t="shared" si="1"/>
        <v>{style: '22805BH  EZRA', variants: 'Natural', sizes: 'S, M, L, XL'},</v>
      </c>
    </row>
    <row r="93" spans="1:4" x14ac:dyDescent="0.25">
      <c r="A93" t="s">
        <v>280</v>
      </c>
      <c r="B93" t="s">
        <v>1</v>
      </c>
      <c r="C93" t="s">
        <v>363</v>
      </c>
      <c r="D93" t="str">
        <f t="shared" si="1"/>
        <v>{style: '22787BH  GIGER', variants: 'Breezy Plaid, Brown Plaid, Blue Surf Plaid, Tan Plaid', sizes: 'S, M, L, XL'},</v>
      </c>
    </row>
    <row r="94" spans="1:4" x14ac:dyDescent="0.25">
      <c r="A94" t="s">
        <v>283</v>
      </c>
      <c r="B94" t="s">
        <v>1</v>
      </c>
      <c r="C94" t="s">
        <v>364</v>
      </c>
      <c r="D94" t="str">
        <f t="shared" si="1"/>
        <v>{style: '22814BH  BYSTROM', variants: 'Natural, Tawny', sizes: 'S, M, L, XL'},</v>
      </c>
    </row>
    <row r="95" spans="1:4" x14ac:dyDescent="0.25">
      <c r="A95" t="s">
        <v>285</v>
      </c>
      <c r="B95" t="s">
        <v>1</v>
      </c>
      <c r="C95" t="s">
        <v>11</v>
      </c>
      <c r="D95" t="str">
        <f t="shared" si="1"/>
        <v>{style: '22815BH  EMIL', variants: 'Avion Window', sizes: 'S, M, L, XL'},</v>
      </c>
    </row>
    <row r="96" spans="1:4" x14ac:dyDescent="0.25">
      <c r="A96" t="s">
        <v>286</v>
      </c>
      <c r="B96" t="s">
        <v>1</v>
      </c>
      <c r="C96" t="s">
        <v>365</v>
      </c>
      <c r="D96" t="str">
        <f t="shared" si="1"/>
        <v>{style: '22816BH  RACER', variants: 'Ash, Natural', sizes: 'S, M, L, XL'},</v>
      </c>
    </row>
    <row r="97" spans="1:4" x14ac:dyDescent="0.25">
      <c r="A97" t="s">
        <v>288</v>
      </c>
      <c r="B97" t="s">
        <v>1</v>
      </c>
      <c r="C97" t="s">
        <v>366</v>
      </c>
      <c r="D97" t="str">
        <f t="shared" si="1"/>
        <v>{style: '22817BH  CRISPIN', variants: 'Avion, Natural', sizes: 'S, M, L, XL'},</v>
      </c>
    </row>
    <row r="98" spans="1:4" x14ac:dyDescent="0.25">
      <c r="A98" t="s">
        <v>290</v>
      </c>
      <c r="B98" t="s">
        <v>1</v>
      </c>
      <c r="C98" t="s">
        <v>367</v>
      </c>
      <c r="D98" t="str">
        <f t="shared" si="1"/>
        <v>{style: '22806BH  HINX', variants: 'Butter, Cloud, Ink, Opal, Rust', sizes: 'S, M, L, XL'},</v>
      </c>
    </row>
    <row r="99" spans="1:4" x14ac:dyDescent="0.25">
      <c r="A99" t="s">
        <v>292</v>
      </c>
      <c r="B99" t="s">
        <v>1</v>
      </c>
      <c r="C99" t="s">
        <v>368</v>
      </c>
      <c r="D99" t="str">
        <f t="shared" si="1"/>
        <v>{style: '22803BH  RASK', variants: 'Black, Sunset', sizes: 'S, M, L, XL'},</v>
      </c>
    </row>
    <row r="100" spans="1:4" x14ac:dyDescent="0.25">
      <c r="A100" t="s">
        <v>294</v>
      </c>
      <c r="B100" t="s">
        <v>17</v>
      </c>
      <c r="C100" t="s">
        <v>20</v>
      </c>
      <c r="D100" t="str">
        <f t="shared" si="1"/>
        <v>{style: '22804BH  HERNEN', variants: 'Espresso Check', sizes: 'S, M, L, XL, XXL'},</v>
      </c>
    </row>
    <row r="101" spans="1:4" x14ac:dyDescent="0.25">
      <c r="A101" t="s">
        <v>14</v>
      </c>
      <c r="B101" t="s">
        <v>1</v>
      </c>
      <c r="C101" t="s">
        <v>15</v>
      </c>
      <c r="D101" t="str">
        <f t="shared" si="1"/>
        <v>{style: '22784BH TASMIN', variants: 'Natural Multi', sizes: 'S, M, L, XL'},</v>
      </c>
    </row>
    <row r="102" spans="1:4" x14ac:dyDescent="0.25">
      <c r="A102" t="s">
        <v>4</v>
      </c>
      <c r="B102" t="s">
        <v>1</v>
      </c>
      <c r="C102" t="s">
        <v>369</v>
      </c>
      <c r="D102" t="str">
        <f t="shared" si="1"/>
        <v>{style: '22810BH ARION', variants: 'Natural, Oak, Ash, Tawny', sizes: 'S, M, L, XL'},</v>
      </c>
    </row>
    <row r="103" spans="1:4" x14ac:dyDescent="0.25">
      <c r="A103" t="s">
        <v>128</v>
      </c>
      <c r="B103" t="s">
        <v>1</v>
      </c>
      <c r="C103" t="s">
        <v>345</v>
      </c>
      <c r="D103" t="str">
        <f t="shared" si="1"/>
        <v>{style: '22811BH  HORAN', variants: 'Black, Natural', sizes: 'S, M, L, XL'},</v>
      </c>
    </row>
    <row r="104" spans="1:4" x14ac:dyDescent="0.25">
      <c r="A104" t="s">
        <v>130</v>
      </c>
      <c r="B104" t="s">
        <v>1</v>
      </c>
      <c r="C104" t="s">
        <v>370</v>
      </c>
      <c r="D104" t="str">
        <f t="shared" si="1"/>
        <v>{style: '22813BH  PHINEAS', variants: 'Avion/Natural, Oak/Natural', sizes: 'S, M, L, XL'},</v>
      </c>
    </row>
    <row r="105" spans="1:4" x14ac:dyDescent="0.25">
      <c r="A105" t="s">
        <v>126</v>
      </c>
      <c r="B105" t="s">
        <v>1</v>
      </c>
      <c r="C105" t="s">
        <v>371</v>
      </c>
      <c r="D105" t="str">
        <f t="shared" si="1"/>
        <v>{style: '22818BH  GILES', variants: 'Avion, Oak', sizes: 'S, M, L, XL'},</v>
      </c>
    </row>
    <row r="106" spans="1:4" x14ac:dyDescent="0.25">
      <c r="A106" t="s">
        <v>127</v>
      </c>
      <c r="B106" t="s">
        <v>1</v>
      </c>
      <c r="C106" t="s">
        <v>372</v>
      </c>
      <c r="D106" t="str">
        <f t="shared" si="1"/>
        <v>{style: '22807BH  BOREAL', variants: 'Black/Ash, Tawny/Natural', sizes: 'S, M, L, XL'},</v>
      </c>
    </row>
    <row r="107" spans="1:4" x14ac:dyDescent="0.25">
      <c r="A107" t="s">
        <v>132</v>
      </c>
      <c r="B107" t="s">
        <v>1</v>
      </c>
      <c r="C107" t="s">
        <v>373</v>
      </c>
      <c r="D107" t="str">
        <f t="shared" si="1"/>
        <v>{style: '22808BH  CORAM', variants: 'Avion, Natural, Tawny', sizes: 'S, M, L, XL'},</v>
      </c>
    </row>
    <row r="108" spans="1:4" x14ac:dyDescent="0.25">
      <c r="A108" t="s">
        <v>134</v>
      </c>
      <c r="B108" t="s">
        <v>1</v>
      </c>
      <c r="C108" t="s">
        <v>374</v>
      </c>
      <c r="D108" t="str">
        <f t="shared" si="1"/>
        <v>{style: '22809BH  HURTLE', variants: 'Black, Tawny', sizes: 'S, M, L, XL'},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8715C-FCF4-4537-B250-8AA427FA2C30}">
  <sheetPr codeName="Лист1"/>
  <dimension ref="A1:H312"/>
  <sheetViews>
    <sheetView showGridLines="0" tabSelected="1" workbookViewId="0">
      <selection activeCell="H2" sqref="H2:H312"/>
    </sheetView>
  </sheetViews>
  <sheetFormatPr defaultRowHeight="15" x14ac:dyDescent="0.25"/>
  <cols>
    <col min="1" max="1" width="33.140625" bestFit="1" customWidth="1"/>
    <col min="2" max="2" width="33.140625" customWidth="1"/>
    <col min="3" max="3" width="10.7109375" bestFit="1" customWidth="1"/>
    <col min="4" max="4" width="33.140625" customWidth="1"/>
    <col min="5" max="5" width="30.28515625" bestFit="1" customWidth="1"/>
    <col min="6" max="6" width="40" bestFit="1" customWidth="1"/>
    <col min="7" max="7" width="40" style="10" bestFit="1" customWidth="1"/>
  </cols>
  <sheetData>
    <row r="1" spans="1:8" s="4" customFormat="1" x14ac:dyDescent="0.25">
      <c r="A1" s="7" t="s">
        <v>836</v>
      </c>
      <c r="B1" s="7" t="s">
        <v>833</v>
      </c>
      <c r="C1" s="7" t="s">
        <v>121</v>
      </c>
      <c r="D1" s="7" t="s">
        <v>832</v>
      </c>
      <c r="E1" s="7" t="s">
        <v>498</v>
      </c>
      <c r="F1" s="7" t="s">
        <v>124</v>
      </c>
      <c r="G1" s="8" t="s">
        <v>834</v>
      </c>
    </row>
    <row r="2" spans="1:8" x14ac:dyDescent="0.25">
      <c r="A2" s="6" t="s">
        <v>139</v>
      </c>
      <c r="B2" s="6" t="str">
        <f>TRIM(C2&amp;" "&amp;D2)</f>
        <v>BW2205OD RAINFLY</v>
      </c>
      <c r="C2" s="6" t="s">
        <v>672</v>
      </c>
      <c r="D2" s="6" t="s">
        <v>727</v>
      </c>
      <c r="E2" s="6" t="s">
        <v>377</v>
      </c>
      <c r="F2" s="6" t="s">
        <v>1</v>
      </c>
      <c r="G2" s="9">
        <v>48.65</v>
      </c>
      <c r="H2" t="str">
        <f>F2&amp;","</f>
        <v>S, M, L, XL,</v>
      </c>
    </row>
    <row r="3" spans="1:8" x14ac:dyDescent="0.25">
      <c r="A3" s="6" t="s">
        <v>139</v>
      </c>
      <c r="B3" s="6" t="str">
        <f t="shared" ref="B3:B66" si="0">TRIM(C3&amp;" "&amp;D3)</f>
        <v>BW2205OD RAINFLY</v>
      </c>
      <c r="C3" s="6" t="s">
        <v>672</v>
      </c>
      <c r="D3" s="6" t="s">
        <v>727</v>
      </c>
      <c r="E3" s="6" t="s">
        <v>378</v>
      </c>
      <c r="F3" s="6" t="s">
        <v>1</v>
      </c>
      <c r="G3" s="9">
        <v>48.65</v>
      </c>
      <c r="H3" t="str">
        <f t="shared" ref="H3:H66" si="1">F3&amp;","</f>
        <v>S, M, L, XL,</v>
      </c>
    </row>
    <row r="4" spans="1:8" x14ac:dyDescent="0.25">
      <c r="A4" s="6" t="s">
        <v>142</v>
      </c>
      <c r="B4" s="6" t="str">
        <f t="shared" si="0"/>
        <v>13731BH BOLEY</v>
      </c>
      <c r="C4" s="6" t="s">
        <v>519</v>
      </c>
      <c r="D4" s="6" t="s">
        <v>728</v>
      </c>
      <c r="E4" s="6" t="s">
        <v>379</v>
      </c>
      <c r="F4" s="6" t="s">
        <v>1</v>
      </c>
      <c r="G4" s="9">
        <v>44.17</v>
      </c>
      <c r="H4" t="str">
        <f t="shared" si="1"/>
        <v>S, M, L, XL,</v>
      </c>
    </row>
    <row r="5" spans="1:8" x14ac:dyDescent="0.25">
      <c r="A5" s="6" t="s">
        <v>142</v>
      </c>
      <c r="B5" s="6" t="str">
        <f t="shared" si="0"/>
        <v>13731BH BOLEY</v>
      </c>
      <c r="C5" s="6" t="s">
        <v>519</v>
      </c>
      <c r="D5" s="6" t="s">
        <v>728</v>
      </c>
      <c r="E5" s="6" t="s">
        <v>380</v>
      </c>
      <c r="F5" s="6" t="s">
        <v>1</v>
      </c>
      <c r="G5" s="9">
        <v>44.17</v>
      </c>
      <c r="H5" t="str">
        <f t="shared" si="1"/>
        <v>S, M, L, XL,</v>
      </c>
    </row>
    <row r="6" spans="1:8" x14ac:dyDescent="0.25">
      <c r="A6" s="6" t="s">
        <v>119</v>
      </c>
      <c r="B6" s="6" t="str">
        <f t="shared" si="0"/>
        <v>1369 JACKMAN</v>
      </c>
      <c r="C6" s="6">
        <v>1369</v>
      </c>
      <c r="D6" s="6" t="s">
        <v>729</v>
      </c>
      <c r="E6" s="6" t="s">
        <v>379</v>
      </c>
      <c r="F6" s="6" t="s">
        <v>17</v>
      </c>
      <c r="G6" s="9">
        <v>44.3</v>
      </c>
      <c r="H6" t="str">
        <f t="shared" si="1"/>
        <v>S, M, L, XL, XXL,</v>
      </c>
    </row>
    <row r="7" spans="1:8" x14ac:dyDescent="0.25">
      <c r="A7" s="6" t="s">
        <v>119</v>
      </c>
      <c r="B7" s="6" t="str">
        <f t="shared" si="0"/>
        <v>1369 JACKMAN</v>
      </c>
      <c r="C7" s="6">
        <v>1369</v>
      </c>
      <c r="D7" s="6" t="s">
        <v>729</v>
      </c>
      <c r="E7" s="6" t="s">
        <v>381</v>
      </c>
      <c r="F7" s="6" t="s">
        <v>17</v>
      </c>
      <c r="G7" s="9">
        <v>44.3</v>
      </c>
      <c r="H7" t="str">
        <f t="shared" si="1"/>
        <v>S, M, L, XL, XXL,</v>
      </c>
    </row>
    <row r="8" spans="1:8" x14ac:dyDescent="0.25">
      <c r="A8" s="6" t="s">
        <v>119</v>
      </c>
      <c r="B8" s="6" t="str">
        <f t="shared" si="0"/>
        <v>1369 JACKMAN</v>
      </c>
      <c r="C8" s="6">
        <v>1369</v>
      </c>
      <c r="D8" s="6" t="s">
        <v>729</v>
      </c>
      <c r="E8" s="6" t="s">
        <v>382</v>
      </c>
      <c r="F8" s="6" t="s">
        <v>17</v>
      </c>
      <c r="G8" s="9">
        <v>44.3</v>
      </c>
      <c r="H8" t="str">
        <f t="shared" si="1"/>
        <v>S, M, L, XL, XXL,</v>
      </c>
    </row>
    <row r="9" spans="1:8" x14ac:dyDescent="0.25">
      <c r="A9" s="6" t="s">
        <v>119</v>
      </c>
      <c r="B9" s="6" t="str">
        <f t="shared" si="0"/>
        <v>1369 JACKMAN</v>
      </c>
      <c r="C9" s="6">
        <v>1369</v>
      </c>
      <c r="D9" s="6" t="s">
        <v>729</v>
      </c>
      <c r="E9" s="6" t="s">
        <v>380</v>
      </c>
      <c r="F9" s="6" t="s">
        <v>17</v>
      </c>
      <c r="G9" s="9">
        <v>44.3</v>
      </c>
      <c r="H9" t="str">
        <f t="shared" si="1"/>
        <v>S, M, L, XL, XXL,</v>
      </c>
    </row>
    <row r="10" spans="1:8" x14ac:dyDescent="0.25">
      <c r="A10" s="6" t="s">
        <v>119</v>
      </c>
      <c r="B10" s="6" t="str">
        <f t="shared" si="0"/>
        <v>1369 JACKMAN</v>
      </c>
      <c r="C10" s="6">
        <v>1369</v>
      </c>
      <c r="D10" s="6" t="s">
        <v>729</v>
      </c>
      <c r="E10" s="6" t="s">
        <v>383</v>
      </c>
      <c r="F10" s="6" t="s">
        <v>17</v>
      </c>
      <c r="G10" s="9">
        <v>44.3</v>
      </c>
      <c r="H10" t="str">
        <f t="shared" si="1"/>
        <v>S, M, L, XL, XXL,</v>
      </c>
    </row>
    <row r="11" spans="1:8" x14ac:dyDescent="0.25">
      <c r="A11" s="6" t="s">
        <v>119</v>
      </c>
      <c r="B11" s="6" t="str">
        <f t="shared" si="0"/>
        <v>1369 JACKMAN</v>
      </c>
      <c r="C11" s="6">
        <v>1369</v>
      </c>
      <c r="D11" s="6" t="s">
        <v>729</v>
      </c>
      <c r="E11" s="6" t="s">
        <v>384</v>
      </c>
      <c r="F11" s="6" t="s">
        <v>17</v>
      </c>
      <c r="G11" s="9">
        <v>44.3</v>
      </c>
      <c r="H11" t="str">
        <f t="shared" si="1"/>
        <v>S, M, L, XL, XXL,</v>
      </c>
    </row>
    <row r="12" spans="1:8" x14ac:dyDescent="0.25">
      <c r="A12" s="6" t="s">
        <v>140</v>
      </c>
      <c r="B12" s="6" t="str">
        <f t="shared" si="0"/>
        <v>BF2201OD BEZEL</v>
      </c>
      <c r="C12" s="6" t="s">
        <v>513</v>
      </c>
      <c r="D12" s="6" t="s">
        <v>730</v>
      </c>
      <c r="E12" s="6" t="s">
        <v>115</v>
      </c>
      <c r="F12" s="6" t="s">
        <v>1</v>
      </c>
      <c r="G12" s="9">
        <v>84.15</v>
      </c>
      <c r="H12" t="str">
        <f t="shared" si="1"/>
        <v>S, M, L, XL,</v>
      </c>
    </row>
    <row r="13" spans="1:8" x14ac:dyDescent="0.25">
      <c r="A13" s="6" t="s">
        <v>143</v>
      </c>
      <c r="B13" s="6" t="str">
        <f t="shared" si="0"/>
        <v>BW2207OD MONTANA</v>
      </c>
      <c r="C13" s="6" t="s">
        <v>646</v>
      </c>
      <c r="D13" s="6" t="s">
        <v>731</v>
      </c>
      <c r="E13" s="6" t="s">
        <v>385</v>
      </c>
      <c r="F13" s="6" t="s">
        <v>1</v>
      </c>
      <c r="G13" s="9">
        <v>50.53</v>
      </c>
      <c r="H13" t="str">
        <f t="shared" si="1"/>
        <v>S, M, L, XL,</v>
      </c>
    </row>
    <row r="14" spans="1:8" x14ac:dyDescent="0.25">
      <c r="A14" s="6" t="s">
        <v>143</v>
      </c>
      <c r="B14" s="6" t="str">
        <f t="shared" si="0"/>
        <v>BW2207OD MONTANA</v>
      </c>
      <c r="C14" s="6" t="s">
        <v>646</v>
      </c>
      <c r="D14" s="6" t="s">
        <v>731</v>
      </c>
      <c r="E14" s="6" t="s">
        <v>386</v>
      </c>
      <c r="F14" s="6" t="s">
        <v>1</v>
      </c>
      <c r="G14" s="9">
        <v>50.53</v>
      </c>
      <c r="H14" t="str">
        <f t="shared" si="1"/>
        <v>S, M, L, XL,</v>
      </c>
    </row>
    <row r="15" spans="1:8" x14ac:dyDescent="0.25">
      <c r="A15" s="6" t="s">
        <v>146</v>
      </c>
      <c r="B15" s="6" t="str">
        <f t="shared" si="0"/>
        <v>1362 DALTON</v>
      </c>
      <c r="C15" s="6">
        <v>1362</v>
      </c>
      <c r="D15" s="6" t="s">
        <v>732</v>
      </c>
      <c r="E15" s="6" t="s">
        <v>379</v>
      </c>
      <c r="F15" s="6" t="s">
        <v>17</v>
      </c>
      <c r="G15" s="9">
        <v>20.85</v>
      </c>
      <c r="H15" t="str">
        <f t="shared" si="1"/>
        <v>S, M, L, XL, XXL,</v>
      </c>
    </row>
    <row r="16" spans="1:8" x14ac:dyDescent="0.25">
      <c r="A16" s="6" t="s">
        <v>146</v>
      </c>
      <c r="B16" s="6" t="str">
        <f t="shared" si="0"/>
        <v>1362 DALTON</v>
      </c>
      <c r="C16" s="6">
        <v>1362</v>
      </c>
      <c r="D16" s="6" t="s">
        <v>732</v>
      </c>
      <c r="E16" s="6" t="s">
        <v>387</v>
      </c>
      <c r="F16" s="6" t="s">
        <v>17</v>
      </c>
      <c r="G16" s="9">
        <v>20.85</v>
      </c>
      <c r="H16" t="str">
        <f t="shared" si="1"/>
        <v>S, M, L, XL, XXL,</v>
      </c>
    </row>
    <row r="17" spans="1:8" x14ac:dyDescent="0.25">
      <c r="A17" s="6" t="s">
        <v>146</v>
      </c>
      <c r="B17" s="6" t="str">
        <f t="shared" si="0"/>
        <v>1362 DALTON</v>
      </c>
      <c r="C17" s="6">
        <v>1362</v>
      </c>
      <c r="D17" s="6" t="s">
        <v>732</v>
      </c>
      <c r="E17" s="6" t="s">
        <v>383</v>
      </c>
      <c r="F17" s="6" t="s">
        <v>17</v>
      </c>
      <c r="G17" s="9">
        <v>20.85</v>
      </c>
      <c r="H17" t="str">
        <f t="shared" si="1"/>
        <v>S, M, L, XL, XXL,</v>
      </c>
    </row>
    <row r="18" spans="1:8" x14ac:dyDescent="0.25">
      <c r="A18" s="6" t="s">
        <v>146</v>
      </c>
      <c r="B18" s="6" t="str">
        <f t="shared" si="0"/>
        <v>1362 DALTON</v>
      </c>
      <c r="C18" s="6">
        <v>1362</v>
      </c>
      <c r="D18" s="6" t="s">
        <v>732</v>
      </c>
      <c r="E18" s="6" t="s">
        <v>51</v>
      </c>
      <c r="F18" s="6" t="s">
        <v>17</v>
      </c>
      <c r="G18" s="9">
        <v>20.85</v>
      </c>
      <c r="H18" t="str">
        <f t="shared" si="1"/>
        <v>S, M, L, XL, XXL,</v>
      </c>
    </row>
    <row r="19" spans="1:8" x14ac:dyDescent="0.25">
      <c r="A19" s="6" t="s">
        <v>149</v>
      </c>
      <c r="B19" s="6" t="str">
        <f t="shared" si="0"/>
        <v>BK2205OD FAILSAFE</v>
      </c>
      <c r="C19" s="6" t="s">
        <v>573</v>
      </c>
      <c r="D19" s="6" t="s">
        <v>733</v>
      </c>
      <c r="E19" s="6" t="s">
        <v>379</v>
      </c>
      <c r="F19" s="6" t="s">
        <v>91</v>
      </c>
      <c r="G19" s="9">
        <v>18.82</v>
      </c>
      <c r="H19" t="str">
        <f t="shared" si="1"/>
        <v>One Size,</v>
      </c>
    </row>
    <row r="20" spans="1:8" x14ac:dyDescent="0.25">
      <c r="A20" s="6" t="s">
        <v>149</v>
      </c>
      <c r="B20" s="6" t="str">
        <f t="shared" si="0"/>
        <v>BK2205OD FAILSAFE</v>
      </c>
      <c r="C20" s="6" t="s">
        <v>573</v>
      </c>
      <c r="D20" s="6" t="s">
        <v>733</v>
      </c>
      <c r="E20" s="6" t="s">
        <v>388</v>
      </c>
      <c r="F20" s="6" t="s">
        <v>91</v>
      </c>
      <c r="G20" s="9">
        <v>18.82</v>
      </c>
      <c r="H20" t="str">
        <f t="shared" si="1"/>
        <v>One Size,</v>
      </c>
    </row>
    <row r="21" spans="1:8" x14ac:dyDescent="0.25">
      <c r="A21" s="6" t="s">
        <v>149</v>
      </c>
      <c r="B21" s="6" t="str">
        <f t="shared" si="0"/>
        <v>BK2205OD FAILSAFE</v>
      </c>
      <c r="C21" s="6" t="s">
        <v>573</v>
      </c>
      <c r="D21" s="6" t="s">
        <v>733</v>
      </c>
      <c r="E21" s="6" t="s">
        <v>389</v>
      </c>
      <c r="F21" s="6" t="s">
        <v>91</v>
      </c>
      <c r="G21" s="9">
        <v>18.82</v>
      </c>
      <c r="H21" t="str">
        <f t="shared" si="1"/>
        <v>One Size,</v>
      </c>
    </row>
    <row r="22" spans="1:8" x14ac:dyDescent="0.25">
      <c r="A22" s="6" t="s">
        <v>151</v>
      </c>
      <c r="B22" s="6" t="str">
        <f t="shared" si="0"/>
        <v>BK2206OD ZERO HORIZON</v>
      </c>
      <c r="C22" s="6" t="s">
        <v>723</v>
      </c>
      <c r="D22" s="6" t="s">
        <v>831</v>
      </c>
      <c r="E22" s="6" t="s">
        <v>379</v>
      </c>
      <c r="F22" s="6" t="s">
        <v>91</v>
      </c>
      <c r="G22" s="9">
        <v>15.1</v>
      </c>
      <c r="H22" t="str">
        <f t="shared" si="1"/>
        <v>One Size,</v>
      </c>
    </row>
    <row r="23" spans="1:8" x14ac:dyDescent="0.25">
      <c r="A23" s="6" t="s">
        <v>151</v>
      </c>
      <c r="B23" s="6" t="str">
        <f t="shared" si="0"/>
        <v>BK2206OD ZERO HORIZON</v>
      </c>
      <c r="C23" s="6" t="s">
        <v>723</v>
      </c>
      <c r="D23" s="6" t="s">
        <v>831</v>
      </c>
      <c r="E23" s="6" t="s">
        <v>390</v>
      </c>
      <c r="F23" s="6" t="s">
        <v>91</v>
      </c>
      <c r="G23" s="9">
        <v>15.1</v>
      </c>
      <c r="H23" t="str">
        <f t="shared" si="1"/>
        <v>One Size,</v>
      </c>
    </row>
    <row r="24" spans="1:8" x14ac:dyDescent="0.25">
      <c r="A24" s="6" t="s">
        <v>151</v>
      </c>
      <c r="B24" s="6" t="str">
        <f t="shared" si="0"/>
        <v>BK2206OD ZERO HORIZON</v>
      </c>
      <c r="C24" s="6" t="s">
        <v>723</v>
      </c>
      <c r="D24" s="6" t="s">
        <v>831</v>
      </c>
      <c r="E24" s="6" t="s">
        <v>389</v>
      </c>
      <c r="F24" s="6" t="s">
        <v>91</v>
      </c>
      <c r="G24" s="9">
        <v>15.1</v>
      </c>
      <c r="H24" t="str">
        <f t="shared" si="1"/>
        <v>One Size,</v>
      </c>
    </row>
    <row r="25" spans="1:8" x14ac:dyDescent="0.25">
      <c r="A25" s="6" t="s">
        <v>153</v>
      </c>
      <c r="B25" s="6" t="str">
        <f t="shared" si="0"/>
        <v>BK2207OD GLISSADE</v>
      </c>
      <c r="C25" s="6" t="s">
        <v>591</v>
      </c>
      <c r="D25" s="6" t="s">
        <v>734</v>
      </c>
      <c r="E25" s="6" t="s">
        <v>379</v>
      </c>
      <c r="F25" s="6" t="s">
        <v>91</v>
      </c>
      <c r="G25" s="9">
        <v>15.25</v>
      </c>
      <c r="H25" t="str">
        <f t="shared" si="1"/>
        <v>One Size,</v>
      </c>
    </row>
    <row r="26" spans="1:8" x14ac:dyDescent="0.25">
      <c r="A26" s="6" t="s">
        <v>153</v>
      </c>
      <c r="B26" s="6" t="str">
        <f t="shared" si="0"/>
        <v>BK2207OD GLISSADE</v>
      </c>
      <c r="C26" s="6" t="s">
        <v>591</v>
      </c>
      <c r="D26" s="6" t="s">
        <v>734</v>
      </c>
      <c r="E26" s="6" t="s">
        <v>390</v>
      </c>
      <c r="F26" s="6" t="s">
        <v>91</v>
      </c>
      <c r="G26" s="9">
        <v>15.25</v>
      </c>
      <c r="H26" t="str">
        <f t="shared" si="1"/>
        <v>One Size,</v>
      </c>
    </row>
    <row r="27" spans="1:8" x14ac:dyDescent="0.25">
      <c r="A27" s="6" t="s">
        <v>153</v>
      </c>
      <c r="B27" s="6" t="str">
        <f t="shared" si="0"/>
        <v>BK2207OD GLISSADE</v>
      </c>
      <c r="C27" s="6" t="s">
        <v>591</v>
      </c>
      <c r="D27" s="6" t="s">
        <v>734</v>
      </c>
      <c r="E27" s="6" t="s">
        <v>388</v>
      </c>
      <c r="F27" s="6" t="s">
        <v>91</v>
      </c>
      <c r="G27" s="9">
        <v>15.25</v>
      </c>
      <c r="H27" t="str">
        <f t="shared" si="1"/>
        <v>One Size,</v>
      </c>
    </row>
    <row r="28" spans="1:8" x14ac:dyDescent="0.25">
      <c r="A28" s="6" t="s">
        <v>153</v>
      </c>
      <c r="B28" s="6" t="str">
        <f t="shared" si="0"/>
        <v>BK2207OD GLISSADE</v>
      </c>
      <c r="C28" s="6" t="s">
        <v>591</v>
      </c>
      <c r="D28" s="6" t="s">
        <v>734</v>
      </c>
      <c r="E28" s="6" t="s">
        <v>389</v>
      </c>
      <c r="F28" s="6" t="s">
        <v>91</v>
      </c>
      <c r="G28" s="9">
        <v>15.25</v>
      </c>
      <c r="H28" t="str">
        <f t="shared" si="1"/>
        <v>One Size,</v>
      </c>
    </row>
    <row r="29" spans="1:8" x14ac:dyDescent="0.25">
      <c r="A29" s="6" t="s">
        <v>155</v>
      </c>
      <c r="B29" s="6" t="str">
        <f t="shared" si="0"/>
        <v>BK2208OD CAIRN</v>
      </c>
      <c r="C29" s="6" t="s">
        <v>531</v>
      </c>
      <c r="D29" s="6" t="s">
        <v>735</v>
      </c>
      <c r="E29" s="6" t="s">
        <v>379</v>
      </c>
      <c r="F29" s="6" t="s">
        <v>91</v>
      </c>
      <c r="G29" s="9">
        <v>13.92</v>
      </c>
      <c r="H29" t="str">
        <f t="shared" si="1"/>
        <v>One Size,</v>
      </c>
    </row>
    <row r="30" spans="1:8" x14ac:dyDescent="0.25">
      <c r="A30" s="6" t="s">
        <v>155</v>
      </c>
      <c r="B30" s="6" t="str">
        <f t="shared" si="0"/>
        <v>BK2208OD CAIRN</v>
      </c>
      <c r="C30" s="6" t="s">
        <v>531</v>
      </c>
      <c r="D30" s="6" t="s">
        <v>735</v>
      </c>
      <c r="E30" s="6" t="s">
        <v>390</v>
      </c>
      <c r="F30" s="6" t="s">
        <v>91</v>
      </c>
      <c r="G30" s="9">
        <v>13.92</v>
      </c>
      <c r="H30" t="str">
        <f t="shared" si="1"/>
        <v>One Size,</v>
      </c>
    </row>
    <row r="31" spans="1:8" x14ac:dyDescent="0.25">
      <c r="A31" s="6" t="s">
        <v>155</v>
      </c>
      <c r="B31" s="6" t="str">
        <f t="shared" si="0"/>
        <v>BK2208OD CAIRN</v>
      </c>
      <c r="C31" s="6" t="s">
        <v>531</v>
      </c>
      <c r="D31" s="6" t="s">
        <v>735</v>
      </c>
      <c r="E31" s="6" t="s">
        <v>388</v>
      </c>
      <c r="F31" s="6" t="s">
        <v>91</v>
      </c>
      <c r="G31" s="9">
        <v>13.92</v>
      </c>
      <c r="H31" t="str">
        <f t="shared" si="1"/>
        <v>One Size,</v>
      </c>
    </row>
    <row r="32" spans="1:8" x14ac:dyDescent="0.25">
      <c r="A32" s="6" t="s">
        <v>155</v>
      </c>
      <c r="B32" s="6" t="str">
        <f t="shared" si="0"/>
        <v>BK2208OD CAIRN</v>
      </c>
      <c r="C32" s="6" t="s">
        <v>531</v>
      </c>
      <c r="D32" s="6" t="s">
        <v>735</v>
      </c>
      <c r="E32" s="6" t="s">
        <v>389</v>
      </c>
      <c r="F32" s="6" t="s">
        <v>91</v>
      </c>
      <c r="G32" s="9">
        <v>13.92</v>
      </c>
      <c r="H32" t="str">
        <f t="shared" si="1"/>
        <v>One Size,</v>
      </c>
    </row>
    <row r="33" spans="1:8" x14ac:dyDescent="0.25">
      <c r="A33" s="6" t="s">
        <v>156</v>
      </c>
      <c r="B33" s="6" t="str">
        <f t="shared" si="0"/>
        <v>BW2201OD OPSEC</v>
      </c>
      <c r="C33" s="6" t="s">
        <v>654</v>
      </c>
      <c r="D33" s="6" t="s">
        <v>736</v>
      </c>
      <c r="E33" s="6" t="s">
        <v>391</v>
      </c>
      <c r="F33" s="6" t="s">
        <v>17</v>
      </c>
      <c r="G33" s="9">
        <v>43.14</v>
      </c>
      <c r="H33" t="str">
        <f t="shared" si="1"/>
        <v>S, M, L, XL, XXL,</v>
      </c>
    </row>
    <row r="34" spans="1:8" x14ac:dyDescent="0.25">
      <c r="A34" s="6" t="s">
        <v>156</v>
      </c>
      <c r="B34" s="6" t="str">
        <f t="shared" si="0"/>
        <v>BW2201OD OPSEC</v>
      </c>
      <c r="C34" s="6" t="s">
        <v>654</v>
      </c>
      <c r="D34" s="6" t="s">
        <v>736</v>
      </c>
      <c r="E34" s="6" t="s">
        <v>392</v>
      </c>
      <c r="F34" s="6" t="s">
        <v>17</v>
      </c>
      <c r="G34" s="9">
        <v>43.14</v>
      </c>
      <c r="H34" t="str">
        <f t="shared" si="1"/>
        <v>S, M, L, XL, XXL,</v>
      </c>
    </row>
    <row r="35" spans="1:8" x14ac:dyDescent="0.25">
      <c r="A35" s="6" t="s">
        <v>157</v>
      </c>
      <c r="B35" s="6" t="str">
        <f t="shared" si="0"/>
        <v>BW2202OD REDLINE</v>
      </c>
      <c r="C35" s="6" t="s">
        <v>676</v>
      </c>
      <c r="D35" s="6" t="s">
        <v>737</v>
      </c>
      <c r="E35" s="6" t="s">
        <v>379</v>
      </c>
      <c r="F35" s="6" t="s">
        <v>17</v>
      </c>
      <c r="G35" s="9">
        <v>50.5</v>
      </c>
      <c r="H35" t="str">
        <f t="shared" si="1"/>
        <v>S, M, L, XL, XXL,</v>
      </c>
    </row>
    <row r="36" spans="1:8" x14ac:dyDescent="0.25">
      <c r="A36" s="6" t="s">
        <v>157</v>
      </c>
      <c r="B36" s="6" t="str">
        <f t="shared" si="0"/>
        <v>BW2202OD REDLINE</v>
      </c>
      <c r="C36" s="6" t="s">
        <v>676</v>
      </c>
      <c r="D36" s="6" t="s">
        <v>737</v>
      </c>
      <c r="E36" s="6" t="s">
        <v>393</v>
      </c>
      <c r="F36" s="6" t="s">
        <v>17</v>
      </c>
      <c r="G36" s="9">
        <v>50.5</v>
      </c>
      <c r="H36" t="str">
        <f t="shared" si="1"/>
        <v>S, M, L, XL, XXL,</v>
      </c>
    </row>
    <row r="37" spans="1:8" x14ac:dyDescent="0.25">
      <c r="A37" s="6" t="s">
        <v>106</v>
      </c>
      <c r="B37" s="6" t="str">
        <f t="shared" si="0"/>
        <v>BW2203OD THREE</v>
      </c>
      <c r="C37" s="6" t="s">
        <v>710</v>
      </c>
      <c r="D37" s="6" t="s">
        <v>738</v>
      </c>
      <c r="E37" s="6" t="s">
        <v>379</v>
      </c>
      <c r="F37" s="6" t="s">
        <v>1</v>
      </c>
      <c r="G37" s="9">
        <v>45.46</v>
      </c>
      <c r="H37" t="str">
        <f t="shared" si="1"/>
        <v>S, M, L, XL,</v>
      </c>
    </row>
    <row r="38" spans="1:8" x14ac:dyDescent="0.25">
      <c r="A38" s="6" t="s">
        <v>106</v>
      </c>
      <c r="B38" s="6" t="str">
        <f t="shared" si="0"/>
        <v>BW2203OD THREE</v>
      </c>
      <c r="C38" s="6" t="s">
        <v>710</v>
      </c>
      <c r="D38" s="6" t="s">
        <v>738</v>
      </c>
      <c r="E38" s="6" t="s">
        <v>394</v>
      </c>
      <c r="F38" s="6" t="s">
        <v>1</v>
      </c>
      <c r="G38" s="9">
        <v>45.46</v>
      </c>
      <c r="H38" t="str">
        <f t="shared" si="1"/>
        <v>S, M, L, XL,</v>
      </c>
    </row>
    <row r="39" spans="1:8" x14ac:dyDescent="0.25">
      <c r="A39" s="6" t="s">
        <v>726</v>
      </c>
      <c r="B39" s="6" t="str">
        <f t="shared" si="0"/>
        <v>BW2208OD EDC</v>
      </c>
      <c r="C39" s="6" t="s">
        <v>565</v>
      </c>
      <c r="D39" s="6" t="s">
        <v>566</v>
      </c>
      <c r="E39" s="6" t="s">
        <v>395</v>
      </c>
      <c r="F39" s="6" t="s">
        <v>1</v>
      </c>
      <c r="G39" s="9">
        <v>41.68</v>
      </c>
      <c r="H39" t="str">
        <f t="shared" si="1"/>
        <v>S, M, L, XL,</v>
      </c>
    </row>
    <row r="40" spans="1:8" x14ac:dyDescent="0.25">
      <c r="A40" s="6" t="s">
        <v>726</v>
      </c>
      <c r="B40" s="6" t="str">
        <f t="shared" si="0"/>
        <v>BW2208OD EDC</v>
      </c>
      <c r="C40" s="6" t="s">
        <v>565</v>
      </c>
      <c r="D40" s="6" t="s">
        <v>566</v>
      </c>
      <c r="E40" s="6" t="s">
        <v>396</v>
      </c>
      <c r="F40" s="6" t="s">
        <v>1</v>
      </c>
      <c r="G40" s="9">
        <v>41.68</v>
      </c>
      <c r="H40" t="str">
        <f t="shared" si="1"/>
        <v>S, M, L, XL,</v>
      </c>
    </row>
    <row r="41" spans="1:8" x14ac:dyDescent="0.25">
      <c r="A41" s="6" t="s">
        <v>163</v>
      </c>
      <c r="B41" s="6" t="str">
        <f t="shared" si="0"/>
        <v>BK2204OD ICEFALL</v>
      </c>
      <c r="C41" s="6" t="s">
        <v>613</v>
      </c>
      <c r="D41" s="6" t="s">
        <v>739</v>
      </c>
      <c r="E41" s="6" t="s">
        <v>379</v>
      </c>
      <c r="F41" s="6" t="s">
        <v>91</v>
      </c>
      <c r="G41" s="9">
        <v>18.82</v>
      </c>
      <c r="H41" t="str">
        <f t="shared" si="1"/>
        <v>One Size,</v>
      </c>
    </row>
    <row r="42" spans="1:8" x14ac:dyDescent="0.25">
      <c r="A42" s="6" t="s">
        <v>163</v>
      </c>
      <c r="B42" s="6" t="str">
        <f t="shared" si="0"/>
        <v>BK2204OD ICEFALL</v>
      </c>
      <c r="C42" s="6" t="s">
        <v>613</v>
      </c>
      <c r="D42" s="6" t="s">
        <v>739</v>
      </c>
      <c r="E42" s="6" t="s">
        <v>390</v>
      </c>
      <c r="F42" s="6" t="s">
        <v>91</v>
      </c>
      <c r="G42" s="9">
        <v>18.82</v>
      </c>
      <c r="H42" t="str">
        <f t="shared" si="1"/>
        <v>One Size,</v>
      </c>
    </row>
    <row r="43" spans="1:8" x14ac:dyDescent="0.25">
      <c r="A43" s="6" t="s">
        <v>163</v>
      </c>
      <c r="B43" s="6" t="str">
        <f t="shared" si="0"/>
        <v>BK2204OD ICEFALL</v>
      </c>
      <c r="C43" s="6" t="s">
        <v>613</v>
      </c>
      <c r="D43" s="6" t="s">
        <v>739</v>
      </c>
      <c r="E43" s="6" t="s">
        <v>388</v>
      </c>
      <c r="F43" s="6" t="s">
        <v>91</v>
      </c>
      <c r="G43" s="9">
        <v>18.82</v>
      </c>
      <c r="H43" t="str">
        <f t="shared" si="1"/>
        <v>One Size,</v>
      </c>
    </row>
    <row r="44" spans="1:8" x14ac:dyDescent="0.25">
      <c r="A44" s="6" t="s">
        <v>163</v>
      </c>
      <c r="B44" s="6" t="str">
        <f t="shared" si="0"/>
        <v>BK2204OD ICEFALL</v>
      </c>
      <c r="C44" s="6" t="s">
        <v>613</v>
      </c>
      <c r="D44" s="6" t="s">
        <v>739</v>
      </c>
      <c r="E44" s="6" t="s">
        <v>389</v>
      </c>
      <c r="F44" s="6" t="s">
        <v>91</v>
      </c>
      <c r="G44" s="9">
        <v>18.82</v>
      </c>
      <c r="H44" t="str">
        <f t="shared" si="1"/>
        <v>One Size,</v>
      </c>
    </row>
    <row r="45" spans="1:8" x14ac:dyDescent="0.25">
      <c r="A45" s="6" t="s">
        <v>165</v>
      </c>
      <c r="B45" s="6" t="str">
        <f t="shared" si="0"/>
        <v>BK2201OD NOBO</v>
      </c>
      <c r="C45" s="6" t="s">
        <v>650</v>
      </c>
      <c r="D45" s="6" t="s">
        <v>740</v>
      </c>
      <c r="E45" s="6" t="s">
        <v>379</v>
      </c>
      <c r="F45" s="6" t="s">
        <v>91</v>
      </c>
      <c r="G45" s="9">
        <v>16.600000000000001</v>
      </c>
      <c r="H45" t="str">
        <f t="shared" si="1"/>
        <v>One Size,</v>
      </c>
    </row>
    <row r="46" spans="1:8" x14ac:dyDescent="0.25">
      <c r="A46" s="6" t="s">
        <v>165</v>
      </c>
      <c r="B46" s="6" t="str">
        <f t="shared" si="0"/>
        <v>BK2201OD NOBO</v>
      </c>
      <c r="C46" s="6" t="s">
        <v>650</v>
      </c>
      <c r="D46" s="6" t="s">
        <v>740</v>
      </c>
      <c r="E46" s="6" t="s">
        <v>390</v>
      </c>
      <c r="F46" s="6" t="s">
        <v>91</v>
      </c>
      <c r="G46" s="9">
        <v>16.600000000000001</v>
      </c>
      <c r="H46" t="str">
        <f t="shared" si="1"/>
        <v>One Size,</v>
      </c>
    </row>
    <row r="47" spans="1:8" x14ac:dyDescent="0.25">
      <c r="A47" s="6" t="s">
        <v>165</v>
      </c>
      <c r="B47" s="6" t="str">
        <f t="shared" si="0"/>
        <v>BK2201OD NOBO</v>
      </c>
      <c r="C47" s="6" t="s">
        <v>650</v>
      </c>
      <c r="D47" s="6" t="s">
        <v>740</v>
      </c>
      <c r="E47" s="6" t="s">
        <v>389</v>
      </c>
      <c r="F47" s="6" t="s">
        <v>91</v>
      </c>
      <c r="G47" s="9">
        <v>16.600000000000001</v>
      </c>
      <c r="H47" t="str">
        <f t="shared" si="1"/>
        <v>One Size,</v>
      </c>
    </row>
    <row r="48" spans="1:8" x14ac:dyDescent="0.25">
      <c r="A48" s="6" t="s">
        <v>166</v>
      </c>
      <c r="B48" s="6" t="str">
        <f t="shared" si="0"/>
        <v>BK2202OD NOSEEUM</v>
      </c>
      <c r="C48" s="6" t="s">
        <v>652</v>
      </c>
      <c r="D48" s="6" t="s">
        <v>741</v>
      </c>
      <c r="E48" s="6" t="s">
        <v>379</v>
      </c>
      <c r="F48" s="6" t="s">
        <v>1</v>
      </c>
      <c r="G48" s="9">
        <v>16.350000000000001</v>
      </c>
      <c r="H48" t="str">
        <f t="shared" si="1"/>
        <v>S, M, L, XL,</v>
      </c>
    </row>
    <row r="49" spans="1:8" x14ac:dyDescent="0.25">
      <c r="A49" s="6" t="s">
        <v>166</v>
      </c>
      <c r="B49" s="6" t="str">
        <f t="shared" si="0"/>
        <v>BK2202OD NOSEEUM</v>
      </c>
      <c r="C49" s="6" t="s">
        <v>652</v>
      </c>
      <c r="D49" s="6" t="s">
        <v>741</v>
      </c>
      <c r="E49" s="6" t="s">
        <v>397</v>
      </c>
      <c r="F49" s="6" t="s">
        <v>1</v>
      </c>
      <c r="G49" s="9">
        <v>16.350000000000001</v>
      </c>
      <c r="H49" t="str">
        <f t="shared" si="1"/>
        <v>S, M, L, XL,</v>
      </c>
    </row>
    <row r="50" spans="1:8" x14ac:dyDescent="0.25">
      <c r="A50" s="6" t="s">
        <v>97</v>
      </c>
      <c r="B50" s="6" t="str">
        <f t="shared" si="0"/>
        <v>WR21A ORE</v>
      </c>
      <c r="C50" s="6" t="s">
        <v>656</v>
      </c>
      <c r="D50" s="6" t="s">
        <v>742</v>
      </c>
      <c r="E50" s="6" t="s">
        <v>398</v>
      </c>
      <c r="F50" s="6" t="s">
        <v>1</v>
      </c>
      <c r="G50" s="9">
        <v>51.3</v>
      </c>
      <c r="H50" t="str">
        <f t="shared" si="1"/>
        <v>S, M, L, XL,</v>
      </c>
    </row>
    <row r="51" spans="1:8" x14ac:dyDescent="0.25">
      <c r="A51" s="6" t="s">
        <v>97</v>
      </c>
      <c r="B51" s="6" t="str">
        <f t="shared" si="0"/>
        <v>WR21A ORE</v>
      </c>
      <c r="C51" s="6" t="s">
        <v>656</v>
      </c>
      <c r="D51" s="6" t="s">
        <v>742</v>
      </c>
      <c r="E51" s="6" t="s">
        <v>399</v>
      </c>
      <c r="F51" s="6" t="s">
        <v>1</v>
      </c>
      <c r="G51" s="9">
        <v>51.3</v>
      </c>
      <c r="H51" t="str">
        <f t="shared" si="1"/>
        <v>S, M, L, XL,</v>
      </c>
    </row>
    <row r="52" spans="1:8" x14ac:dyDescent="0.25">
      <c r="A52" s="6" t="s">
        <v>169</v>
      </c>
      <c r="B52" s="6" t="str">
        <f t="shared" si="0"/>
        <v>S17WR1 OSWEGO</v>
      </c>
      <c r="C52" s="6" t="s">
        <v>660</v>
      </c>
      <c r="D52" s="6" t="s">
        <v>743</v>
      </c>
      <c r="E52" s="6" t="s">
        <v>22</v>
      </c>
      <c r="F52" s="6" t="s">
        <v>1</v>
      </c>
      <c r="G52" s="9">
        <v>40.200000000000003</v>
      </c>
      <c r="H52" t="str">
        <f t="shared" si="1"/>
        <v>S, M, L, XL,</v>
      </c>
    </row>
    <row r="53" spans="1:8" x14ac:dyDescent="0.25">
      <c r="A53" s="6" t="s">
        <v>170</v>
      </c>
      <c r="B53" s="6" t="str">
        <f t="shared" si="0"/>
        <v>S22WRB DAYTON</v>
      </c>
      <c r="C53" s="6" t="s">
        <v>555</v>
      </c>
      <c r="D53" s="6" t="s">
        <v>744</v>
      </c>
      <c r="E53" s="6" t="s">
        <v>400</v>
      </c>
      <c r="F53" s="6" t="s">
        <v>1</v>
      </c>
      <c r="G53" s="9">
        <v>46.35</v>
      </c>
      <c r="H53" t="str">
        <f t="shared" si="1"/>
        <v>S, M, L, XL,</v>
      </c>
    </row>
    <row r="54" spans="1:8" x14ac:dyDescent="0.25">
      <c r="A54" s="6" t="s">
        <v>170</v>
      </c>
      <c r="B54" s="6" t="str">
        <f t="shared" si="0"/>
        <v>S22WRB DAYTON</v>
      </c>
      <c r="C54" s="6" t="s">
        <v>555</v>
      </c>
      <c r="D54" s="6" t="s">
        <v>744</v>
      </c>
      <c r="E54" s="6" t="s">
        <v>401</v>
      </c>
      <c r="F54" s="6" t="s">
        <v>1</v>
      </c>
      <c r="G54" s="9">
        <v>46.35</v>
      </c>
      <c r="H54" t="str">
        <f t="shared" si="1"/>
        <v>S, M, L, XL,</v>
      </c>
    </row>
    <row r="55" spans="1:8" x14ac:dyDescent="0.25">
      <c r="A55" s="6" t="s">
        <v>170</v>
      </c>
      <c r="B55" s="6" t="str">
        <f t="shared" si="0"/>
        <v>S22WRB DAYTON</v>
      </c>
      <c r="C55" s="6" t="s">
        <v>555</v>
      </c>
      <c r="D55" s="6" t="s">
        <v>744</v>
      </c>
      <c r="E55" s="6" t="s">
        <v>383</v>
      </c>
      <c r="F55" s="6" t="s">
        <v>1</v>
      </c>
      <c r="G55" s="9">
        <v>46.35</v>
      </c>
      <c r="H55" t="str">
        <f t="shared" si="1"/>
        <v>S, M, L, XL,</v>
      </c>
    </row>
    <row r="56" spans="1:8" x14ac:dyDescent="0.25">
      <c r="A56" s="6" t="s">
        <v>172</v>
      </c>
      <c r="B56" s="6" t="str">
        <f t="shared" si="0"/>
        <v>S17WR2 KILGOR</v>
      </c>
      <c r="C56" s="6" t="s">
        <v>623</v>
      </c>
      <c r="D56" s="6" t="s">
        <v>745</v>
      </c>
      <c r="E56" s="6" t="s">
        <v>99</v>
      </c>
      <c r="F56" s="6" t="s">
        <v>1</v>
      </c>
      <c r="G56" s="9">
        <v>40.75</v>
      </c>
      <c r="H56" t="str">
        <f t="shared" si="1"/>
        <v>S, M, L, XL,</v>
      </c>
    </row>
    <row r="57" spans="1:8" x14ac:dyDescent="0.25">
      <c r="A57" s="6" t="s">
        <v>725</v>
      </c>
      <c r="B57" s="6" t="str">
        <f t="shared" si="0"/>
        <v>BC2204OD LNT</v>
      </c>
      <c r="C57" s="6" t="s">
        <v>630</v>
      </c>
      <c r="D57" s="6" t="s">
        <v>631</v>
      </c>
      <c r="E57" s="6" t="s">
        <v>379</v>
      </c>
      <c r="F57" s="6" t="s">
        <v>1</v>
      </c>
      <c r="G57" s="9">
        <v>19.27</v>
      </c>
      <c r="H57" t="str">
        <f t="shared" si="1"/>
        <v>S, M, L, XL,</v>
      </c>
    </row>
    <row r="58" spans="1:8" x14ac:dyDescent="0.25">
      <c r="A58" s="6" t="s">
        <v>725</v>
      </c>
      <c r="B58" s="6" t="str">
        <f t="shared" si="0"/>
        <v>BC2204OD LNT</v>
      </c>
      <c r="C58" s="6" t="s">
        <v>630</v>
      </c>
      <c r="D58" s="6" t="s">
        <v>631</v>
      </c>
      <c r="E58" s="6" t="s">
        <v>389</v>
      </c>
      <c r="F58" s="6" t="s">
        <v>1</v>
      </c>
      <c r="G58" s="9">
        <v>19.27</v>
      </c>
      <c r="H58" t="str">
        <f t="shared" si="1"/>
        <v>S, M, L, XL,</v>
      </c>
    </row>
    <row r="59" spans="1:8" x14ac:dyDescent="0.25">
      <c r="A59" s="6" t="s">
        <v>725</v>
      </c>
      <c r="B59" s="6" t="str">
        <f t="shared" si="0"/>
        <v>BC2204OD LNT</v>
      </c>
      <c r="C59" s="6" t="s">
        <v>630</v>
      </c>
      <c r="D59" s="6" t="s">
        <v>631</v>
      </c>
      <c r="E59" s="6" t="s">
        <v>402</v>
      </c>
      <c r="F59" s="6" t="s">
        <v>1</v>
      </c>
      <c r="G59" s="9">
        <v>19.27</v>
      </c>
      <c r="H59" t="str">
        <f t="shared" si="1"/>
        <v>S, M, L, XL,</v>
      </c>
    </row>
    <row r="60" spans="1:8" x14ac:dyDescent="0.25">
      <c r="A60" s="6" t="s">
        <v>175</v>
      </c>
      <c r="B60" s="6" t="str">
        <f t="shared" si="0"/>
        <v>BC2206OD SOBO</v>
      </c>
      <c r="C60" s="6" t="s">
        <v>698</v>
      </c>
      <c r="D60" s="6" t="s">
        <v>746</v>
      </c>
      <c r="E60" s="6" t="s">
        <v>379</v>
      </c>
      <c r="F60" s="6" t="s">
        <v>1</v>
      </c>
      <c r="G60" s="9">
        <v>19.5</v>
      </c>
      <c r="H60" t="str">
        <f t="shared" si="1"/>
        <v>S, M, L, XL,</v>
      </c>
    </row>
    <row r="61" spans="1:8" x14ac:dyDescent="0.25">
      <c r="A61" s="6" t="s">
        <v>175</v>
      </c>
      <c r="B61" s="6" t="str">
        <f t="shared" si="0"/>
        <v>BC2206OD SOBO</v>
      </c>
      <c r="C61" s="6" t="s">
        <v>698</v>
      </c>
      <c r="D61" s="6" t="s">
        <v>746</v>
      </c>
      <c r="E61" s="6" t="s">
        <v>389</v>
      </c>
      <c r="F61" s="6" t="s">
        <v>1</v>
      </c>
      <c r="G61" s="9">
        <v>19.5</v>
      </c>
      <c r="H61" t="str">
        <f t="shared" si="1"/>
        <v>S, M, L, XL,</v>
      </c>
    </row>
    <row r="62" spans="1:8" x14ac:dyDescent="0.25">
      <c r="A62" s="6" t="s">
        <v>177</v>
      </c>
      <c r="B62" s="6" t="str">
        <f t="shared" si="0"/>
        <v>BC2205OD DUODESS</v>
      </c>
      <c r="C62" s="6" t="s">
        <v>563</v>
      </c>
      <c r="D62" s="6" t="s">
        <v>747</v>
      </c>
      <c r="E62" s="6" t="s">
        <v>379</v>
      </c>
      <c r="F62" s="6" t="s">
        <v>1</v>
      </c>
      <c r="G62" s="9">
        <v>19.3</v>
      </c>
      <c r="H62" t="str">
        <f t="shared" si="1"/>
        <v>S, M, L, XL,</v>
      </c>
    </row>
    <row r="63" spans="1:8" x14ac:dyDescent="0.25">
      <c r="A63" s="6" t="s">
        <v>177</v>
      </c>
      <c r="B63" s="6" t="str">
        <f t="shared" si="0"/>
        <v>BC2205OD DUODESS</v>
      </c>
      <c r="C63" s="6" t="s">
        <v>563</v>
      </c>
      <c r="D63" s="6" t="s">
        <v>747</v>
      </c>
      <c r="E63" s="6" t="s">
        <v>389</v>
      </c>
      <c r="F63" s="6" t="s">
        <v>1</v>
      </c>
      <c r="G63" s="9">
        <v>19.3</v>
      </c>
      <c r="H63" t="str">
        <f t="shared" si="1"/>
        <v>S, M, L, XL,</v>
      </c>
    </row>
    <row r="64" spans="1:8" x14ac:dyDescent="0.25">
      <c r="A64" s="6" t="s">
        <v>179</v>
      </c>
      <c r="B64" s="6" t="str">
        <f t="shared" si="0"/>
        <v>BC2202OD FEN</v>
      </c>
      <c r="C64" s="6" t="s">
        <v>575</v>
      </c>
      <c r="D64" s="6" t="s">
        <v>748</v>
      </c>
      <c r="E64" s="6" t="s">
        <v>382</v>
      </c>
      <c r="F64" s="6" t="s">
        <v>91</v>
      </c>
      <c r="G64" s="9">
        <v>19.559999999999999</v>
      </c>
      <c r="H64" t="str">
        <f t="shared" si="1"/>
        <v>One Size,</v>
      </c>
    </row>
    <row r="65" spans="1:8" x14ac:dyDescent="0.25">
      <c r="A65" s="6" t="s">
        <v>179</v>
      </c>
      <c r="B65" s="6" t="str">
        <f t="shared" si="0"/>
        <v>BC2202OD FEN</v>
      </c>
      <c r="C65" s="6" t="s">
        <v>575</v>
      </c>
      <c r="D65" s="6" t="s">
        <v>748</v>
      </c>
      <c r="E65" s="6" t="s">
        <v>389</v>
      </c>
      <c r="F65" s="6" t="s">
        <v>91</v>
      </c>
      <c r="G65" s="9">
        <v>19.559999999999999</v>
      </c>
      <c r="H65" t="str">
        <f t="shared" si="1"/>
        <v>One Size,</v>
      </c>
    </row>
    <row r="66" spans="1:8" x14ac:dyDescent="0.25">
      <c r="A66" s="6" t="s">
        <v>180</v>
      </c>
      <c r="B66" s="6" t="str">
        <f t="shared" si="0"/>
        <v>BC2203OD CONIFER</v>
      </c>
      <c r="C66" s="6" t="s">
        <v>539</v>
      </c>
      <c r="D66" s="6" t="s">
        <v>749</v>
      </c>
      <c r="E66" s="6" t="s">
        <v>379</v>
      </c>
      <c r="F66" s="6" t="s">
        <v>91</v>
      </c>
      <c r="G66" s="9">
        <v>17.13</v>
      </c>
      <c r="H66" t="str">
        <f t="shared" si="1"/>
        <v>One Size,</v>
      </c>
    </row>
    <row r="67" spans="1:8" x14ac:dyDescent="0.25">
      <c r="A67" s="6" t="s">
        <v>180</v>
      </c>
      <c r="B67" s="6" t="str">
        <f t="shared" ref="B67:B130" si="2">TRIM(C67&amp;" "&amp;D67)</f>
        <v>BC2203OD CONIFER</v>
      </c>
      <c r="C67" s="6" t="s">
        <v>539</v>
      </c>
      <c r="D67" s="6" t="s">
        <v>749</v>
      </c>
      <c r="E67" s="6" t="s">
        <v>389</v>
      </c>
      <c r="F67" s="6" t="s">
        <v>91</v>
      </c>
      <c r="G67" s="9">
        <v>17.13</v>
      </c>
      <c r="H67" t="str">
        <f t="shared" ref="H67:H130" si="3">F67&amp;","</f>
        <v>One Size,</v>
      </c>
    </row>
    <row r="68" spans="1:8" x14ac:dyDescent="0.25">
      <c r="A68" s="6" t="s">
        <v>181</v>
      </c>
      <c r="B68" s="6" t="str">
        <f t="shared" si="2"/>
        <v>BC2201OD CACHE</v>
      </c>
      <c r="C68" s="6" t="s">
        <v>529</v>
      </c>
      <c r="D68" s="6" t="s">
        <v>750</v>
      </c>
      <c r="E68" s="6" t="s">
        <v>379</v>
      </c>
      <c r="F68" s="6" t="s">
        <v>91</v>
      </c>
      <c r="G68" s="9">
        <v>17.43</v>
      </c>
      <c r="H68" t="str">
        <f t="shared" si="3"/>
        <v>One Size,</v>
      </c>
    </row>
    <row r="69" spans="1:8" x14ac:dyDescent="0.25">
      <c r="A69" s="6" t="s">
        <v>181</v>
      </c>
      <c r="B69" s="6" t="str">
        <f t="shared" si="2"/>
        <v>BC2201OD CACHE</v>
      </c>
      <c r="C69" s="6" t="s">
        <v>529</v>
      </c>
      <c r="D69" s="6" t="s">
        <v>750</v>
      </c>
      <c r="E69" s="6" t="s">
        <v>389</v>
      </c>
      <c r="F69" s="6" t="s">
        <v>91</v>
      </c>
      <c r="G69" s="9">
        <v>17.43</v>
      </c>
      <c r="H69" t="str">
        <f t="shared" si="3"/>
        <v>One Size,</v>
      </c>
    </row>
    <row r="70" spans="1:8" x14ac:dyDescent="0.25">
      <c r="A70" s="6" t="s">
        <v>182</v>
      </c>
      <c r="B70" s="6" t="str">
        <f t="shared" si="2"/>
        <v>90171BH HELIOS</v>
      </c>
      <c r="C70" s="6" t="s">
        <v>599</v>
      </c>
      <c r="D70" s="6" t="s">
        <v>751</v>
      </c>
      <c r="E70" s="6" t="s">
        <v>403</v>
      </c>
      <c r="F70" s="6" t="s">
        <v>1</v>
      </c>
      <c r="G70" s="9">
        <v>21.3</v>
      </c>
      <c r="H70" t="str">
        <f t="shared" si="3"/>
        <v>S, M, L, XL,</v>
      </c>
    </row>
    <row r="71" spans="1:8" x14ac:dyDescent="0.25">
      <c r="A71" s="6" t="s">
        <v>182</v>
      </c>
      <c r="B71" s="6" t="str">
        <f t="shared" si="2"/>
        <v>90171BH HELIOS</v>
      </c>
      <c r="C71" s="6" t="s">
        <v>599</v>
      </c>
      <c r="D71" s="6" t="s">
        <v>751</v>
      </c>
      <c r="E71" s="6" t="s">
        <v>404</v>
      </c>
      <c r="F71" s="6" t="s">
        <v>1</v>
      </c>
      <c r="G71" s="9">
        <v>21.3</v>
      </c>
      <c r="H71" t="str">
        <f t="shared" si="3"/>
        <v>S, M, L, XL,</v>
      </c>
    </row>
    <row r="72" spans="1:8" x14ac:dyDescent="0.25">
      <c r="A72" s="6" t="s">
        <v>183</v>
      </c>
      <c r="B72" s="6" t="str">
        <f t="shared" si="2"/>
        <v>90172BH CONALL</v>
      </c>
      <c r="C72" s="6" t="s">
        <v>537</v>
      </c>
      <c r="D72" s="6" t="s">
        <v>752</v>
      </c>
      <c r="E72" s="6" t="s">
        <v>405</v>
      </c>
      <c r="F72" s="6" t="s">
        <v>1</v>
      </c>
      <c r="G72" s="9">
        <v>20.22</v>
      </c>
      <c r="H72" t="str">
        <f t="shared" si="3"/>
        <v>S, M, L, XL,</v>
      </c>
    </row>
    <row r="73" spans="1:8" x14ac:dyDescent="0.25">
      <c r="A73" s="6" t="s">
        <v>183</v>
      </c>
      <c r="B73" s="6" t="str">
        <f t="shared" si="2"/>
        <v>90172BH CONALL</v>
      </c>
      <c r="C73" s="6" t="s">
        <v>537</v>
      </c>
      <c r="D73" s="6" t="s">
        <v>752</v>
      </c>
      <c r="E73" s="6" t="s">
        <v>379</v>
      </c>
      <c r="F73" s="6" t="s">
        <v>1</v>
      </c>
      <c r="G73" s="9">
        <v>20.22</v>
      </c>
      <c r="H73" t="str">
        <f t="shared" si="3"/>
        <v>S, M, L, XL,</v>
      </c>
    </row>
    <row r="74" spans="1:8" x14ac:dyDescent="0.25">
      <c r="A74" s="6" t="s">
        <v>183</v>
      </c>
      <c r="B74" s="6" t="str">
        <f t="shared" si="2"/>
        <v>90172BH CONALL</v>
      </c>
      <c r="C74" s="6" t="s">
        <v>537</v>
      </c>
      <c r="D74" s="6" t="s">
        <v>752</v>
      </c>
      <c r="E74" s="6" t="s">
        <v>406</v>
      </c>
      <c r="F74" s="6" t="s">
        <v>1</v>
      </c>
      <c r="G74" s="9">
        <v>20.22</v>
      </c>
      <c r="H74" t="str">
        <f t="shared" si="3"/>
        <v>S, M, L, XL,</v>
      </c>
    </row>
    <row r="75" spans="1:8" x14ac:dyDescent="0.25">
      <c r="A75" s="6" t="s">
        <v>185</v>
      </c>
      <c r="B75" s="6" t="str">
        <f t="shared" si="2"/>
        <v>90058 SLATER</v>
      </c>
      <c r="C75" s="6">
        <v>90058</v>
      </c>
      <c r="D75" s="6" t="s">
        <v>753</v>
      </c>
      <c r="E75" s="6" t="s">
        <v>405</v>
      </c>
      <c r="F75" s="6" t="s">
        <v>17</v>
      </c>
      <c r="G75" s="9">
        <v>18.38</v>
      </c>
      <c r="H75" t="str">
        <f t="shared" si="3"/>
        <v>S, M, L, XL, XXL,</v>
      </c>
    </row>
    <row r="76" spans="1:8" x14ac:dyDescent="0.25">
      <c r="A76" s="6" t="s">
        <v>185</v>
      </c>
      <c r="B76" s="6" t="str">
        <f t="shared" si="2"/>
        <v>90058 SLATER</v>
      </c>
      <c r="C76" s="6">
        <v>90058</v>
      </c>
      <c r="D76" s="6" t="s">
        <v>753</v>
      </c>
      <c r="E76" s="6" t="s">
        <v>407</v>
      </c>
      <c r="F76" s="6" t="s">
        <v>17</v>
      </c>
      <c r="G76" s="9">
        <v>18.38</v>
      </c>
      <c r="H76" t="str">
        <f t="shared" si="3"/>
        <v>S, M, L, XL, XXL,</v>
      </c>
    </row>
    <row r="77" spans="1:8" x14ac:dyDescent="0.25">
      <c r="A77" s="6" t="s">
        <v>185</v>
      </c>
      <c r="B77" s="6" t="str">
        <f t="shared" si="2"/>
        <v>90058 SLATER</v>
      </c>
      <c r="C77" s="6">
        <v>90058</v>
      </c>
      <c r="D77" s="6" t="s">
        <v>753</v>
      </c>
      <c r="E77" s="6" t="s">
        <v>381</v>
      </c>
      <c r="F77" s="6" t="s">
        <v>17</v>
      </c>
      <c r="G77" s="9">
        <v>18.38</v>
      </c>
      <c r="H77" t="str">
        <f t="shared" si="3"/>
        <v>S, M, L, XL, XXL,</v>
      </c>
    </row>
    <row r="78" spans="1:8" x14ac:dyDescent="0.25">
      <c r="A78" s="6" t="s">
        <v>185</v>
      </c>
      <c r="B78" s="6" t="str">
        <f t="shared" si="2"/>
        <v>90058 SLATER</v>
      </c>
      <c r="C78" s="6">
        <v>90058</v>
      </c>
      <c r="D78" s="6" t="s">
        <v>753</v>
      </c>
      <c r="E78" s="6" t="s">
        <v>408</v>
      </c>
      <c r="F78" s="6" t="s">
        <v>17</v>
      </c>
      <c r="G78" s="9">
        <v>18.38</v>
      </c>
      <c r="H78" t="str">
        <f t="shared" si="3"/>
        <v>S, M, L, XL, XXL,</v>
      </c>
    </row>
    <row r="79" spans="1:8" x14ac:dyDescent="0.25">
      <c r="A79" s="6" t="s">
        <v>185</v>
      </c>
      <c r="B79" s="6" t="str">
        <f t="shared" si="2"/>
        <v>90058 SLATER</v>
      </c>
      <c r="C79" s="6">
        <v>90058</v>
      </c>
      <c r="D79" s="6" t="s">
        <v>753</v>
      </c>
      <c r="E79" s="6" t="s">
        <v>409</v>
      </c>
      <c r="F79" s="6" t="s">
        <v>17</v>
      </c>
      <c r="G79" s="9">
        <v>18.38</v>
      </c>
      <c r="H79" t="str">
        <f t="shared" si="3"/>
        <v>S, M, L, XL, XXL,</v>
      </c>
    </row>
    <row r="80" spans="1:8" x14ac:dyDescent="0.25">
      <c r="A80" s="6" t="s">
        <v>187</v>
      </c>
      <c r="B80" s="6" t="str">
        <f t="shared" si="2"/>
        <v>1365 GRAHAM</v>
      </c>
      <c r="C80" s="6">
        <v>1365</v>
      </c>
      <c r="D80" s="6" t="s">
        <v>754</v>
      </c>
      <c r="E80" s="6" t="s">
        <v>379</v>
      </c>
      <c r="F80" s="6" t="s">
        <v>17</v>
      </c>
      <c r="G80" s="9">
        <v>18.07</v>
      </c>
      <c r="H80" t="str">
        <f t="shared" si="3"/>
        <v>S, M, L, XL, XXL,</v>
      </c>
    </row>
    <row r="81" spans="1:8" x14ac:dyDescent="0.25">
      <c r="A81" s="6" t="s">
        <v>187</v>
      </c>
      <c r="B81" s="6" t="str">
        <f t="shared" si="2"/>
        <v>1365 GRAHAM</v>
      </c>
      <c r="C81" s="6">
        <v>1365</v>
      </c>
      <c r="D81" s="6" t="s">
        <v>754</v>
      </c>
      <c r="E81" s="6" t="s">
        <v>387</v>
      </c>
      <c r="F81" s="6" t="s">
        <v>17</v>
      </c>
      <c r="G81" s="9">
        <v>18.07</v>
      </c>
      <c r="H81" t="str">
        <f t="shared" si="3"/>
        <v>S, M, L, XL, XXL,</v>
      </c>
    </row>
    <row r="82" spans="1:8" x14ac:dyDescent="0.25">
      <c r="A82" s="6" t="s">
        <v>187</v>
      </c>
      <c r="B82" s="6" t="str">
        <f t="shared" si="2"/>
        <v>1365 GRAHAM</v>
      </c>
      <c r="C82" s="6">
        <v>1365</v>
      </c>
      <c r="D82" s="6" t="s">
        <v>754</v>
      </c>
      <c r="E82" s="6" t="s">
        <v>383</v>
      </c>
      <c r="F82" s="6" t="s">
        <v>17</v>
      </c>
      <c r="G82" s="9">
        <v>18.07</v>
      </c>
      <c r="H82" t="str">
        <f t="shared" si="3"/>
        <v>S, M, L, XL, XXL,</v>
      </c>
    </row>
    <row r="83" spans="1:8" x14ac:dyDescent="0.25">
      <c r="A83" s="6" t="s">
        <v>187</v>
      </c>
      <c r="B83" s="6" t="str">
        <f t="shared" si="2"/>
        <v>1365 GRAHAM</v>
      </c>
      <c r="C83" s="6">
        <v>1365</v>
      </c>
      <c r="D83" s="6" t="s">
        <v>754</v>
      </c>
      <c r="E83" s="6" t="s">
        <v>51</v>
      </c>
      <c r="F83" s="6" t="s">
        <v>17</v>
      </c>
      <c r="G83" s="9">
        <v>18.07</v>
      </c>
      <c r="H83" t="str">
        <f t="shared" si="3"/>
        <v>S, M, L, XL, XXL,</v>
      </c>
    </row>
    <row r="84" spans="1:8" x14ac:dyDescent="0.25">
      <c r="A84" s="6" t="s">
        <v>188</v>
      </c>
      <c r="B84" s="6" t="str">
        <f t="shared" si="2"/>
        <v>90163BH LEIF</v>
      </c>
      <c r="C84" s="6" t="s">
        <v>626</v>
      </c>
      <c r="D84" s="6" t="s">
        <v>755</v>
      </c>
      <c r="E84" s="6" t="s">
        <v>410</v>
      </c>
      <c r="F84" s="6" t="s">
        <v>17</v>
      </c>
      <c r="G84" s="9">
        <v>19.899999999999999</v>
      </c>
      <c r="H84" t="str">
        <f t="shared" si="3"/>
        <v>S, M, L, XL, XXL,</v>
      </c>
    </row>
    <row r="85" spans="1:8" x14ac:dyDescent="0.25">
      <c r="A85" s="6" t="s">
        <v>188</v>
      </c>
      <c r="B85" s="6" t="str">
        <f t="shared" si="2"/>
        <v>90163BH LEIF</v>
      </c>
      <c r="C85" s="6" t="s">
        <v>626</v>
      </c>
      <c r="D85" s="6" t="s">
        <v>755</v>
      </c>
      <c r="E85" s="6" t="s">
        <v>411</v>
      </c>
      <c r="F85" s="6" t="s">
        <v>17</v>
      </c>
      <c r="G85" s="9">
        <v>19.899999999999999</v>
      </c>
      <c r="H85" t="str">
        <f t="shared" si="3"/>
        <v>S, M, L, XL, XXL,</v>
      </c>
    </row>
    <row r="86" spans="1:8" x14ac:dyDescent="0.25">
      <c r="A86" s="6" t="s">
        <v>188</v>
      </c>
      <c r="B86" s="6" t="str">
        <f t="shared" si="2"/>
        <v>90163BH LEIF</v>
      </c>
      <c r="C86" s="6" t="s">
        <v>626</v>
      </c>
      <c r="D86" s="6" t="s">
        <v>755</v>
      </c>
      <c r="E86" s="6" t="s">
        <v>412</v>
      </c>
      <c r="F86" s="6" t="s">
        <v>17</v>
      </c>
      <c r="G86" s="9">
        <v>19.899999999999999</v>
      </c>
      <c r="H86" t="str">
        <f t="shared" si="3"/>
        <v>S, M, L, XL, XXL,</v>
      </c>
    </row>
    <row r="87" spans="1:8" x14ac:dyDescent="0.25">
      <c r="A87" s="6" t="s">
        <v>85</v>
      </c>
      <c r="B87" s="6" t="str">
        <f t="shared" si="2"/>
        <v>90164BH ANSEL</v>
      </c>
      <c r="C87" s="6" t="s">
        <v>505</v>
      </c>
      <c r="D87" s="6" t="s">
        <v>756</v>
      </c>
      <c r="E87" s="6" t="s">
        <v>413</v>
      </c>
      <c r="F87" s="6" t="s">
        <v>1</v>
      </c>
      <c r="G87" s="9">
        <v>19.82</v>
      </c>
      <c r="H87" t="str">
        <f t="shared" si="3"/>
        <v>S, M, L, XL,</v>
      </c>
    </row>
    <row r="88" spans="1:8" x14ac:dyDescent="0.25">
      <c r="A88" s="6" t="s">
        <v>85</v>
      </c>
      <c r="B88" s="6" t="str">
        <f t="shared" si="2"/>
        <v>90164BH ANSEL</v>
      </c>
      <c r="C88" s="6" t="s">
        <v>505</v>
      </c>
      <c r="D88" s="6" t="s">
        <v>756</v>
      </c>
      <c r="E88" s="6" t="s">
        <v>414</v>
      </c>
      <c r="F88" s="6" t="s">
        <v>1</v>
      </c>
      <c r="G88" s="9">
        <v>19.82</v>
      </c>
      <c r="H88" t="str">
        <f t="shared" si="3"/>
        <v>S, M, L, XL,</v>
      </c>
    </row>
    <row r="89" spans="1:8" x14ac:dyDescent="0.25">
      <c r="A89" s="6" t="s">
        <v>85</v>
      </c>
      <c r="B89" s="6" t="str">
        <f t="shared" si="2"/>
        <v>90164BH ANSEL</v>
      </c>
      <c r="C89" s="6" t="s">
        <v>505</v>
      </c>
      <c r="D89" s="6" t="s">
        <v>756</v>
      </c>
      <c r="E89" s="6" t="s">
        <v>415</v>
      </c>
      <c r="F89" s="6" t="s">
        <v>1</v>
      </c>
      <c r="G89" s="9">
        <v>19.82</v>
      </c>
      <c r="H89" t="str">
        <f t="shared" si="3"/>
        <v>S, M, L, XL,</v>
      </c>
    </row>
    <row r="90" spans="1:8" x14ac:dyDescent="0.25">
      <c r="A90" s="6" t="s">
        <v>84</v>
      </c>
      <c r="B90" s="6" t="str">
        <f t="shared" si="2"/>
        <v>90165BH VANDER</v>
      </c>
      <c r="C90" s="6" t="s">
        <v>712</v>
      </c>
      <c r="D90" s="6" t="s">
        <v>757</v>
      </c>
      <c r="E90" s="6" t="s">
        <v>416</v>
      </c>
      <c r="F90" s="6" t="s">
        <v>1</v>
      </c>
      <c r="G90" s="9">
        <v>20.97</v>
      </c>
      <c r="H90" t="str">
        <f t="shared" si="3"/>
        <v>S, M, L, XL,</v>
      </c>
    </row>
    <row r="91" spans="1:8" x14ac:dyDescent="0.25">
      <c r="A91" s="6" t="s">
        <v>84</v>
      </c>
      <c r="B91" s="6" t="str">
        <f t="shared" si="2"/>
        <v>90165BH VANDER</v>
      </c>
      <c r="C91" s="6" t="s">
        <v>712</v>
      </c>
      <c r="D91" s="6" t="s">
        <v>757</v>
      </c>
      <c r="E91" s="6" t="s">
        <v>383</v>
      </c>
      <c r="F91" s="6" t="s">
        <v>1</v>
      </c>
      <c r="G91" s="9">
        <v>20.97</v>
      </c>
      <c r="H91" t="str">
        <f t="shared" si="3"/>
        <v>S, M, L, XL,</v>
      </c>
    </row>
    <row r="92" spans="1:8" x14ac:dyDescent="0.25">
      <c r="A92" s="6" t="s">
        <v>191</v>
      </c>
      <c r="B92" s="6" t="str">
        <f t="shared" si="2"/>
        <v>90166BH DUNSTAN</v>
      </c>
      <c r="C92" s="6" t="s">
        <v>561</v>
      </c>
      <c r="D92" s="6" t="s">
        <v>758</v>
      </c>
      <c r="E92" s="6" t="s">
        <v>417</v>
      </c>
      <c r="F92" s="6" t="s">
        <v>1</v>
      </c>
      <c r="G92" s="9">
        <v>19.43</v>
      </c>
      <c r="H92" t="str">
        <f t="shared" si="3"/>
        <v>S, M, L, XL,</v>
      </c>
    </row>
    <row r="93" spans="1:8" x14ac:dyDescent="0.25">
      <c r="A93" s="6" t="s">
        <v>191</v>
      </c>
      <c r="B93" s="6" t="str">
        <f t="shared" si="2"/>
        <v>90166BH DUNSTAN</v>
      </c>
      <c r="C93" s="6" t="s">
        <v>561</v>
      </c>
      <c r="D93" s="6" t="s">
        <v>758</v>
      </c>
      <c r="E93" s="6" t="s">
        <v>418</v>
      </c>
      <c r="F93" s="6" t="s">
        <v>1</v>
      </c>
      <c r="G93" s="9">
        <v>19.43</v>
      </c>
      <c r="H93" t="str">
        <f t="shared" si="3"/>
        <v>S, M, L, XL,</v>
      </c>
    </row>
    <row r="94" spans="1:8" x14ac:dyDescent="0.25">
      <c r="A94" s="6" t="s">
        <v>191</v>
      </c>
      <c r="B94" s="6" t="str">
        <f t="shared" si="2"/>
        <v>90166BH DUNSTAN</v>
      </c>
      <c r="C94" s="6" t="s">
        <v>561</v>
      </c>
      <c r="D94" s="6" t="s">
        <v>758</v>
      </c>
      <c r="E94" s="6" t="s">
        <v>419</v>
      </c>
      <c r="F94" s="6" t="s">
        <v>1</v>
      </c>
      <c r="G94" s="9">
        <v>19.43</v>
      </c>
      <c r="H94" t="str">
        <f t="shared" si="3"/>
        <v>S, M, L, XL,</v>
      </c>
    </row>
    <row r="95" spans="1:8" x14ac:dyDescent="0.25">
      <c r="A95" s="6" t="s">
        <v>194</v>
      </c>
      <c r="B95" s="6" t="str">
        <f t="shared" si="2"/>
        <v>81652 ELLIOTT</v>
      </c>
      <c r="C95" s="6">
        <v>81652</v>
      </c>
      <c r="D95" s="6" t="s">
        <v>759</v>
      </c>
      <c r="E95" s="6" t="s">
        <v>22</v>
      </c>
      <c r="F95" s="6" t="s">
        <v>1</v>
      </c>
      <c r="G95" s="9">
        <v>19.149999999999999</v>
      </c>
      <c r="H95" t="str">
        <f t="shared" si="3"/>
        <v>S, M, L, XL,</v>
      </c>
    </row>
    <row r="96" spans="1:8" x14ac:dyDescent="0.25">
      <c r="A96" s="6" t="s">
        <v>195</v>
      </c>
      <c r="B96" s="6" t="str">
        <f t="shared" si="2"/>
        <v>81703BH FOLEY</v>
      </c>
      <c r="C96" s="6" t="s">
        <v>577</v>
      </c>
      <c r="D96" s="6" t="s">
        <v>760</v>
      </c>
      <c r="E96" s="6" t="s">
        <v>22</v>
      </c>
      <c r="F96" s="6" t="s">
        <v>1</v>
      </c>
      <c r="G96" s="9">
        <v>21.62</v>
      </c>
      <c r="H96" t="str">
        <f t="shared" si="3"/>
        <v>S, M, L, XL,</v>
      </c>
    </row>
    <row r="97" spans="1:8" x14ac:dyDescent="0.25">
      <c r="A97" s="6" t="s">
        <v>195</v>
      </c>
      <c r="B97" s="6" t="str">
        <f t="shared" si="2"/>
        <v>81703BH FOLEY</v>
      </c>
      <c r="C97" s="6" t="s">
        <v>577</v>
      </c>
      <c r="D97" s="6" t="s">
        <v>760</v>
      </c>
      <c r="E97" s="6" t="s">
        <v>420</v>
      </c>
      <c r="F97" s="6" t="s">
        <v>1</v>
      </c>
      <c r="G97" s="9">
        <v>21.62</v>
      </c>
      <c r="H97" t="str">
        <f t="shared" si="3"/>
        <v>S, M, L, XL,</v>
      </c>
    </row>
    <row r="98" spans="1:8" x14ac:dyDescent="0.25">
      <c r="A98" s="6" t="s">
        <v>196</v>
      </c>
      <c r="B98" s="6" t="str">
        <f t="shared" si="2"/>
        <v>81710BH HOOPER</v>
      </c>
      <c r="C98" s="6" t="s">
        <v>607</v>
      </c>
      <c r="D98" s="6" t="s">
        <v>761</v>
      </c>
      <c r="E98" s="6" t="s">
        <v>382</v>
      </c>
      <c r="F98" s="6" t="s">
        <v>1</v>
      </c>
      <c r="G98" s="9">
        <v>20.9</v>
      </c>
      <c r="H98" t="str">
        <f t="shared" si="3"/>
        <v>S, M, L, XL,</v>
      </c>
    </row>
    <row r="99" spans="1:8" x14ac:dyDescent="0.25">
      <c r="A99" s="6" t="s">
        <v>196</v>
      </c>
      <c r="B99" s="6" t="str">
        <f t="shared" si="2"/>
        <v>81710BH HOOPER</v>
      </c>
      <c r="C99" s="6" t="s">
        <v>607</v>
      </c>
      <c r="D99" s="6" t="s">
        <v>761</v>
      </c>
      <c r="E99" s="6" t="s">
        <v>421</v>
      </c>
      <c r="F99" s="6" t="s">
        <v>1</v>
      </c>
      <c r="G99" s="9">
        <v>20.9</v>
      </c>
      <c r="H99" t="str">
        <f t="shared" si="3"/>
        <v>S, M, L, XL,</v>
      </c>
    </row>
    <row r="100" spans="1:8" x14ac:dyDescent="0.25">
      <c r="A100" s="6" t="s">
        <v>196</v>
      </c>
      <c r="B100" s="6" t="str">
        <f t="shared" si="2"/>
        <v>81710BH HOOPER</v>
      </c>
      <c r="C100" s="6" t="s">
        <v>607</v>
      </c>
      <c r="D100" s="6" t="s">
        <v>761</v>
      </c>
      <c r="E100" s="6" t="s">
        <v>22</v>
      </c>
      <c r="F100" s="6" t="s">
        <v>1</v>
      </c>
      <c r="G100" s="9">
        <v>20.9</v>
      </c>
      <c r="H100" t="str">
        <f t="shared" si="3"/>
        <v>S, M, L, XL,</v>
      </c>
    </row>
    <row r="101" spans="1:8" x14ac:dyDescent="0.25">
      <c r="A101" s="6" t="s">
        <v>198</v>
      </c>
      <c r="B101" s="6" t="str">
        <f t="shared" si="2"/>
        <v>81720BH MULLAN</v>
      </c>
      <c r="C101" s="6" t="s">
        <v>648</v>
      </c>
      <c r="D101" s="6" t="s">
        <v>762</v>
      </c>
      <c r="E101" s="6" t="s">
        <v>379</v>
      </c>
      <c r="F101" s="6" t="s">
        <v>1</v>
      </c>
      <c r="G101" s="9">
        <v>23.15</v>
      </c>
      <c r="H101" t="str">
        <f t="shared" si="3"/>
        <v>S, M, L, XL,</v>
      </c>
    </row>
    <row r="102" spans="1:8" x14ac:dyDescent="0.25">
      <c r="A102" s="6" t="s">
        <v>198</v>
      </c>
      <c r="B102" s="6" t="str">
        <f t="shared" si="2"/>
        <v>81720BH MULLAN</v>
      </c>
      <c r="C102" s="6" t="s">
        <v>648</v>
      </c>
      <c r="D102" s="6" t="s">
        <v>762</v>
      </c>
      <c r="E102" s="6" t="s">
        <v>422</v>
      </c>
      <c r="F102" s="6" t="s">
        <v>1</v>
      </c>
      <c r="G102" s="9">
        <v>23.15</v>
      </c>
      <c r="H102" t="str">
        <f t="shared" si="3"/>
        <v>S, M, L, XL,</v>
      </c>
    </row>
    <row r="103" spans="1:8" x14ac:dyDescent="0.25">
      <c r="A103" s="6" t="s">
        <v>198</v>
      </c>
      <c r="B103" s="6" t="str">
        <f t="shared" si="2"/>
        <v>81720BH MULLAN</v>
      </c>
      <c r="C103" s="6" t="s">
        <v>648</v>
      </c>
      <c r="D103" s="6" t="s">
        <v>762</v>
      </c>
      <c r="E103" s="6" t="s">
        <v>423</v>
      </c>
      <c r="F103" s="6" t="s">
        <v>1</v>
      </c>
      <c r="G103" s="9">
        <v>23.15</v>
      </c>
      <c r="H103" t="str">
        <f t="shared" si="3"/>
        <v>S, M, L, XL,</v>
      </c>
    </row>
    <row r="104" spans="1:8" x14ac:dyDescent="0.25">
      <c r="A104" s="6" t="s">
        <v>200</v>
      </c>
      <c r="B104" s="6" t="str">
        <f t="shared" si="2"/>
        <v>81727BH DENNEY</v>
      </c>
      <c r="C104" s="6" t="s">
        <v>557</v>
      </c>
      <c r="D104" s="6" t="s">
        <v>763</v>
      </c>
      <c r="E104" s="6" t="s">
        <v>379</v>
      </c>
      <c r="F104" s="6" t="s">
        <v>1</v>
      </c>
      <c r="G104" s="9">
        <v>21.15</v>
      </c>
      <c r="H104" t="str">
        <f t="shared" si="3"/>
        <v>S, M, L, XL,</v>
      </c>
    </row>
    <row r="105" spans="1:8" x14ac:dyDescent="0.25">
      <c r="A105" s="6" t="s">
        <v>200</v>
      </c>
      <c r="B105" s="6" t="str">
        <f t="shared" si="2"/>
        <v>81727BH DENNEY</v>
      </c>
      <c r="C105" s="6" t="s">
        <v>557</v>
      </c>
      <c r="D105" s="6" t="s">
        <v>763</v>
      </c>
      <c r="E105" s="6" t="s">
        <v>424</v>
      </c>
      <c r="F105" s="6" t="s">
        <v>1</v>
      </c>
      <c r="G105" s="9">
        <v>21.15</v>
      </c>
      <c r="H105" t="str">
        <f t="shared" si="3"/>
        <v>S, M, L, XL,</v>
      </c>
    </row>
    <row r="106" spans="1:8" x14ac:dyDescent="0.25">
      <c r="A106" s="6" t="s">
        <v>202</v>
      </c>
      <c r="B106" s="6" t="str">
        <f t="shared" si="2"/>
        <v>81690 MANNES</v>
      </c>
      <c r="C106" s="6">
        <v>81690</v>
      </c>
      <c r="D106" s="6" t="s">
        <v>764</v>
      </c>
      <c r="E106" s="6" t="s">
        <v>405</v>
      </c>
      <c r="F106" s="6" t="s">
        <v>17</v>
      </c>
      <c r="G106" s="9">
        <v>20.72</v>
      </c>
      <c r="H106" t="str">
        <f t="shared" si="3"/>
        <v>S, M, L, XL, XXL,</v>
      </c>
    </row>
    <row r="107" spans="1:8" x14ac:dyDescent="0.25">
      <c r="A107" s="6" t="s">
        <v>202</v>
      </c>
      <c r="B107" s="6" t="str">
        <f t="shared" si="2"/>
        <v>81690 MANNES</v>
      </c>
      <c r="C107" s="6">
        <v>81690</v>
      </c>
      <c r="D107" s="6" t="s">
        <v>764</v>
      </c>
      <c r="E107" s="6" t="s">
        <v>425</v>
      </c>
      <c r="F107" s="6" t="s">
        <v>17</v>
      </c>
      <c r="G107" s="9">
        <v>20.72</v>
      </c>
      <c r="H107" t="str">
        <f t="shared" si="3"/>
        <v>S, M, L, XL, XXL,</v>
      </c>
    </row>
    <row r="108" spans="1:8" x14ac:dyDescent="0.25">
      <c r="A108" s="6" t="s">
        <v>202</v>
      </c>
      <c r="B108" s="6" t="str">
        <f t="shared" si="2"/>
        <v>81690 MANNES</v>
      </c>
      <c r="C108" s="6">
        <v>81690</v>
      </c>
      <c r="D108" s="6" t="s">
        <v>764</v>
      </c>
      <c r="E108" s="6" t="s">
        <v>416</v>
      </c>
      <c r="F108" s="6" t="s">
        <v>17</v>
      </c>
      <c r="G108" s="9">
        <v>20.72</v>
      </c>
      <c r="H108" t="str">
        <f t="shared" si="3"/>
        <v>S, M, L, XL, XXL,</v>
      </c>
    </row>
    <row r="109" spans="1:8" x14ac:dyDescent="0.25">
      <c r="A109" s="6" t="s">
        <v>202</v>
      </c>
      <c r="B109" s="6" t="str">
        <f t="shared" si="2"/>
        <v>81690 MANNES</v>
      </c>
      <c r="C109" s="6">
        <v>81690</v>
      </c>
      <c r="D109" s="6" t="s">
        <v>764</v>
      </c>
      <c r="E109" s="6" t="s">
        <v>426</v>
      </c>
      <c r="F109" s="6" t="s">
        <v>17</v>
      </c>
      <c r="G109" s="9">
        <v>20.72</v>
      </c>
      <c r="H109" t="str">
        <f t="shared" si="3"/>
        <v>S, M, L, XL, XXL,</v>
      </c>
    </row>
    <row r="110" spans="1:8" x14ac:dyDescent="0.25">
      <c r="A110" s="6" t="s">
        <v>202</v>
      </c>
      <c r="B110" s="6" t="str">
        <f t="shared" si="2"/>
        <v>81690 MANNES</v>
      </c>
      <c r="C110" s="6">
        <v>81690</v>
      </c>
      <c r="D110" s="6" t="s">
        <v>764</v>
      </c>
      <c r="E110" s="6" t="s">
        <v>427</v>
      </c>
      <c r="F110" s="6" t="s">
        <v>17</v>
      </c>
      <c r="G110" s="9">
        <v>20.72</v>
      </c>
      <c r="H110" t="str">
        <f t="shared" si="3"/>
        <v>S, M, L, XL, XXL,</v>
      </c>
    </row>
    <row r="111" spans="1:8" x14ac:dyDescent="0.25">
      <c r="A111" s="6" t="s">
        <v>202</v>
      </c>
      <c r="B111" s="6" t="str">
        <f t="shared" si="2"/>
        <v>81690 MANNES</v>
      </c>
      <c r="C111" s="6">
        <v>81690</v>
      </c>
      <c r="D111" s="6" t="s">
        <v>764</v>
      </c>
      <c r="E111" s="6" t="s">
        <v>428</v>
      </c>
      <c r="F111" s="6" t="s">
        <v>17</v>
      </c>
      <c r="G111" s="9">
        <v>20.72</v>
      </c>
      <c r="H111" t="str">
        <f t="shared" si="3"/>
        <v>S, M, L, XL, XXL,</v>
      </c>
    </row>
    <row r="112" spans="1:8" x14ac:dyDescent="0.25">
      <c r="A112" s="6" t="s">
        <v>202</v>
      </c>
      <c r="B112" s="6" t="str">
        <f t="shared" si="2"/>
        <v>81690 MANNES</v>
      </c>
      <c r="C112" s="6">
        <v>81690</v>
      </c>
      <c r="D112" s="6" t="s">
        <v>764</v>
      </c>
      <c r="E112" s="6" t="s">
        <v>429</v>
      </c>
      <c r="F112" s="6" t="s">
        <v>17</v>
      </c>
      <c r="G112" s="9">
        <v>20.72</v>
      </c>
      <c r="H112" t="str">
        <f t="shared" si="3"/>
        <v>S, M, L, XL, XXL,</v>
      </c>
    </row>
    <row r="113" spans="1:8" x14ac:dyDescent="0.25">
      <c r="A113" s="6" t="s">
        <v>202</v>
      </c>
      <c r="B113" s="6" t="str">
        <f t="shared" si="2"/>
        <v>81690 MANNES</v>
      </c>
      <c r="C113" s="6">
        <v>81690</v>
      </c>
      <c r="D113" s="6" t="s">
        <v>764</v>
      </c>
      <c r="E113" s="6" t="s">
        <v>430</v>
      </c>
      <c r="F113" s="6" t="s">
        <v>17</v>
      </c>
      <c r="G113" s="9">
        <v>20.72</v>
      </c>
      <c r="H113" t="str">
        <f t="shared" si="3"/>
        <v>S, M, L, XL, XXL,</v>
      </c>
    </row>
    <row r="114" spans="1:8" x14ac:dyDescent="0.25">
      <c r="A114" s="6" t="s">
        <v>202</v>
      </c>
      <c r="B114" s="6" t="str">
        <f t="shared" si="2"/>
        <v>81690 MANNES</v>
      </c>
      <c r="C114" s="6">
        <v>81690</v>
      </c>
      <c r="D114" s="6" t="s">
        <v>764</v>
      </c>
      <c r="E114" s="6" t="s">
        <v>431</v>
      </c>
      <c r="F114" s="6" t="s">
        <v>17</v>
      </c>
      <c r="G114" s="9">
        <v>20.72</v>
      </c>
      <c r="H114" t="str">
        <f t="shared" si="3"/>
        <v>S, M, L, XL, XXL,</v>
      </c>
    </row>
    <row r="115" spans="1:8" x14ac:dyDescent="0.25">
      <c r="A115" s="6" t="s">
        <v>202</v>
      </c>
      <c r="B115" s="6" t="str">
        <f t="shared" si="2"/>
        <v>81690 MANNES</v>
      </c>
      <c r="C115" s="6">
        <v>81690</v>
      </c>
      <c r="D115" s="6" t="s">
        <v>764</v>
      </c>
      <c r="E115" s="6" t="s">
        <v>432</v>
      </c>
      <c r="F115" s="6" t="s">
        <v>17</v>
      </c>
      <c r="G115" s="9">
        <v>20.72</v>
      </c>
      <c r="H115" t="str">
        <f t="shared" si="3"/>
        <v>S, M, L, XL, XXL,</v>
      </c>
    </row>
    <row r="116" spans="1:8" x14ac:dyDescent="0.25">
      <c r="A116" s="6" t="s">
        <v>202</v>
      </c>
      <c r="B116" s="6" t="str">
        <f t="shared" si="2"/>
        <v>81690 MANNES</v>
      </c>
      <c r="C116" s="6">
        <v>81690</v>
      </c>
      <c r="D116" s="6" t="s">
        <v>764</v>
      </c>
      <c r="E116" s="6" t="s">
        <v>433</v>
      </c>
      <c r="F116" s="6" t="s">
        <v>17</v>
      </c>
      <c r="G116" s="9">
        <v>20.72</v>
      </c>
      <c r="H116" t="str">
        <f t="shared" si="3"/>
        <v>S, M, L, XL, XXL,</v>
      </c>
    </row>
    <row r="117" spans="1:8" x14ac:dyDescent="0.25">
      <c r="A117" s="6" t="s">
        <v>202</v>
      </c>
      <c r="B117" s="6" t="str">
        <f t="shared" si="2"/>
        <v>81690 MANNES</v>
      </c>
      <c r="C117" s="6">
        <v>81690</v>
      </c>
      <c r="D117" s="6" t="s">
        <v>764</v>
      </c>
      <c r="E117" s="6" t="s">
        <v>404</v>
      </c>
      <c r="F117" s="6" t="s">
        <v>17</v>
      </c>
      <c r="G117" s="9">
        <v>20.72</v>
      </c>
      <c r="H117" t="str">
        <f t="shared" si="3"/>
        <v>S, M, L, XL, XXL,</v>
      </c>
    </row>
    <row r="118" spans="1:8" x14ac:dyDescent="0.25">
      <c r="A118" s="6" t="s">
        <v>202</v>
      </c>
      <c r="B118" s="6" t="str">
        <f t="shared" si="2"/>
        <v>81690 MANNES</v>
      </c>
      <c r="C118" s="6">
        <v>81690</v>
      </c>
      <c r="D118" s="6" t="s">
        <v>764</v>
      </c>
      <c r="E118" s="6" t="s">
        <v>434</v>
      </c>
      <c r="F118" s="6" t="s">
        <v>17</v>
      </c>
      <c r="G118" s="9">
        <v>20.72</v>
      </c>
      <c r="H118" t="str">
        <f t="shared" si="3"/>
        <v>S, M, L, XL, XXL,</v>
      </c>
    </row>
    <row r="119" spans="1:8" x14ac:dyDescent="0.25">
      <c r="A119" s="6" t="s">
        <v>203</v>
      </c>
      <c r="B119" s="6" t="str">
        <f t="shared" si="2"/>
        <v>81695 MANNESROE</v>
      </c>
      <c r="C119" s="6">
        <v>81695</v>
      </c>
      <c r="D119" s="6" t="s">
        <v>765</v>
      </c>
      <c r="E119" s="6" t="s">
        <v>435</v>
      </c>
      <c r="F119" s="6" t="s">
        <v>17</v>
      </c>
      <c r="G119" s="9">
        <v>20.72</v>
      </c>
      <c r="H119" t="str">
        <f t="shared" si="3"/>
        <v>S, M, L, XL, XXL,</v>
      </c>
    </row>
    <row r="120" spans="1:8" x14ac:dyDescent="0.25">
      <c r="A120" s="6" t="s">
        <v>203</v>
      </c>
      <c r="B120" s="6" t="str">
        <f t="shared" si="2"/>
        <v>81695 MANNESROE</v>
      </c>
      <c r="C120" s="6">
        <v>81695</v>
      </c>
      <c r="D120" s="6" t="s">
        <v>765</v>
      </c>
      <c r="E120" s="6" t="s">
        <v>436</v>
      </c>
      <c r="F120" s="6" t="s">
        <v>17</v>
      </c>
      <c r="G120" s="9">
        <v>20.72</v>
      </c>
      <c r="H120" t="str">
        <f t="shared" si="3"/>
        <v>S, M, L, XL, XXL,</v>
      </c>
    </row>
    <row r="121" spans="1:8" x14ac:dyDescent="0.25">
      <c r="A121" s="6" t="s">
        <v>203</v>
      </c>
      <c r="B121" s="6" t="str">
        <f t="shared" si="2"/>
        <v>81695 MANNESROE</v>
      </c>
      <c r="C121" s="6">
        <v>81695</v>
      </c>
      <c r="D121" s="6" t="s">
        <v>765</v>
      </c>
      <c r="E121" s="6" t="s">
        <v>432</v>
      </c>
      <c r="F121" s="6" t="s">
        <v>17</v>
      </c>
      <c r="G121" s="9">
        <v>20.72</v>
      </c>
      <c r="H121" t="str">
        <f t="shared" si="3"/>
        <v>S, M, L, XL, XXL,</v>
      </c>
    </row>
    <row r="122" spans="1:8" x14ac:dyDescent="0.25">
      <c r="A122" s="6" t="s">
        <v>204</v>
      </c>
      <c r="B122" s="6" t="str">
        <f t="shared" si="2"/>
        <v>81726BH HESTER</v>
      </c>
      <c r="C122" s="6" t="s">
        <v>603</v>
      </c>
      <c r="D122" s="6" t="s">
        <v>766</v>
      </c>
      <c r="E122" s="6" t="s">
        <v>405</v>
      </c>
      <c r="F122" s="6" t="s">
        <v>1</v>
      </c>
      <c r="G122" s="9">
        <v>23.07</v>
      </c>
      <c r="H122" t="str">
        <f t="shared" si="3"/>
        <v>S, M, L, XL,</v>
      </c>
    </row>
    <row r="123" spans="1:8" x14ac:dyDescent="0.25">
      <c r="A123" s="6" t="s">
        <v>204</v>
      </c>
      <c r="B123" s="6" t="str">
        <f t="shared" si="2"/>
        <v>81726BH HESTER</v>
      </c>
      <c r="C123" s="6" t="s">
        <v>603</v>
      </c>
      <c r="D123" s="6" t="s">
        <v>766</v>
      </c>
      <c r="E123" s="6" t="s">
        <v>422</v>
      </c>
      <c r="F123" s="6" t="s">
        <v>1</v>
      </c>
      <c r="G123" s="9">
        <v>23.07</v>
      </c>
      <c r="H123" t="str">
        <f t="shared" si="3"/>
        <v>S, M, L, XL,</v>
      </c>
    </row>
    <row r="124" spans="1:8" x14ac:dyDescent="0.25">
      <c r="A124" s="6" t="s">
        <v>204</v>
      </c>
      <c r="B124" s="6" t="str">
        <f t="shared" si="2"/>
        <v>81726BH HESTER</v>
      </c>
      <c r="C124" s="6" t="s">
        <v>603</v>
      </c>
      <c r="D124" s="6" t="s">
        <v>766</v>
      </c>
      <c r="E124" s="6" t="s">
        <v>388</v>
      </c>
      <c r="F124" s="6" t="s">
        <v>1</v>
      </c>
      <c r="G124" s="9">
        <v>23.07</v>
      </c>
      <c r="H124" t="str">
        <f t="shared" si="3"/>
        <v>S, M, L, XL,</v>
      </c>
    </row>
    <row r="125" spans="1:8" x14ac:dyDescent="0.25">
      <c r="A125" s="6" t="s">
        <v>204</v>
      </c>
      <c r="B125" s="6" t="str">
        <f t="shared" si="2"/>
        <v>81726BH HESTER</v>
      </c>
      <c r="C125" s="6" t="s">
        <v>603</v>
      </c>
      <c r="D125" s="6" t="s">
        <v>766</v>
      </c>
      <c r="E125" s="6" t="s">
        <v>437</v>
      </c>
      <c r="F125" s="6" t="s">
        <v>1</v>
      </c>
      <c r="G125" s="9">
        <v>23.07</v>
      </c>
      <c r="H125" t="str">
        <f t="shared" si="3"/>
        <v>S, M, L, XL,</v>
      </c>
    </row>
    <row r="126" spans="1:8" x14ac:dyDescent="0.25">
      <c r="A126" s="6" t="s">
        <v>204</v>
      </c>
      <c r="B126" s="6" t="str">
        <f t="shared" si="2"/>
        <v>81726BH HESTER</v>
      </c>
      <c r="C126" s="6" t="s">
        <v>603</v>
      </c>
      <c r="D126" s="6" t="s">
        <v>766</v>
      </c>
      <c r="E126" s="6" t="s">
        <v>423</v>
      </c>
      <c r="F126" s="6" t="s">
        <v>1</v>
      </c>
      <c r="G126" s="9">
        <v>23.07</v>
      </c>
      <c r="H126" t="str">
        <f t="shared" si="3"/>
        <v>S, M, L, XL,</v>
      </c>
    </row>
    <row r="127" spans="1:8" x14ac:dyDescent="0.25">
      <c r="A127" s="6" t="s">
        <v>204</v>
      </c>
      <c r="B127" s="6" t="str">
        <f t="shared" si="2"/>
        <v>81726BH HESTER</v>
      </c>
      <c r="C127" s="6" t="s">
        <v>603</v>
      </c>
      <c r="D127" s="6" t="s">
        <v>766</v>
      </c>
      <c r="E127" s="6" t="s">
        <v>404</v>
      </c>
      <c r="F127" s="6" t="s">
        <v>1</v>
      </c>
      <c r="G127" s="9">
        <v>23.07</v>
      </c>
      <c r="H127" t="str">
        <f t="shared" si="3"/>
        <v>S, M, L, XL,</v>
      </c>
    </row>
    <row r="128" spans="1:8" x14ac:dyDescent="0.25">
      <c r="A128" s="6" t="s">
        <v>74</v>
      </c>
      <c r="B128" s="6" t="str">
        <f t="shared" si="2"/>
        <v>81711BH TATE</v>
      </c>
      <c r="C128" s="6" t="s">
        <v>706</v>
      </c>
      <c r="D128" s="6" t="s">
        <v>767</v>
      </c>
      <c r="E128" s="6" t="s">
        <v>379</v>
      </c>
      <c r="F128" s="6" t="s">
        <v>1</v>
      </c>
      <c r="G128" s="9">
        <v>22.12</v>
      </c>
      <c r="H128" t="str">
        <f t="shared" si="3"/>
        <v>S, M, L, XL,</v>
      </c>
    </row>
    <row r="129" spans="1:8" x14ac:dyDescent="0.25">
      <c r="A129" s="6" t="s">
        <v>74</v>
      </c>
      <c r="B129" s="6" t="str">
        <f t="shared" si="2"/>
        <v>81711BH TATE</v>
      </c>
      <c r="C129" s="6" t="s">
        <v>706</v>
      </c>
      <c r="D129" s="6" t="s">
        <v>767</v>
      </c>
      <c r="E129" s="6" t="s">
        <v>424</v>
      </c>
      <c r="F129" s="6" t="s">
        <v>1</v>
      </c>
      <c r="G129" s="9">
        <v>22.12</v>
      </c>
      <c r="H129" t="str">
        <f t="shared" si="3"/>
        <v>S, M, L, XL,</v>
      </c>
    </row>
    <row r="130" spans="1:8" x14ac:dyDescent="0.25">
      <c r="A130" s="6" t="s">
        <v>74</v>
      </c>
      <c r="B130" s="6" t="str">
        <f t="shared" si="2"/>
        <v>81711BH TATE</v>
      </c>
      <c r="C130" s="6" t="s">
        <v>706</v>
      </c>
      <c r="D130" s="6" t="s">
        <v>767</v>
      </c>
      <c r="E130" s="6" t="s">
        <v>438</v>
      </c>
      <c r="F130" s="6" t="s">
        <v>1</v>
      </c>
      <c r="G130" s="9">
        <v>22.12</v>
      </c>
      <c r="H130" t="str">
        <f t="shared" si="3"/>
        <v>S, M, L, XL,</v>
      </c>
    </row>
    <row r="131" spans="1:8" x14ac:dyDescent="0.25">
      <c r="A131" s="6" t="s">
        <v>74</v>
      </c>
      <c r="B131" s="6" t="str">
        <f t="shared" ref="B131:B194" si="4">TRIM(C131&amp;" "&amp;D131)</f>
        <v>81711BH TATE</v>
      </c>
      <c r="C131" s="6" t="s">
        <v>706</v>
      </c>
      <c r="D131" s="6" t="s">
        <v>767</v>
      </c>
      <c r="E131" s="6" t="s">
        <v>383</v>
      </c>
      <c r="F131" s="6" t="s">
        <v>1</v>
      </c>
      <c r="G131" s="9">
        <v>22.12</v>
      </c>
      <c r="H131" t="str">
        <f t="shared" ref="H131:H194" si="5">F131&amp;","</f>
        <v>S, M, L, XL,</v>
      </c>
    </row>
    <row r="132" spans="1:8" x14ac:dyDescent="0.25">
      <c r="A132" s="6" t="s">
        <v>74</v>
      </c>
      <c r="B132" s="6" t="str">
        <f t="shared" si="4"/>
        <v>81711BH TATE</v>
      </c>
      <c r="C132" s="6" t="s">
        <v>706</v>
      </c>
      <c r="D132" s="6" t="s">
        <v>767</v>
      </c>
      <c r="E132" s="6" t="s">
        <v>439</v>
      </c>
      <c r="F132" s="6" t="s">
        <v>1</v>
      </c>
      <c r="G132" s="9">
        <v>22.12</v>
      </c>
      <c r="H132" t="str">
        <f t="shared" si="5"/>
        <v>S, M, L, XL,</v>
      </c>
    </row>
    <row r="133" spans="1:8" x14ac:dyDescent="0.25">
      <c r="A133" s="6" t="s">
        <v>209</v>
      </c>
      <c r="B133" s="6" t="str">
        <f t="shared" si="4"/>
        <v>81650 SALEM</v>
      </c>
      <c r="C133" s="6">
        <v>81650</v>
      </c>
      <c r="D133" s="6" t="s">
        <v>768</v>
      </c>
      <c r="E133" s="6" t="s">
        <v>440</v>
      </c>
      <c r="F133" s="6" t="s">
        <v>17</v>
      </c>
      <c r="G133" s="9">
        <v>20.72</v>
      </c>
      <c r="H133" t="str">
        <f t="shared" si="5"/>
        <v>S, M, L, XL, XXL,</v>
      </c>
    </row>
    <row r="134" spans="1:8" x14ac:dyDescent="0.25">
      <c r="A134" s="6" t="s">
        <v>209</v>
      </c>
      <c r="B134" s="6" t="str">
        <f t="shared" si="4"/>
        <v>81650 SALEM</v>
      </c>
      <c r="C134" s="6">
        <v>81650</v>
      </c>
      <c r="D134" s="6" t="s">
        <v>768</v>
      </c>
      <c r="E134" s="6" t="s">
        <v>379</v>
      </c>
      <c r="F134" s="6" t="s">
        <v>17</v>
      </c>
      <c r="G134" s="9">
        <v>20.72</v>
      </c>
      <c r="H134" t="str">
        <f t="shared" si="5"/>
        <v>S, M, L, XL, XXL,</v>
      </c>
    </row>
    <row r="135" spans="1:8" x14ac:dyDescent="0.25">
      <c r="A135" s="6" t="s">
        <v>209</v>
      </c>
      <c r="B135" s="6" t="str">
        <f t="shared" si="4"/>
        <v>81650 SALEM</v>
      </c>
      <c r="C135" s="6">
        <v>81650</v>
      </c>
      <c r="D135" s="6" t="s">
        <v>768</v>
      </c>
      <c r="E135" s="6" t="s">
        <v>441</v>
      </c>
      <c r="F135" s="6" t="s">
        <v>17</v>
      </c>
      <c r="G135" s="9">
        <v>20.72</v>
      </c>
      <c r="H135" t="str">
        <f t="shared" si="5"/>
        <v>S, M, L, XL, XXL,</v>
      </c>
    </row>
    <row r="136" spans="1:8" x14ac:dyDescent="0.25">
      <c r="A136" s="6" t="s">
        <v>209</v>
      </c>
      <c r="B136" s="6" t="str">
        <f t="shared" si="4"/>
        <v>81650 SALEM</v>
      </c>
      <c r="C136" s="6">
        <v>81650</v>
      </c>
      <c r="D136" s="6" t="s">
        <v>768</v>
      </c>
      <c r="E136" s="6" t="s">
        <v>442</v>
      </c>
      <c r="F136" s="6" t="s">
        <v>17</v>
      </c>
      <c r="G136" s="9">
        <v>20.72</v>
      </c>
      <c r="H136" t="str">
        <f t="shared" si="5"/>
        <v>S, M, L, XL, XXL,</v>
      </c>
    </row>
    <row r="137" spans="1:8" x14ac:dyDescent="0.25">
      <c r="A137" s="6" t="s">
        <v>209</v>
      </c>
      <c r="B137" s="6" t="str">
        <f t="shared" si="4"/>
        <v>81650 SALEM</v>
      </c>
      <c r="C137" s="6">
        <v>81650</v>
      </c>
      <c r="D137" s="6" t="s">
        <v>768</v>
      </c>
      <c r="E137" s="6" t="s">
        <v>22</v>
      </c>
      <c r="F137" s="6" t="s">
        <v>17</v>
      </c>
      <c r="G137" s="9">
        <v>20.72</v>
      </c>
      <c r="H137" t="str">
        <f t="shared" si="5"/>
        <v>S, M, L, XL, XXL,</v>
      </c>
    </row>
    <row r="138" spans="1:8" x14ac:dyDescent="0.25">
      <c r="A138" s="6" t="s">
        <v>209</v>
      </c>
      <c r="B138" s="6" t="str">
        <f t="shared" si="4"/>
        <v>81650 SALEM</v>
      </c>
      <c r="C138" s="6">
        <v>81650</v>
      </c>
      <c r="D138" s="6" t="s">
        <v>768</v>
      </c>
      <c r="E138" s="6" t="s">
        <v>383</v>
      </c>
      <c r="F138" s="6" t="s">
        <v>17</v>
      </c>
      <c r="G138" s="9">
        <v>20.72</v>
      </c>
      <c r="H138" t="str">
        <f t="shared" si="5"/>
        <v>S, M, L, XL, XXL,</v>
      </c>
    </row>
    <row r="139" spans="1:8" x14ac:dyDescent="0.25">
      <c r="A139" s="6" t="s">
        <v>209</v>
      </c>
      <c r="B139" s="6" t="str">
        <f t="shared" si="4"/>
        <v>81650 SALEM</v>
      </c>
      <c r="C139" s="6">
        <v>81650</v>
      </c>
      <c r="D139" s="6" t="s">
        <v>768</v>
      </c>
      <c r="E139" s="6" t="s">
        <v>431</v>
      </c>
      <c r="F139" s="6" t="s">
        <v>17</v>
      </c>
      <c r="G139" s="9">
        <v>20.72</v>
      </c>
      <c r="H139" t="str">
        <f t="shared" si="5"/>
        <v>S, M, L, XL, XXL,</v>
      </c>
    </row>
    <row r="140" spans="1:8" x14ac:dyDescent="0.25">
      <c r="A140" s="6" t="s">
        <v>209</v>
      </c>
      <c r="B140" s="6" t="str">
        <f t="shared" si="4"/>
        <v>81650 SALEM</v>
      </c>
      <c r="C140" s="6">
        <v>81650</v>
      </c>
      <c r="D140" s="6" t="s">
        <v>768</v>
      </c>
      <c r="E140" s="6" t="s">
        <v>443</v>
      </c>
      <c r="F140" s="6" t="s">
        <v>17</v>
      </c>
      <c r="G140" s="9">
        <v>20.72</v>
      </c>
      <c r="H140" t="str">
        <f t="shared" si="5"/>
        <v>S, M, L, XL, XXL,</v>
      </c>
    </row>
    <row r="141" spans="1:8" x14ac:dyDescent="0.25">
      <c r="A141" s="6" t="s">
        <v>209</v>
      </c>
      <c r="B141" s="6" t="str">
        <f t="shared" si="4"/>
        <v>81650 SALEM</v>
      </c>
      <c r="C141" s="6">
        <v>81650</v>
      </c>
      <c r="D141" s="6" t="s">
        <v>768</v>
      </c>
      <c r="E141" s="6" t="s">
        <v>444</v>
      </c>
      <c r="F141" s="6" t="s">
        <v>17</v>
      </c>
      <c r="G141" s="9">
        <v>20.72</v>
      </c>
      <c r="H141" t="str">
        <f t="shared" si="5"/>
        <v>S, M, L, XL, XXL,</v>
      </c>
    </row>
    <row r="142" spans="1:8" x14ac:dyDescent="0.25">
      <c r="A142" s="6" t="s">
        <v>209</v>
      </c>
      <c r="B142" s="6" t="str">
        <f t="shared" si="4"/>
        <v>81650 SALEM</v>
      </c>
      <c r="C142" s="6">
        <v>81650</v>
      </c>
      <c r="D142" s="6" t="s">
        <v>768</v>
      </c>
      <c r="E142" s="6" t="s">
        <v>406</v>
      </c>
      <c r="F142" s="6" t="s">
        <v>17</v>
      </c>
      <c r="G142" s="9">
        <v>20.72</v>
      </c>
      <c r="H142" t="str">
        <f t="shared" si="5"/>
        <v>S, M, L, XL, XXL,</v>
      </c>
    </row>
    <row r="143" spans="1:8" x14ac:dyDescent="0.25">
      <c r="A143" s="6" t="s">
        <v>210</v>
      </c>
      <c r="B143" s="6" t="str">
        <f t="shared" si="4"/>
        <v>81670 BILLY</v>
      </c>
      <c r="C143" s="6">
        <v>81670</v>
      </c>
      <c r="D143" s="6" t="s">
        <v>769</v>
      </c>
      <c r="E143" s="6" t="s">
        <v>440</v>
      </c>
      <c r="F143" s="6" t="s">
        <v>17</v>
      </c>
      <c r="G143" s="9">
        <v>20.72</v>
      </c>
      <c r="H143" t="str">
        <f t="shared" si="5"/>
        <v>S, M, L, XL, XXL,</v>
      </c>
    </row>
    <row r="144" spans="1:8" x14ac:dyDescent="0.25">
      <c r="A144" s="6" t="s">
        <v>210</v>
      </c>
      <c r="B144" s="6" t="str">
        <f t="shared" si="4"/>
        <v>81670 BILLY</v>
      </c>
      <c r="C144" s="6">
        <v>81670</v>
      </c>
      <c r="D144" s="6" t="s">
        <v>769</v>
      </c>
      <c r="E144" s="6" t="s">
        <v>379</v>
      </c>
      <c r="F144" s="6" t="s">
        <v>17</v>
      </c>
      <c r="G144" s="9">
        <v>20.72</v>
      </c>
      <c r="H144" t="str">
        <f t="shared" si="5"/>
        <v>S, M, L, XL, XXL,</v>
      </c>
    </row>
    <row r="145" spans="1:8" x14ac:dyDescent="0.25">
      <c r="A145" s="6" t="s">
        <v>210</v>
      </c>
      <c r="B145" s="6" t="str">
        <f t="shared" si="4"/>
        <v>81670 BILLY</v>
      </c>
      <c r="C145" s="6">
        <v>81670</v>
      </c>
      <c r="D145" s="6" t="s">
        <v>769</v>
      </c>
      <c r="E145" s="6" t="s">
        <v>445</v>
      </c>
      <c r="F145" s="6" t="s">
        <v>17</v>
      </c>
      <c r="G145" s="9">
        <v>20.72</v>
      </c>
      <c r="H145" t="str">
        <f t="shared" si="5"/>
        <v>S, M, L, XL, XXL,</v>
      </c>
    </row>
    <row r="146" spans="1:8" x14ac:dyDescent="0.25">
      <c r="A146" s="6" t="s">
        <v>210</v>
      </c>
      <c r="B146" s="6" t="str">
        <f t="shared" si="4"/>
        <v>81670 BILLY</v>
      </c>
      <c r="C146" s="6">
        <v>81670</v>
      </c>
      <c r="D146" s="6" t="s">
        <v>769</v>
      </c>
      <c r="E146" s="6" t="s">
        <v>416</v>
      </c>
      <c r="F146" s="6" t="s">
        <v>17</v>
      </c>
      <c r="G146" s="9">
        <v>20.72</v>
      </c>
      <c r="H146" t="str">
        <f t="shared" si="5"/>
        <v>S, M, L, XL, XXL,</v>
      </c>
    </row>
    <row r="147" spans="1:8" x14ac:dyDescent="0.25">
      <c r="A147" s="6" t="s">
        <v>210</v>
      </c>
      <c r="B147" s="6" t="str">
        <f t="shared" si="4"/>
        <v>81670 BILLY</v>
      </c>
      <c r="C147" s="6">
        <v>81670</v>
      </c>
      <c r="D147" s="6" t="s">
        <v>769</v>
      </c>
      <c r="E147" s="6" t="s">
        <v>446</v>
      </c>
      <c r="F147" s="6" t="s">
        <v>17</v>
      </c>
      <c r="G147" s="9">
        <v>20.72</v>
      </c>
      <c r="H147" t="str">
        <f t="shared" si="5"/>
        <v>S, M, L, XL, XXL,</v>
      </c>
    </row>
    <row r="148" spans="1:8" x14ac:dyDescent="0.25">
      <c r="A148" s="6" t="s">
        <v>210</v>
      </c>
      <c r="B148" s="6" t="str">
        <f t="shared" si="4"/>
        <v>81670 BILLY</v>
      </c>
      <c r="C148" s="6">
        <v>81670</v>
      </c>
      <c r="D148" s="6" t="s">
        <v>769</v>
      </c>
      <c r="E148" s="6" t="s">
        <v>447</v>
      </c>
      <c r="F148" s="6" t="s">
        <v>17</v>
      </c>
      <c r="G148" s="9">
        <v>20.72</v>
      </c>
      <c r="H148" t="str">
        <f t="shared" si="5"/>
        <v>S, M, L, XL, XXL,</v>
      </c>
    </row>
    <row r="149" spans="1:8" x14ac:dyDescent="0.25">
      <c r="A149" s="6" t="s">
        <v>210</v>
      </c>
      <c r="B149" s="6" t="str">
        <f t="shared" si="4"/>
        <v>81670 BILLY</v>
      </c>
      <c r="C149" s="6">
        <v>81670</v>
      </c>
      <c r="D149" s="6" t="s">
        <v>769</v>
      </c>
      <c r="E149" s="6" t="s">
        <v>448</v>
      </c>
      <c r="F149" s="6" t="s">
        <v>17</v>
      </c>
      <c r="G149" s="9">
        <v>20.72</v>
      </c>
      <c r="H149" t="str">
        <f t="shared" si="5"/>
        <v>S, M, L, XL, XXL,</v>
      </c>
    </row>
    <row r="150" spans="1:8" x14ac:dyDescent="0.25">
      <c r="A150" s="6" t="s">
        <v>210</v>
      </c>
      <c r="B150" s="6" t="str">
        <f t="shared" si="4"/>
        <v>81670 BILLY</v>
      </c>
      <c r="C150" s="6">
        <v>81670</v>
      </c>
      <c r="D150" s="6" t="s">
        <v>769</v>
      </c>
      <c r="E150" s="6" t="s">
        <v>424</v>
      </c>
      <c r="F150" s="6" t="s">
        <v>17</v>
      </c>
      <c r="G150" s="9">
        <v>20.72</v>
      </c>
      <c r="H150" t="str">
        <f t="shared" si="5"/>
        <v>S, M, L, XL, XXL,</v>
      </c>
    </row>
    <row r="151" spans="1:8" x14ac:dyDescent="0.25">
      <c r="A151" s="6" t="s">
        <v>210</v>
      </c>
      <c r="B151" s="6" t="str">
        <f t="shared" si="4"/>
        <v>81670 BILLY</v>
      </c>
      <c r="C151" s="6">
        <v>81670</v>
      </c>
      <c r="D151" s="6" t="s">
        <v>769</v>
      </c>
      <c r="E151" s="6" t="s">
        <v>383</v>
      </c>
      <c r="F151" s="6" t="s">
        <v>17</v>
      </c>
      <c r="G151" s="9">
        <v>20.72</v>
      </c>
      <c r="H151" t="str">
        <f t="shared" si="5"/>
        <v>S, M, L, XL, XXL,</v>
      </c>
    </row>
    <row r="152" spans="1:8" x14ac:dyDescent="0.25">
      <c r="A152" s="6" t="s">
        <v>210</v>
      </c>
      <c r="B152" s="6" t="str">
        <f t="shared" si="4"/>
        <v>81670 BILLY</v>
      </c>
      <c r="C152" s="6">
        <v>81670</v>
      </c>
      <c r="D152" s="6" t="s">
        <v>769</v>
      </c>
      <c r="E152" s="6" t="s">
        <v>51</v>
      </c>
      <c r="F152" s="6" t="s">
        <v>17</v>
      </c>
      <c r="G152" s="9">
        <v>20.72</v>
      </c>
      <c r="H152" t="str">
        <f t="shared" si="5"/>
        <v>S, M, L, XL, XXL,</v>
      </c>
    </row>
    <row r="153" spans="1:8" x14ac:dyDescent="0.25">
      <c r="A153" s="6" t="s">
        <v>210</v>
      </c>
      <c r="B153" s="6" t="str">
        <f t="shared" si="4"/>
        <v>81670 BILLY</v>
      </c>
      <c r="C153" s="6">
        <v>81670</v>
      </c>
      <c r="D153" s="6" t="s">
        <v>769</v>
      </c>
      <c r="E153" s="6" t="s">
        <v>404</v>
      </c>
      <c r="F153" s="6" t="s">
        <v>17</v>
      </c>
      <c r="G153" s="9">
        <v>20.72</v>
      </c>
      <c r="H153" t="str">
        <f t="shared" si="5"/>
        <v>S, M, L, XL, XXL,</v>
      </c>
    </row>
    <row r="154" spans="1:8" x14ac:dyDescent="0.25">
      <c r="A154" s="6" t="s">
        <v>210</v>
      </c>
      <c r="B154" s="6" t="str">
        <f t="shared" si="4"/>
        <v>81670 BILLY</v>
      </c>
      <c r="C154" s="6">
        <v>81670</v>
      </c>
      <c r="D154" s="6" t="s">
        <v>769</v>
      </c>
      <c r="E154" s="6" t="s">
        <v>406</v>
      </c>
      <c r="F154" s="6" t="s">
        <v>17</v>
      </c>
      <c r="G154" s="9">
        <v>20.72</v>
      </c>
      <c r="H154" t="str">
        <f t="shared" si="5"/>
        <v>S, M, L, XL, XXL,</v>
      </c>
    </row>
    <row r="155" spans="1:8" x14ac:dyDescent="0.25">
      <c r="A155" s="6" t="s">
        <v>213</v>
      </c>
      <c r="B155" s="6" t="str">
        <f t="shared" si="4"/>
        <v>81747BH DARIO</v>
      </c>
      <c r="C155" s="6" t="s">
        <v>553</v>
      </c>
      <c r="D155" s="6" t="s">
        <v>770</v>
      </c>
      <c r="E155" s="6" t="s">
        <v>22</v>
      </c>
      <c r="F155" s="6" t="s">
        <v>1</v>
      </c>
      <c r="G155" s="9">
        <v>26.5</v>
      </c>
      <c r="H155" t="str">
        <f t="shared" si="5"/>
        <v>S, M, L, XL,</v>
      </c>
    </row>
    <row r="156" spans="1:8" x14ac:dyDescent="0.25">
      <c r="A156" s="6" t="s">
        <v>214</v>
      </c>
      <c r="B156" s="6" t="str">
        <f t="shared" si="4"/>
        <v>81702BH BERLE</v>
      </c>
      <c r="C156" s="6" t="s">
        <v>511</v>
      </c>
      <c r="D156" s="6" t="s">
        <v>771</v>
      </c>
      <c r="E156" s="6" t="s">
        <v>449</v>
      </c>
      <c r="F156" s="6" t="s">
        <v>1</v>
      </c>
      <c r="G156" s="9">
        <v>24.5</v>
      </c>
      <c r="H156" t="str">
        <f t="shared" si="5"/>
        <v>S, M, L, XL,</v>
      </c>
    </row>
    <row r="157" spans="1:8" x14ac:dyDescent="0.25">
      <c r="A157" s="6" t="s">
        <v>214</v>
      </c>
      <c r="B157" s="6" t="str">
        <f t="shared" si="4"/>
        <v>81702BH BERLE</v>
      </c>
      <c r="C157" s="6" t="s">
        <v>511</v>
      </c>
      <c r="D157" s="6" t="s">
        <v>771</v>
      </c>
      <c r="E157" s="6" t="s">
        <v>450</v>
      </c>
      <c r="F157" s="6" t="s">
        <v>1</v>
      </c>
      <c r="G157" s="9">
        <v>24.5</v>
      </c>
      <c r="H157" t="str">
        <f t="shared" si="5"/>
        <v>S, M, L, XL,</v>
      </c>
    </row>
    <row r="158" spans="1:8" x14ac:dyDescent="0.25">
      <c r="A158" s="6" t="s">
        <v>214</v>
      </c>
      <c r="B158" s="6" t="str">
        <f t="shared" si="4"/>
        <v>81702BH BERLE</v>
      </c>
      <c r="C158" s="6" t="s">
        <v>511</v>
      </c>
      <c r="D158" s="6" t="s">
        <v>771</v>
      </c>
      <c r="E158" s="6" t="s">
        <v>22</v>
      </c>
      <c r="F158" s="6" t="s">
        <v>1</v>
      </c>
      <c r="G158" s="9">
        <v>24.5</v>
      </c>
      <c r="H158" t="str">
        <f t="shared" si="5"/>
        <v>S, M, L, XL,</v>
      </c>
    </row>
    <row r="159" spans="1:8" x14ac:dyDescent="0.25">
      <c r="A159" s="6" t="s">
        <v>214</v>
      </c>
      <c r="B159" s="6" t="str">
        <f t="shared" si="4"/>
        <v>81702BH BERLE</v>
      </c>
      <c r="C159" s="6" t="s">
        <v>511</v>
      </c>
      <c r="D159" s="6" t="s">
        <v>771</v>
      </c>
      <c r="E159" s="6" t="s">
        <v>451</v>
      </c>
      <c r="F159" s="6" t="s">
        <v>1</v>
      </c>
      <c r="G159" s="9">
        <v>24.5</v>
      </c>
      <c r="H159" t="str">
        <f t="shared" si="5"/>
        <v>S, M, L, XL,</v>
      </c>
    </row>
    <row r="160" spans="1:8" x14ac:dyDescent="0.25">
      <c r="A160" s="6" t="s">
        <v>66</v>
      </c>
      <c r="B160" s="6" t="str">
        <f t="shared" si="4"/>
        <v>81741BH WESTFIELD</v>
      </c>
      <c r="C160" s="6" t="s">
        <v>718</v>
      </c>
      <c r="D160" s="6" t="s">
        <v>772</v>
      </c>
      <c r="E160" s="6" t="s">
        <v>452</v>
      </c>
      <c r="F160" s="6" t="s">
        <v>1</v>
      </c>
      <c r="G160" s="9">
        <v>22.71</v>
      </c>
      <c r="H160" t="str">
        <f t="shared" si="5"/>
        <v>S, M, L, XL,</v>
      </c>
    </row>
    <row r="161" spans="1:8" x14ac:dyDescent="0.25">
      <c r="A161" s="6" t="s">
        <v>66</v>
      </c>
      <c r="B161" s="6" t="str">
        <f t="shared" si="4"/>
        <v>81741BH WESTFIELD</v>
      </c>
      <c r="C161" s="6" t="s">
        <v>718</v>
      </c>
      <c r="D161" s="6" t="s">
        <v>772</v>
      </c>
      <c r="E161" s="6" t="s">
        <v>22</v>
      </c>
      <c r="F161" s="6" t="s">
        <v>1</v>
      </c>
      <c r="G161" s="9">
        <v>22.71</v>
      </c>
      <c r="H161" t="str">
        <f t="shared" si="5"/>
        <v>S, M, L, XL,</v>
      </c>
    </row>
    <row r="162" spans="1:8" x14ac:dyDescent="0.25">
      <c r="A162" s="6" t="s">
        <v>217</v>
      </c>
      <c r="B162" s="6" t="str">
        <f t="shared" si="4"/>
        <v>81739BH CARVER</v>
      </c>
      <c r="C162" s="6" t="s">
        <v>533</v>
      </c>
      <c r="D162" s="6" t="s">
        <v>773</v>
      </c>
      <c r="E162" s="6" t="s">
        <v>388</v>
      </c>
      <c r="F162" s="6" t="s">
        <v>1</v>
      </c>
      <c r="G162" s="9">
        <v>23.52</v>
      </c>
      <c r="H162" t="str">
        <f t="shared" si="5"/>
        <v>S, M, L, XL,</v>
      </c>
    </row>
    <row r="163" spans="1:8" x14ac:dyDescent="0.25">
      <c r="A163" s="6" t="s">
        <v>217</v>
      </c>
      <c r="B163" s="6" t="str">
        <f t="shared" si="4"/>
        <v>81739BH CARVER</v>
      </c>
      <c r="C163" s="6" t="s">
        <v>533</v>
      </c>
      <c r="D163" s="6" t="s">
        <v>773</v>
      </c>
      <c r="E163" s="6" t="s">
        <v>22</v>
      </c>
      <c r="F163" s="6" t="s">
        <v>1</v>
      </c>
      <c r="G163" s="9">
        <v>23.52</v>
      </c>
      <c r="H163" t="str">
        <f t="shared" si="5"/>
        <v>S, M, L, XL,</v>
      </c>
    </row>
    <row r="164" spans="1:8" x14ac:dyDescent="0.25">
      <c r="A164" s="6" t="s">
        <v>217</v>
      </c>
      <c r="B164" s="6" t="str">
        <f t="shared" si="4"/>
        <v>81739BH CARVER</v>
      </c>
      <c r="C164" s="6" t="s">
        <v>533</v>
      </c>
      <c r="D164" s="6" t="s">
        <v>773</v>
      </c>
      <c r="E164" s="6" t="s">
        <v>383</v>
      </c>
      <c r="F164" s="6" t="s">
        <v>1</v>
      </c>
      <c r="G164" s="9">
        <v>23.52</v>
      </c>
      <c r="H164" t="str">
        <f t="shared" si="5"/>
        <v>S, M, L, XL,</v>
      </c>
    </row>
    <row r="165" spans="1:8" x14ac:dyDescent="0.25">
      <c r="A165" s="6" t="s">
        <v>217</v>
      </c>
      <c r="B165" s="6" t="str">
        <f t="shared" si="4"/>
        <v>81739BH CARVER</v>
      </c>
      <c r="C165" s="6" t="s">
        <v>533</v>
      </c>
      <c r="D165" s="6" t="s">
        <v>773</v>
      </c>
      <c r="E165" s="6" t="s">
        <v>409</v>
      </c>
      <c r="F165" s="6" t="s">
        <v>1</v>
      </c>
      <c r="G165" s="9">
        <v>23.52</v>
      </c>
      <c r="H165" t="str">
        <f t="shared" si="5"/>
        <v>S, M, L, XL,</v>
      </c>
    </row>
    <row r="166" spans="1:8" x14ac:dyDescent="0.25">
      <c r="A166" s="6" t="s">
        <v>219</v>
      </c>
      <c r="B166" s="6" t="str">
        <f t="shared" si="4"/>
        <v>81722BH ROKIT</v>
      </c>
      <c r="C166" s="6" t="s">
        <v>682</v>
      </c>
      <c r="D166" s="6" t="s">
        <v>774</v>
      </c>
      <c r="E166" s="6" t="s">
        <v>453</v>
      </c>
      <c r="F166" s="6" t="s">
        <v>1</v>
      </c>
      <c r="G166" s="9">
        <v>23.52</v>
      </c>
      <c r="H166" t="str">
        <f t="shared" si="5"/>
        <v>S, M, L, XL,</v>
      </c>
    </row>
    <row r="167" spans="1:8" x14ac:dyDescent="0.25">
      <c r="A167" s="6" t="s">
        <v>219</v>
      </c>
      <c r="B167" s="6" t="str">
        <f t="shared" si="4"/>
        <v>81722BH ROKIT</v>
      </c>
      <c r="C167" s="6" t="s">
        <v>682</v>
      </c>
      <c r="D167" s="6" t="s">
        <v>774</v>
      </c>
      <c r="E167" s="6" t="s">
        <v>454</v>
      </c>
      <c r="F167" s="6" t="s">
        <v>1</v>
      </c>
      <c r="G167" s="9">
        <v>23.52</v>
      </c>
      <c r="H167" t="str">
        <f t="shared" si="5"/>
        <v>S, M, L, XL,</v>
      </c>
    </row>
    <row r="168" spans="1:8" x14ac:dyDescent="0.25">
      <c r="A168" s="6" t="s">
        <v>221</v>
      </c>
      <c r="B168" s="6" t="str">
        <f t="shared" si="4"/>
        <v>81732BH RONIT</v>
      </c>
      <c r="C168" s="6" t="s">
        <v>686</v>
      </c>
      <c r="D168" s="6" t="s">
        <v>775</v>
      </c>
      <c r="E168" s="6" t="s">
        <v>381</v>
      </c>
      <c r="F168" s="6" t="s">
        <v>1</v>
      </c>
      <c r="G168" s="9">
        <v>23.52</v>
      </c>
      <c r="H168" t="str">
        <f t="shared" si="5"/>
        <v>S, M, L, XL,</v>
      </c>
    </row>
    <row r="169" spans="1:8" x14ac:dyDescent="0.25">
      <c r="A169" s="6" t="s">
        <v>221</v>
      </c>
      <c r="B169" s="6" t="str">
        <f t="shared" si="4"/>
        <v>81732BH RONIT</v>
      </c>
      <c r="C169" s="6" t="s">
        <v>686</v>
      </c>
      <c r="D169" s="6" t="s">
        <v>775</v>
      </c>
      <c r="E169" s="6" t="s">
        <v>22</v>
      </c>
      <c r="F169" s="6" t="s">
        <v>1</v>
      </c>
      <c r="G169" s="9">
        <v>23.52</v>
      </c>
      <c r="H169" t="str">
        <f t="shared" si="5"/>
        <v>S, M, L, XL,</v>
      </c>
    </row>
    <row r="170" spans="1:8" x14ac:dyDescent="0.25">
      <c r="A170" s="6" t="s">
        <v>223</v>
      </c>
      <c r="B170" s="6" t="str">
        <f t="shared" si="4"/>
        <v>81717BH CRAIG</v>
      </c>
      <c r="C170" s="6" t="s">
        <v>543</v>
      </c>
      <c r="D170" s="6" t="s">
        <v>776</v>
      </c>
      <c r="E170" s="6" t="s">
        <v>379</v>
      </c>
      <c r="F170" s="6" t="s">
        <v>1</v>
      </c>
      <c r="G170" s="9">
        <v>22.45</v>
      </c>
      <c r="H170" t="str">
        <f t="shared" si="5"/>
        <v>S, M, L, XL,</v>
      </c>
    </row>
    <row r="171" spans="1:8" x14ac:dyDescent="0.25">
      <c r="A171" s="6" t="s">
        <v>223</v>
      </c>
      <c r="B171" s="6" t="str">
        <f t="shared" si="4"/>
        <v>81717BH CRAIG</v>
      </c>
      <c r="C171" s="6" t="s">
        <v>543</v>
      </c>
      <c r="D171" s="6" t="s">
        <v>776</v>
      </c>
      <c r="E171" s="6" t="s">
        <v>388</v>
      </c>
      <c r="F171" s="6" t="s">
        <v>1</v>
      </c>
      <c r="G171" s="9">
        <v>22.45</v>
      </c>
      <c r="H171" t="str">
        <f t="shared" si="5"/>
        <v>S, M, L, XL,</v>
      </c>
    </row>
    <row r="172" spans="1:8" x14ac:dyDescent="0.25">
      <c r="A172" s="6" t="s">
        <v>223</v>
      </c>
      <c r="B172" s="6" t="str">
        <f t="shared" si="4"/>
        <v>81717BH CRAIG</v>
      </c>
      <c r="C172" s="6" t="s">
        <v>543</v>
      </c>
      <c r="D172" s="6" t="s">
        <v>776</v>
      </c>
      <c r="E172" s="6" t="s">
        <v>22</v>
      </c>
      <c r="F172" s="6" t="s">
        <v>1</v>
      </c>
      <c r="G172" s="9">
        <v>22.45</v>
      </c>
      <c r="H172" t="str">
        <f t="shared" si="5"/>
        <v>S, M, L, XL,</v>
      </c>
    </row>
    <row r="173" spans="1:8" x14ac:dyDescent="0.25">
      <c r="A173" s="6" t="s">
        <v>223</v>
      </c>
      <c r="B173" s="6" t="str">
        <f t="shared" si="4"/>
        <v>81717BH CRAIG</v>
      </c>
      <c r="C173" s="6" t="s">
        <v>543</v>
      </c>
      <c r="D173" s="6" t="s">
        <v>776</v>
      </c>
      <c r="E173" s="6" t="s">
        <v>455</v>
      </c>
      <c r="F173" s="6" t="s">
        <v>1</v>
      </c>
      <c r="G173" s="9">
        <v>22.45</v>
      </c>
      <c r="H173" t="str">
        <f t="shared" si="5"/>
        <v>S, M, L, XL,</v>
      </c>
    </row>
    <row r="174" spans="1:8" x14ac:dyDescent="0.25">
      <c r="A174" s="6" t="s">
        <v>223</v>
      </c>
      <c r="B174" s="6" t="str">
        <f t="shared" si="4"/>
        <v>81717BH CRAIG</v>
      </c>
      <c r="C174" s="6" t="s">
        <v>543</v>
      </c>
      <c r="D174" s="6" t="s">
        <v>776</v>
      </c>
      <c r="E174" s="6" t="s">
        <v>51</v>
      </c>
      <c r="F174" s="6" t="s">
        <v>1</v>
      </c>
      <c r="G174" s="9">
        <v>22.45</v>
      </c>
      <c r="H174" t="str">
        <f t="shared" si="5"/>
        <v>S, M, L, XL,</v>
      </c>
    </row>
    <row r="175" spans="1:8" x14ac:dyDescent="0.25">
      <c r="A175" s="6" t="s">
        <v>223</v>
      </c>
      <c r="B175" s="6" t="str">
        <f t="shared" si="4"/>
        <v>81717BH CRAIG</v>
      </c>
      <c r="C175" s="6" t="s">
        <v>543</v>
      </c>
      <c r="D175" s="6" t="s">
        <v>776</v>
      </c>
      <c r="E175" s="6" t="s">
        <v>404</v>
      </c>
      <c r="F175" s="6" t="s">
        <v>1</v>
      </c>
      <c r="G175" s="9">
        <v>22.45</v>
      </c>
      <c r="H175" t="str">
        <f t="shared" si="5"/>
        <v>S, M, L, XL,</v>
      </c>
    </row>
    <row r="176" spans="1:8" x14ac:dyDescent="0.25">
      <c r="A176" s="6" t="s">
        <v>223</v>
      </c>
      <c r="B176" s="6" t="str">
        <f t="shared" si="4"/>
        <v>81717BH CRAIG</v>
      </c>
      <c r="C176" s="6" t="s">
        <v>543</v>
      </c>
      <c r="D176" s="6" t="s">
        <v>776</v>
      </c>
      <c r="E176" s="6" t="s">
        <v>406</v>
      </c>
      <c r="F176" s="6" t="s">
        <v>1</v>
      </c>
      <c r="G176" s="9">
        <v>22.45</v>
      </c>
      <c r="H176" t="str">
        <f t="shared" si="5"/>
        <v>S, M, L, XL,</v>
      </c>
    </row>
    <row r="177" spans="1:8" x14ac:dyDescent="0.25">
      <c r="A177" s="6" t="s">
        <v>225</v>
      </c>
      <c r="B177" s="6" t="str">
        <f t="shared" si="4"/>
        <v>81750BH OTIS</v>
      </c>
      <c r="C177" s="6" t="s">
        <v>662</v>
      </c>
      <c r="D177" s="6" t="s">
        <v>777</v>
      </c>
      <c r="E177" s="6" t="s">
        <v>405</v>
      </c>
      <c r="F177" s="6" t="s">
        <v>1</v>
      </c>
      <c r="G177" s="9">
        <v>23.94</v>
      </c>
      <c r="H177" t="str">
        <f t="shared" si="5"/>
        <v>S, M, L, XL,</v>
      </c>
    </row>
    <row r="178" spans="1:8" x14ac:dyDescent="0.25">
      <c r="A178" s="6" t="s">
        <v>225</v>
      </c>
      <c r="B178" s="6" t="str">
        <f t="shared" si="4"/>
        <v>81750BH OTIS</v>
      </c>
      <c r="C178" s="6" t="s">
        <v>662</v>
      </c>
      <c r="D178" s="6" t="s">
        <v>777</v>
      </c>
      <c r="E178" s="6" t="s">
        <v>379</v>
      </c>
      <c r="F178" s="6" t="s">
        <v>1</v>
      </c>
      <c r="G178" s="9">
        <v>23.94</v>
      </c>
      <c r="H178" t="str">
        <f t="shared" si="5"/>
        <v>S, M, L, XL,</v>
      </c>
    </row>
    <row r="179" spans="1:8" x14ac:dyDescent="0.25">
      <c r="A179" s="6" t="s">
        <v>225</v>
      </c>
      <c r="B179" s="6" t="str">
        <f t="shared" si="4"/>
        <v>81750BH OTIS</v>
      </c>
      <c r="C179" s="6" t="s">
        <v>662</v>
      </c>
      <c r="D179" s="6" t="s">
        <v>777</v>
      </c>
      <c r="E179" s="6" t="s">
        <v>431</v>
      </c>
      <c r="F179" s="6" t="s">
        <v>1</v>
      </c>
      <c r="G179" s="9">
        <v>23.94</v>
      </c>
      <c r="H179" t="str">
        <f t="shared" si="5"/>
        <v>S, M, L, XL,</v>
      </c>
    </row>
    <row r="180" spans="1:8" x14ac:dyDescent="0.25">
      <c r="A180" s="6" t="s">
        <v>227</v>
      </c>
      <c r="B180" s="6" t="str">
        <f t="shared" si="4"/>
        <v>81751BH KAI</v>
      </c>
      <c r="C180" s="6" t="s">
        <v>619</v>
      </c>
      <c r="D180" s="6" t="s">
        <v>778</v>
      </c>
      <c r="E180" s="6" t="s">
        <v>388</v>
      </c>
      <c r="F180" s="6" t="s">
        <v>1</v>
      </c>
      <c r="G180" s="9">
        <v>23.78</v>
      </c>
      <c r="H180" t="str">
        <f t="shared" si="5"/>
        <v>S, M, L, XL,</v>
      </c>
    </row>
    <row r="181" spans="1:8" x14ac:dyDescent="0.25">
      <c r="A181" s="6" t="s">
        <v>227</v>
      </c>
      <c r="B181" s="6" t="str">
        <f t="shared" si="4"/>
        <v>81751BH KAI</v>
      </c>
      <c r="C181" s="6" t="s">
        <v>619</v>
      </c>
      <c r="D181" s="6" t="s">
        <v>778</v>
      </c>
      <c r="E181" s="6" t="s">
        <v>22</v>
      </c>
      <c r="F181" s="6" t="s">
        <v>1</v>
      </c>
      <c r="G181" s="9">
        <v>23.78</v>
      </c>
      <c r="H181" t="str">
        <f t="shared" si="5"/>
        <v>S, M, L, XL,</v>
      </c>
    </row>
    <row r="182" spans="1:8" x14ac:dyDescent="0.25">
      <c r="A182" s="6" t="s">
        <v>229</v>
      </c>
      <c r="B182" s="6" t="str">
        <f t="shared" si="4"/>
        <v>81738BH BALANS ROLL UP</v>
      </c>
      <c r="C182" s="6" t="s">
        <v>509</v>
      </c>
      <c r="D182" s="6" t="s">
        <v>829</v>
      </c>
      <c r="E182" s="6" t="s">
        <v>405</v>
      </c>
      <c r="F182" s="6" t="s">
        <v>1</v>
      </c>
      <c r="G182" s="9">
        <v>25.15</v>
      </c>
      <c r="H182" t="str">
        <f t="shared" si="5"/>
        <v>S, M, L, XL,</v>
      </c>
    </row>
    <row r="183" spans="1:8" x14ac:dyDescent="0.25">
      <c r="A183" s="6" t="s">
        <v>229</v>
      </c>
      <c r="B183" s="6" t="str">
        <f t="shared" si="4"/>
        <v>81738BH BALANS ROLL UP</v>
      </c>
      <c r="C183" s="6" t="s">
        <v>509</v>
      </c>
      <c r="D183" s="6" t="s">
        <v>829</v>
      </c>
      <c r="E183" s="6" t="s">
        <v>456</v>
      </c>
      <c r="F183" s="6" t="s">
        <v>1</v>
      </c>
      <c r="G183" s="9">
        <v>25.15</v>
      </c>
      <c r="H183" t="str">
        <f t="shared" si="5"/>
        <v>S, M, L, XL,</v>
      </c>
    </row>
    <row r="184" spans="1:8" x14ac:dyDescent="0.25">
      <c r="A184" s="6" t="s">
        <v>229</v>
      </c>
      <c r="B184" s="6" t="str">
        <f t="shared" si="4"/>
        <v>81738BH BALANS ROLL UP</v>
      </c>
      <c r="C184" s="6" t="s">
        <v>509</v>
      </c>
      <c r="D184" s="6" t="s">
        <v>829</v>
      </c>
      <c r="E184" s="6" t="s">
        <v>457</v>
      </c>
      <c r="F184" s="6" t="s">
        <v>1</v>
      </c>
      <c r="G184" s="9">
        <v>25.15</v>
      </c>
      <c r="H184" t="str">
        <f t="shared" si="5"/>
        <v>S, M, L, XL,</v>
      </c>
    </row>
    <row r="185" spans="1:8" x14ac:dyDescent="0.25">
      <c r="A185" s="6" t="s">
        <v>229</v>
      </c>
      <c r="B185" s="6" t="str">
        <f t="shared" si="4"/>
        <v>81738BH BALANS ROLL UP</v>
      </c>
      <c r="C185" s="6" t="s">
        <v>509</v>
      </c>
      <c r="D185" s="6" t="s">
        <v>829</v>
      </c>
      <c r="E185" s="6" t="s">
        <v>409</v>
      </c>
      <c r="F185" s="6" t="s">
        <v>1</v>
      </c>
      <c r="G185" s="9">
        <v>25.15</v>
      </c>
      <c r="H185" t="str">
        <f t="shared" si="5"/>
        <v>S, M, L, XL,</v>
      </c>
    </row>
    <row r="186" spans="1:8" x14ac:dyDescent="0.25">
      <c r="A186" s="6" t="s">
        <v>231</v>
      </c>
      <c r="B186" s="6" t="str">
        <f t="shared" si="4"/>
        <v>81744BH ELI</v>
      </c>
      <c r="C186" s="6" t="s">
        <v>567</v>
      </c>
      <c r="D186" s="6" t="s">
        <v>779</v>
      </c>
      <c r="E186" s="6" t="s">
        <v>405</v>
      </c>
      <c r="F186" s="6" t="s">
        <v>1</v>
      </c>
      <c r="G186" s="9">
        <v>23.8</v>
      </c>
      <c r="H186" t="str">
        <f t="shared" si="5"/>
        <v>S, M, L, XL,</v>
      </c>
    </row>
    <row r="187" spans="1:8" x14ac:dyDescent="0.25">
      <c r="A187" s="6" t="s">
        <v>231</v>
      </c>
      <c r="B187" s="6" t="str">
        <f t="shared" si="4"/>
        <v>81744BH ELI</v>
      </c>
      <c r="C187" s="6" t="s">
        <v>567</v>
      </c>
      <c r="D187" s="6" t="s">
        <v>779</v>
      </c>
      <c r="E187" s="6" t="s">
        <v>379</v>
      </c>
      <c r="F187" s="6" t="s">
        <v>1</v>
      </c>
      <c r="G187" s="9">
        <v>23.8</v>
      </c>
      <c r="H187" t="str">
        <f t="shared" si="5"/>
        <v>S, M, L, XL,</v>
      </c>
    </row>
    <row r="188" spans="1:8" x14ac:dyDescent="0.25">
      <c r="A188" s="6" t="s">
        <v>231</v>
      </c>
      <c r="B188" s="6" t="str">
        <f t="shared" si="4"/>
        <v>81744BH ELI</v>
      </c>
      <c r="C188" s="6" t="s">
        <v>567</v>
      </c>
      <c r="D188" s="6" t="s">
        <v>779</v>
      </c>
      <c r="E188" s="6" t="s">
        <v>416</v>
      </c>
      <c r="F188" s="6" t="s">
        <v>1</v>
      </c>
      <c r="G188" s="9">
        <v>23.8</v>
      </c>
      <c r="H188" t="str">
        <f t="shared" si="5"/>
        <v>S, M, L, XL,</v>
      </c>
    </row>
    <row r="189" spans="1:8" x14ac:dyDescent="0.25">
      <c r="A189" s="6" t="s">
        <v>231</v>
      </c>
      <c r="B189" s="6" t="str">
        <f t="shared" si="4"/>
        <v>81744BH ELI</v>
      </c>
      <c r="C189" s="6" t="s">
        <v>567</v>
      </c>
      <c r="D189" s="6" t="s">
        <v>779</v>
      </c>
      <c r="E189" s="6" t="s">
        <v>388</v>
      </c>
      <c r="F189" s="6" t="s">
        <v>1</v>
      </c>
      <c r="G189" s="9">
        <v>23.8</v>
      </c>
      <c r="H189" t="str">
        <f t="shared" si="5"/>
        <v>S, M, L, XL,</v>
      </c>
    </row>
    <row r="190" spans="1:8" x14ac:dyDescent="0.25">
      <c r="A190" s="6" t="s">
        <v>231</v>
      </c>
      <c r="B190" s="6" t="str">
        <f t="shared" si="4"/>
        <v>81744BH ELI</v>
      </c>
      <c r="C190" s="6" t="s">
        <v>567</v>
      </c>
      <c r="D190" s="6" t="s">
        <v>779</v>
      </c>
      <c r="E190" s="6" t="s">
        <v>404</v>
      </c>
      <c r="F190" s="6" t="s">
        <v>1</v>
      </c>
      <c r="G190" s="9">
        <v>23.8</v>
      </c>
      <c r="H190" t="str">
        <f t="shared" si="5"/>
        <v>S, M, L, XL,</v>
      </c>
    </row>
    <row r="191" spans="1:8" x14ac:dyDescent="0.25">
      <c r="A191" s="6" t="s">
        <v>56</v>
      </c>
      <c r="B191" s="6" t="str">
        <f t="shared" si="4"/>
        <v>81810 WAITS</v>
      </c>
      <c r="C191" s="6">
        <v>81810</v>
      </c>
      <c r="D191" s="6" t="s">
        <v>780</v>
      </c>
      <c r="E191" s="6" t="s">
        <v>379</v>
      </c>
      <c r="F191" s="6" t="s">
        <v>17</v>
      </c>
      <c r="G191" s="9">
        <v>23.86</v>
      </c>
      <c r="H191" t="str">
        <f t="shared" si="5"/>
        <v>S, M, L, XL, XXL,</v>
      </c>
    </row>
    <row r="192" spans="1:8" x14ac:dyDescent="0.25">
      <c r="A192" s="6" t="s">
        <v>56</v>
      </c>
      <c r="B192" s="6" t="str">
        <f t="shared" si="4"/>
        <v>81810 WAITS</v>
      </c>
      <c r="C192" s="6">
        <v>81810</v>
      </c>
      <c r="D192" s="6" t="s">
        <v>780</v>
      </c>
      <c r="E192" s="6" t="s">
        <v>458</v>
      </c>
      <c r="F192" s="6" t="s">
        <v>17</v>
      </c>
      <c r="G192" s="9">
        <v>23.86</v>
      </c>
      <c r="H192" t="str">
        <f t="shared" si="5"/>
        <v>S, M, L, XL, XXL,</v>
      </c>
    </row>
    <row r="193" spans="1:8" x14ac:dyDescent="0.25">
      <c r="A193" s="6" t="s">
        <v>56</v>
      </c>
      <c r="B193" s="6" t="str">
        <f t="shared" si="4"/>
        <v>81810 WAITS</v>
      </c>
      <c r="C193" s="6">
        <v>81810</v>
      </c>
      <c r="D193" s="6" t="s">
        <v>780</v>
      </c>
      <c r="E193" s="6" t="s">
        <v>422</v>
      </c>
      <c r="F193" s="6" t="s">
        <v>17</v>
      </c>
      <c r="G193" s="9">
        <v>23.86</v>
      </c>
      <c r="H193" t="str">
        <f t="shared" si="5"/>
        <v>S, M, L, XL, XXL,</v>
      </c>
    </row>
    <row r="194" spans="1:8" x14ac:dyDescent="0.25">
      <c r="A194" s="6" t="s">
        <v>56</v>
      </c>
      <c r="B194" s="6" t="str">
        <f t="shared" si="4"/>
        <v>81810 WAITS</v>
      </c>
      <c r="C194" s="6">
        <v>81810</v>
      </c>
      <c r="D194" s="6" t="s">
        <v>780</v>
      </c>
      <c r="E194" s="6" t="s">
        <v>442</v>
      </c>
      <c r="F194" s="6" t="s">
        <v>17</v>
      </c>
      <c r="G194" s="9">
        <v>23.86</v>
      </c>
      <c r="H194" t="str">
        <f t="shared" si="5"/>
        <v>S, M, L, XL, XXL,</v>
      </c>
    </row>
    <row r="195" spans="1:8" x14ac:dyDescent="0.25">
      <c r="A195" s="6" t="s">
        <v>56</v>
      </c>
      <c r="B195" s="6" t="str">
        <f t="shared" ref="B195:B258" si="6">TRIM(C195&amp;" "&amp;D195)</f>
        <v>81810 WAITS</v>
      </c>
      <c r="C195" s="6">
        <v>81810</v>
      </c>
      <c r="D195" s="6" t="s">
        <v>780</v>
      </c>
      <c r="E195" s="6" t="s">
        <v>459</v>
      </c>
      <c r="F195" s="6" t="s">
        <v>17</v>
      </c>
      <c r="G195" s="9">
        <v>23.86</v>
      </c>
      <c r="H195" t="str">
        <f t="shared" ref="H195:H258" si="7">F195&amp;","</f>
        <v>S, M, L, XL, XXL,</v>
      </c>
    </row>
    <row r="196" spans="1:8" x14ac:dyDescent="0.25">
      <c r="A196" s="6" t="s">
        <v>56</v>
      </c>
      <c r="B196" s="6" t="str">
        <f t="shared" si="6"/>
        <v>81810 WAITS</v>
      </c>
      <c r="C196" s="6">
        <v>81810</v>
      </c>
      <c r="D196" s="6" t="s">
        <v>780</v>
      </c>
      <c r="E196" s="6" t="s">
        <v>423</v>
      </c>
      <c r="F196" s="6" t="s">
        <v>17</v>
      </c>
      <c r="G196" s="9">
        <v>23.86</v>
      </c>
      <c r="H196" t="str">
        <f t="shared" si="7"/>
        <v>S, M, L, XL, XXL,</v>
      </c>
    </row>
    <row r="197" spans="1:8" x14ac:dyDescent="0.25">
      <c r="A197" s="6" t="s">
        <v>56</v>
      </c>
      <c r="B197" s="6" t="str">
        <f t="shared" si="6"/>
        <v>81810 WAITS</v>
      </c>
      <c r="C197" s="6">
        <v>81810</v>
      </c>
      <c r="D197" s="6" t="s">
        <v>780</v>
      </c>
      <c r="E197" s="6" t="s">
        <v>460</v>
      </c>
      <c r="F197" s="6" t="s">
        <v>17</v>
      </c>
      <c r="G197" s="9">
        <v>23.86</v>
      </c>
      <c r="H197" t="str">
        <f t="shared" si="7"/>
        <v>S, M, L, XL, XXL,</v>
      </c>
    </row>
    <row r="198" spans="1:8" x14ac:dyDescent="0.25">
      <c r="A198" s="6" t="s">
        <v>56</v>
      </c>
      <c r="B198" s="6" t="str">
        <f t="shared" si="6"/>
        <v>81810 WAITS</v>
      </c>
      <c r="C198" s="6">
        <v>81810</v>
      </c>
      <c r="D198" s="6" t="s">
        <v>780</v>
      </c>
      <c r="E198" s="6" t="s">
        <v>404</v>
      </c>
      <c r="F198" s="6" t="s">
        <v>17</v>
      </c>
      <c r="G198" s="9">
        <v>23.86</v>
      </c>
      <c r="H198" t="str">
        <f t="shared" si="7"/>
        <v>S, M, L, XL, XXL,</v>
      </c>
    </row>
    <row r="199" spans="1:8" x14ac:dyDescent="0.25">
      <c r="A199" s="6" t="s">
        <v>56</v>
      </c>
      <c r="B199" s="6" t="str">
        <f t="shared" si="6"/>
        <v>81810 WAITS</v>
      </c>
      <c r="C199" s="6">
        <v>81810</v>
      </c>
      <c r="D199" s="6" t="s">
        <v>780</v>
      </c>
      <c r="E199" s="6" t="s">
        <v>461</v>
      </c>
      <c r="F199" s="6" t="s">
        <v>17</v>
      </c>
      <c r="G199" s="9">
        <v>23.86</v>
      </c>
      <c r="H199" t="str">
        <f t="shared" si="7"/>
        <v>S, M, L, XL, XXL,</v>
      </c>
    </row>
    <row r="200" spans="1:8" x14ac:dyDescent="0.25">
      <c r="A200" s="6" t="s">
        <v>233</v>
      </c>
      <c r="B200" s="6" t="str">
        <f t="shared" si="6"/>
        <v>81745BH SCORSBY</v>
      </c>
      <c r="C200" s="6" t="s">
        <v>694</v>
      </c>
      <c r="D200" s="6" t="s">
        <v>781</v>
      </c>
      <c r="E200" s="6" t="s">
        <v>379</v>
      </c>
      <c r="F200" s="6" t="s">
        <v>1</v>
      </c>
      <c r="G200" s="9">
        <v>23.94</v>
      </c>
      <c r="H200" t="str">
        <f t="shared" si="7"/>
        <v>S, M, L, XL,</v>
      </c>
    </row>
    <row r="201" spans="1:8" x14ac:dyDescent="0.25">
      <c r="A201" s="6" t="s">
        <v>233</v>
      </c>
      <c r="B201" s="6" t="str">
        <f t="shared" si="6"/>
        <v>81745BH SCORSBY</v>
      </c>
      <c r="C201" s="6" t="s">
        <v>694</v>
      </c>
      <c r="D201" s="6" t="s">
        <v>781</v>
      </c>
      <c r="E201" s="6" t="s">
        <v>388</v>
      </c>
      <c r="F201" s="6" t="s">
        <v>1</v>
      </c>
      <c r="G201" s="9">
        <v>23.94</v>
      </c>
      <c r="H201" t="str">
        <f t="shared" si="7"/>
        <v>S, M, L, XL,</v>
      </c>
    </row>
    <row r="202" spans="1:8" x14ac:dyDescent="0.25">
      <c r="A202" s="6" t="s">
        <v>233</v>
      </c>
      <c r="B202" s="6" t="str">
        <f t="shared" si="6"/>
        <v>81745BH SCORSBY</v>
      </c>
      <c r="C202" s="6" t="s">
        <v>694</v>
      </c>
      <c r="D202" s="6" t="s">
        <v>781</v>
      </c>
      <c r="E202" s="6" t="s">
        <v>22</v>
      </c>
      <c r="F202" s="6" t="s">
        <v>1</v>
      </c>
      <c r="G202" s="9">
        <v>23.94</v>
      </c>
      <c r="H202" t="str">
        <f t="shared" si="7"/>
        <v>S, M, L, XL,</v>
      </c>
    </row>
    <row r="203" spans="1:8" x14ac:dyDescent="0.25">
      <c r="A203" s="6" t="s">
        <v>235</v>
      </c>
      <c r="B203" s="6" t="str">
        <f t="shared" si="6"/>
        <v>81749BH MAX</v>
      </c>
      <c r="C203" s="6" t="s">
        <v>642</v>
      </c>
      <c r="D203" s="6" t="s">
        <v>782</v>
      </c>
      <c r="E203" s="6" t="s">
        <v>379</v>
      </c>
      <c r="F203" s="6" t="s">
        <v>1</v>
      </c>
      <c r="G203" s="9">
        <v>24.1</v>
      </c>
      <c r="H203" t="str">
        <f t="shared" si="7"/>
        <v>S, M, L, XL,</v>
      </c>
    </row>
    <row r="204" spans="1:8" x14ac:dyDescent="0.25">
      <c r="A204" s="6" t="s">
        <v>235</v>
      </c>
      <c r="B204" s="6" t="str">
        <f t="shared" si="6"/>
        <v>81749BH MAX</v>
      </c>
      <c r="C204" s="6" t="s">
        <v>642</v>
      </c>
      <c r="D204" s="6" t="s">
        <v>782</v>
      </c>
      <c r="E204" s="6" t="s">
        <v>401</v>
      </c>
      <c r="F204" s="6" t="s">
        <v>1</v>
      </c>
      <c r="G204" s="9">
        <v>24.1</v>
      </c>
      <c r="H204" t="str">
        <f t="shared" si="7"/>
        <v>S, M, L, XL,</v>
      </c>
    </row>
    <row r="205" spans="1:8" x14ac:dyDescent="0.25">
      <c r="A205" s="6" t="s">
        <v>235</v>
      </c>
      <c r="B205" s="6" t="str">
        <f t="shared" si="6"/>
        <v>81749BH MAX</v>
      </c>
      <c r="C205" s="6" t="s">
        <v>642</v>
      </c>
      <c r="D205" s="6" t="s">
        <v>782</v>
      </c>
      <c r="E205" s="6" t="s">
        <v>406</v>
      </c>
      <c r="F205" s="6" t="s">
        <v>1</v>
      </c>
      <c r="G205" s="9">
        <v>24.1</v>
      </c>
      <c r="H205" t="str">
        <f t="shared" si="7"/>
        <v>S, M, L, XL,</v>
      </c>
    </row>
    <row r="206" spans="1:8" x14ac:dyDescent="0.25">
      <c r="A206" s="6" t="s">
        <v>237</v>
      </c>
      <c r="B206" s="6" t="str">
        <f t="shared" si="6"/>
        <v>81746BH LOREK</v>
      </c>
      <c r="C206" s="6" t="s">
        <v>632</v>
      </c>
      <c r="D206" s="6" t="s">
        <v>783</v>
      </c>
      <c r="E206" s="6" t="s">
        <v>379</v>
      </c>
      <c r="F206" s="6" t="s">
        <v>1</v>
      </c>
      <c r="G206" s="9">
        <v>26.56</v>
      </c>
      <c r="H206" t="str">
        <f t="shared" si="7"/>
        <v>S, M, L, XL,</v>
      </c>
    </row>
    <row r="207" spans="1:8" x14ac:dyDescent="0.25">
      <c r="A207" s="6" t="s">
        <v>237</v>
      </c>
      <c r="B207" s="6" t="str">
        <f t="shared" si="6"/>
        <v>81746BH LOREK</v>
      </c>
      <c r="C207" s="6" t="s">
        <v>632</v>
      </c>
      <c r="D207" s="6" t="s">
        <v>783</v>
      </c>
      <c r="E207" s="6" t="s">
        <v>22</v>
      </c>
      <c r="F207" s="6" t="s">
        <v>1</v>
      </c>
      <c r="G207" s="9">
        <v>26.56</v>
      </c>
      <c r="H207" t="str">
        <f t="shared" si="7"/>
        <v>S, M, L, XL,</v>
      </c>
    </row>
    <row r="208" spans="1:8" x14ac:dyDescent="0.25">
      <c r="A208" s="6" t="s">
        <v>239</v>
      </c>
      <c r="B208" s="6" t="str">
        <f t="shared" si="6"/>
        <v>5008BH ORSUN</v>
      </c>
      <c r="C208" s="6" t="s">
        <v>658</v>
      </c>
      <c r="D208" s="6" t="s">
        <v>784</v>
      </c>
      <c r="E208" s="6" t="s">
        <v>449</v>
      </c>
      <c r="F208" s="6" t="s">
        <v>1</v>
      </c>
      <c r="G208" s="9">
        <v>50.34</v>
      </c>
      <c r="H208" t="str">
        <f t="shared" si="7"/>
        <v>S, M, L, XL,</v>
      </c>
    </row>
    <row r="209" spans="1:8" x14ac:dyDescent="0.25">
      <c r="A209" s="6" t="s">
        <v>239</v>
      </c>
      <c r="B209" s="6" t="str">
        <f t="shared" si="6"/>
        <v>5008BH ORSUN</v>
      </c>
      <c r="C209" s="6" t="s">
        <v>658</v>
      </c>
      <c r="D209" s="6" t="s">
        <v>784</v>
      </c>
      <c r="E209" s="6" t="s">
        <v>22</v>
      </c>
      <c r="F209" s="6" t="s">
        <v>1</v>
      </c>
      <c r="G209" s="9">
        <v>50.34</v>
      </c>
      <c r="H209" t="str">
        <f t="shared" si="7"/>
        <v>S, M, L, XL,</v>
      </c>
    </row>
    <row r="210" spans="1:8" x14ac:dyDescent="0.25">
      <c r="A210" s="6" t="s">
        <v>239</v>
      </c>
      <c r="B210" s="6" t="str">
        <f t="shared" si="6"/>
        <v>5008BH ORSUN</v>
      </c>
      <c r="C210" s="6" t="s">
        <v>658</v>
      </c>
      <c r="D210" s="6" t="s">
        <v>784</v>
      </c>
      <c r="E210" s="6" t="s">
        <v>51</v>
      </c>
      <c r="F210" s="6" t="s">
        <v>1</v>
      </c>
      <c r="G210" s="9">
        <v>50.34</v>
      </c>
      <c r="H210" t="str">
        <f t="shared" si="7"/>
        <v>S, M, L, XL,</v>
      </c>
    </row>
    <row r="211" spans="1:8" x14ac:dyDescent="0.25">
      <c r="A211" s="6" t="s">
        <v>241</v>
      </c>
      <c r="B211" s="6" t="str">
        <f t="shared" si="6"/>
        <v>5006BH ROTHNEY</v>
      </c>
      <c r="C211" s="6" t="s">
        <v>688</v>
      </c>
      <c r="D211" s="6" t="s">
        <v>785</v>
      </c>
      <c r="E211" s="6" t="s">
        <v>401</v>
      </c>
      <c r="F211" s="6" t="s">
        <v>1</v>
      </c>
      <c r="G211" s="9">
        <v>49.65</v>
      </c>
      <c r="H211" t="str">
        <f t="shared" si="7"/>
        <v>S, M, L, XL,</v>
      </c>
    </row>
    <row r="212" spans="1:8" x14ac:dyDescent="0.25">
      <c r="A212" s="6" t="s">
        <v>241</v>
      </c>
      <c r="B212" s="6" t="str">
        <f t="shared" si="6"/>
        <v>5006BH ROTHNEY</v>
      </c>
      <c r="C212" s="6" t="s">
        <v>688</v>
      </c>
      <c r="D212" s="6" t="s">
        <v>785</v>
      </c>
      <c r="E212" s="6" t="s">
        <v>449</v>
      </c>
      <c r="F212" s="6" t="s">
        <v>1</v>
      </c>
      <c r="G212" s="9">
        <v>49.65</v>
      </c>
      <c r="H212" t="str">
        <f t="shared" si="7"/>
        <v>S, M, L, XL,</v>
      </c>
    </row>
    <row r="213" spans="1:8" x14ac:dyDescent="0.25">
      <c r="A213" s="6" t="s">
        <v>243</v>
      </c>
      <c r="B213" s="6" t="str">
        <f t="shared" si="6"/>
        <v>5001BH DERIAN</v>
      </c>
      <c r="C213" s="6" t="s">
        <v>559</v>
      </c>
      <c r="D213" s="6" t="s">
        <v>786</v>
      </c>
      <c r="E213" s="6" t="s">
        <v>53</v>
      </c>
      <c r="F213" s="6" t="s">
        <v>1</v>
      </c>
      <c r="G213" s="9">
        <v>46.96</v>
      </c>
      <c r="H213" t="str">
        <f t="shared" si="7"/>
        <v>S, M, L, XL,</v>
      </c>
    </row>
    <row r="214" spans="1:8" x14ac:dyDescent="0.25">
      <c r="A214" s="6" t="s">
        <v>244</v>
      </c>
      <c r="B214" s="6" t="str">
        <f t="shared" si="6"/>
        <v>5000BH ROCKETT</v>
      </c>
      <c r="C214" s="6" t="s">
        <v>680</v>
      </c>
      <c r="D214" s="6" t="s">
        <v>787</v>
      </c>
      <c r="E214" s="6" t="s">
        <v>51</v>
      </c>
      <c r="F214" s="6" t="s">
        <v>1</v>
      </c>
      <c r="G214" s="9">
        <v>48.37</v>
      </c>
      <c r="H214" t="str">
        <f t="shared" si="7"/>
        <v>S, M, L, XL,</v>
      </c>
    </row>
    <row r="215" spans="1:8" x14ac:dyDescent="0.25">
      <c r="A215" s="6" t="s">
        <v>47</v>
      </c>
      <c r="B215" s="6" t="str">
        <f t="shared" si="6"/>
        <v>5009BH ADLAY</v>
      </c>
      <c r="C215" s="6" t="s">
        <v>499</v>
      </c>
      <c r="D215" s="6" t="s">
        <v>788</v>
      </c>
      <c r="E215" s="6" t="s">
        <v>462</v>
      </c>
      <c r="F215" s="6" t="s">
        <v>1</v>
      </c>
      <c r="G215" s="9">
        <v>47.85</v>
      </c>
      <c r="H215" t="str">
        <f t="shared" si="7"/>
        <v>S, M, L, XL,</v>
      </c>
    </row>
    <row r="216" spans="1:8" x14ac:dyDescent="0.25">
      <c r="A216" s="6" t="s">
        <v>47</v>
      </c>
      <c r="B216" s="6" t="str">
        <f t="shared" si="6"/>
        <v>5009BH ADLAY</v>
      </c>
      <c r="C216" s="6" t="s">
        <v>499</v>
      </c>
      <c r="D216" s="6" t="s">
        <v>788</v>
      </c>
      <c r="E216" s="6" t="s">
        <v>383</v>
      </c>
      <c r="F216" s="6" t="s">
        <v>1</v>
      </c>
      <c r="G216" s="9">
        <v>47.85</v>
      </c>
      <c r="H216" t="str">
        <f t="shared" si="7"/>
        <v>S, M, L, XL,</v>
      </c>
    </row>
    <row r="217" spans="1:8" x14ac:dyDescent="0.25">
      <c r="A217" s="6" t="s">
        <v>54</v>
      </c>
      <c r="B217" s="6" t="str">
        <f t="shared" si="6"/>
        <v>5010BH WINSTONE</v>
      </c>
      <c r="C217" s="6" t="s">
        <v>720</v>
      </c>
      <c r="D217" s="6" t="s">
        <v>789</v>
      </c>
      <c r="E217" s="6" t="s">
        <v>379</v>
      </c>
      <c r="F217" s="6" t="s">
        <v>1</v>
      </c>
      <c r="G217" s="9">
        <v>47.47</v>
      </c>
      <c r="H217" t="str">
        <f t="shared" si="7"/>
        <v>S, M, L, XL,</v>
      </c>
    </row>
    <row r="218" spans="1:8" x14ac:dyDescent="0.25">
      <c r="A218" s="6" t="s">
        <v>54</v>
      </c>
      <c r="B218" s="6" t="str">
        <f t="shared" si="6"/>
        <v>5010BH WINSTONE</v>
      </c>
      <c r="C218" s="6" t="s">
        <v>720</v>
      </c>
      <c r="D218" s="6" t="s">
        <v>789</v>
      </c>
      <c r="E218" s="6" t="s">
        <v>463</v>
      </c>
      <c r="F218" s="6" t="s">
        <v>1</v>
      </c>
      <c r="G218" s="9">
        <v>47.47</v>
      </c>
      <c r="H218" t="str">
        <f t="shared" si="7"/>
        <v>S, M, L, XL,</v>
      </c>
    </row>
    <row r="219" spans="1:8" x14ac:dyDescent="0.25">
      <c r="A219" s="6" t="s">
        <v>54</v>
      </c>
      <c r="B219" s="6" t="str">
        <f t="shared" si="6"/>
        <v>5010BH WINSTONE</v>
      </c>
      <c r="C219" s="6" t="s">
        <v>720</v>
      </c>
      <c r="D219" s="6" t="s">
        <v>789</v>
      </c>
      <c r="E219" s="6" t="s">
        <v>22</v>
      </c>
      <c r="F219" s="6" t="s">
        <v>1</v>
      </c>
      <c r="G219" s="9">
        <v>47.47</v>
      </c>
      <c r="H219" t="str">
        <f t="shared" si="7"/>
        <v>S, M, L, XL,</v>
      </c>
    </row>
    <row r="220" spans="1:8" x14ac:dyDescent="0.25">
      <c r="A220" s="6" t="s">
        <v>48</v>
      </c>
      <c r="B220" s="6" t="str">
        <f t="shared" si="6"/>
        <v>5011BH ANKER</v>
      </c>
      <c r="C220" s="6" t="s">
        <v>503</v>
      </c>
      <c r="D220" s="6" t="s">
        <v>790</v>
      </c>
      <c r="E220" s="6" t="s">
        <v>388</v>
      </c>
      <c r="F220" s="6" t="s">
        <v>1</v>
      </c>
      <c r="G220" s="9">
        <v>58.45</v>
      </c>
      <c r="H220" t="str">
        <f t="shared" si="7"/>
        <v>S, M, L, XL,</v>
      </c>
    </row>
    <row r="221" spans="1:8" x14ac:dyDescent="0.25">
      <c r="A221" s="6" t="s">
        <v>48</v>
      </c>
      <c r="B221" s="6" t="str">
        <f t="shared" si="6"/>
        <v>5011BH ANKER</v>
      </c>
      <c r="C221" s="6" t="s">
        <v>503</v>
      </c>
      <c r="D221" s="6" t="s">
        <v>790</v>
      </c>
      <c r="E221" s="6" t="s">
        <v>22</v>
      </c>
      <c r="F221" s="6" t="s">
        <v>1</v>
      </c>
      <c r="G221" s="9">
        <v>58.45</v>
      </c>
      <c r="H221" t="str">
        <f t="shared" si="7"/>
        <v>S, M, L, XL,</v>
      </c>
    </row>
    <row r="222" spans="1:8" x14ac:dyDescent="0.25">
      <c r="A222" s="6" t="s">
        <v>247</v>
      </c>
      <c r="B222" s="6" t="str">
        <f t="shared" si="6"/>
        <v>63294BH MAGNESS</v>
      </c>
      <c r="C222" s="6" t="s">
        <v>636</v>
      </c>
      <c r="D222" s="6" t="s">
        <v>791</v>
      </c>
      <c r="E222" s="6" t="s">
        <v>464</v>
      </c>
      <c r="F222" s="6" t="s">
        <v>1</v>
      </c>
      <c r="G222" s="9">
        <v>72.2</v>
      </c>
      <c r="H222" t="str">
        <f t="shared" si="7"/>
        <v>S, M, L, XL,</v>
      </c>
    </row>
    <row r="223" spans="1:8" x14ac:dyDescent="0.25">
      <c r="A223" s="6" t="s">
        <v>247</v>
      </c>
      <c r="B223" s="6" t="str">
        <f t="shared" si="6"/>
        <v>63294BH MAGNESS</v>
      </c>
      <c r="C223" s="6" t="s">
        <v>636</v>
      </c>
      <c r="D223" s="6" t="s">
        <v>791</v>
      </c>
      <c r="E223" s="6" t="s">
        <v>423</v>
      </c>
      <c r="F223" s="6" t="s">
        <v>1</v>
      </c>
      <c r="G223" s="9">
        <v>72.2</v>
      </c>
      <c r="H223" t="str">
        <f t="shared" si="7"/>
        <v>S, M, L, XL,</v>
      </c>
    </row>
    <row r="224" spans="1:8" x14ac:dyDescent="0.25">
      <c r="A224" s="6" t="s">
        <v>247</v>
      </c>
      <c r="B224" s="6" t="str">
        <f t="shared" si="6"/>
        <v>63294BH MAGNESS</v>
      </c>
      <c r="C224" s="6" t="s">
        <v>636</v>
      </c>
      <c r="D224" s="6" t="s">
        <v>791</v>
      </c>
      <c r="E224" s="6" t="s">
        <v>465</v>
      </c>
      <c r="F224" s="6" t="s">
        <v>1</v>
      </c>
      <c r="G224" s="9">
        <v>72.2</v>
      </c>
      <c r="H224" t="str">
        <f t="shared" si="7"/>
        <v>S, M, L, XL,</v>
      </c>
    </row>
    <row r="225" spans="1:8" x14ac:dyDescent="0.25">
      <c r="A225" s="6" t="s">
        <v>249</v>
      </c>
      <c r="B225" s="6" t="str">
        <f t="shared" si="6"/>
        <v>60003BH MELTON</v>
      </c>
      <c r="C225" s="6" t="s">
        <v>644</v>
      </c>
      <c r="D225" s="6" t="s">
        <v>792</v>
      </c>
      <c r="E225" s="6" t="s">
        <v>22</v>
      </c>
      <c r="F225" s="6" t="s">
        <v>1</v>
      </c>
      <c r="G225" s="9">
        <v>49.24</v>
      </c>
      <c r="H225" t="str">
        <f t="shared" si="7"/>
        <v>S, M, L, XL,</v>
      </c>
    </row>
    <row r="226" spans="1:8" x14ac:dyDescent="0.25">
      <c r="A226" s="6" t="s">
        <v>250</v>
      </c>
      <c r="B226" s="6" t="str">
        <f t="shared" si="6"/>
        <v>63302BH QUIL</v>
      </c>
      <c r="C226" s="6" t="s">
        <v>668</v>
      </c>
      <c r="D226" s="6" t="s">
        <v>793</v>
      </c>
      <c r="E226" s="6" t="s">
        <v>379</v>
      </c>
      <c r="F226" s="6" t="s">
        <v>1</v>
      </c>
      <c r="G226" s="9">
        <v>70.510000000000005</v>
      </c>
      <c r="H226" t="str">
        <f t="shared" si="7"/>
        <v>S, M, L, XL,</v>
      </c>
    </row>
    <row r="227" spans="1:8" x14ac:dyDescent="0.25">
      <c r="A227" s="6" t="s">
        <v>250</v>
      </c>
      <c r="B227" s="6" t="str">
        <f t="shared" si="6"/>
        <v>63302BH QUIL</v>
      </c>
      <c r="C227" s="6" t="s">
        <v>668</v>
      </c>
      <c r="D227" s="6" t="s">
        <v>793</v>
      </c>
      <c r="E227" s="6" t="s">
        <v>22</v>
      </c>
      <c r="F227" s="6" t="s">
        <v>1</v>
      </c>
      <c r="G227" s="9">
        <v>70.510000000000005</v>
      </c>
      <c r="H227" t="str">
        <f t="shared" si="7"/>
        <v>S, M, L, XL,</v>
      </c>
    </row>
    <row r="228" spans="1:8" x14ac:dyDescent="0.25">
      <c r="A228" s="6" t="s">
        <v>251</v>
      </c>
      <c r="B228" s="6" t="str">
        <f t="shared" si="6"/>
        <v>63297BH BRAYLON</v>
      </c>
      <c r="C228" s="6" t="s">
        <v>523</v>
      </c>
      <c r="D228" s="6" t="s">
        <v>794</v>
      </c>
      <c r="E228" s="6" t="s">
        <v>379</v>
      </c>
      <c r="F228" s="6" t="s">
        <v>1</v>
      </c>
      <c r="G228" s="9">
        <v>60.68</v>
      </c>
      <c r="H228" t="str">
        <f t="shared" si="7"/>
        <v>S, M, L, XL,</v>
      </c>
    </row>
    <row r="229" spans="1:8" x14ac:dyDescent="0.25">
      <c r="A229" s="6" t="s">
        <v>251</v>
      </c>
      <c r="B229" s="6" t="str">
        <f t="shared" si="6"/>
        <v>63297BH BRAYLON</v>
      </c>
      <c r="C229" s="6" t="s">
        <v>523</v>
      </c>
      <c r="D229" s="6" t="s">
        <v>794</v>
      </c>
      <c r="E229" s="6" t="s">
        <v>22</v>
      </c>
      <c r="F229" s="6" t="s">
        <v>1</v>
      </c>
      <c r="G229" s="9">
        <v>60.68</v>
      </c>
      <c r="H229" t="str">
        <f t="shared" si="7"/>
        <v>S, M, L, XL,</v>
      </c>
    </row>
    <row r="230" spans="1:8" x14ac:dyDescent="0.25">
      <c r="A230" s="6" t="s">
        <v>252</v>
      </c>
      <c r="B230" s="6" t="str">
        <f t="shared" si="6"/>
        <v>63112 HANSON</v>
      </c>
      <c r="C230" s="6">
        <v>63112</v>
      </c>
      <c r="D230" s="6" t="s">
        <v>795</v>
      </c>
      <c r="E230" s="6" t="s">
        <v>466</v>
      </c>
      <c r="F230" s="6" t="s">
        <v>1</v>
      </c>
      <c r="G230" s="9">
        <v>52.84</v>
      </c>
      <c r="H230" t="str">
        <f t="shared" si="7"/>
        <v>S, M, L, XL,</v>
      </c>
    </row>
    <row r="231" spans="1:8" x14ac:dyDescent="0.25">
      <c r="A231" s="6" t="s">
        <v>252</v>
      </c>
      <c r="B231" s="6" t="str">
        <f t="shared" si="6"/>
        <v>63112 HANSON</v>
      </c>
      <c r="C231" s="6">
        <v>63112</v>
      </c>
      <c r="D231" s="6" t="s">
        <v>795</v>
      </c>
      <c r="E231" s="6" t="s">
        <v>467</v>
      </c>
      <c r="F231" s="6" t="s">
        <v>1</v>
      </c>
      <c r="G231" s="9">
        <v>52.84</v>
      </c>
      <c r="H231" t="str">
        <f t="shared" si="7"/>
        <v>S, M, L, XL,</v>
      </c>
    </row>
    <row r="232" spans="1:8" x14ac:dyDescent="0.25">
      <c r="A232" s="6" t="s">
        <v>254</v>
      </c>
      <c r="B232" s="6" t="str">
        <f t="shared" si="6"/>
        <v>63114 GUTHRIE</v>
      </c>
      <c r="C232" s="6">
        <v>63114</v>
      </c>
      <c r="D232" s="6" t="s">
        <v>796</v>
      </c>
      <c r="E232" s="6" t="s">
        <v>464</v>
      </c>
      <c r="F232" s="6" t="s">
        <v>17</v>
      </c>
      <c r="G232" s="9">
        <v>53.91</v>
      </c>
      <c r="H232" t="str">
        <f t="shared" si="7"/>
        <v>S, M, L, XL, XXL,</v>
      </c>
    </row>
    <row r="233" spans="1:8" x14ac:dyDescent="0.25">
      <c r="A233" s="6" t="s">
        <v>254</v>
      </c>
      <c r="B233" s="6" t="str">
        <f t="shared" si="6"/>
        <v>63114 GUTHRIE</v>
      </c>
      <c r="C233" s="6">
        <v>63114</v>
      </c>
      <c r="D233" s="6" t="s">
        <v>796</v>
      </c>
      <c r="E233" s="6" t="s">
        <v>468</v>
      </c>
      <c r="F233" s="6" t="s">
        <v>17</v>
      </c>
      <c r="G233" s="9">
        <v>53.91</v>
      </c>
      <c r="H233" t="str">
        <f t="shared" si="7"/>
        <v>S, M, L, XL, XXL,</v>
      </c>
    </row>
    <row r="234" spans="1:8" x14ac:dyDescent="0.25">
      <c r="A234" s="6" t="s">
        <v>254</v>
      </c>
      <c r="B234" s="6" t="str">
        <f t="shared" si="6"/>
        <v>63114 GUTHRIE</v>
      </c>
      <c r="C234" s="6">
        <v>63114</v>
      </c>
      <c r="D234" s="6" t="s">
        <v>796</v>
      </c>
      <c r="E234" s="6" t="s">
        <v>467</v>
      </c>
      <c r="F234" s="6" t="s">
        <v>17</v>
      </c>
      <c r="G234" s="9">
        <v>53.91</v>
      </c>
      <c r="H234" t="str">
        <f t="shared" si="7"/>
        <v>S, M, L, XL, XXL,</v>
      </c>
    </row>
    <row r="235" spans="1:8" x14ac:dyDescent="0.25">
      <c r="A235" s="6" t="s">
        <v>256</v>
      </c>
      <c r="B235" s="6" t="str">
        <f t="shared" si="6"/>
        <v>63125 KONRATH</v>
      </c>
      <c r="C235" s="6">
        <v>63125</v>
      </c>
      <c r="D235" s="6" t="s">
        <v>797</v>
      </c>
      <c r="E235" s="6" t="s">
        <v>22</v>
      </c>
      <c r="F235" s="6" t="s">
        <v>1</v>
      </c>
      <c r="G235" s="9">
        <v>57.45</v>
      </c>
      <c r="H235" t="str">
        <f t="shared" si="7"/>
        <v>S, M, L, XL,</v>
      </c>
    </row>
    <row r="236" spans="1:8" x14ac:dyDescent="0.25">
      <c r="A236" s="6" t="s">
        <v>257</v>
      </c>
      <c r="B236" s="6" t="str">
        <f t="shared" si="6"/>
        <v>63200 SPENCER</v>
      </c>
      <c r="C236" s="6">
        <v>63200</v>
      </c>
      <c r="D236" s="6" t="s">
        <v>798</v>
      </c>
      <c r="E236" s="6" t="s">
        <v>440</v>
      </c>
      <c r="F236" s="6" t="s">
        <v>17</v>
      </c>
      <c r="G236" s="9">
        <v>40.71</v>
      </c>
      <c r="H236" t="str">
        <f t="shared" si="7"/>
        <v>S, M, L, XL, XXL,</v>
      </c>
    </row>
    <row r="237" spans="1:8" x14ac:dyDescent="0.25">
      <c r="A237" s="6" t="s">
        <v>257</v>
      </c>
      <c r="B237" s="6" t="str">
        <f t="shared" si="6"/>
        <v>63200 SPENCER</v>
      </c>
      <c r="C237" s="6">
        <v>63200</v>
      </c>
      <c r="D237" s="6" t="s">
        <v>798</v>
      </c>
      <c r="E237" s="6" t="s">
        <v>22</v>
      </c>
      <c r="F237" s="6" t="s">
        <v>17</v>
      </c>
      <c r="G237" s="9">
        <v>40.71</v>
      </c>
      <c r="H237" t="str">
        <f t="shared" si="7"/>
        <v>S, M, L, XL, XXL,</v>
      </c>
    </row>
    <row r="238" spans="1:8" x14ac:dyDescent="0.25">
      <c r="A238" s="6" t="s">
        <v>257</v>
      </c>
      <c r="B238" s="6" t="str">
        <f t="shared" si="6"/>
        <v>63200 SPENCER</v>
      </c>
      <c r="C238" s="6">
        <v>63200</v>
      </c>
      <c r="D238" s="6" t="s">
        <v>798</v>
      </c>
      <c r="E238" s="6" t="s">
        <v>51</v>
      </c>
      <c r="F238" s="6" t="s">
        <v>17</v>
      </c>
      <c r="G238" s="9">
        <v>40.71</v>
      </c>
      <c r="H238" t="str">
        <f t="shared" si="7"/>
        <v>S, M, L, XL, XXL,</v>
      </c>
    </row>
    <row r="239" spans="1:8" x14ac:dyDescent="0.25">
      <c r="A239" s="6" t="s">
        <v>257</v>
      </c>
      <c r="B239" s="6" t="str">
        <f t="shared" si="6"/>
        <v>63200 SPENCER</v>
      </c>
      <c r="C239" s="6">
        <v>63200</v>
      </c>
      <c r="D239" s="6" t="s">
        <v>798</v>
      </c>
      <c r="E239" s="6" t="s">
        <v>469</v>
      </c>
      <c r="F239" s="6" t="s">
        <v>17</v>
      </c>
      <c r="G239" s="9">
        <v>40.71</v>
      </c>
      <c r="H239" t="str">
        <f t="shared" si="7"/>
        <v>S, M, L, XL, XXL,</v>
      </c>
    </row>
    <row r="240" spans="1:8" x14ac:dyDescent="0.25">
      <c r="A240" s="6" t="s">
        <v>259</v>
      </c>
      <c r="B240" s="6" t="str">
        <f t="shared" si="6"/>
        <v>63283BH RELIK</v>
      </c>
      <c r="C240" s="6" t="s">
        <v>678</v>
      </c>
      <c r="D240" s="6" t="s">
        <v>799</v>
      </c>
      <c r="E240" s="6" t="s">
        <v>22</v>
      </c>
      <c r="F240" s="6" t="s">
        <v>1</v>
      </c>
      <c r="G240" s="9">
        <v>54.63</v>
      </c>
      <c r="H240" t="str">
        <f t="shared" si="7"/>
        <v>S, M, L, XL,</v>
      </c>
    </row>
    <row r="241" spans="1:8" x14ac:dyDescent="0.25">
      <c r="A241" s="6" t="s">
        <v>259</v>
      </c>
      <c r="B241" s="6" t="str">
        <f t="shared" si="6"/>
        <v>63283BH RELIK</v>
      </c>
      <c r="C241" s="6" t="s">
        <v>678</v>
      </c>
      <c r="D241" s="6" t="s">
        <v>799</v>
      </c>
      <c r="E241" s="6" t="s">
        <v>470</v>
      </c>
      <c r="F241" s="6" t="s">
        <v>1</v>
      </c>
      <c r="G241" s="9">
        <v>54.63</v>
      </c>
      <c r="H241" t="str">
        <f t="shared" si="7"/>
        <v>S, M, L, XL,</v>
      </c>
    </row>
    <row r="242" spans="1:8" x14ac:dyDescent="0.25">
      <c r="A242" s="6" t="s">
        <v>261</v>
      </c>
      <c r="B242" s="6" t="str">
        <f t="shared" si="6"/>
        <v>63117 BLACKBURN</v>
      </c>
      <c r="C242" s="6">
        <v>63117</v>
      </c>
      <c r="D242" s="6" t="s">
        <v>800</v>
      </c>
      <c r="E242" s="6" t="s">
        <v>471</v>
      </c>
      <c r="F242" s="6" t="s">
        <v>1</v>
      </c>
      <c r="G242" s="9">
        <v>66.7</v>
      </c>
      <c r="H242" t="str">
        <f t="shared" si="7"/>
        <v>S, M, L, XL,</v>
      </c>
    </row>
    <row r="243" spans="1:8" x14ac:dyDescent="0.25">
      <c r="A243" s="6" t="s">
        <v>261</v>
      </c>
      <c r="B243" s="6" t="str">
        <f t="shared" si="6"/>
        <v>63117 BLACKBURN</v>
      </c>
      <c r="C243" s="6">
        <v>63117</v>
      </c>
      <c r="D243" s="6" t="s">
        <v>800</v>
      </c>
      <c r="E243" s="6" t="s">
        <v>22</v>
      </c>
      <c r="F243" s="6" t="s">
        <v>1</v>
      </c>
      <c r="G243" s="9">
        <v>66.7</v>
      </c>
      <c r="H243" t="str">
        <f t="shared" si="7"/>
        <v>S, M, L, XL,</v>
      </c>
    </row>
    <row r="244" spans="1:8" x14ac:dyDescent="0.25">
      <c r="A244" s="6" t="s">
        <v>261</v>
      </c>
      <c r="B244" s="6" t="str">
        <f t="shared" si="6"/>
        <v>63117 BLACKBURN</v>
      </c>
      <c r="C244" s="6">
        <v>63117</v>
      </c>
      <c r="D244" s="6" t="s">
        <v>800</v>
      </c>
      <c r="E244" s="6" t="s">
        <v>437</v>
      </c>
      <c r="F244" s="6" t="s">
        <v>1</v>
      </c>
      <c r="G244" s="9">
        <v>66.7</v>
      </c>
      <c r="H244" t="str">
        <f t="shared" si="7"/>
        <v>S, M, L, XL,</v>
      </c>
    </row>
    <row r="245" spans="1:8" x14ac:dyDescent="0.25">
      <c r="A245" s="6" t="s">
        <v>263</v>
      </c>
      <c r="B245" s="6" t="str">
        <f t="shared" si="6"/>
        <v>63298BH GLASER</v>
      </c>
      <c r="C245" s="6" t="s">
        <v>587</v>
      </c>
      <c r="D245" s="6" t="s">
        <v>801</v>
      </c>
      <c r="E245" s="6" t="s">
        <v>379</v>
      </c>
      <c r="F245" s="6" t="s">
        <v>1</v>
      </c>
      <c r="G245" s="9">
        <v>75.8</v>
      </c>
      <c r="H245" t="str">
        <f t="shared" si="7"/>
        <v>S, M, L, XL,</v>
      </c>
    </row>
    <row r="246" spans="1:8" x14ac:dyDescent="0.25">
      <c r="A246" s="6" t="s">
        <v>263</v>
      </c>
      <c r="B246" s="6" t="str">
        <f t="shared" si="6"/>
        <v>63298BH GLASER</v>
      </c>
      <c r="C246" s="6" t="s">
        <v>587</v>
      </c>
      <c r="D246" s="6" t="s">
        <v>801</v>
      </c>
      <c r="E246" s="6" t="s">
        <v>22</v>
      </c>
      <c r="F246" s="6" t="s">
        <v>1</v>
      </c>
      <c r="G246" s="9">
        <v>75.8</v>
      </c>
      <c r="H246" t="str">
        <f t="shared" si="7"/>
        <v>S, M, L, XL,</v>
      </c>
    </row>
    <row r="247" spans="1:8" x14ac:dyDescent="0.25">
      <c r="A247" s="6" t="s">
        <v>264</v>
      </c>
      <c r="B247" s="6" t="str">
        <f t="shared" si="6"/>
        <v>22705 CHAPLIN</v>
      </c>
      <c r="C247" s="6">
        <v>22705</v>
      </c>
      <c r="D247" s="6" t="s">
        <v>802</v>
      </c>
      <c r="E247" s="6" t="s">
        <v>379</v>
      </c>
      <c r="F247" s="6" t="s">
        <v>1</v>
      </c>
      <c r="G247" s="9">
        <v>66.430000000000007</v>
      </c>
      <c r="H247" t="str">
        <f t="shared" si="7"/>
        <v>S, M, L, XL,</v>
      </c>
    </row>
    <row r="248" spans="1:8" x14ac:dyDescent="0.25">
      <c r="A248" s="6" t="s">
        <v>264</v>
      </c>
      <c r="B248" s="6" t="str">
        <f t="shared" si="6"/>
        <v>22705 CHAPLIN</v>
      </c>
      <c r="C248" s="6">
        <v>22705</v>
      </c>
      <c r="D248" s="6" t="s">
        <v>802</v>
      </c>
      <c r="E248" s="6" t="s">
        <v>472</v>
      </c>
      <c r="F248" s="6" t="s">
        <v>1</v>
      </c>
      <c r="G248" s="9">
        <v>66.430000000000007</v>
      </c>
      <c r="H248" t="str">
        <f t="shared" si="7"/>
        <v>S, M, L, XL,</v>
      </c>
    </row>
    <row r="249" spans="1:8" x14ac:dyDescent="0.25">
      <c r="A249" s="6" t="s">
        <v>31</v>
      </c>
      <c r="B249" s="6" t="str">
        <f t="shared" si="6"/>
        <v>22786BH TESSIER</v>
      </c>
      <c r="C249" s="6" t="s">
        <v>708</v>
      </c>
      <c r="D249" s="6" t="s">
        <v>803</v>
      </c>
      <c r="E249" s="6" t="s">
        <v>473</v>
      </c>
      <c r="F249" s="6" t="s">
        <v>1</v>
      </c>
      <c r="G249" s="9">
        <v>65.45</v>
      </c>
      <c r="H249" t="str">
        <f t="shared" si="7"/>
        <v>S, M, L, XL,</v>
      </c>
    </row>
    <row r="250" spans="1:8" x14ac:dyDescent="0.25">
      <c r="A250" s="6" t="s">
        <v>31</v>
      </c>
      <c r="B250" s="6" t="str">
        <f t="shared" si="6"/>
        <v>22786BH TESSIER</v>
      </c>
      <c r="C250" s="6" t="s">
        <v>708</v>
      </c>
      <c r="D250" s="6" t="s">
        <v>803</v>
      </c>
      <c r="E250" s="6" t="s">
        <v>474</v>
      </c>
      <c r="F250" s="6" t="s">
        <v>1</v>
      </c>
      <c r="G250" s="9">
        <v>65.45</v>
      </c>
      <c r="H250" t="str">
        <f t="shared" si="7"/>
        <v>S, M, L, XL,</v>
      </c>
    </row>
    <row r="251" spans="1:8" x14ac:dyDescent="0.25">
      <c r="A251" s="6" t="s">
        <v>267</v>
      </c>
      <c r="B251" s="6" t="str">
        <f t="shared" si="6"/>
        <v>22721 BROOKS</v>
      </c>
      <c r="C251" s="6">
        <v>22721</v>
      </c>
      <c r="D251" s="6" t="s">
        <v>804</v>
      </c>
      <c r="E251" s="6" t="s">
        <v>405</v>
      </c>
      <c r="F251" s="6" t="s">
        <v>17</v>
      </c>
      <c r="G251" s="9">
        <v>67.849999999999994</v>
      </c>
      <c r="H251" t="str">
        <f t="shared" si="7"/>
        <v>S, M, L, XL, XXL,</v>
      </c>
    </row>
    <row r="252" spans="1:8" x14ac:dyDescent="0.25">
      <c r="A252" s="6" t="s">
        <v>267</v>
      </c>
      <c r="B252" s="6" t="str">
        <f t="shared" si="6"/>
        <v>22721 BROOKS</v>
      </c>
      <c r="C252" s="6">
        <v>22721</v>
      </c>
      <c r="D252" s="6" t="s">
        <v>804</v>
      </c>
      <c r="E252" s="6" t="s">
        <v>475</v>
      </c>
      <c r="F252" s="6" t="s">
        <v>17</v>
      </c>
      <c r="G252" s="9">
        <v>67.849999999999994</v>
      </c>
      <c r="H252" t="str">
        <f t="shared" si="7"/>
        <v>S, M, L, XL, XXL,</v>
      </c>
    </row>
    <row r="253" spans="1:8" x14ac:dyDescent="0.25">
      <c r="A253" s="6" t="s">
        <v>267</v>
      </c>
      <c r="B253" s="6" t="str">
        <f t="shared" si="6"/>
        <v>22721 BROOKS</v>
      </c>
      <c r="C253" s="6">
        <v>22721</v>
      </c>
      <c r="D253" s="6" t="s">
        <v>804</v>
      </c>
      <c r="E253" s="6" t="s">
        <v>472</v>
      </c>
      <c r="F253" s="6" t="s">
        <v>17</v>
      </c>
      <c r="G253" s="9">
        <v>67.849999999999994</v>
      </c>
      <c r="H253" t="str">
        <f t="shared" si="7"/>
        <v>S, M, L, XL, XXL,</v>
      </c>
    </row>
    <row r="254" spans="1:8" x14ac:dyDescent="0.25">
      <c r="A254" s="6" t="s">
        <v>267</v>
      </c>
      <c r="B254" s="6" t="str">
        <f t="shared" si="6"/>
        <v>22721 BROOKS</v>
      </c>
      <c r="C254" s="6">
        <v>22721</v>
      </c>
      <c r="D254" s="6" t="s">
        <v>804</v>
      </c>
      <c r="E254" s="6" t="s">
        <v>456</v>
      </c>
      <c r="F254" s="6" t="s">
        <v>17</v>
      </c>
      <c r="G254" s="9">
        <v>67.849999999999994</v>
      </c>
      <c r="H254" t="str">
        <f t="shared" si="7"/>
        <v>S, M, L, XL, XXL,</v>
      </c>
    </row>
    <row r="255" spans="1:8" x14ac:dyDescent="0.25">
      <c r="A255" s="6" t="s">
        <v>267</v>
      </c>
      <c r="B255" s="6" t="str">
        <f t="shared" si="6"/>
        <v>22721 BROOKS</v>
      </c>
      <c r="C255" s="6">
        <v>22721</v>
      </c>
      <c r="D255" s="6" t="s">
        <v>804</v>
      </c>
      <c r="E255" s="6" t="s">
        <v>22</v>
      </c>
      <c r="F255" s="6" t="s">
        <v>17</v>
      </c>
      <c r="G255" s="9">
        <v>67.849999999999994</v>
      </c>
      <c r="H255" t="str">
        <f t="shared" si="7"/>
        <v>S, M, L, XL, XXL,</v>
      </c>
    </row>
    <row r="256" spans="1:8" x14ac:dyDescent="0.25">
      <c r="A256" s="6" t="s">
        <v>267</v>
      </c>
      <c r="B256" s="6" t="str">
        <f t="shared" si="6"/>
        <v>22721 BROOKS</v>
      </c>
      <c r="C256" s="6">
        <v>22721</v>
      </c>
      <c r="D256" s="6" t="s">
        <v>804</v>
      </c>
      <c r="E256" s="6" t="s">
        <v>404</v>
      </c>
      <c r="F256" s="6" t="s">
        <v>17</v>
      </c>
      <c r="G256" s="9">
        <v>67.849999999999994</v>
      </c>
      <c r="H256" t="str">
        <f t="shared" si="7"/>
        <v>S, M, L, XL, XXL,</v>
      </c>
    </row>
    <row r="257" spans="1:8" x14ac:dyDescent="0.25">
      <c r="A257" s="6" t="s">
        <v>268</v>
      </c>
      <c r="B257" s="6" t="str">
        <f t="shared" si="6"/>
        <v>22719 CUTLER</v>
      </c>
      <c r="C257" s="6">
        <v>22719</v>
      </c>
      <c r="D257" s="6" t="s">
        <v>805</v>
      </c>
      <c r="E257" s="6" t="s">
        <v>22</v>
      </c>
      <c r="F257" s="6" t="s">
        <v>1</v>
      </c>
      <c r="G257" s="9">
        <v>58.73</v>
      </c>
      <c r="H257" t="str">
        <f t="shared" si="7"/>
        <v>S, M, L, XL,</v>
      </c>
    </row>
    <row r="258" spans="1:8" x14ac:dyDescent="0.25">
      <c r="A258" s="6" t="s">
        <v>269</v>
      </c>
      <c r="B258" s="6" t="str">
        <f t="shared" si="6"/>
        <v>22776BH CUBAN</v>
      </c>
      <c r="C258" s="6" t="s">
        <v>547</v>
      </c>
      <c r="D258" s="6" t="s">
        <v>806</v>
      </c>
      <c r="E258" s="6" t="s">
        <v>476</v>
      </c>
      <c r="F258" s="6" t="s">
        <v>1</v>
      </c>
      <c r="G258" s="9">
        <v>68.22</v>
      </c>
      <c r="H258" t="str">
        <f t="shared" si="7"/>
        <v>S, M, L, XL,</v>
      </c>
    </row>
    <row r="259" spans="1:8" x14ac:dyDescent="0.25">
      <c r="A259" s="6" t="s">
        <v>269</v>
      </c>
      <c r="B259" s="6" t="str">
        <f t="shared" ref="B259:B312" si="8">TRIM(C259&amp;" "&amp;D259)</f>
        <v>22776BH CUBAN</v>
      </c>
      <c r="C259" s="6" t="s">
        <v>547</v>
      </c>
      <c r="D259" s="6" t="s">
        <v>806</v>
      </c>
      <c r="E259" s="6" t="s">
        <v>477</v>
      </c>
      <c r="F259" s="6" t="s">
        <v>1</v>
      </c>
      <c r="G259" s="9">
        <v>68.22</v>
      </c>
      <c r="H259" t="str">
        <f t="shared" ref="H259:H312" si="9">F259&amp;","</f>
        <v>S, M, L, XL,</v>
      </c>
    </row>
    <row r="260" spans="1:8" x14ac:dyDescent="0.25">
      <c r="A260" s="6" t="s">
        <v>269</v>
      </c>
      <c r="B260" s="6" t="str">
        <f t="shared" si="8"/>
        <v>22776BH CUBAN</v>
      </c>
      <c r="C260" s="6" t="s">
        <v>547</v>
      </c>
      <c r="D260" s="6" t="s">
        <v>806</v>
      </c>
      <c r="E260" s="6" t="s">
        <v>22</v>
      </c>
      <c r="F260" s="6" t="s">
        <v>1</v>
      </c>
      <c r="G260" s="9">
        <v>68.22</v>
      </c>
      <c r="H260" t="str">
        <f t="shared" si="9"/>
        <v>S, M, L, XL,</v>
      </c>
    </row>
    <row r="261" spans="1:8" x14ac:dyDescent="0.25">
      <c r="A261" s="6" t="s">
        <v>269</v>
      </c>
      <c r="B261" s="6" t="str">
        <f t="shared" si="8"/>
        <v>22776BH CUBAN</v>
      </c>
      <c r="C261" s="6" t="s">
        <v>547</v>
      </c>
      <c r="D261" s="6" t="s">
        <v>806</v>
      </c>
      <c r="E261" s="6" t="s">
        <v>478</v>
      </c>
      <c r="F261" s="6" t="s">
        <v>1</v>
      </c>
      <c r="G261" s="9">
        <v>68.22</v>
      </c>
      <c r="H261" t="str">
        <f t="shared" si="9"/>
        <v>S, M, L, XL,</v>
      </c>
    </row>
    <row r="262" spans="1:8" x14ac:dyDescent="0.25">
      <c r="A262" s="6" t="s">
        <v>269</v>
      </c>
      <c r="B262" s="6" t="str">
        <f t="shared" si="8"/>
        <v>22776BH CUBAN</v>
      </c>
      <c r="C262" s="6" t="s">
        <v>547</v>
      </c>
      <c r="D262" s="6" t="s">
        <v>806</v>
      </c>
      <c r="E262" s="6" t="s">
        <v>479</v>
      </c>
      <c r="F262" s="6" t="s">
        <v>1</v>
      </c>
      <c r="G262" s="9">
        <v>68.22</v>
      </c>
      <c r="H262" t="str">
        <f t="shared" si="9"/>
        <v>S, M, L, XL,</v>
      </c>
    </row>
    <row r="263" spans="1:8" x14ac:dyDescent="0.25">
      <c r="A263" s="6" t="s">
        <v>34</v>
      </c>
      <c r="B263" s="6" t="str">
        <f t="shared" si="8"/>
        <v>22791BH STANSFIELD</v>
      </c>
      <c r="C263" s="6" t="s">
        <v>702</v>
      </c>
      <c r="D263" s="6" t="s">
        <v>807</v>
      </c>
      <c r="E263" s="6" t="s">
        <v>480</v>
      </c>
      <c r="F263" s="6" t="s">
        <v>1</v>
      </c>
      <c r="G263" s="9">
        <v>73.55</v>
      </c>
      <c r="H263" t="str">
        <f t="shared" si="9"/>
        <v>S, M, L, XL,</v>
      </c>
    </row>
    <row r="264" spans="1:8" x14ac:dyDescent="0.25">
      <c r="A264" s="6" t="s">
        <v>34</v>
      </c>
      <c r="B264" s="6" t="str">
        <f t="shared" si="8"/>
        <v>22791BH STANSFIELD</v>
      </c>
      <c r="C264" s="6" t="s">
        <v>702</v>
      </c>
      <c r="D264" s="6" t="s">
        <v>807</v>
      </c>
      <c r="E264" s="6" t="s">
        <v>22</v>
      </c>
      <c r="F264" s="6" t="s">
        <v>1</v>
      </c>
      <c r="G264" s="9">
        <v>73.55</v>
      </c>
      <c r="H264" t="str">
        <f t="shared" si="9"/>
        <v>S, M, L, XL,</v>
      </c>
    </row>
    <row r="265" spans="1:8" x14ac:dyDescent="0.25">
      <c r="A265" s="6" t="s">
        <v>34</v>
      </c>
      <c r="B265" s="6" t="str">
        <f t="shared" si="8"/>
        <v>22791BH STANSFIELD</v>
      </c>
      <c r="C265" s="6" t="s">
        <v>702</v>
      </c>
      <c r="D265" s="6" t="s">
        <v>807</v>
      </c>
      <c r="E265" s="6" t="s">
        <v>431</v>
      </c>
      <c r="F265" s="6" t="s">
        <v>1</v>
      </c>
      <c r="G265" s="9">
        <v>73.55</v>
      </c>
      <c r="H265" t="str">
        <f t="shared" si="9"/>
        <v>S, M, L, XL,</v>
      </c>
    </row>
    <row r="266" spans="1:8" x14ac:dyDescent="0.25">
      <c r="A266" s="6" t="s">
        <v>34</v>
      </c>
      <c r="B266" s="6" t="str">
        <f t="shared" si="8"/>
        <v>22791BH STANSFIELD</v>
      </c>
      <c r="C266" s="6" t="s">
        <v>702</v>
      </c>
      <c r="D266" s="6" t="s">
        <v>807</v>
      </c>
      <c r="E266" s="6" t="s">
        <v>409</v>
      </c>
      <c r="F266" s="6" t="s">
        <v>1</v>
      </c>
      <c r="G266" s="9">
        <v>73.55</v>
      </c>
      <c r="H266" t="str">
        <f t="shared" si="9"/>
        <v>S, M, L, XL,</v>
      </c>
    </row>
    <row r="267" spans="1:8" x14ac:dyDescent="0.25">
      <c r="A267" s="6" t="s">
        <v>273</v>
      </c>
      <c r="B267" s="6" t="str">
        <f t="shared" si="8"/>
        <v>22757BH SALTER</v>
      </c>
      <c r="C267" s="6" t="s">
        <v>692</v>
      </c>
      <c r="D267" s="6" t="s">
        <v>808</v>
      </c>
      <c r="E267" s="6" t="s">
        <v>22</v>
      </c>
      <c r="F267" s="6" t="s">
        <v>25</v>
      </c>
      <c r="G267" s="9">
        <v>114.71</v>
      </c>
      <c r="H267" t="str">
        <f t="shared" si="9"/>
        <v>6 3/4, 6 7/8, 7, 7 1/8, 7 1/4, 7 3/8, 7 1/2, 7 5/8,</v>
      </c>
    </row>
    <row r="268" spans="1:8" x14ac:dyDescent="0.25">
      <c r="A268" s="6" t="s">
        <v>282</v>
      </c>
      <c r="B268" s="6" t="str">
        <f t="shared" si="8"/>
        <v>22760BH LORING</v>
      </c>
      <c r="C268" s="6" t="s">
        <v>634</v>
      </c>
      <c r="D268" s="6" t="s">
        <v>809</v>
      </c>
      <c r="E268" s="6" t="s">
        <v>22</v>
      </c>
      <c r="F268" s="6" t="s">
        <v>1</v>
      </c>
      <c r="G268" s="9">
        <v>112.9</v>
      </c>
      <c r="H268" t="str">
        <f t="shared" si="9"/>
        <v>S, M, L, XL,</v>
      </c>
    </row>
    <row r="269" spans="1:8" x14ac:dyDescent="0.25">
      <c r="A269" s="6" t="s">
        <v>274</v>
      </c>
      <c r="B269" s="6" t="str">
        <f t="shared" si="8"/>
        <v>22750 ROLL UP II</v>
      </c>
      <c r="C269" s="6">
        <v>22750</v>
      </c>
      <c r="D269" s="6" t="s">
        <v>830</v>
      </c>
      <c r="E269" s="6" t="s">
        <v>22</v>
      </c>
      <c r="F269" s="6" t="s">
        <v>1</v>
      </c>
      <c r="G269" s="9">
        <v>77.319999999999993</v>
      </c>
      <c r="H269" t="str">
        <f t="shared" si="9"/>
        <v>S, M, L, XL,</v>
      </c>
    </row>
    <row r="270" spans="1:8" x14ac:dyDescent="0.25">
      <c r="A270" s="6" t="s">
        <v>275</v>
      </c>
      <c r="B270" s="6" t="str">
        <f t="shared" si="8"/>
        <v>22790BH PARSON</v>
      </c>
      <c r="C270" s="6" t="s">
        <v>664</v>
      </c>
      <c r="D270" s="6" t="s">
        <v>810</v>
      </c>
      <c r="E270" s="6" t="s">
        <v>481</v>
      </c>
      <c r="F270" s="6" t="s">
        <v>1</v>
      </c>
      <c r="G270" s="9">
        <v>69.72</v>
      </c>
      <c r="H270" t="str">
        <f t="shared" si="9"/>
        <v>S, M, L, XL,</v>
      </c>
    </row>
    <row r="271" spans="1:8" x14ac:dyDescent="0.25">
      <c r="A271" s="6" t="s">
        <v>275</v>
      </c>
      <c r="B271" s="6" t="str">
        <f t="shared" si="8"/>
        <v>22790BH PARSON</v>
      </c>
      <c r="C271" s="6" t="s">
        <v>664</v>
      </c>
      <c r="D271" s="6" t="s">
        <v>810</v>
      </c>
      <c r="E271" s="6" t="s">
        <v>482</v>
      </c>
      <c r="F271" s="6" t="s">
        <v>1</v>
      </c>
      <c r="G271" s="9">
        <v>69.72</v>
      </c>
      <c r="H271" t="str">
        <f t="shared" si="9"/>
        <v>S, M, L, XL,</v>
      </c>
    </row>
    <row r="272" spans="1:8" x14ac:dyDescent="0.25">
      <c r="A272" s="6" t="s">
        <v>275</v>
      </c>
      <c r="B272" s="6" t="str">
        <f t="shared" si="8"/>
        <v>22790BH PARSON</v>
      </c>
      <c r="C272" s="6" t="s">
        <v>664</v>
      </c>
      <c r="D272" s="6" t="s">
        <v>810</v>
      </c>
      <c r="E272" s="6" t="s">
        <v>483</v>
      </c>
      <c r="F272" s="6" t="s">
        <v>1</v>
      </c>
      <c r="G272" s="9">
        <v>69.72</v>
      </c>
      <c r="H272" t="str">
        <f t="shared" si="9"/>
        <v>S, M, L, XL,</v>
      </c>
    </row>
    <row r="273" spans="1:8" x14ac:dyDescent="0.25">
      <c r="A273" s="6" t="s">
        <v>277</v>
      </c>
      <c r="B273" s="6" t="str">
        <f t="shared" si="8"/>
        <v>22798BH WARLICK</v>
      </c>
      <c r="C273" s="6" t="s">
        <v>716</v>
      </c>
      <c r="D273" s="6" t="s">
        <v>811</v>
      </c>
      <c r="E273" s="6" t="s">
        <v>484</v>
      </c>
      <c r="F273" s="6" t="s">
        <v>1</v>
      </c>
      <c r="G273" s="9">
        <v>68.5</v>
      </c>
      <c r="H273" t="str">
        <f t="shared" si="9"/>
        <v>S, M, L, XL,</v>
      </c>
    </row>
    <row r="274" spans="1:8" x14ac:dyDescent="0.25">
      <c r="A274" s="6" t="s">
        <v>277</v>
      </c>
      <c r="B274" s="6" t="str">
        <f t="shared" si="8"/>
        <v>22798BH WARLICK</v>
      </c>
      <c r="C274" s="6" t="s">
        <v>716</v>
      </c>
      <c r="D274" s="6" t="s">
        <v>811</v>
      </c>
      <c r="E274" s="6" t="s">
        <v>485</v>
      </c>
      <c r="F274" s="6" t="s">
        <v>1</v>
      </c>
      <c r="G274" s="9">
        <v>68.5</v>
      </c>
      <c r="H274" t="str">
        <f t="shared" si="9"/>
        <v>S, M, L, XL,</v>
      </c>
    </row>
    <row r="275" spans="1:8" x14ac:dyDescent="0.25">
      <c r="A275" s="6" t="s">
        <v>279</v>
      </c>
      <c r="B275" s="6" t="str">
        <f t="shared" si="8"/>
        <v>22805BH EZRA</v>
      </c>
      <c r="C275" s="6" t="s">
        <v>571</v>
      </c>
      <c r="D275" s="6" t="s">
        <v>812</v>
      </c>
      <c r="E275" s="6" t="s">
        <v>22</v>
      </c>
      <c r="F275" s="6" t="s">
        <v>1</v>
      </c>
      <c r="G275" s="9">
        <v>77.3</v>
      </c>
      <c r="H275" t="str">
        <f t="shared" si="9"/>
        <v>S, M, L, XL,</v>
      </c>
    </row>
    <row r="276" spans="1:8" x14ac:dyDescent="0.25">
      <c r="A276" s="6" t="s">
        <v>280</v>
      </c>
      <c r="B276" s="6" t="str">
        <f t="shared" si="8"/>
        <v>22787BH GIGER</v>
      </c>
      <c r="C276" s="6" t="s">
        <v>583</v>
      </c>
      <c r="D276" s="6" t="s">
        <v>813</v>
      </c>
      <c r="E276" s="6" t="s">
        <v>486</v>
      </c>
      <c r="F276" s="6" t="s">
        <v>1</v>
      </c>
      <c r="G276" s="9">
        <v>66.95</v>
      </c>
      <c r="H276" t="str">
        <f t="shared" si="9"/>
        <v>S, M, L, XL,</v>
      </c>
    </row>
    <row r="277" spans="1:8" x14ac:dyDescent="0.25">
      <c r="A277" s="6" t="s">
        <v>280</v>
      </c>
      <c r="B277" s="6" t="str">
        <f t="shared" si="8"/>
        <v>22787BH GIGER</v>
      </c>
      <c r="C277" s="6" t="s">
        <v>583</v>
      </c>
      <c r="D277" s="6" t="s">
        <v>813</v>
      </c>
      <c r="E277" s="6" t="s">
        <v>487</v>
      </c>
      <c r="F277" s="6" t="s">
        <v>1</v>
      </c>
      <c r="G277" s="9">
        <v>66.95</v>
      </c>
      <c r="H277" t="str">
        <f t="shared" si="9"/>
        <v>S, M, L, XL,</v>
      </c>
    </row>
    <row r="278" spans="1:8" x14ac:dyDescent="0.25">
      <c r="A278" s="6" t="s">
        <v>280</v>
      </c>
      <c r="B278" s="6" t="str">
        <f t="shared" si="8"/>
        <v>22787BH GIGER</v>
      </c>
      <c r="C278" s="6" t="s">
        <v>583</v>
      </c>
      <c r="D278" s="6" t="s">
        <v>813</v>
      </c>
      <c r="E278" s="6" t="s">
        <v>488</v>
      </c>
      <c r="F278" s="6" t="s">
        <v>1</v>
      </c>
      <c r="G278" s="9">
        <v>66.95</v>
      </c>
      <c r="H278" t="str">
        <f t="shared" si="9"/>
        <v>S, M, L, XL,</v>
      </c>
    </row>
    <row r="279" spans="1:8" x14ac:dyDescent="0.25">
      <c r="A279" s="6" t="s">
        <v>280</v>
      </c>
      <c r="B279" s="6" t="str">
        <f t="shared" si="8"/>
        <v>22787BH GIGER</v>
      </c>
      <c r="C279" s="6" t="s">
        <v>583</v>
      </c>
      <c r="D279" s="6" t="s">
        <v>813</v>
      </c>
      <c r="E279" s="6" t="s">
        <v>489</v>
      </c>
      <c r="F279" s="6" t="s">
        <v>1</v>
      </c>
      <c r="G279" s="9">
        <v>66.95</v>
      </c>
      <c r="H279" t="str">
        <f t="shared" si="9"/>
        <v>S, M, L, XL,</v>
      </c>
    </row>
    <row r="280" spans="1:8" x14ac:dyDescent="0.25">
      <c r="A280" s="6" t="s">
        <v>283</v>
      </c>
      <c r="B280" s="6" t="str">
        <f t="shared" si="8"/>
        <v>22814BH BYSTROM</v>
      </c>
      <c r="C280" s="6" t="s">
        <v>527</v>
      </c>
      <c r="D280" s="6" t="s">
        <v>814</v>
      </c>
      <c r="E280" s="6" t="s">
        <v>22</v>
      </c>
      <c r="F280" s="6" t="s">
        <v>1</v>
      </c>
      <c r="G280" s="9">
        <v>74.760000000000005</v>
      </c>
      <c r="H280" t="str">
        <f t="shared" si="9"/>
        <v>S, M, L, XL,</v>
      </c>
    </row>
    <row r="281" spans="1:8" x14ac:dyDescent="0.25">
      <c r="A281" s="6" t="s">
        <v>283</v>
      </c>
      <c r="B281" s="6" t="str">
        <f t="shared" si="8"/>
        <v>22814BH BYSTROM</v>
      </c>
      <c r="C281" s="6" t="s">
        <v>527</v>
      </c>
      <c r="D281" s="6" t="s">
        <v>814</v>
      </c>
      <c r="E281" s="6" t="s">
        <v>404</v>
      </c>
      <c r="F281" s="6" t="s">
        <v>1</v>
      </c>
      <c r="G281" s="9">
        <v>74.760000000000005</v>
      </c>
      <c r="H281" t="str">
        <f t="shared" si="9"/>
        <v>S, M, L, XL,</v>
      </c>
    </row>
    <row r="282" spans="1:8" x14ac:dyDescent="0.25">
      <c r="A282" s="6" t="s">
        <v>285</v>
      </c>
      <c r="B282" s="6" t="str">
        <f t="shared" si="8"/>
        <v>22815BH EMIL</v>
      </c>
      <c r="C282" s="6" t="s">
        <v>569</v>
      </c>
      <c r="D282" s="6" t="s">
        <v>815</v>
      </c>
      <c r="E282" s="6" t="s">
        <v>11</v>
      </c>
      <c r="F282" s="6" t="s">
        <v>1</v>
      </c>
      <c r="G282" s="9">
        <v>72.5</v>
      </c>
      <c r="H282" t="str">
        <f t="shared" si="9"/>
        <v>S, M, L, XL,</v>
      </c>
    </row>
    <row r="283" spans="1:8" x14ac:dyDescent="0.25">
      <c r="A283" s="6" t="s">
        <v>286</v>
      </c>
      <c r="B283" s="6" t="str">
        <f t="shared" si="8"/>
        <v>22816BH RACER</v>
      </c>
      <c r="C283" s="6" t="s">
        <v>670</v>
      </c>
      <c r="D283" s="6" t="s">
        <v>816</v>
      </c>
      <c r="E283" s="6" t="s">
        <v>440</v>
      </c>
      <c r="F283" s="6" t="s">
        <v>1</v>
      </c>
      <c r="G283" s="9">
        <v>75.37</v>
      </c>
      <c r="H283" t="str">
        <f t="shared" si="9"/>
        <v>S, M, L, XL,</v>
      </c>
    </row>
    <row r="284" spans="1:8" x14ac:dyDescent="0.25">
      <c r="A284" s="6" t="s">
        <v>286</v>
      </c>
      <c r="B284" s="6" t="str">
        <f t="shared" si="8"/>
        <v>22816BH RACER</v>
      </c>
      <c r="C284" s="6" t="s">
        <v>670</v>
      </c>
      <c r="D284" s="6" t="s">
        <v>816</v>
      </c>
      <c r="E284" s="6" t="s">
        <v>22</v>
      </c>
      <c r="F284" s="6" t="s">
        <v>1</v>
      </c>
      <c r="G284" s="9">
        <v>75.37</v>
      </c>
      <c r="H284" t="str">
        <f t="shared" si="9"/>
        <v>S, M, L, XL,</v>
      </c>
    </row>
    <row r="285" spans="1:8" x14ac:dyDescent="0.25">
      <c r="A285" s="6" t="s">
        <v>288</v>
      </c>
      <c r="B285" s="6" t="str">
        <f t="shared" si="8"/>
        <v>22817BH CRISPIN</v>
      </c>
      <c r="C285" s="6" t="s">
        <v>545</v>
      </c>
      <c r="D285" s="6" t="s">
        <v>817</v>
      </c>
      <c r="E285" s="6" t="s">
        <v>405</v>
      </c>
      <c r="F285" s="6" t="s">
        <v>1</v>
      </c>
      <c r="G285" s="9">
        <v>79.680000000000007</v>
      </c>
      <c r="H285" t="str">
        <f t="shared" si="9"/>
        <v>S, M, L, XL,</v>
      </c>
    </row>
    <row r="286" spans="1:8" x14ac:dyDescent="0.25">
      <c r="A286" s="6" t="s">
        <v>288</v>
      </c>
      <c r="B286" s="6" t="str">
        <f t="shared" si="8"/>
        <v>22817BH CRISPIN</v>
      </c>
      <c r="C286" s="6" t="s">
        <v>545</v>
      </c>
      <c r="D286" s="6" t="s">
        <v>817</v>
      </c>
      <c r="E286" s="6" t="s">
        <v>22</v>
      </c>
      <c r="F286" s="6" t="s">
        <v>1</v>
      </c>
      <c r="G286" s="9">
        <v>79.680000000000007</v>
      </c>
      <c r="H286" t="str">
        <f t="shared" si="9"/>
        <v>S, M, L, XL,</v>
      </c>
    </row>
    <row r="287" spans="1:8" x14ac:dyDescent="0.25">
      <c r="A287" s="6" t="s">
        <v>290</v>
      </c>
      <c r="B287" s="6" t="str">
        <f t="shared" si="8"/>
        <v>22806BH HINX</v>
      </c>
      <c r="C287" s="6" t="s">
        <v>605</v>
      </c>
      <c r="D287" s="6" t="s">
        <v>818</v>
      </c>
      <c r="E287" s="6" t="s">
        <v>490</v>
      </c>
      <c r="F287" s="6" t="s">
        <v>1</v>
      </c>
      <c r="G287" s="9">
        <v>69.3</v>
      </c>
      <c r="H287" t="str">
        <f t="shared" si="9"/>
        <v>S, M, L, XL,</v>
      </c>
    </row>
    <row r="288" spans="1:8" x14ac:dyDescent="0.25">
      <c r="A288" s="6" t="s">
        <v>290</v>
      </c>
      <c r="B288" s="6" t="str">
        <f t="shared" si="8"/>
        <v>22806BH HINX</v>
      </c>
      <c r="C288" s="6" t="s">
        <v>605</v>
      </c>
      <c r="D288" s="6" t="s">
        <v>818</v>
      </c>
      <c r="E288" s="6" t="s">
        <v>491</v>
      </c>
      <c r="F288" s="6" t="s">
        <v>1</v>
      </c>
      <c r="G288" s="9">
        <v>69.3</v>
      </c>
      <c r="H288" t="str">
        <f t="shared" si="9"/>
        <v>S, M, L, XL,</v>
      </c>
    </row>
    <row r="289" spans="1:8" x14ac:dyDescent="0.25">
      <c r="A289" s="6" t="s">
        <v>290</v>
      </c>
      <c r="B289" s="6" t="str">
        <f t="shared" si="8"/>
        <v>22806BH HINX</v>
      </c>
      <c r="C289" s="6" t="s">
        <v>605</v>
      </c>
      <c r="D289" s="6" t="s">
        <v>818</v>
      </c>
      <c r="E289" s="6" t="s">
        <v>492</v>
      </c>
      <c r="F289" s="6" t="s">
        <v>1</v>
      </c>
      <c r="G289" s="9">
        <v>69.3</v>
      </c>
      <c r="H289" t="str">
        <f t="shared" si="9"/>
        <v>S, M, L, XL,</v>
      </c>
    </row>
    <row r="290" spans="1:8" x14ac:dyDescent="0.25">
      <c r="A290" s="6" t="s">
        <v>290</v>
      </c>
      <c r="B290" s="6" t="str">
        <f t="shared" si="8"/>
        <v>22806BH HINX</v>
      </c>
      <c r="C290" s="6" t="s">
        <v>605</v>
      </c>
      <c r="D290" s="6" t="s">
        <v>818</v>
      </c>
      <c r="E290" s="6" t="s">
        <v>437</v>
      </c>
      <c r="F290" s="6" t="s">
        <v>1</v>
      </c>
      <c r="G290" s="9">
        <v>69.3</v>
      </c>
      <c r="H290" t="str">
        <f t="shared" si="9"/>
        <v>S, M, L, XL,</v>
      </c>
    </row>
    <row r="291" spans="1:8" x14ac:dyDescent="0.25">
      <c r="A291" s="6" t="s">
        <v>290</v>
      </c>
      <c r="B291" s="6" t="str">
        <f t="shared" si="8"/>
        <v>22806BH HINX</v>
      </c>
      <c r="C291" s="6" t="s">
        <v>605</v>
      </c>
      <c r="D291" s="6" t="s">
        <v>818</v>
      </c>
      <c r="E291" s="6" t="s">
        <v>443</v>
      </c>
      <c r="F291" s="6" t="s">
        <v>1</v>
      </c>
      <c r="G291" s="9">
        <v>69.3</v>
      </c>
      <c r="H291" t="str">
        <f t="shared" si="9"/>
        <v>S, M, L, XL,</v>
      </c>
    </row>
    <row r="292" spans="1:8" x14ac:dyDescent="0.25">
      <c r="A292" s="6" t="s">
        <v>292</v>
      </c>
      <c r="B292" s="6" t="str">
        <f t="shared" si="8"/>
        <v>22803BH RASK</v>
      </c>
      <c r="C292" s="6" t="s">
        <v>674</v>
      </c>
      <c r="D292" s="6" t="s">
        <v>819</v>
      </c>
      <c r="E292" s="6" t="s">
        <v>379</v>
      </c>
      <c r="F292" s="6" t="s">
        <v>1</v>
      </c>
      <c r="G292" s="9">
        <v>73.099999999999994</v>
      </c>
      <c r="H292" t="str">
        <f t="shared" si="9"/>
        <v>S, M, L, XL,</v>
      </c>
    </row>
    <row r="293" spans="1:8" x14ac:dyDescent="0.25">
      <c r="A293" s="6" t="s">
        <v>292</v>
      </c>
      <c r="B293" s="6" t="str">
        <f t="shared" si="8"/>
        <v>22803BH RASK</v>
      </c>
      <c r="C293" s="6" t="s">
        <v>674</v>
      </c>
      <c r="D293" s="6" t="s">
        <v>819</v>
      </c>
      <c r="E293" s="6" t="s">
        <v>493</v>
      </c>
      <c r="F293" s="6" t="s">
        <v>1</v>
      </c>
      <c r="G293" s="9">
        <v>73.099999999999994</v>
      </c>
      <c r="H293" t="str">
        <f t="shared" si="9"/>
        <v>S, M, L, XL,</v>
      </c>
    </row>
    <row r="294" spans="1:8" x14ac:dyDescent="0.25">
      <c r="A294" s="6" t="s">
        <v>294</v>
      </c>
      <c r="B294" s="6" t="str">
        <f t="shared" si="8"/>
        <v>22804BH HERNEN</v>
      </c>
      <c r="C294" s="6" t="s">
        <v>601</v>
      </c>
      <c r="D294" s="6" t="s">
        <v>820</v>
      </c>
      <c r="E294" s="6" t="s">
        <v>20</v>
      </c>
      <c r="F294" s="6" t="s">
        <v>17</v>
      </c>
      <c r="G294" s="9">
        <v>67</v>
      </c>
      <c r="H294" t="str">
        <f t="shared" si="9"/>
        <v>S, M, L, XL, XXL,</v>
      </c>
    </row>
    <row r="295" spans="1:8" x14ac:dyDescent="0.25">
      <c r="A295" s="6" t="s">
        <v>14</v>
      </c>
      <c r="B295" s="6" t="str">
        <f t="shared" si="8"/>
        <v>22784BH TASMIN</v>
      </c>
      <c r="C295" s="6" t="s">
        <v>704</v>
      </c>
      <c r="D295" s="6" t="s">
        <v>821</v>
      </c>
      <c r="E295" s="6" t="s">
        <v>15</v>
      </c>
      <c r="F295" s="6" t="s">
        <v>1</v>
      </c>
      <c r="G295" s="9">
        <v>69.209999999999994</v>
      </c>
      <c r="H295" t="str">
        <f t="shared" si="9"/>
        <v>S, M, L, XL,</v>
      </c>
    </row>
    <row r="296" spans="1:8" x14ac:dyDescent="0.25">
      <c r="A296" s="6" t="s">
        <v>4</v>
      </c>
      <c r="B296" s="6" t="str">
        <f t="shared" si="8"/>
        <v>22810BH ARION</v>
      </c>
      <c r="C296" s="6" t="s">
        <v>507</v>
      </c>
      <c r="D296" s="6" t="s">
        <v>822</v>
      </c>
      <c r="E296" s="6" t="s">
        <v>22</v>
      </c>
      <c r="F296" s="6" t="s">
        <v>1</v>
      </c>
      <c r="G296" s="9">
        <v>92.72</v>
      </c>
      <c r="H296" t="str">
        <f t="shared" si="9"/>
        <v>S, M, L, XL,</v>
      </c>
    </row>
    <row r="297" spans="1:8" x14ac:dyDescent="0.25">
      <c r="A297" s="6" t="s">
        <v>4</v>
      </c>
      <c r="B297" s="6" t="str">
        <f t="shared" si="8"/>
        <v>22810BH ARION</v>
      </c>
      <c r="C297" s="6" t="s">
        <v>507</v>
      </c>
      <c r="D297" s="6" t="s">
        <v>822</v>
      </c>
      <c r="E297" s="6" t="s">
        <v>431</v>
      </c>
      <c r="F297" s="6" t="s">
        <v>1</v>
      </c>
      <c r="G297" s="9">
        <v>92.72</v>
      </c>
      <c r="H297" t="str">
        <f t="shared" si="9"/>
        <v>S, M, L, XL,</v>
      </c>
    </row>
    <row r="298" spans="1:8" x14ac:dyDescent="0.25">
      <c r="A298" s="6" t="s">
        <v>4</v>
      </c>
      <c r="B298" s="6" t="str">
        <f t="shared" si="8"/>
        <v>22810BH ARION</v>
      </c>
      <c r="C298" s="6" t="s">
        <v>507</v>
      </c>
      <c r="D298" s="6" t="s">
        <v>822</v>
      </c>
      <c r="E298" s="6" t="s">
        <v>440</v>
      </c>
      <c r="F298" s="6" t="s">
        <v>1</v>
      </c>
      <c r="G298" s="9">
        <v>92.72</v>
      </c>
      <c r="H298" t="str">
        <f t="shared" si="9"/>
        <v>S, M, L, XL,</v>
      </c>
    </row>
    <row r="299" spans="1:8" x14ac:dyDescent="0.25">
      <c r="A299" s="6" t="s">
        <v>4</v>
      </c>
      <c r="B299" s="6" t="str">
        <f t="shared" si="8"/>
        <v>22810BH ARION</v>
      </c>
      <c r="C299" s="6" t="s">
        <v>507</v>
      </c>
      <c r="D299" s="6" t="s">
        <v>822</v>
      </c>
      <c r="E299" s="6" t="s">
        <v>404</v>
      </c>
      <c r="F299" s="6" t="s">
        <v>1</v>
      </c>
      <c r="G299" s="9">
        <v>92.72</v>
      </c>
      <c r="H299" t="str">
        <f t="shared" si="9"/>
        <v>S, M, L, XL,</v>
      </c>
    </row>
    <row r="300" spans="1:8" x14ac:dyDescent="0.25">
      <c r="A300" s="6" t="s">
        <v>128</v>
      </c>
      <c r="B300" s="6" t="str">
        <f t="shared" si="8"/>
        <v>22811BH HORAN</v>
      </c>
      <c r="C300" s="6" t="s">
        <v>609</v>
      </c>
      <c r="D300" s="6" t="s">
        <v>823</v>
      </c>
      <c r="E300" s="6" t="s">
        <v>379</v>
      </c>
      <c r="F300" s="6" t="s">
        <v>1</v>
      </c>
      <c r="G300" s="9">
        <v>78.66</v>
      </c>
      <c r="H300" t="str">
        <f t="shared" si="9"/>
        <v>S, M, L, XL,</v>
      </c>
    </row>
    <row r="301" spans="1:8" x14ac:dyDescent="0.25">
      <c r="A301" s="6" t="s">
        <v>128</v>
      </c>
      <c r="B301" s="6" t="str">
        <f t="shared" si="8"/>
        <v>22811BH HORAN</v>
      </c>
      <c r="C301" s="6" t="s">
        <v>609</v>
      </c>
      <c r="D301" s="6" t="s">
        <v>823</v>
      </c>
      <c r="E301" s="6" t="s">
        <v>22</v>
      </c>
      <c r="F301" s="6" t="s">
        <v>1</v>
      </c>
      <c r="G301" s="9">
        <v>78.66</v>
      </c>
      <c r="H301" t="str">
        <f t="shared" si="9"/>
        <v>S, M, L, XL,</v>
      </c>
    </row>
    <row r="302" spans="1:8" x14ac:dyDescent="0.25">
      <c r="A302" s="6" t="s">
        <v>130</v>
      </c>
      <c r="B302" s="6" t="str">
        <f t="shared" si="8"/>
        <v>22813BH PHINEAS</v>
      </c>
      <c r="C302" s="6" t="s">
        <v>666</v>
      </c>
      <c r="D302" s="6" t="s">
        <v>824</v>
      </c>
      <c r="E302" s="6" t="s">
        <v>494</v>
      </c>
      <c r="F302" s="6" t="s">
        <v>1</v>
      </c>
      <c r="G302" s="9">
        <v>75.75</v>
      </c>
      <c r="H302" t="str">
        <f t="shared" si="9"/>
        <v>S, M, L, XL,</v>
      </c>
    </row>
    <row r="303" spans="1:8" x14ac:dyDescent="0.25">
      <c r="A303" s="6" t="s">
        <v>130</v>
      </c>
      <c r="B303" s="6" t="str">
        <f t="shared" si="8"/>
        <v>22813BH PHINEAS</v>
      </c>
      <c r="C303" s="6" t="s">
        <v>666</v>
      </c>
      <c r="D303" s="6" t="s">
        <v>824</v>
      </c>
      <c r="E303" s="6" t="s">
        <v>495</v>
      </c>
      <c r="F303" s="6" t="s">
        <v>1</v>
      </c>
      <c r="G303" s="9">
        <v>75.75</v>
      </c>
      <c r="H303" t="str">
        <f t="shared" si="9"/>
        <v>S, M, L, XL,</v>
      </c>
    </row>
    <row r="304" spans="1:8" x14ac:dyDescent="0.25">
      <c r="A304" s="6" t="s">
        <v>126</v>
      </c>
      <c r="B304" s="6" t="str">
        <f t="shared" si="8"/>
        <v>22818BH GILES</v>
      </c>
      <c r="C304" s="6" t="s">
        <v>585</v>
      </c>
      <c r="D304" s="6" t="s">
        <v>825</v>
      </c>
      <c r="E304" s="6" t="s">
        <v>405</v>
      </c>
      <c r="F304" s="6" t="s">
        <v>1</v>
      </c>
      <c r="G304" s="9">
        <v>77.55</v>
      </c>
      <c r="H304" t="str">
        <f t="shared" si="9"/>
        <v>S, M, L, XL,</v>
      </c>
    </row>
    <row r="305" spans="1:8" x14ac:dyDescent="0.25">
      <c r="A305" s="6" t="s">
        <v>126</v>
      </c>
      <c r="B305" s="6" t="str">
        <f t="shared" si="8"/>
        <v>22818BH GILES</v>
      </c>
      <c r="C305" s="6" t="s">
        <v>585</v>
      </c>
      <c r="D305" s="6" t="s">
        <v>825</v>
      </c>
      <c r="E305" s="6" t="s">
        <v>431</v>
      </c>
      <c r="F305" s="6" t="s">
        <v>1</v>
      </c>
      <c r="G305" s="9">
        <v>77.55</v>
      </c>
      <c r="H305" t="str">
        <f t="shared" si="9"/>
        <v>S, M, L, XL,</v>
      </c>
    </row>
    <row r="306" spans="1:8" x14ac:dyDescent="0.25">
      <c r="A306" s="6" t="s">
        <v>127</v>
      </c>
      <c r="B306" s="6" t="str">
        <f t="shared" si="8"/>
        <v>22807BH BOREAL</v>
      </c>
      <c r="C306" s="6" t="s">
        <v>521</v>
      </c>
      <c r="D306" s="6" t="s">
        <v>826</v>
      </c>
      <c r="E306" s="6" t="s">
        <v>496</v>
      </c>
      <c r="F306" s="6" t="s">
        <v>1</v>
      </c>
      <c r="G306" s="9">
        <v>75.150000000000006</v>
      </c>
      <c r="H306" t="str">
        <f t="shared" si="9"/>
        <v>S, M, L, XL,</v>
      </c>
    </row>
    <row r="307" spans="1:8" x14ac:dyDescent="0.25">
      <c r="A307" s="6" t="s">
        <v>127</v>
      </c>
      <c r="B307" s="6" t="str">
        <f t="shared" si="8"/>
        <v>22807BH BOREAL</v>
      </c>
      <c r="C307" s="6" t="s">
        <v>521</v>
      </c>
      <c r="D307" s="6" t="s">
        <v>826</v>
      </c>
      <c r="E307" s="6" t="s">
        <v>497</v>
      </c>
      <c r="F307" s="6" t="s">
        <v>1</v>
      </c>
      <c r="G307" s="9">
        <v>75.150000000000006</v>
      </c>
      <c r="H307" t="str">
        <f t="shared" si="9"/>
        <v>S, M, L, XL,</v>
      </c>
    </row>
    <row r="308" spans="1:8" x14ac:dyDescent="0.25">
      <c r="A308" s="6" t="s">
        <v>132</v>
      </c>
      <c r="B308" s="6" t="str">
        <f t="shared" si="8"/>
        <v>22808BH CORAM</v>
      </c>
      <c r="C308" s="6" t="s">
        <v>541</v>
      </c>
      <c r="D308" s="6" t="s">
        <v>827</v>
      </c>
      <c r="E308" s="6" t="s">
        <v>405</v>
      </c>
      <c r="F308" s="6" t="s">
        <v>1</v>
      </c>
      <c r="G308" s="9">
        <v>79.8</v>
      </c>
      <c r="H308" t="str">
        <f t="shared" si="9"/>
        <v>S, M, L, XL,</v>
      </c>
    </row>
    <row r="309" spans="1:8" x14ac:dyDescent="0.25">
      <c r="A309" s="6" t="s">
        <v>132</v>
      </c>
      <c r="B309" s="6" t="str">
        <f t="shared" si="8"/>
        <v>22808BH CORAM</v>
      </c>
      <c r="C309" s="6" t="s">
        <v>541</v>
      </c>
      <c r="D309" s="6" t="s">
        <v>827</v>
      </c>
      <c r="E309" s="6" t="s">
        <v>22</v>
      </c>
      <c r="F309" s="6" t="s">
        <v>1</v>
      </c>
      <c r="G309" s="9">
        <v>79.8</v>
      </c>
      <c r="H309" t="str">
        <f t="shared" si="9"/>
        <v>S, M, L, XL,</v>
      </c>
    </row>
    <row r="310" spans="1:8" x14ac:dyDescent="0.25">
      <c r="A310" s="6" t="s">
        <v>132</v>
      </c>
      <c r="B310" s="6" t="str">
        <f t="shared" si="8"/>
        <v>22808BH CORAM</v>
      </c>
      <c r="C310" s="6" t="s">
        <v>541</v>
      </c>
      <c r="D310" s="6" t="s">
        <v>827</v>
      </c>
      <c r="E310" s="6" t="s">
        <v>404</v>
      </c>
      <c r="F310" s="6" t="s">
        <v>1</v>
      </c>
      <c r="G310" s="9">
        <v>79.8</v>
      </c>
      <c r="H310" t="str">
        <f t="shared" si="9"/>
        <v>S, M, L, XL,</v>
      </c>
    </row>
    <row r="311" spans="1:8" x14ac:dyDescent="0.25">
      <c r="A311" s="6" t="s">
        <v>134</v>
      </c>
      <c r="B311" s="6" t="str">
        <f t="shared" si="8"/>
        <v>22809BH HURTLE</v>
      </c>
      <c r="C311" s="6" t="s">
        <v>611</v>
      </c>
      <c r="D311" s="6" t="s">
        <v>828</v>
      </c>
      <c r="E311" s="6" t="s">
        <v>379</v>
      </c>
      <c r="F311" s="6" t="s">
        <v>1</v>
      </c>
      <c r="G311" s="9">
        <v>75.95</v>
      </c>
      <c r="H311" t="str">
        <f t="shared" si="9"/>
        <v>S, M, L, XL,</v>
      </c>
    </row>
    <row r="312" spans="1:8" x14ac:dyDescent="0.25">
      <c r="A312" s="6" t="s">
        <v>134</v>
      </c>
      <c r="B312" s="6" t="str">
        <f t="shared" si="8"/>
        <v>22809BH HURTLE</v>
      </c>
      <c r="C312" s="6" t="s">
        <v>611</v>
      </c>
      <c r="D312" s="6" t="s">
        <v>828</v>
      </c>
      <c r="E312" s="6" t="s">
        <v>404</v>
      </c>
      <c r="F312" s="6" t="s">
        <v>1</v>
      </c>
      <c r="G312" s="9">
        <v>75.95</v>
      </c>
      <c r="H312" t="str">
        <f t="shared" si="9"/>
        <v>S, M, L, XL,</v>
      </c>
    </row>
  </sheetData>
  <autoFilter ref="A1:G312" xr:uid="{2908715C-FCF4-4537-B250-8AA427FA2C3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94769-1D83-4291-9B9D-BF8B5E23B3B6}">
  <sheetPr codeName="Лист2"/>
  <dimension ref="A1:J312"/>
  <sheetViews>
    <sheetView topLeftCell="A44" workbookViewId="0">
      <selection activeCell="C64" sqref="C64"/>
    </sheetView>
  </sheetViews>
  <sheetFormatPr defaultRowHeight="15" x14ac:dyDescent="0.25"/>
  <cols>
    <col min="3" max="3" width="13.42578125" bestFit="1" customWidth="1"/>
    <col min="9" max="9" width="10.7109375" style="5" bestFit="1" customWidth="1"/>
    <col min="10" max="10" width="15.7109375" style="5" bestFit="1" customWidth="1"/>
  </cols>
  <sheetData>
    <row r="1" spans="1:10" x14ac:dyDescent="0.25">
      <c r="A1" t="str">
        <f>B1&amp;" "&amp;C1</f>
        <v>5009BH Adlay</v>
      </c>
      <c r="B1" t="s">
        <v>499</v>
      </c>
      <c r="C1" t="s">
        <v>500</v>
      </c>
      <c r="D1">
        <v>47.85</v>
      </c>
      <c r="I1" s="5" t="s">
        <v>121</v>
      </c>
      <c r="J1" s="5" t="s">
        <v>832</v>
      </c>
    </row>
    <row r="2" spans="1:10" x14ac:dyDescent="0.25">
      <c r="A2" t="str">
        <f t="shared" ref="A2:A65" si="0">B2&amp;" "&amp;C2</f>
        <v>22812BH Altair</v>
      </c>
      <c r="B2" t="s">
        <v>501</v>
      </c>
      <c r="C2" t="s">
        <v>502</v>
      </c>
      <c r="D2">
        <v>77.510000000000005</v>
      </c>
      <c r="I2" s="5" t="s">
        <v>672</v>
      </c>
      <c r="J2" s="5" t="s">
        <v>727</v>
      </c>
    </row>
    <row r="3" spans="1:10" x14ac:dyDescent="0.25">
      <c r="A3" t="str">
        <f t="shared" si="0"/>
        <v>5011BH Anker</v>
      </c>
      <c r="B3" t="s">
        <v>503</v>
      </c>
      <c r="C3" t="s">
        <v>504</v>
      </c>
      <c r="D3">
        <v>58.45</v>
      </c>
      <c r="I3" s="5" t="s">
        <v>672</v>
      </c>
      <c r="J3" s="5" t="s">
        <v>727</v>
      </c>
    </row>
    <row r="4" spans="1:10" x14ac:dyDescent="0.25">
      <c r="A4" t="str">
        <f t="shared" si="0"/>
        <v>90164BH Ansel</v>
      </c>
      <c r="B4" t="s">
        <v>505</v>
      </c>
      <c r="C4" t="s">
        <v>506</v>
      </c>
      <c r="D4">
        <v>19.82</v>
      </c>
      <c r="I4" s="5" t="s">
        <v>519</v>
      </c>
      <c r="J4" s="5" t="s">
        <v>728</v>
      </c>
    </row>
    <row r="5" spans="1:10" x14ac:dyDescent="0.25">
      <c r="A5" t="str">
        <f t="shared" si="0"/>
        <v>22810BH Arion</v>
      </c>
      <c r="B5" t="s">
        <v>507</v>
      </c>
      <c r="C5" t="s">
        <v>508</v>
      </c>
      <c r="D5">
        <v>92.72</v>
      </c>
      <c r="I5" s="5" t="s">
        <v>519</v>
      </c>
      <c r="J5" s="5" t="s">
        <v>728</v>
      </c>
    </row>
    <row r="6" spans="1:10" x14ac:dyDescent="0.25">
      <c r="A6" t="str">
        <f t="shared" si="0"/>
        <v>81738BH Balans Roll up</v>
      </c>
      <c r="B6" t="s">
        <v>509</v>
      </c>
      <c r="C6" t="s">
        <v>510</v>
      </c>
      <c r="D6">
        <v>25.15</v>
      </c>
      <c r="I6" s="5">
        <v>1369</v>
      </c>
      <c r="J6" s="5" t="s">
        <v>729</v>
      </c>
    </row>
    <row r="7" spans="1:10" x14ac:dyDescent="0.25">
      <c r="A7" t="str">
        <f t="shared" si="0"/>
        <v>81702BH Berle</v>
      </c>
      <c r="B7" t="s">
        <v>511</v>
      </c>
      <c r="C7" t="s">
        <v>512</v>
      </c>
      <c r="D7">
        <v>24.5</v>
      </c>
      <c r="I7" s="5">
        <v>1369</v>
      </c>
      <c r="J7" s="5" t="s">
        <v>729</v>
      </c>
    </row>
    <row r="8" spans="1:10" x14ac:dyDescent="0.25">
      <c r="A8" t="str">
        <f t="shared" si="0"/>
        <v>BF2201OD Bezel</v>
      </c>
      <c r="B8" t="s">
        <v>513</v>
      </c>
      <c r="C8" t="s">
        <v>514</v>
      </c>
      <c r="D8">
        <v>84.15</v>
      </c>
      <c r="I8" s="5">
        <v>1369</v>
      </c>
      <c r="J8" s="5" t="s">
        <v>729</v>
      </c>
    </row>
    <row r="9" spans="1:10" x14ac:dyDescent="0.25">
      <c r="A9" t="str">
        <f t="shared" si="0"/>
        <v>81670 Billy</v>
      </c>
      <c r="B9" t="s">
        <v>515</v>
      </c>
      <c r="C9" t="s">
        <v>516</v>
      </c>
      <c r="D9">
        <v>20.72</v>
      </c>
      <c r="I9" s="5">
        <v>1369</v>
      </c>
      <c r="J9" s="5" t="s">
        <v>729</v>
      </c>
    </row>
    <row r="10" spans="1:10" x14ac:dyDescent="0.25">
      <c r="A10" t="str">
        <f t="shared" si="0"/>
        <v>63117 Blackburn</v>
      </c>
      <c r="B10" t="s">
        <v>517</v>
      </c>
      <c r="C10" t="s">
        <v>518</v>
      </c>
      <c r="D10">
        <v>66.7</v>
      </c>
      <c r="I10" s="5">
        <v>1369</v>
      </c>
      <c r="J10" s="5" t="s">
        <v>729</v>
      </c>
    </row>
    <row r="11" spans="1:10" x14ac:dyDescent="0.25">
      <c r="A11" t="str">
        <f t="shared" si="0"/>
        <v>13731BH Boley</v>
      </c>
      <c r="B11" t="s">
        <v>519</v>
      </c>
      <c r="C11" t="s">
        <v>520</v>
      </c>
      <c r="D11">
        <v>44.17</v>
      </c>
      <c r="I11" s="5">
        <v>1369</v>
      </c>
      <c r="J11" s="5" t="s">
        <v>729</v>
      </c>
    </row>
    <row r="12" spans="1:10" x14ac:dyDescent="0.25">
      <c r="A12" t="str">
        <f t="shared" si="0"/>
        <v>22807BH Boreal</v>
      </c>
      <c r="B12" t="s">
        <v>521</v>
      </c>
      <c r="C12" t="s">
        <v>522</v>
      </c>
      <c r="D12">
        <v>75.150000000000006</v>
      </c>
      <c r="I12" s="5" t="s">
        <v>513</v>
      </c>
      <c r="J12" s="5" t="s">
        <v>730</v>
      </c>
    </row>
    <row r="13" spans="1:10" x14ac:dyDescent="0.25">
      <c r="A13" t="str">
        <f t="shared" si="0"/>
        <v>63297BH Braylon</v>
      </c>
      <c r="B13" t="s">
        <v>523</v>
      </c>
      <c r="C13" t="s">
        <v>524</v>
      </c>
      <c r="D13">
        <v>60.68</v>
      </c>
      <c r="I13" s="5" t="s">
        <v>646</v>
      </c>
      <c r="J13" s="5" t="s">
        <v>731</v>
      </c>
    </row>
    <row r="14" spans="1:10" x14ac:dyDescent="0.25">
      <c r="A14" t="str">
        <f t="shared" si="0"/>
        <v>22721 Brooks</v>
      </c>
      <c r="B14" t="s">
        <v>525</v>
      </c>
      <c r="C14" t="s">
        <v>526</v>
      </c>
      <c r="D14">
        <v>67.849999999999994</v>
      </c>
      <c r="I14" s="5" t="s">
        <v>646</v>
      </c>
      <c r="J14" s="5" t="s">
        <v>731</v>
      </c>
    </row>
    <row r="15" spans="1:10" x14ac:dyDescent="0.25">
      <c r="A15" t="str">
        <f t="shared" si="0"/>
        <v>22814BH Bystrom</v>
      </c>
      <c r="B15" t="s">
        <v>527</v>
      </c>
      <c r="C15" t="s">
        <v>528</v>
      </c>
      <c r="D15">
        <v>74.760000000000005</v>
      </c>
      <c r="I15" s="5">
        <v>1362</v>
      </c>
      <c r="J15" s="5" t="s">
        <v>732</v>
      </c>
    </row>
    <row r="16" spans="1:10" x14ac:dyDescent="0.25">
      <c r="A16" t="str">
        <f t="shared" si="0"/>
        <v>BC2201OD Cache</v>
      </c>
      <c r="B16" t="s">
        <v>529</v>
      </c>
      <c r="C16" t="s">
        <v>530</v>
      </c>
      <c r="D16">
        <v>17.43</v>
      </c>
      <c r="I16" s="5">
        <v>1362</v>
      </c>
      <c r="J16" s="5" t="s">
        <v>732</v>
      </c>
    </row>
    <row r="17" spans="1:10" x14ac:dyDescent="0.25">
      <c r="A17" t="str">
        <f t="shared" si="0"/>
        <v>BK2208OD Cairn</v>
      </c>
      <c r="B17" t="s">
        <v>531</v>
      </c>
      <c r="C17" t="s">
        <v>532</v>
      </c>
      <c r="D17">
        <v>13.92</v>
      </c>
      <c r="I17" s="5">
        <v>1362</v>
      </c>
      <c r="J17" s="5" t="s">
        <v>732</v>
      </c>
    </row>
    <row r="18" spans="1:10" x14ac:dyDescent="0.25">
      <c r="A18" t="str">
        <f t="shared" si="0"/>
        <v>81739BH Carver</v>
      </c>
      <c r="B18" t="s">
        <v>533</v>
      </c>
      <c r="C18" t="s">
        <v>534</v>
      </c>
      <c r="D18">
        <v>23.52</v>
      </c>
      <c r="I18" s="5">
        <v>1362</v>
      </c>
      <c r="J18" s="5" t="s">
        <v>732</v>
      </c>
    </row>
    <row r="19" spans="1:10" x14ac:dyDescent="0.25">
      <c r="A19" t="str">
        <f t="shared" si="0"/>
        <v>22705 Chaplin</v>
      </c>
      <c r="B19" t="s">
        <v>535</v>
      </c>
      <c r="C19" t="s">
        <v>536</v>
      </c>
      <c r="D19">
        <v>66.430000000000007</v>
      </c>
      <c r="I19" s="5" t="s">
        <v>573</v>
      </c>
      <c r="J19" s="5" t="s">
        <v>733</v>
      </c>
    </row>
    <row r="20" spans="1:10" x14ac:dyDescent="0.25">
      <c r="A20" t="str">
        <f t="shared" si="0"/>
        <v>90172BH Conall</v>
      </c>
      <c r="B20" t="s">
        <v>537</v>
      </c>
      <c r="C20" t="s">
        <v>538</v>
      </c>
      <c r="D20">
        <v>20.22</v>
      </c>
      <c r="I20" s="5" t="s">
        <v>573</v>
      </c>
      <c r="J20" s="5" t="s">
        <v>733</v>
      </c>
    </row>
    <row r="21" spans="1:10" x14ac:dyDescent="0.25">
      <c r="A21" t="str">
        <f t="shared" si="0"/>
        <v>BC2203OD Conifer</v>
      </c>
      <c r="B21" t="s">
        <v>539</v>
      </c>
      <c r="C21" t="s">
        <v>540</v>
      </c>
      <c r="D21">
        <v>17.13</v>
      </c>
      <c r="I21" s="5" t="s">
        <v>573</v>
      </c>
      <c r="J21" s="5" t="s">
        <v>733</v>
      </c>
    </row>
    <row r="22" spans="1:10" x14ac:dyDescent="0.25">
      <c r="A22" t="str">
        <f t="shared" si="0"/>
        <v>22808BH Coram</v>
      </c>
      <c r="B22" t="s">
        <v>541</v>
      </c>
      <c r="C22" t="s">
        <v>542</v>
      </c>
      <c r="D22">
        <v>79.8</v>
      </c>
      <c r="I22" s="5" t="s">
        <v>723</v>
      </c>
      <c r="J22" s="5" t="s">
        <v>831</v>
      </c>
    </row>
    <row r="23" spans="1:10" x14ac:dyDescent="0.25">
      <c r="A23" t="str">
        <f t="shared" si="0"/>
        <v>81717BH Craig</v>
      </c>
      <c r="B23" t="s">
        <v>543</v>
      </c>
      <c r="C23" t="s">
        <v>544</v>
      </c>
      <c r="D23">
        <v>22.45</v>
      </c>
      <c r="I23" s="5" t="s">
        <v>723</v>
      </c>
      <c r="J23" s="5" t="s">
        <v>831</v>
      </c>
    </row>
    <row r="24" spans="1:10" x14ac:dyDescent="0.25">
      <c r="A24" t="str">
        <f t="shared" si="0"/>
        <v>22817BH Crispin</v>
      </c>
      <c r="B24" t="s">
        <v>545</v>
      </c>
      <c r="C24" t="s">
        <v>546</v>
      </c>
      <c r="D24">
        <v>79.680000000000007</v>
      </c>
      <c r="I24" s="5" t="s">
        <v>723</v>
      </c>
      <c r="J24" s="5" t="s">
        <v>831</v>
      </c>
    </row>
    <row r="25" spans="1:10" x14ac:dyDescent="0.25">
      <c r="A25" t="str">
        <f t="shared" si="0"/>
        <v>22776BH Cuban</v>
      </c>
      <c r="B25" t="s">
        <v>547</v>
      </c>
      <c r="C25" t="s">
        <v>548</v>
      </c>
      <c r="D25">
        <v>68.22</v>
      </c>
      <c r="I25" s="5" t="s">
        <v>591</v>
      </c>
      <c r="J25" s="5" t="s">
        <v>734</v>
      </c>
    </row>
    <row r="26" spans="1:10" x14ac:dyDescent="0.25">
      <c r="A26" t="str">
        <f t="shared" si="0"/>
        <v>22719 Cutler</v>
      </c>
      <c r="B26" t="s">
        <v>549</v>
      </c>
      <c r="C26" t="s">
        <v>550</v>
      </c>
      <c r="D26">
        <v>58.73</v>
      </c>
      <c r="I26" s="5" t="s">
        <v>591</v>
      </c>
      <c r="J26" s="5" t="s">
        <v>734</v>
      </c>
    </row>
    <row r="27" spans="1:10" x14ac:dyDescent="0.25">
      <c r="A27" t="str">
        <f t="shared" si="0"/>
        <v>1362 Dalton</v>
      </c>
      <c r="B27" t="s">
        <v>551</v>
      </c>
      <c r="C27" t="s">
        <v>552</v>
      </c>
      <c r="D27">
        <v>20.85</v>
      </c>
      <c r="I27" s="5" t="s">
        <v>591</v>
      </c>
      <c r="J27" s="5" t="s">
        <v>734</v>
      </c>
    </row>
    <row r="28" spans="1:10" x14ac:dyDescent="0.25">
      <c r="A28" t="str">
        <f t="shared" si="0"/>
        <v>81747BH Dario</v>
      </c>
      <c r="B28" t="s">
        <v>553</v>
      </c>
      <c r="C28" t="s">
        <v>554</v>
      </c>
      <c r="D28">
        <v>26.5</v>
      </c>
      <c r="I28" s="5" t="s">
        <v>591</v>
      </c>
      <c r="J28" s="5" t="s">
        <v>734</v>
      </c>
    </row>
    <row r="29" spans="1:10" x14ac:dyDescent="0.25">
      <c r="A29" t="str">
        <f t="shared" si="0"/>
        <v>S22WRB Dayton</v>
      </c>
      <c r="B29" t="s">
        <v>555</v>
      </c>
      <c r="C29" t="s">
        <v>556</v>
      </c>
      <c r="D29">
        <v>46.35</v>
      </c>
      <c r="I29" s="5" t="s">
        <v>531</v>
      </c>
      <c r="J29" s="5" t="s">
        <v>735</v>
      </c>
    </row>
    <row r="30" spans="1:10" x14ac:dyDescent="0.25">
      <c r="A30" t="str">
        <f t="shared" si="0"/>
        <v>81727BH Denney</v>
      </c>
      <c r="B30" t="s">
        <v>557</v>
      </c>
      <c r="C30" t="s">
        <v>558</v>
      </c>
      <c r="D30">
        <v>21.15</v>
      </c>
      <c r="I30" s="5" t="s">
        <v>531</v>
      </c>
      <c r="J30" s="5" t="s">
        <v>735</v>
      </c>
    </row>
    <row r="31" spans="1:10" x14ac:dyDescent="0.25">
      <c r="A31" t="str">
        <f t="shared" si="0"/>
        <v>5001BH Derian</v>
      </c>
      <c r="B31" t="s">
        <v>559</v>
      </c>
      <c r="C31" t="s">
        <v>560</v>
      </c>
      <c r="D31">
        <v>46.96</v>
      </c>
      <c r="I31" s="5" t="s">
        <v>531</v>
      </c>
      <c r="J31" s="5" t="s">
        <v>735</v>
      </c>
    </row>
    <row r="32" spans="1:10" x14ac:dyDescent="0.25">
      <c r="A32" t="str">
        <f t="shared" si="0"/>
        <v>90166BH Dunstan</v>
      </c>
      <c r="B32" t="s">
        <v>561</v>
      </c>
      <c r="C32" t="s">
        <v>562</v>
      </c>
      <c r="D32">
        <v>19.43</v>
      </c>
      <c r="I32" s="5" t="s">
        <v>531</v>
      </c>
      <c r="J32" s="5" t="s">
        <v>735</v>
      </c>
    </row>
    <row r="33" spans="1:10" x14ac:dyDescent="0.25">
      <c r="A33" t="str">
        <f t="shared" si="0"/>
        <v>BC2205OD Duodess</v>
      </c>
      <c r="B33" t="s">
        <v>563</v>
      </c>
      <c r="C33" t="s">
        <v>564</v>
      </c>
      <c r="D33">
        <v>19.3</v>
      </c>
      <c r="I33" s="5" t="s">
        <v>654</v>
      </c>
      <c r="J33" s="5" t="s">
        <v>736</v>
      </c>
    </row>
    <row r="34" spans="1:10" x14ac:dyDescent="0.25">
      <c r="A34" t="str">
        <f t="shared" si="0"/>
        <v>BW2208OD EDC</v>
      </c>
      <c r="B34" t="s">
        <v>565</v>
      </c>
      <c r="C34" t="s">
        <v>566</v>
      </c>
      <c r="D34">
        <v>41.68</v>
      </c>
      <c r="I34" s="5" t="s">
        <v>654</v>
      </c>
      <c r="J34" s="5" t="s">
        <v>736</v>
      </c>
    </row>
    <row r="35" spans="1:10" x14ac:dyDescent="0.25">
      <c r="A35" t="str">
        <f t="shared" si="0"/>
        <v>81744BH Eli</v>
      </c>
      <c r="B35" t="s">
        <v>567</v>
      </c>
      <c r="C35" t="s">
        <v>568</v>
      </c>
      <c r="D35">
        <v>23.8</v>
      </c>
      <c r="I35" s="5" t="s">
        <v>676</v>
      </c>
      <c r="J35" s="5" t="s">
        <v>737</v>
      </c>
    </row>
    <row r="36" spans="1:10" x14ac:dyDescent="0.25">
      <c r="A36" t="str">
        <f t="shared" si="0"/>
        <v>22815BH Emil</v>
      </c>
      <c r="B36" t="s">
        <v>569</v>
      </c>
      <c r="C36" t="s">
        <v>570</v>
      </c>
      <c r="D36">
        <v>72.5</v>
      </c>
      <c r="I36" s="5" t="s">
        <v>676</v>
      </c>
      <c r="J36" s="5" t="s">
        <v>737</v>
      </c>
    </row>
    <row r="37" spans="1:10" x14ac:dyDescent="0.25">
      <c r="A37" t="str">
        <f t="shared" si="0"/>
        <v>22805BH Ezra</v>
      </c>
      <c r="B37" t="s">
        <v>571</v>
      </c>
      <c r="C37" t="s">
        <v>572</v>
      </c>
      <c r="D37">
        <v>77.3</v>
      </c>
      <c r="I37" s="5" t="s">
        <v>710</v>
      </c>
      <c r="J37" s="5" t="s">
        <v>738</v>
      </c>
    </row>
    <row r="38" spans="1:10" x14ac:dyDescent="0.25">
      <c r="A38" t="str">
        <f t="shared" si="0"/>
        <v>BK2205OD Failsafe</v>
      </c>
      <c r="B38" t="s">
        <v>573</v>
      </c>
      <c r="C38" t="s">
        <v>574</v>
      </c>
      <c r="D38">
        <v>18.82</v>
      </c>
      <c r="I38" s="5" t="s">
        <v>710</v>
      </c>
      <c r="J38" s="5" t="s">
        <v>738</v>
      </c>
    </row>
    <row r="39" spans="1:10" x14ac:dyDescent="0.25">
      <c r="A39" t="str">
        <f t="shared" si="0"/>
        <v>BC2202OD Fen</v>
      </c>
      <c r="B39" t="s">
        <v>575</v>
      </c>
      <c r="C39" t="s">
        <v>576</v>
      </c>
      <c r="D39">
        <v>19.559999999999999</v>
      </c>
      <c r="I39" s="5" t="s">
        <v>565</v>
      </c>
      <c r="J39" s="5" t="s">
        <v>566</v>
      </c>
    </row>
    <row r="40" spans="1:10" x14ac:dyDescent="0.25">
      <c r="A40" t="str">
        <f t="shared" si="0"/>
        <v>81703BH Foley</v>
      </c>
      <c r="B40" t="s">
        <v>577</v>
      </c>
      <c r="C40" t="s">
        <v>578</v>
      </c>
      <c r="D40">
        <v>21.62</v>
      </c>
      <c r="I40" s="5" t="s">
        <v>565</v>
      </c>
      <c r="J40" s="5" t="s">
        <v>566</v>
      </c>
    </row>
    <row r="41" spans="1:10" x14ac:dyDescent="0.25">
      <c r="A41" t="str">
        <f t="shared" si="0"/>
        <v>90167BH Forte</v>
      </c>
      <c r="B41" t="s">
        <v>579</v>
      </c>
      <c r="C41" t="s">
        <v>580</v>
      </c>
      <c r="D41">
        <v>20.11</v>
      </c>
      <c r="I41" s="5" t="s">
        <v>613</v>
      </c>
      <c r="J41" s="5" t="s">
        <v>739</v>
      </c>
    </row>
    <row r="42" spans="1:10" x14ac:dyDescent="0.25">
      <c r="A42" t="str">
        <f t="shared" si="0"/>
        <v>90119BH Ganey</v>
      </c>
      <c r="B42" t="s">
        <v>581</v>
      </c>
      <c r="C42" t="s">
        <v>582</v>
      </c>
      <c r="D42">
        <v>19.670000000000002</v>
      </c>
      <c r="I42" s="5" t="s">
        <v>613</v>
      </c>
      <c r="J42" s="5" t="s">
        <v>739</v>
      </c>
    </row>
    <row r="43" spans="1:10" x14ac:dyDescent="0.25">
      <c r="A43" t="str">
        <f t="shared" si="0"/>
        <v>22787BH Giger</v>
      </c>
      <c r="B43" t="s">
        <v>583</v>
      </c>
      <c r="C43" t="s">
        <v>584</v>
      </c>
      <c r="D43">
        <v>66.95</v>
      </c>
      <c r="I43" s="5" t="s">
        <v>613</v>
      </c>
      <c r="J43" s="5" t="s">
        <v>739</v>
      </c>
    </row>
    <row r="44" spans="1:10" x14ac:dyDescent="0.25">
      <c r="A44" t="str">
        <f t="shared" si="0"/>
        <v>22818BH Giles</v>
      </c>
      <c r="B44" t="s">
        <v>585</v>
      </c>
      <c r="C44" t="s">
        <v>586</v>
      </c>
      <c r="D44">
        <v>77.55</v>
      </c>
      <c r="I44" s="5" t="s">
        <v>613</v>
      </c>
      <c r="J44" s="5" t="s">
        <v>739</v>
      </c>
    </row>
    <row r="45" spans="1:10" x14ac:dyDescent="0.25">
      <c r="A45" t="str">
        <f t="shared" si="0"/>
        <v>63298BH Glaser</v>
      </c>
      <c r="B45" t="s">
        <v>587</v>
      </c>
      <c r="C45" t="s">
        <v>588</v>
      </c>
      <c r="D45">
        <v>75.8</v>
      </c>
      <c r="I45" s="5" t="s">
        <v>650</v>
      </c>
      <c r="J45" s="5" t="s">
        <v>740</v>
      </c>
    </row>
    <row r="46" spans="1:10" x14ac:dyDescent="0.25">
      <c r="A46" t="str">
        <f t="shared" si="0"/>
        <v>90169BH Glazer</v>
      </c>
      <c r="B46" t="s">
        <v>589</v>
      </c>
      <c r="C46" t="s">
        <v>590</v>
      </c>
      <c r="D46">
        <v>20.05</v>
      </c>
      <c r="I46" s="5" t="s">
        <v>650</v>
      </c>
      <c r="J46" s="5" t="s">
        <v>740</v>
      </c>
    </row>
    <row r="47" spans="1:10" x14ac:dyDescent="0.25">
      <c r="A47" t="str">
        <f t="shared" si="0"/>
        <v>BK2207OD Glissade</v>
      </c>
      <c r="B47" t="s">
        <v>591</v>
      </c>
      <c r="C47" t="s">
        <v>592</v>
      </c>
      <c r="D47">
        <v>15.25</v>
      </c>
      <c r="I47" s="5" t="s">
        <v>650</v>
      </c>
      <c r="J47" s="5" t="s">
        <v>740</v>
      </c>
    </row>
    <row r="48" spans="1:10" x14ac:dyDescent="0.25">
      <c r="A48" t="str">
        <f t="shared" si="0"/>
        <v>1365 Graham</v>
      </c>
      <c r="B48" t="s">
        <v>593</v>
      </c>
      <c r="C48" t="s">
        <v>594</v>
      </c>
      <c r="D48">
        <v>18.07</v>
      </c>
      <c r="I48" s="5" t="s">
        <v>652</v>
      </c>
      <c r="J48" s="5" t="s">
        <v>741</v>
      </c>
    </row>
    <row r="49" spans="1:10" x14ac:dyDescent="0.25">
      <c r="A49" t="str">
        <f t="shared" si="0"/>
        <v>63114 Guthrie</v>
      </c>
      <c r="B49" t="s">
        <v>595</v>
      </c>
      <c r="C49" t="s">
        <v>596</v>
      </c>
      <c r="D49">
        <v>53.91</v>
      </c>
      <c r="I49" s="5" t="s">
        <v>652</v>
      </c>
      <c r="J49" s="5" t="s">
        <v>741</v>
      </c>
    </row>
    <row r="50" spans="1:10" x14ac:dyDescent="0.25">
      <c r="A50" t="str">
        <f t="shared" si="0"/>
        <v>63112 Hanson</v>
      </c>
      <c r="B50" t="s">
        <v>597</v>
      </c>
      <c r="C50" t="s">
        <v>598</v>
      </c>
      <c r="D50">
        <v>52.84</v>
      </c>
      <c r="I50" s="5" t="s">
        <v>656</v>
      </c>
      <c r="J50" s="5" t="s">
        <v>742</v>
      </c>
    </row>
    <row r="51" spans="1:10" x14ac:dyDescent="0.25">
      <c r="A51" t="str">
        <f t="shared" si="0"/>
        <v>90171BH Helios</v>
      </c>
      <c r="B51" t="s">
        <v>599</v>
      </c>
      <c r="C51" t="s">
        <v>600</v>
      </c>
      <c r="D51">
        <v>21.3</v>
      </c>
      <c r="I51" s="5" t="s">
        <v>656</v>
      </c>
      <c r="J51" s="5" t="s">
        <v>742</v>
      </c>
    </row>
    <row r="52" spans="1:10" x14ac:dyDescent="0.25">
      <c r="A52" t="str">
        <f t="shared" si="0"/>
        <v>22804BH Hernen</v>
      </c>
      <c r="B52" t="s">
        <v>601</v>
      </c>
      <c r="C52" t="s">
        <v>602</v>
      </c>
      <c r="D52">
        <v>67</v>
      </c>
      <c r="I52" s="5" t="s">
        <v>660</v>
      </c>
      <c r="J52" s="5" t="s">
        <v>743</v>
      </c>
    </row>
    <row r="53" spans="1:10" x14ac:dyDescent="0.25">
      <c r="A53" t="str">
        <f t="shared" si="0"/>
        <v>81726BH Hester</v>
      </c>
      <c r="B53" t="s">
        <v>603</v>
      </c>
      <c r="C53" t="s">
        <v>604</v>
      </c>
      <c r="D53">
        <v>23.07</v>
      </c>
      <c r="I53" s="5" t="s">
        <v>555</v>
      </c>
      <c r="J53" s="5" t="s">
        <v>744</v>
      </c>
    </row>
    <row r="54" spans="1:10" x14ac:dyDescent="0.25">
      <c r="A54" t="str">
        <f t="shared" si="0"/>
        <v>22806BH Hinx</v>
      </c>
      <c r="B54" t="s">
        <v>605</v>
      </c>
      <c r="C54" t="s">
        <v>606</v>
      </c>
      <c r="D54">
        <v>69.3</v>
      </c>
      <c r="I54" s="5" t="s">
        <v>555</v>
      </c>
      <c r="J54" s="5" t="s">
        <v>744</v>
      </c>
    </row>
    <row r="55" spans="1:10" x14ac:dyDescent="0.25">
      <c r="A55" t="str">
        <f t="shared" si="0"/>
        <v>81710BH Hooper</v>
      </c>
      <c r="B55" t="s">
        <v>607</v>
      </c>
      <c r="C55" t="s">
        <v>608</v>
      </c>
      <c r="D55">
        <v>20.9</v>
      </c>
      <c r="I55" s="5" t="s">
        <v>555</v>
      </c>
      <c r="J55" s="5" t="s">
        <v>744</v>
      </c>
    </row>
    <row r="56" spans="1:10" x14ac:dyDescent="0.25">
      <c r="A56" t="str">
        <f t="shared" si="0"/>
        <v>22811BH Horan</v>
      </c>
      <c r="B56" t="s">
        <v>609</v>
      </c>
      <c r="C56" t="s">
        <v>610</v>
      </c>
      <c r="D56">
        <v>78.66</v>
      </c>
      <c r="I56" s="5" t="s">
        <v>623</v>
      </c>
      <c r="J56" s="5" t="s">
        <v>745</v>
      </c>
    </row>
    <row r="57" spans="1:10" x14ac:dyDescent="0.25">
      <c r="A57" t="str">
        <f t="shared" si="0"/>
        <v>22809BH Hurtle</v>
      </c>
      <c r="B57" t="s">
        <v>611</v>
      </c>
      <c r="C57" t="s">
        <v>612</v>
      </c>
      <c r="D57">
        <v>75.95</v>
      </c>
      <c r="I57" s="5" t="s">
        <v>630</v>
      </c>
      <c r="J57" s="5" t="s">
        <v>631</v>
      </c>
    </row>
    <row r="58" spans="1:10" x14ac:dyDescent="0.25">
      <c r="A58" t="str">
        <f t="shared" si="0"/>
        <v>BK2204OD Icefall</v>
      </c>
      <c r="B58" t="s">
        <v>613</v>
      </c>
      <c r="C58" t="s">
        <v>614</v>
      </c>
      <c r="D58">
        <v>18.82</v>
      </c>
      <c r="I58" s="5" t="s">
        <v>630</v>
      </c>
      <c r="J58" s="5" t="s">
        <v>631</v>
      </c>
    </row>
    <row r="59" spans="1:10" x14ac:dyDescent="0.25">
      <c r="A59" t="str">
        <f t="shared" si="0"/>
        <v>90170BH Idris</v>
      </c>
      <c r="B59" t="s">
        <v>615</v>
      </c>
      <c r="C59" t="s">
        <v>616</v>
      </c>
      <c r="D59">
        <v>23.4</v>
      </c>
      <c r="I59" s="5" t="s">
        <v>630</v>
      </c>
      <c r="J59" s="5" t="s">
        <v>631</v>
      </c>
    </row>
    <row r="60" spans="1:10" x14ac:dyDescent="0.25">
      <c r="A60" t="str">
        <f t="shared" si="0"/>
        <v>1369 Jackman</v>
      </c>
      <c r="B60" t="s">
        <v>617</v>
      </c>
      <c r="C60" t="s">
        <v>618</v>
      </c>
      <c r="D60">
        <v>44.3</v>
      </c>
      <c r="I60" s="5" t="s">
        <v>698</v>
      </c>
      <c r="J60" s="5" t="s">
        <v>746</v>
      </c>
    </row>
    <row r="61" spans="1:10" x14ac:dyDescent="0.25">
      <c r="A61" t="str">
        <f t="shared" si="0"/>
        <v>81751BH Kai</v>
      </c>
      <c r="B61" t="s">
        <v>619</v>
      </c>
      <c r="C61" t="s">
        <v>620</v>
      </c>
      <c r="D61">
        <v>23.78</v>
      </c>
      <c r="I61" s="5" t="s">
        <v>698</v>
      </c>
      <c r="J61" s="5" t="s">
        <v>746</v>
      </c>
    </row>
    <row r="62" spans="1:10" x14ac:dyDescent="0.25">
      <c r="A62" t="str">
        <f t="shared" si="0"/>
        <v>90109BH Keter</v>
      </c>
      <c r="B62" t="s">
        <v>621</v>
      </c>
      <c r="C62" t="s">
        <v>622</v>
      </c>
      <c r="D62">
        <v>17.899999999999999</v>
      </c>
      <c r="I62" s="5" t="s">
        <v>563</v>
      </c>
      <c r="J62" s="5" t="s">
        <v>747</v>
      </c>
    </row>
    <row r="63" spans="1:10" x14ac:dyDescent="0.25">
      <c r="A63" t="str">
        <f t="shared" si="0"/>
        <v>S17WR2 Kilgor</v>
      </c>
      <c r="B63" t="s">
        <v>623</v>
      </c>
      <c r="C63" t="s">
        <v>835</v>
      </c>
      <c r="D63">
        <v>40.75</v>
      </c>
      <c r="I63" s="5" t="s">
        <v>563</v>
      </c>
      <c r="J63" s="5" t="s">
        <v>747</v>
      </c>
    </row>
    <row r="64" spans="1:10" x14ac:dyDescent="0.25">
      <c r="A64" t="str">
        <f t="shared" si="0"/>
        <v>63125 Konrath</v>
      </c>
      <c r="B64" t="s">
        <v>624</v>
      </c>
      <c r="C64" t="s">
        <v>625</v>
      </c>
      <c r="D64">
        <v>57.45</v>
      </c>
      <c r="I64" s="5" t="s">
        <v>575</v>
      </c>
      <c r="J64" s="5" t="s">
        <v>748</v>
      </c>
    </row>
    <row r="65" spans="1:10" x14ac:dyDescent="0.25">
      <c r="A65" t="str">
        <f t="shared" si="0"/>
        <v>90163BH Leif</v>
      </c>
      <c r="B65" t="s">
        <v>626</v>
      </c>
      <c r="C65" t="s">
        <v>627</v>
      </c>
      <c r="D65">
        <v>19.899999999999999</v>
      </c>
      <c r="I65" s="5" t="s">
        <v>575</v>
      </c>
      <c r="J65" s="5" t="s">
        <v>748</v>
      </c>
    </row>
    <row r="66" spans="1:10" x14ac:dyDescent="0.25">
      <c r="A66" t="str">
        <f t="shared" ref="A66:A114" si="1">B66&amp;" "&amp;C66</f>
        <v>90168BH Liam</v>
      </c>
      <c r="B66" t="s">
        <v>628</v>
      </c>
      <c r="C66" t="s">
        <v>629</v>
      </c>
      <c r="D66">
        <v>20.98</v>
      </c>
      <c r="I66" s="5" t="s">
        <v>539</v>
      </c>
      <c r="J66" s="5" t="s">
        <v>749</v>
      </c>
    </row>
    <row r="67" spans="1:10" x14ac:dyDescent="0.25">
      <c r="A67" t="str">
        <f t="shared" si="1"/>
        <v>BC2204OD LNT</v>
      </c>
      <c r="B67" t="s">
        <v>630</v>
      </c>
      <c r="C67" t="s">
        <v>631</v>
      </c>
      <c r="D67">
        <v>19.27</v>
      </c>
      <c r="I67" s="5" t="s">
        <v>539</v>
      </c>
      <c r="J67" s="5" t="s">
        <v>749</v>
      </c>
    </row>
    <row r="68" spans="1:10" x14ac:dyDescent="0.25">
      <c r="A68" t="str">
        <f t="shared" si="1"/>
        <v>81746BH Lorek</v>
      </c>
      <c r="B68" t="s">
        <v>632</v>
      </c>
      <c r="C68" t="s">
        <v>633</v>
      </c>
      <c r="D68">
        <v>26.56</v>
      </c>
      <c r="I68" s="5" t="s">
        <v>529</v>
      </c>
      <c r="J68" s="5" t="s">
        <v>750</v>
      </c>
    </row>
    <row r="69" spans="1:10" x14ac:dyDescent="0.25">
      <c r="A69" t="str">
        <f t="shared" si="1"/>
        <v>22760BH Loring</v>
      </c>
      <c r="B69" t="s">
        <v>634</v>
      </c>
      <c r="C69" t="s">
        <v>635</v>
      </c>
      <c r="D69">
        <v>112.9</v>
      </c>
      <c r="I69" s="5" t="s">
        <v>529</v>
      </c>
      <c r="J69" s="5" t="s">
        <v>750</v>
      </c>
    </row>
    <row r="70" spans="1:10" x14ac:dyDescent="0.25">
      <c r="A70" t="str">
        <f t="shared" si="1"/>
        <v>63294BH Magness</v>
      </c>
      <c r="B70" t="s">
        <v>636</v>
      </c>
      <c r="C70" t="s">
        <v>637</v>
      </c>
      <c r="D70">
        <v>72.2</v>
      </c>
      <c r="I70" s="5" t="s">
        <v>599</v>
      </c>
      <c r="J70" s="5" t="s">
        <v>751</v>
      </c>
    </row>
    <row r="71" spans="1:10" x14ac:dyDescent="0.25">
      <c r="A71" t="str">
        <f t="shared" si="1"/>
        <v>81690 Mannes</v>
      </c>
      <c r="B71" t="s">
        <v>638</v>
      </c>
      <c r="C71" t="s">
        <v>639</v>
      </c>
      <c r="D71">
        <v>20.72</v>
      </c>
      <c r="I71" s="5" t="s">
        <v>599</v>
      </c>
      <c r="J71" s="5" t="s">
        <v>751</v>
      </c>
    </row>
    <row r="72" spans="1:10" x14ac:dyDescent="0.25">
      <c r="A72" t="str">
        <f t="shared" si="1"/>
        <v>81695 Mannesroe</v>
      </c>
      <c r="B72" t="s">
        <v>640</v>
      </c>
      <c r="C72" t="s">
        <v>641</v>
      </c>
      <c r="D72">
        <v>20.72</v>
      </c>
      <c r="I72" s="5" t="s">
        <v>537</v>
      </c>
      <c r="J72" s="5" t="s">
        <v>752</v>
      </c>
    </row>
    <row r="73" spans="1:10" x14ac:dyDescent="0.25">
      <c r="A73" t="str">
        <f t="shared" si="1"/>
        <v>81749BH Max</v>
      </c>
      <c r="B73" t="s">
        <v>642</v>
      </c>
      <c r="C73" t="s">
        <v>643</v>
      </c>
      <c r="D73">
        <v>24.1</v>
      </c>
      <c r="I73" s="5" t="s">
        <v>537</v>
      </c>
      <c r="J73" s="5" t="s">
        <v>752</v>
      </c>
    </row>
    <row r="74" spans="1:10" x14ac:dyDescent="0.25">
      <c r="A74" t="str">
        <f t="shared" si="1"/>
        <v>60003BH Melton</v>
      </c>
      <c r="B74" t="s">
        <v>644</v>
      </c>
      <c r="C74" t="s">
        <v>645</v>
      </c>
      <c r="D74">
        <v>49.24</v>
      </c>
      <c r="I74" s="5" t="s">
        <v>537</v>
      </c>
      <c r="J74" s="5" t="s">
        <v>752</v>
      </c>
    </row>
    <row r="75" spans="1:10" x14ac:dyDescent="0.25">
      <c r="A75" t="str">
        <f t="shared" si="1"/>
        <v>BW2207OD Montana</v>
      </c>
      <c r="B75" t="s">
        <v>646</v>
      </c>
      <c r="C75" t="s">
        <v>647</v>
      </c>
      <c r="D75">
        <v>50.53</v>
      </c>
      <c r="I75" s="5">
        <v>90058</v>
      </c>
      <c r="J75" s="5" t="s">
        <v>753</v>
      </c>
    </row>
    <row r="76" spans="1:10" x14ac:dyDescent="0.25">
      <c r="A76" t="str">
        <f t="shared" si="1"/>
        <v>81720BH Mullan</v>
      </c>
      <c r="B76" t="s">
        <v>648</v>
      </c>
      <c r="C76" t="s">
        <v>649</v>
      </c>
      <c r="D76">
        <v>23.15</v>
      </c>
      <c r="I76" s="5">
        <v>90058</v>
      </c>
      <c r="J76" s="5" t="s">
        <v>753</v>
      </c>
    </row>
    <row r="77" spans="1:10" x14ac:dyDescent="0.25">
      <c r="A77" t="str">
        <f t="shared" si="1"/>
        <v>BK2201OD NoBo</v>
      </c>
      <c r="B77" t="s">
        <v>650</v>
      </c>
      <c r="C77" t="s">
        <v>651</v>
      </c>
      <c r="D77">
        <v>16.600000000000001</v>
      </c>
      <c r="I77" s="5">
        <v>90058</v>
      </c>
      <c r="J77" s="5" t="s">
        <v>753</v>
      </c>
    </row>
    <row r="78" spans="1:10" x14ac:dyDescent="0.25">
      <c r="A78" t="str">
        <f t="shared" si="1"/>
        <v>BK2202OD Noseeum</v>
      </c>
      <c r="B78" t="s">
        <v>652</v>
      </c>
      <c r="C78" t="s">
        <v>653</v>
      </c>
      <c r="D78">
        <v>16.350000000000001</v>
      </c>
      <c r="I78" s="5">
        <v>90058</v>
      </c>
      <c r="J78" s="5" t="s">
        <v>753</v>
      </c>
    </row>
    <row r="79" spans="1:10" x14ac:dyDescent="0.25">
      <c r="A79" t="str">
        <f t="shared" si="1"/>
        <v>BW2201OD Opsec</v>
      </c>
      <c r="B79" t="s">
        <v>654</v>
      </c>
      <c r="C79" t="s">
        <v>655</v>
      </c>
      <c r="D79">
        <v>43.14</v>
      </c>
      <c r="I79" s="5">
        <v>90058</v>
      </c>
      <c r="J79" s="5" t="s">
        <v>753</v>
      </c>
    </row>
    <row r="80" spans="1:10" x14ac:dyDescent="0.25">
      <c r="A80" t="str">
        <f t="shared" si="1"/>
        <v>WR21A Ore</v>
      </c>
      <c r="B80" t="s">
        <v>656</v>
      </c>
      <c r="C80" t="s">
        <v>657</v>
      </c>
      <c r="D80">
        <v>51.3</v>
      </c>
      <c r="I80" s="5">
        <v>1365</v>
      </c>
      <c r="J80" s="5" t="s">
        <v>754</v>
      </c>
    </row>
    <row r="81" spans="1:10" x14ac:dyDescent="0.25">
      <c r="A81" t="str">
        <f t="shared" si="1"/>
        <v>5008BH Orsun</v>
      </c>
      <c r="B81" t="s">
        <v>658</v>
      </c>
      <c r="C81" t="s">
        <v>659</v>
      </c>
      <c r="D81">
        <v>50.34</v>
      </c>
      <c r="I81" s="5">
        <v>1365</v>
      </c>
      <c r="J81" s="5" t="s">
        <v>754</v>
      </c>
    </row>
    <row r="82" spans="1:10" x14ac:dyDescent="0.25">
      <c r="A82" t="str">
        <f t="shared" si="1"/>
        <v>S17WR1 Oswego</v>
      </c>
      <c r="B82" t="s">
        <v>660</v>
      </c>
      <c r="C82" t="s">
        <v>661</v>
      </c>
      <c r="D82">
        <v>40.200000000000003</v>
      </c>
      <c r="I82" s="5">
        <v>1365</v>
      </c>
      <c r="J82" s="5" t="s">
        <v>754</v>
      </c>
    </row>
    <row r="83" spans="1:10" x14ac:dyDescent="0.25">
      <c r="A83" t="str">
        <f t="shared" si="1"/>
        <v>81750BH Otis</v>
      </c>
      <c r="B83" t="s">
        <v>662</v>
      </c>
      <c r="C83" t="s">
        <v>663</v>
      </c>
      <c r="D83">
        <v>23.94</v>
      </c>
      <c r="I83" s="5">
        <v>1365</v>
      </c>
      <c r="J83" s="5" t="s">
        <v>754</v>
      </c>
    </row>
    <row r="84" spans="1:10" x14ac:dyDescent="0.25">
      <c r="A84" t="str">
        <f t="shared" si="1"/>
        <v>22790BH Parson</v>
      </c>
      <c r="B84" t="s">
        <v>664</v>
      </c>
      <c r="C84" t="s">
        <v>665</v>
      </c>
      <c r="D84">
        <v>69.72</v>
      </c>
      <c r="I84" s="5" t="s">
        <v>626</v>
      </c>
      <c r="J84" s="5" t="s">
        <v>755</v>
      </c>
    </row>
    <row r="85" spans="1:10" x14ac:dyDescent="0.25">
      <c r="A85" t="str">
        <f t="shared" si="1"/>
        <v>22813BH Phineas</v>
      </c>
      <c r="B85" t="s">
        <v>666</v>
      </c>
      <c r="C85" t="s">
        <v>667</v>
      </c>
      <c r="D85">
        <v>75.75</v>
      </c>
      <c r="I85" s="5" t="s">
        <v>626</v>
      </c>
      <c r="J85" s="5" t="s">
        <v>755</v>
      </c>
    </row>
    <row r="86" spans="1:10" x14ac:dyDescent="0.25">
      <c r="A86" t="str">
        <f t="shared" si="1"/>
        <v>63302BH Quil</v>
      </c>
      <c r="B86" t="s">
        <v>668</v>
      </c>
      <c r="C86" t="s">
        <v>669</v>
      </c>
      <c r="D86">
        <v>70.510000000000005</v>
      </c>
      <c r="I86" s="5" t="s">
        <v>626</v>
      </c>
      <c r="J86" s="5" t="s">
        <v>755</v>
      </c>
    </row>
    <row r="87" spans="1:10" x14ac:dyDescent="0.25">
      <c r="A87" t="str">
        <f t="shared" si="1"/>
        <v>22816BH Racer</v>
      </c>
      <c r="B87" t="s">
        <v>670</v>
      </c>
      <c r="C87" t="s">
        <v>671</v>
      </c>
      <c r="D87">
        <v>75.37</v>
      </c>
      <c r="I87" s="5" t="s">
        <v>505</v>
      </c>
      <c r="J87" s="5" t="s">
        <v>756</v>
      </c>
    </row>
    <row r="88" spans="1:10" x14ac:dyDescent="0.25">
      <c r="A88" t="str">
        <f t="shared" si="1"/>
        <v>BW2205OD Rainfly</v>
      </c>
      <c r="B88" t="s">
        <v>672</v>
      </c>
      <c r="C88" t="s">
        <v>673</v>
      </c>
      <c r="D88">
        <v>48.65</v>
      </c>
      <c r="I88" s="5" t="s">
        <v>505</v>
      </c>
      <c r="J88" s="5" t="s">
        <v>756</v>
      </c>
    </row>
    <row r="89" spans="1:10" x14ac:dyDescent="0.25">
      <c r="A89" t="str">
        <f t="shared" si="1"/>
        <v>22803BH Rask</v>
      </c>
      <c r="B89" t="s">
        <v>674</v>
      </c>
      <c r="C89" t="s">
        <v>675</v>
      </c>
      <c r="D89">
        <v>73.099999999999994</v>
      </c>
      <c r="I89" s="5" t="s">
        <v>505</v>
      </c>
      <c r="J89" s="5" t="s">
        <v>756</v>
      </c>
    </row>
    <row r="90" spans="1:10" x14ac:dyDescent="0.25">
      <c r="A90" t="str">
        <f t="shared" si="1"/>
        <v>BW2202OD Redline</v>
      </c>
      <c r="B90" t="s">
        <v>676</v>
      </c>
      <c r="C90" t="s">
        <v>677</v>
      </c>
      <c r="D90">
        <v>50.5</v>
      </c>
      <c r="I90" s="5" t="s">
        <v>712</v>
      </c>
      <c r="J90" s="5" t="s">
        <v>757</v>
      </c>
    </row>
    <row r="91" spans="1:10" x14ac:dyDescent="0.25">
      <c r="A91" t="str">
        <f t="shared" si="1"/>
        <v>63283BH Relik</v>
      </c>
      <c r="B91" t="s">
        <v>678</v>
      </c>
      <c r="C91" t="s">
        <v>679</v>
      </c>
      <c r="D91">
        <v>54.63</v>
      </c>
      <c r="I91" s="5" t="s">
        <v>712</v>
      </c>
      <c r="J91" s="5" t="s">
        <v>757</v>
      </c>
    </row>
    <row r="92" spans="1:10" x14ac:dyDescent="0.25">
      <c r="A92" t="str">
        <f t="shared" si="1"/>
        <v>5000BH Rockett</v>
      </c>
      <c r="B92" t="s">
        <v>680</v>
      </c>
      <c r="C92" t="s">
        <v>681</v>
      </c>
      <c r="D92">
        <v>48.37</v>
      </c>
      <c r="I92" s="5" t="s">
        <v>561</v>
      </c>
      <c r="J92" s="5" t="s">
        <v>758</v>
      </c>
    </row>
    <row r="93" spans="1:10" x14ac:dyDescent="0.25">
      <c r="A93" t="str">
        <f t="shared" si="1"/>
        <v>81722BH Rokit</v>
      </c>
      <c r="B93" t="s">
        <v>682</v>
      </c>
      <c r="C93" t="s">
        <v>683</v>
      </c>
      <c r="D93">
        <v>23.52</v>
      </c>
      <c r="I93" s="5" t="s">
        <v>561</v>
      </c>
      <c r="J93" s="5" t="s">
        <v>758</v>
      </c>
    </row>
    <row r="94" spans="1:10" x14ac:dyDescent="0.25">
      <c r="A94" t="str">
        <f t="shared" si="1"/>
        <v>22750 Roll Up II</v>
      </c>
      <c r="B94" t="s">
        <v>684</v>
      </c>
      <c r="C94" t="s">
        <v>685</v>
      </c>
      <c r="D94">
        <v>77.319999999999993</v>
      </c>
      <c r="I94" s="5" t="s">
        <v>561</v>
      </c>
      <c r="J94" s="5" t="s">
        <v>758</v>
      </c>
    </row>
    <row r="95" spans="1:10" x14ac:dyDescent="0.25">
      <c r="A95" t="str">
        <f t="shared" si="1"/>
        <v>81732BH Ronit</v>
      </c>
      <c r="B95" t="s">
        <v>686</v>
      </c>
      <c r="C95" t="s">
        <v>687</v>
      </c>
      <c r="D95">
        <v>23.52</v>
      </c>
      <c r="I95" s="5">
        <v>81652</v>
      </c>
      <c r="J95" s="5" t="s">
        <v>759</v>
      </c>
    </row>
    <row r="96" spans="1:10" x14ac:dyDescent="0.25">
      <c r="A96" t="str">
        <f t="shared" si="1"/>
        <v>5006BH Rothney</v>
      </c>
      <c r="B96" t="s">
        <v>688</v>
      </c>
      <c r="C96" t="s">
        <v>689</v>
      </c>
      <c r="D96">
        <v>49.65</v>
      </c>
      <c r="I96" s="5" t="s">
        <v>577</v>
      </c>
      <c r="J96" s="5" t="s">
        <v>760</v>
      </c>
    </row>
    <row r="97" spans="1:10" x14ac:dyDescent="0.25">
      <c r="A97" t="str">
        <f t="shared" si="1"/>
        <v>81650 Salem</v>
      </c>
      <c r="B97" t="s">
        <v>690</v>
      </c>
      <c r="C97" t="s">
        <v>691</v>
      </c>
      <c r="D97">
        <v>20.72</v>
      </c>
      <c r="I97" s="5" t="s">
        <v>577</v>
      </c>
      <c r="J97" s="5" t="s">
        <v>760</v>
      </c>
    </row>
    <row r="98" spans="1:10" x14ac:dyDescent="0.25">
      <c r="A98" t="str">
        <f t="shared" si="1"/>
        <v>22757BH Salter</v>
      </c>
      <c r="B98" t="s">
        <v>692</v>
      </c>
      <c r="C98" t="s">
        <v>693</v>
      </c>
      <c r="D98">
        <v>114.71</v>
      </c>
      <c r="I98" s="5" t="s">
        <v>607</v>
      </c>
      <c r="J98" s="5" t="s">
        <v>761</v>
      </c>
    </row>
    <row r="99" spans="1:10" x14ac:dyDescent="0.25">
      <c r="A99" t="str">
        <f t="shared" si="1"/>
        <v>81745BH Scorsby</v>
      </c>
      <c r="B99" t="s">
        <v>694</v>
      </c>
      <c r="C99" t="s">
        <v>695</v>
      </c>
      <c r="D99">
        <v>23.94</v>
      </c>
      <c r="I99" s="5" t="s">
        <v>607</v>
      </c>
      <c r="J99" s="5" t="s">
        <v>761</v>
      </c>
    </row>
    <row r="100" spans="1:10" x14ac:dyDescent="0.25">
      <c r="A100" t="str">
        <f t="shared" si="1"/>
        <v>90058 Slater</v>
      </c>
      <c r="B100" t="s">
        <v>696</v>
      </c>
      <c r="C100" t="s">
        <v>697</v>
      </c>
      <c r="D100">
        <v>18.38</v>
      </c>
      <c r="I100" s="5" t="s">
        <v>607</v>
      </c>
      <c r="J100" s="5" t="s">
        <v>761</v>
      </c>
    </row>
    <row r="101" spans="1:10" x14ac:dyDescent="0.25">
      <c r="A101" t="str">
        <f t="shared" si="1"/>
        <v>BC2206OD SoBo</v>
      </c>
      <c r="B101" t="s">
        <v>698</v>
      </c>
      <c r="C101" t="s">
        <v>699</v>
      </c>
      <c r="D101">
        <v>19.5</v>
      </c>
      <c r="I101" s="5" t="s">
        <v>648</v>
      </c>
      <c r="J101" s="5" t="s">
        <v>762</v>
      </c>
    </row>
    <row r="102" spans="1:10" x14ac:dyDescent="0.25">
      <c r="A102" t="str">
        <f t="shared" si="1"/>
        <v>63200 Spencer</v>
      </c>
      <c r="B102" t="s">
        <v>700</v>
      </c>
      <c r="C102" t="s">
        <v>701</v>
      </c>
      <c r="D102">
        <v>40.71</v>
      </c>
      <c r="I102" s="5" t="s">
        <v>648</v>
      </c>
      <c r="J102" s="5" t="s">
        <v>762</v>
      </c>
    </row>
    <row r="103" spans="1:10" x14ac:dyDescent="0.25">
      <c r="A103" t="str">
        <f t="shared" si="1"/>
        <v>22791BH Stansfield</v>
      </c>
      <c r="B103" t="s">
        <v>702</v>
      </c>
      <c r="C103" t="s">
        <v>703</v>
      </c>
      <c r="D103">
        <v>73.55</v>
      </c>
      <c r="I103" s="5" t="s">
        <v>648</v>
      </c>
      <c r="J103" s="5" t="s">
        <v>762</v>
      </c>
    </row>
    <row r="104" spans="1:10" x14ac:dyDescent="0.25">
      <c r="A104" t="str">
        <f t="shared" si="1"/>
        <v>22784BH Tasmin</v>
      </c>
      <c r="B104" t="s">
        <v>704</v>
      </c>
      <c r="C104" t="s">
        <v>705</v>
      </c>
      <c r="D104">
        <v>69.209999999999994</v>
      </c>
      <c r="I104" s="5" t="s">
        <v>557</v>
      </c>
      <c r="J104" s="5" t="s">
        <v>763</v>
      </c>
    </row>
    <row r="105" spans="1:10" x14ac:dyDescent="0.25">
      <c r="A105" t="str">
        <f t="shared" si="1"/>
        <v>81711BH Tate</v>
      </c>
      <c r="B105" t="s">
        <v>706</v>
      </c>
      <c r="C105" t="s">
        <v>707</v>
      </c>
      <c r="D105">
        <v>22.12</v>
      </c>
      <c r="I105" s="5" t="s">
        <v>557</v>
      </c>
      <c r="J105" s="5" t="s">
        <v>763</v>
      </c>
    </row>
    <row r="106" spans="1:10" x14ac:dyDescent="0.25">
      <c r="A106" t="str">
        <f t="shared" si="1"/>
        <v>22786BH Tessier</v>
      </c>
      <c r="B106" t="s">
        <v>708</v>
      </c>
      <c r="C106" t="s">
        <v>709</v>
      </c>
      <c r="D106">
        <v>65.45</v>
      </c>
      <c r="I106" s="5">
        <v>81690</v>
      </c>
      <c r="J106" s="5" t="s">
        <v>764</v>
      </c>
    </row>
    <row r="107" spans="1:10" x14ac:dyDescent="0.25">
      <c r="A107" t="str">
        <f t="shared" si="1"/>
        <v>BW2203OD Three</v>
      </c>
      <c r="B107" t="s">
        <v>710</v>
      </c>
      <c r="C107" t="s">
        <v>711</v>
      </c>
      <c r="D107">
        <v>45.46</v>
      </c>
      <c r="I107" s="5">
        <v>81690</v>
      </c>
      <c r="J107" s="5" t="s">
        <v>764</v>
      </c>
    </row>
    <row r="108" spans="1:10" x14ac:dyDescent="0.25">
      <c r="A108" t="str">
        <f t="shared" si="1"/>
        <v>90165BH Vander</v>
      </c>
      <c r="B108" t="s">
        <v>712</v>
      </c>
      <c r="C108" t="s">
        <v>713</v>
      </c>
      <c r="D108">
        <v>20.97</v>
      </c>
      <c r="I108" s="5">
        <v>81690</v>
      </c>
      <c r="J108" s="5" t="s">
        <v>764</v>
      </c>
    </row>
    <row r="109" spans="1:10" x14ac:dyDescent="0.25">
      <c r="A109" t="str">
        <f t="shared" si="1"/>
        <v>81810 Waits</v>
      </c>
      <c r="B109" t="s">
        <v>714</v>
      </c>
      <c r="C109" t="s">
        <v>715</v>
      </c>
      <c r="D109">
        <v>23.86</v>
      </c>
      <c r="I109" s="5">
        <v>81690</v>
      </c>
      <c r="J109" s="5" t="s">
        <v>764</v>
      </c>
    </row>
    <row r="110" spans="1:10" x14ac:dyDescent="0.25">
      <c r="A110" t="str">
        <f t="shared" si="1"/>
        <v>22798BH Warlick</v>
      </c>
      <c r="B110" t="s">
        <v>716</v>
      </c>
      <c r="C110" t="s">
        <v>717</v>
      </c>
      <c r="D110">
        <v>68.5</v>
      </c>
      <c r="I110" s="5">
        <v>81690</v>
      </c>
      <c r="J110" s="5" t="s">
        <v>764</v>
      </c>
    </row>
    <row r="111" spans="1:10" x14ac:dyDescent="0.25">
      <c r="A111" t="str">
        <f t="shared" si="1"/>
        <v>81741BH Westfield</v>
      </c>
      <c r="B111" t="s">
        <v>718</v>
      </c>
      <c r="C111" t="s">
        <v>719</v>
      </c>
      <c r="D111">
        <v>22.71</v>
      </c>
      <c r="I111" s="5">
        <v>81690</v>
      </c>
      <c r="J111" s="5" t="s">
        <v>764</v>
      </c>
    </row>
    <row r="112" spans="1:10" x14ac:dyDescent="0.25">
      <c r="A112" t="str">
        <f t="shared" si="1"/>
        <v>5010BH Winstone</v>
      </c>
      <c r="B112" t="s">
        <v>720</v>
      </c>
      <c r="C112" t="s">
        <v>721</v>
      </c>
      <c r="D112">
        <v>47.47</v>
      </c>
      <c r="I112" s="5">
        <v>81690</v>
      </c>
      <c r="J112" s="5" t="s">
        <v>764</v>
      </c>
    </row>
    <row r="113" spans="1:10" x14ac:dyDescent="0.25">
      <c r="A113" t="str">
        <f t="shared" si="1"/>
        <v>81652 ELLIOTT</v>
      </c>
      <c r="B113" t="s">
        <v>722</v>
      </c>
      <c r="C113" t="s">
        <v>759</v>
      </c>
      <c r="D113">
        <v>19.149999999999999</v>
      </c>
      <c r="I113" s="5">
        <v>81690</v>
      </c>
      <c r="J113" s="5" t="s">
        <v>764</v>
      </c>
    </row>
    <row r="114" spans="1:10" x14ac:dyDescent="0.25">
      <c r="A114" t="str">
        <f t="shared" si="1"/>
        <v>BK2206OD Zero Horizon</v>
      </c>
      <c r="B114" t="s">
        <v>723</v>
      </c>
      <c r="C114" t="s">
        <v>724</v>
      </c>
      <c r="D114">
        <v>15.1</v>
      </c>
      <c r="I114" s="5">
        <v>81690</v>
      </c>
      <c r="J114" s="5" t="s">
        <v>764</v>
      </c>
    </row>
    <row r="115" spans="1:10" x14ac:dyDescent="0.25">
      <c r="I115" s="5">
        <v>81690</v>
      </c>
      <c r="J115" s="5" t="s">
        <v>764</v>
      </c>
    </row>
    <row r="116" spans="1:10" x14ac:dyDescent="0.25">
      <c r="I116" s="5">
        <v>81690</v>
      </c>
      <c r="J116" s="5" t="s">
        <v>764</v>
      </c>
    </row>
    <row r="117" spans="1:10" x14ac:dyDescent="0.25">
      <c r="I117" s="5">
        <v>81690</v>
      </c>
      <c r="J117" s="5" t="s">
        <v>764</v>
      </c>
    </row>
    <row r="118" spans="1:10" x14ac:dyDescent="0.25">
      <c r="I118" s="5">
        <v>81690</v>
      </c>
      <c r="J118" s="5" t="s">
        <v>764</v>
      </c>
    </row>
    <row r="119" spans="1:10" x14ac:dyDescent="0.25">
      <c r="I119" s="5">
        <v>81695</v>
      </c>
      <c r="J119" s="5" t="s">
        <v>765</v>
      </c>
    </row>
    <row r="120" spans="1:10" x14ac:dyDescent="0.25">
      <c r="I120" s="5">
        <v>81695</v>
      </c>
      <c r="J120" s="5" t="s">
        <v>765</v>
      </c>
    </row>
    <row r="121" spans="1:10" x14ac:dyDescent="0.25">
      <c r="I121" s="5">
        <v>81695</v>
      </c>
      <c r="J121" s="5" t="s">
        <v>765</v>
      </c>
    </row>
    <row r="122" spans="1:10" x14ac:dyDescent="0.25">
      <c r="I122" s="5" t="s">
        <v>603</v>
      </c>
      <c r="J122" s="5" t="s">
        <v>766</v>
      </c>
    </row>
    <row r="123" spans="1:10" x14ac:dyDescent="0.25">
      <c r="I123" s="5" t="s">
        <v>603</v>
      </c>
      <c r="J123" s="5" t="s">
        <v>766</v>
      </c>
    </row>
    <row r="124" spans="1:10" x14ac:dyDescent="0.25">
      <c r="I124" s="5" t="s">
        <v>603</v>
      </c>
      <c r="J124" s="5" t="s">
        <v>766</v>
      </c>
    </row>
    <row r="125" spans="1:10" x14ac:dyDescent="0.25">
      <c r="I125" s="5" t="s">
        <v>603</v>
      </c>
      <c r="J125" s="5" t="s">
        <v>766</v>
      </c>
    </row>
    <row r="126" spans="1:10" x14ac:dyDescent="0.25">
      <c r="I126" s="5" t="s">
        <v>603</v>
      </c>
      <c r="J126" s="5" t="s">
        <v>766</v>
      </c>
    </row>
    <row r="127" spans="1:10" x14ac:dyDescent="0.25">
      <c r="I127" s="5" t="s">
        <v>603</v>
      </c>
      <c r="J127" s="5" t="s">
        <v>766</v>
      </c>
    </row>
    <row r="128" spans="1:10" x14ac:dyDescent="0.25">
      <c r="I128" s="5" t="s">
        <v>706</v>
      </c>
      <c r="J128" s="5" t="s">
        <v>767</v>
      </c>
    </row>
    <row r="129" spans="9:10" x14ac:dyDescent="0.25">
      <c r="I129" s="5" t="s">
        <v>706</v>
      </c>
      <c r="J129" s="5" t="s">
        <v>767</v>
      </c>
    </row>
    <row r="130" spans="9:10" x14ac:dyDescent="0.25">
      <c r="I130" s="5" t="s">
        <v>706</v>
      </c>
      <c r="J130" s="5" t="s">
        <v>767</v>
      </c>
    </row>
    <row r="131" spans="9:10" x14ac:dyDescent="0.25">
      <c r="I131" s="5" t="s">
        <v>706</v>
      </c>
      <c r="J131" s="5" t="s">
        <v>767</v>
      </c>
    </row>
    <row r="132" spans="9:10" x14ac:dyDescent="0.25">
      <c r="I132" s="5" t="s">
        <v>706</v>
      </c>
      <c r="J132" s="5" t="s">
        <v>767</v>
      </c>
    </row>
    <row r="133" spans="9:10" x14ac:dyDescent="0.25">
      <c r="I133" s="5">
        <v>81650</v>
      </c>
      <c r="J133" s="5" t="s">
        <v>768</v>
      </c>
    </row>
    <row r="134" spans="9:10" x14ac:dyDescent="0.25">
      <c r="I134" s="5">
        <v>81650</v>
      </c>
      <c r="J134" s="5" t="s">
        <v>768</v>
      </c>
    </row>
    <row r="135" spans="9:10" x14ac:dyDescent="0.25">
      <c r="I135" s="5">
        <v>81650</v>
      </c>
      <c r="J135" s="5" t="s">
        <v>768</v>
      </c>
    </row>
    <row r="136" spans="9:10" x14ac:dyDescent="0.25">
      <c r="I136" s="5">
        <v>81650</v>
      </c>
      <c r="J136" s="5" t="s">
        <v>768</v>
      </c>
    </row>
    <row r="137" spans="9:10" x14ac:dyDescent="0.25">
      <c r="I137" s="5">
        <v>81650</v>
      </c>
      <c r="J137" s="5" t="s">
        <v>768</v>
      </c>
    </row>
    <row r="138" spans="9:10" x14ac:dyDescent="0.25">
      <c r="I138" s="5">
        <v>81650</v>
      </c>
      <c r="J138" s="5" t="s">
        <v>768</v>
      </c>
    </row>
    <row r="139" spans="9:10" x14ac:dyDescent="0.25">
      <c r="I139" s="5">
        <v>81650</v>
      </c>
      <c r="J139" s="5" t="s">
        <v>768</v>
      </c>
    </row>
    <row r="140" spans="9:10" x14ac:dyDescent="0.25">
      <c r="I140" s="5">
        <v>81650</v>
      </c>
      <c r="J140" s="5" t="s">
        <v>768</v>
      </c>
    </row>
    <row r="141" spans="9:10" x14ac:dyDescent="0.25">
      <c r="I141" s="5">
        <v>81650</v>
      </c>
      <c r="J141" s="5" t="s">
        <v>768</v>
      </c>
    </row>
    <row r="142" spans="9:10" x14ac:dyDescent="0.25">
      <c r="I142" s="5">
        <v>81650</v>
      </c>
      <c r="J142" s="5" t="s">
        <v>768</v>
      </c>
    </row>
    <row r="143" spans="9:10" x14ac:dyDescent="0.25">
      <c r="I143" s="5">
        <v>81670</v>
      </c>
      <c r="J143" s="5" t="s">
        <v>769</v>
      </c>
    </row>
    <row r="144" spans="9:10" x14ac:dyDescent="0.25">
      <c r="I144" s="5">
        <v>81670</v>
      </c>
      <c r="J144" s="5" t="s">
        <v>769</v>
      </c>
    </row>
    <row r="145" spans="9:10" x14ac:dyDescent="0.25">
      <c r="I145" s="5">
        <v>81670</v>
      </c>
      <c r="J145" s="5" t="s">
        <v>769</v>
      </c>
    </row>
    <row r="146" spans="9:10" x14ac:dyDescent="0.25">
      <c r="I146" s="5">
        <v>81670</v>
      </c>
      <c r="J146" s="5" t="s">
        <v>769</v>
      </c>
    </row>
    <row r="147" spans="9:10" x14ac:dyDescent="0.25">
      <c r="I147" s="5">
        <v>81670</v>
      </c>
      <c r="J147" s="5" t="s">
        <v>769</v>
      </c>
    </row>
    <row r="148" spans="9:10" x14ac:dyDescent="0.25">
      <c r="I148" s="5">
        <v>81670</v>
      </c>
      <c r="J148" s="5" t="s">
        <v>769</v>
      </c>
    </row>
    <row r="149" spans="9:10" x14ac:dyDescent="0.25">
      <c r="I149" s="5">
        <v>81670</v>
      </c>
      <c r="J149" s="5" t="s">
        <v>769</v>
      </c>
    </row>
    <row r="150" spans="9:10" x14ac:dyDescent="0.25">
      <c r="I150" s="5">
        <v>81670</v>
      </c>
      <c r="J150" s="5" t="s">
        <v>769</v>
      </c>
    </row>
    <row r="151" spans="9:10" x14ac:dyDescent="0.25">
      <c r="I151" s="5">
        <v>81670</v>
      </c>
      <c r="J151" s="5" t="s">
        <v>769</v>
      </c>
    </row>
    <row r="152" spans="9:10" x14ac:dyDescent="0.25">
      <c r="I152" s="5">
        <v>81670</v>
      </c>
      <c r="J152" s="5" t="s">
        <v>769</v>
      </c>
    </row>
    <row r="153" spans="9:10" x14ac:dyDescent="0.25">
      <c r="I153" s="5">
        <v>81670</v>
      </c>
      <c r="J153" s="5" t="s">
        <v>769</v>
      </c>
    </row>
    <row r="154" spans="9:10" x14ac:dyDescent="0.25">
      <c r="I154" s="5">
        <v>81670</v>
      </c>
      <c r="J154" s="5" t="s">
        <v>769</v>
      </c>
    </row>
    <row r="155" spans="9:10" x14ac:dyDescent="0.25">
      <c r="I155" s="5" t="s">
        <v>553</v>
      </c>
      <c r="J155" s="5" t="s">
        <v>770</v>
      </c>
    </row>
    <row r="156" spans="9:10" x14ac:dyDescent="0.25">
      <c r="I156" s="5" t="s">
        <v>511</v>
      </c>
      <c r="J156" s="5" t="s">
        <v>771</v>
      </c>
    </row>
    <row r="157" spans="9:10" x14ac:dyDescent="0.25">
      <c r="I157" s="5" t="s">
        <v>511</v>
      </c>
      <c r="J157" s="5" t="s">
        <v>771</v>
      </c>
    </row>
    <row r="158" spans="9:10" x14ac:dyDescent="0.25">
      <c r="I158" s="5" t="s">
        <v>511</v>
      </c>
      <c r="J158" s="5" t="s">
        <v>771</v>
      </c>
    </row>
    <row r="159" spans="9:10" x14ac:dyDescent="0.25">
      <c r="I159" s="5" t="s">
        <v>511</v>
      </c>
      <c r="J159" s="5" t="s">
        <v>771</v>
      </c>
    </row>
    <row r="160" spans="9:10" x14ac:dyDescent="0.25">
      <c r="I160" s="5" t="s">
        <v>718</v>
      </c>
      <c r="J160" s="5" t="s">
        <v>772</v>
      </c>
    </row>
    <row r="161" spans="9:10" x14ac:dyDescent="0.25">
      <c r="I161" s="5" t="s">
        <v>718</v>
      </c>
      <c r="J161" s="5" t="s">
        <v>772</v>
      </c>
    </row>
    <row r="162" spans="9:10" x14ac:dyDescent="0.25">
      <c r="I162" s="5" t="s">
        <v>533</v>
      </c>
      <c r="J162" s="5" t="s">
        <v>773</v>
      </c>
    </row>
    <row r="163" spans="9:10" x14ac:dyDescent="0.25">
      <c r="I163" s="5" t="s">
        <v>533</v>
      </c>
      <c r="J163" s="5" t="s">
        <v>773</v>
      </c>
    </row>
    <row r="164" spans="9:10" x14ac:dyDescent="0.25">
      <c r="I164" s="5" t="s">
        <v>533</v>
      </c>
      <c r="J164" s="5" t="s">
        <v>773</v>
      </c>
    </row>
    <row r="165" spans="9:10" x14ac:dyDescent="0.25">
      <c r="I165" s="5" t="s">
        <v>533</v>
      </c>
      <c r="J165" s="5" t="s">
        <v>773</v>
      </c>
    </row>
    <row r="166" spans="9:10" x14ac:dyDescent="0.25">
      <c r="I166" s="5" t="s">
        <v>682</v>
      </c>
      <c r="J166" s="5" t="s">
        <v>774</v>
      </c>
    </row>
    <row r="167" spans="9:10" x14ac:dyDescent="0.25">
      <c r="I167" s="5" t="s">
        <v>682</v>
      </c>
      <c r="J167" s="5" t="s">
        <v>774</v>
      </c>
    </row>
    <row r="168" spans="9:10" x14ac:dyDescent="0.25">
      <c r="I168" s="5" t="s">
        <v>686</v>
      </c>
      <c r="J168" s="5" t="s">
        <v>775</v>
      </c>
    </row>
    <row r="169" spans="9:10" x14ac:dyDescent="0.25">
      <c r="I169" s="5" t="s">
        <v>686</v>
      </c>
      <c r="J169" s="5" t="s">
        <v>775</v>
      </c>
    </row>
    <row r="170" spans="9:10" x14ac:dyDescent="0.25">
      <c r="I170" s="5" t="s">
        <v>543</v>
      </c>
      <c r="J170" s="5" t="s">
        <v>776</v>
      </c>
    </row>
    <row r="171" spans="9:10" x14ac:dyDescent="0.25">
      <c r="I171" s="5" t="s">
        <v>543</v>
      </c>
      <c r="J171" s="5" t="s">
        <v>776</v>
      </c>
    </row>
    <row r="172" spans="9:10" x14ac:dyDescent="0.25">
      <c r="I172" s="5" t="s">
        <v>543</v>
      </c>
      <c r="J172" s="5" t="s">
        <v>776</v>
      </c>
    </row>
    <row r="173" spans="9:10" x14ac:dyDescent="0.25">
      <c r="I173" s="5" t="s">
        <v>543</v>
      </c>
      <c r="J173" s="5" t="s">
        <v>776</v>
      </c>
    </row>
    <row r="174" spans="9:10" x14ac:dyDescent="0.25">
      <c r="I174" s="5" t="s">
        <v>543</v>
      </c>
      <c r="J174" s="5" t="s">
        <v>776</v>
      </c>
    </row>
    <row r="175" spans="9:10" x14ac:dyDescent="0.25">
      <c r="I175" s="5" t="s">
        <v>543</v>
      </c>
      <c r="J175" s="5" t="s">
        <v>776</v>
      </c>
    </row>
    <row r="176" spans="9:10" x14ac:dyDescent="0.25">
      <c r="I176" s="5" t="s">
        <v>543</v>
      </c>
      <c r="J176" s="5" t="s">
        <v>776</v>
      </c>
    </row>
    <row r="177" spans="9:10" x14ac:dyDescent="0.25">
      <c r="I177" s="5" t="s">
        <v>662</v>
      </c>
      <c r="J177" s="5" t="s">
        <v>777</v>
      </c>
    </row>
    <row r="178" spans="9:10" x14ac:dyDescent="0.25">
      <c r="I178" s="5" t="s">
        <v>662</v>
      </c>
      <c r="J178" s="5" t="s">
        <v>777</v>
      </c>
    </row>
    <row r="179" spans="9:10" x14ac:dyDescent="0.25">
      <c r="I179" s="5" t="s">
        <v>662</v>
      </c>
      <c r="J179" s="5" t="s">
        <v>777</v>
      </c>
    </row>
    <row r="180" spans="9:10" x14ac:dyDescent="0.25">
      <c r="I180" s="5" t="s">
        <v>619</v>
      </c>
      <c r="J180" s="5" t="s">
        <v>778</v>
      </c>
    </row>
    <row r="181" spans="9:10" x14ac:dyDescent="0.25">
      <c r="I181" s="5" t="s">
        <v>619</v>
      </c>
      <c r="J181" s="5" t="s">
        <v>778</v>
      </c>
    </row>
    <row r="182" spans="9:10" x14ac:dyDescent="0.25">
      <c r="I182" s="5" t="s">
        <v>509</v>
      </c>
      <c r="J182" s="5" t="s">
        <v>829</v>
      </c>
    </row>
    <row r="183" spans="9:10" x14ac:dyDescent="0.25">
      <c r="I183" s="5" t="s">
        <v>509</v>
      </c>
      <c r="J183" s="5" t="s">
        <v>829</v>
      </c>
    </row>
    <row r="184" spans="9:10" x14ac:dyDescent="0.25">
      <c r="I184" s="5" t="s">
        <v>509</v>
      </c>
      <c r="J184" s="5" t="s">
        <v>829</v>
      </c>
    </row>
    <row r="185" spans="9:10" x14ac:dyDescent="0.25">
      <c r="I185" s="5" t="s">
        <v>509</v>
      </c>
      <c r="J185" s="5" t="s">
        <v>829</v>
      </c>
    </row>
    <row r="186" spans="9:10" x14ac:dyDescent="0.25">
      <c r="I186" s="5" t="s">
        <v>567</v>
      </c>
      <c r="J186" s="5" t="s">
        <v>779</v>
      </c>
    </row>
    <row r="187" spans="9:10" x14ac:dyDescent="0.25">
      <c r="I187" s="5" t="s">
        <v>567</v>
      </c>
      <c r="J187" s="5" t="s">
        <v>779</v>
      </c>
    </row>
    <row r="188" spans="9:10" x14ac:dyDescent="0.25">
      <c r="I188" s="5" t="s">
        <v>567</v>
      </c>
      <c r="J188" s="5" t="s">
        <v>779</v>
      </c>
    </row>
    <row r="189" spans="9:10" x14ac:dyDescent="0.25">
      <c r="I189" s="5" t="s">
        <v>567</v>
      </c>
      <c r="J189" s="5" t="s">
        <v>779</v>
      </c>
    </row>
    <row r="190" spans="9:10" x14ac:dyDescent="0.25">
      <c r="I190" s="5" t="s">
        <v>567</v>
      </c>
      <c r="J190" s="5" t="s">
        <v>779</v>
      </c>
    </row>
    <row r="191" spans="9:10" x14ac:dyDescent="0.25">
      <c r="I191" s="5">
        <v>81810</v>
      </c>
      <c r="J191" s="5" t="s">
        <v>780</v>
      </c>
    </row>
    <row r="192" spans="9:10" x14ac:dyDescent="0.25">
      <c r="I192" s="5">
        <v>81810</v>
      </c>
      <c r="J192" s="5" t="s">
        <v>780</v>
      </c>
    </row>
    <row r="193" spans="9:10" x14ac:dyDescent="0.25">
      <c r="I193" s="5">
        <v>81810</v>
      </c>
      <c r="J193" s="5" t="s">
        <v>780</v>
      </c>
    </row>
    <row r="194" spans="9:10" x14ac:dyDescent="0.25">
      <c r="I194" s="5">
        <v>81810</v>
      </c>
      <c r="J194" s="5" t="s">
        <v>780</v>
      </c>
    </row>
    <row r="195" spans="9:10" x14ac:dyDescent="0.25">
      <c r="I195" s="5">
        <v>81810</v>
      </c>
      <c r="J195" s="5" t="s">
        <v>780</v>
      </c>
    </row>
    <row r="196" spans="9:10" x14ac:dyDescent="0.25">
      <c r="I196" s="5">
        <v>81810</v>
      </c>
      <c r="J196" s="5" t="s">
        <v>780</v>
      </c>
    </row>
    <row r="197" spans="9:10" x14ac:dyDescent="0.25">
      <c r="I197" s="5">
        <v>81810</v>
      </c>
      <c r="J197" s="5" t="s">
        <v>780</v>
      </c>
    </row>
    <row r="198" spans="9:10" x14ac:dyDescent="0.25">
      <c r="I198" s="5">
        <v>81810</v>
      </c>
      <c r="J198" s="5" t="s">
        <v>780</v>
      </c>
    </row>
    <row r="199" spans="9:10" x14ac:dyDescent="0.25">
      <c r="I199" s="5">
        <v>81810</v>
      </c>
      <c r="J199" s="5" t="s">
        <v>780</v>
      </c>
    </row>
    <row r="200" spans="9:10" x14ac:dyDescent="0.25">
      <c r="I200" s="5" t="s">
        <v>694</v>
      </c>
      <c r="J200" s="5" t="s">
        <v>781</v>
      </c>
    </row>
    <row r="201" spans="9:10" x14ac:dyDescent="0.25">
      <c r="I201" s="5" t="s">
        <v>694</v>
      </c>
      <c r="J201" s="5" t="s">
        <v>781</v>
      </c>
    </row>
    <row r="202" spans="9:10" x14ac:dyDescent="0.25">
      <c r="I202" s="5" t="s">
        <v>694</v>
      </c>
      <c r="J202" s="5" t="s">
        <v>781</v>
      </c>
    </row>
    <row r="203" spans="9:10" x14ac:dyDescent="0.25">
      <c r="I203" s="5" t="s">
        <v>642</v>
      </c>
      <c r="J203" s="5" t="s">
        <v>782</v>
      </c>
    </row>
    <row r="204" spans="9:10" x14ac:dyDescent="0.25">
      <c r="I204" s="5" t="s">
        <v>642</v>
      </c>
      <c r="J204" s="5" t="s">
        <v>782</v>
      </c>
    </row>
    <row r="205" spans="9:10" x14ac:dyDescent="0.25">
      <c r="I205" s="5" t="s">
        <v>642</v>
      </c>
      <c r="J205" s="5" t="s">
        <v>782</v>
      </c>
    </row>
    <row r="206" spans="9:10" x14ac:dyDescent="0.25">
      <c r="I206" s="5" t="s">
        <v>632</v>
      </c>
      <c r="J206" s="5" t="s">
        <v>783</v>
      </c>
    </row>
    <row r="207" spans="9:10" x14ac:dyDescent="0.25">
      <c r="I207" s="5" t="s">
        <v>632</v>
      </c>
      <c r="J207" s="5" t="s">
        <v>783</v>
      </c>
    </row>
    <row r="208" spans="9:10" x14ac:dyDescent="0.25">
      <c r="I208" s="5" t="s">
        <v>658</v>
      </c>
      <c r="J208" s="5" t="s">
        <v>784</v>
      </c>
    </row>
    <row r="209" spans="9:10" x14ac:dyDescent="0.25">
      <c r="I209" s="5" t="s">
        <v>658</v>
      </c>
      <c r="J209" s="5" t="s">
        <v>784</v>
      </c>
    </row>
    <row r="210" spans="9:10" x14ac:dyDescent="0.25">
      <c r="I210" s="5" t="s">
        <v>658</v>
      </c>
      <c r="J210" s="5" t="s">
        <v>784</v>
      </c>
    </row>
    <row r="211" spans="9:10" x14ac:dyDescent="0.25">
      <c r="I211" s="5" t="s">
        <v>688</v>
      </c>
      <c r="J211" s="5" t="s">
        <v>785</v>
      </c>
    </row>
    <row r="212" spans="9:10" x14ac:dyDescent="0.25">
      <c r="I212" s="5" t="s">
        <v>688</v>
      </c>
      <c r="J212" s="5" t="s">
        <v>785</v>
      </c>
    </row>
    <row r="213" spans="9:10" x14ac:dyDescent="0.25">
      <c r="I213" s="5" t="s">
        <v>559</v>
      </c>
      <c r="J213" s="5" t="s">
        <v>786</v>
      </c>
    </row>
    <row r="214" spans="9:10" x14ac:dyDescent="0.25">
      <c r="I214" s="5" t="s">
        <v>680</v>
      </c>
      <c r="J214" s="5" t="s">
        <v>787</v>
      </c>
    </row>
    <row r="215" spans="9:10" x14ac:dyDescent="0.25">
      <c r="I215" s="5" t="s">
        <v>499</v>
      </c>
      <c r="J215" s="5" t="s">
        <v>788</v>
      </c>
    </row>
    <row r="216" spans="9:10" x14ac:dyDescent="0.25">
      <c r="I216" s="5" t="s">
        <v>499</v>
      </c>
      <c r="J216" s="5" t="s">
        <v>788</v>
      </c>
    </row>
    <row r="217" spans="9:10" x14ac:dyDescent="0.25">
      <c r="I217" s="5" t="s">
        <v>720</v>
      </c>
      <c r="J217" s="5" t="s">
        <v>789</v>
      </c>
    </row>
    <row r="218" spans="9:10" x14ac:dyDescent="0.25">
      <c r="I218" s="5" t="s">
        <v>720</v>
      </c>
      <c r="J218" s="5" t="s">
        <v>789</v>
      </c>
    </row>
    <row r="219" spans="9:10" x14ac:dyDescent="0.25">
      <c r="I219" s="5" t="s">
        <v>720</v>
      </c>
      <c r="J219" s="5" t="s">
        <v>789</v>
      </c>
    </row>
    <row r="220" spans="9:10" x14ac:dyDescent="0.25">
      <c r="I220" s="5" t="s">
        <v>503</v>
      </c>
      <c r="J220" s="5" t="s">
        <v>790</v>
      </c>
    </row>
    <row r="221" spans="9:10" x14ac:dyDescent="0.25">
      <c r="I221" s="5" t="s">
        <v>503</v>
      </c>
      <c r="J221" s="5" t="s">
        <v>790</v>
      </c>
    </row>
    <row r="222" spans="9:10" x14ac:dyDescent="0.25">
      <c r="I222" s="5" t="s">
        <v>636</v>
      </c>
      <c r="J222" s="5" t="s">
        <v>791</v>
      </c>
    </row>
    <row r="223" spans="9:10" x14ac:dyDescent="0.25">
      <c r="I223" s="5" t="s">
        <v>636</v>
      </c>
      <c r="J223" s="5" t="s">
        <v>791</v>
      </c>
    </row>
    <row r="224" spans="9:10" x14ac:dyDescent="0.25">
      <c r="I224" s="5" t="s">
        <v>636</v>
      </c>
      <c r="J224" s="5" t="s">
        <v>791</v>
      </c>
    </row>
    <row r="225" spans="9:10" x14ac:dyDescent="0.25">
      <c r="I225" s="5" t="s">
        <v>644</v>
      </c>
      <c r="J225" s="5" t="s">
        <v>792</v>
      </c>
    </row>
    <row r="226" spans="9:10" x14ac:dyDescent="0.25">
      <c r="I226" s="5" t="s">
        <v>668</v>
      </c>
      <c r="J226" s="5" t="s">
        <v>793</v>
      </c>
    </row>
    <row r="227" spans="9:10" x14ac:dyDescent="0.25">
      <c r="I227" s="5" t="s">
        <v>668</v>
      </c>
      <c r="J227" s="5" t="s">
        <v>793</v>
      </c>
    </row>
    <row r="228" spans="9:10" x14ac:dyDescent="0.25">
      <c r="I228" s="5" t="s">
        <v>523</v>
      </c>
      <c r="J228" s="5" t="s">
        <v>794</v>
      </c>
    </row>
    <row r="229" spans="9:10" x14ac:dyDescent="0.25">
      <c r="I229" s="5" t="s">
        <v>523</v>
      </c>
      <c r="J229" s="5" t="s">
        <v>794</v>
      </c>
    </row>
    <row r="230" spans="9:10" x14ac:dyDescent="0.25">
      <c r="I230" s="5">
        <v>63112</v>
      </c>
      <c r="J230" s="5" t="s">
        <v>795</v>
      </c>
    </row>
    <row r="231" spans="9:10" x14ac:dyDescent="0.25">
      <c r="I231" s="5">
        <v>63112</v>
      </c>
      <c r="J231" s="5" t="s">
        <v>795</v>
      </c>
    </row>
    <row r="232" spans="9:10" x14ac:dyDescent="0.25">
      <c r="I232" s="5">
        <v>63114</v>
      </c>
      <c r="J232" s="5" t="s">
        <v>796</v>
      </c>
    </row>
    <row r="233" spans="9:10" x14ac:dyDescent="0.25">
      <c r="I233" s="5">
        <v>63114</v>
      </c>
      <c r="J233" s="5" t="s">
        <v>796</v>
      </c>
    </row>
    <row r="234" spans="9:10" x14ac:dyDescent="0.25">
      <c r="I234" s="5">
        <v>63114</v>
      </c>
      <c r="J234" s="5" t="s">
        <v>796</v>
      </c>
    </row>
    <row r="235" spans="9:10" x14ac:dyDescent="0.25">
      <c r="I235" s="5">
        <v>63125</v>
      </c>
      <c r="J235" s="5" t="s">
        <v>797</v>
      </c>
    </row>
    <row r="236" spans="9:10" x14ac:dyDescent="0.25">
      <c r="I236" s="5">
        <v>63200</v>
      </c>
      <c r="J236" s="5" t="s">
        <v>798</v>
      </c>
    </row>
    <row r="237" spans="9:10" x14ac:dyDescent="0.25">
      <c r="I237" s="5">
        <v>63200</v>
      </c>
      <c r="J237" s="5" t="s">
        <v>798</v>
      </c>
    </row>
    <row r="238" spans="9:10" x14ac:dyDescent="0.25">
      <c r="I238" s="5">
        <v>63200</v>
      </c>
      <c r="J238" s="5" t="s">
        <v>798</v>
      </c>
    </row>
    <row r="239" spans="9:10" x14ac:dyDescent="0.25">
      <c r="I239" s="5">
        <v>63200</v>
      </c>
      <c r="J239" s="5" t="s">
        <v>798</v>
      </c>
    </row>
    <row r="240" spans="9:10" x14ac:dyDescent="0.25">
      <c r="I240" s="5" t="s">
        <v>678</v>
      </c>
      <c r="J240" s="5" t="s">
        <v>799</v>
      </c>
    </row>
    <row r="241" spans="9:10" x14ac:dyDescent="0.25">
      <c r="I241" s="5" t="s">
        <v>678</v>
      </c>
      <c r="J241" s="5" t="s">
        <v>799</v>
      </c>
    </row>
    <row r="242" spans="9:10" x14ac:dyDescent="0.25">
      <c r="I242" s="5">
        <v>63117</v>
      </c>
      <c r="J242" s="5" t="s">
        <v>800</v>
      </c>
    </row>
    <row r="243" spans="9:10" x14ac:dyDescent="0.25">
      <c r="I243" s="5">
        <v>63117</v>
      </c>
      <c r="J243" s="5" t="s">
        <v>800</v>
      </c>
    </row>
    <row r="244" spans="9:10" x14ac:dyDescent="0.25">
      <c r="I244" s="5">
        <v>63117</v>
      </c>
      <c r="J244" s="5" t="s">
        <v>800</v>
      </c>
    </row>
    <row r="245" spans="9:10" x14ac:dyDescent="0.25">
      <c r="I245" s="5" t="s">
        <v>587</v>
      </c>
      <c r="J245" s="5" t="s">
        <v>801</v>
      </c>
    </row>
    <row r="246" spans="9:10" x14ac:dyDescent="0.25">
      <c r="I246" s="5" t="s">
        <v>587</v>
      </c>
      <c r="J246" s="5" t="s">
        <v>801</v>
      </c>
    </row>
    <row r="247" spans="9:10" x14ac:dyDescent="0.25">
      <c r="I247" s="5">
        <v>22705</v>
      </c>
      <c r="J247" s="5" t="s">
        <v>802</v>
      </c>
    </row>
    <row r="248" spans="9:10" x14ac:dyDescent="0.25">
      <c r="I248" s="5">
        <v>22705</v>
      </c>
      <c r="J248" s="5" t="s">
        <v>802</v>
      </c>
    </row>
    <row r="249" spans="9:10" x14ac:dyDescent="0.25">
      <c r="I249" s="5" t="s">
        <v>708</v>
      </c>
      <c r="J249" s="5" t="s">
        <v>803</v>
      </c>
    </row>
    <row r="250" spans="9:10" x14ac:dyDescent="0.25">
      <c r="I250" s="5" t="s">
        <v>708</v>
      </c>
      <c r="J250" s="5" t="s">
        <v>803</v>
      </c>
    </row>
    <row r="251" spans="9:10" x14ac:dyDescent="0.25">
      <c r="I251" s="5">
        <v>22721</v>
      </c>
      <c r="J251" s="5" t="s">
        <v>804</v>
      </c>
    </row>
    <row r="252" spans="9:10" x14ac:dyDescent="0.25">
      <c r="I252" s="5">
        <v>22721</v>
      </c>
      <c r="J252" s="5" t="s">
        <v>804</v>
      </c>
    </row>
    <row r="253" spans="9:10" x14ac:dyDescent="0.25">
      <c r="I253" s="5">
        <v>22721</v>
      </c>
      <c r="J253" s="5" t="s">
        <v>804</v>
      </c>
    </row>
    <row r="254" spans="9:10" x14ac:dyDescent="0.25">
      <c r="I254" s="5">
        <v>22721</v>
      </c>
      <c r="J254" s="5" t="s">
        <v>804</v>
      </c>
    </row>
    <row r="255" spans="9:10" x14ac:dyDescent="0.25">
      <c r="I255" s="5">
        <v>22721</v>
      </c>
      <c r="J255" s="5" t="s">
        <v>804</v>
      </c>
    </row>
    <row r="256" spans="9:10" x14ac:dyDescent="0.25">
      <c r="I256" s="5">
        <v>22721</v>
      </c>
      <c r="J256" s="5" t="s">
        <v>804</v>
      </c>
    </row>
    <row r="257" spans="9:10" x14ac:dyDescent="0.25">
      <c r="I257" s="5">
        <v>22719</v>
      </c>
      <c r="J257" s="5" t="s">
        <v>805</v>
      </c>
    </row>
    <row r="258" spans="9:10" x14ac:dyDescent="0.25">
      <c r="I258" s="5" t="s">
        <v>547</v>
      </c>
      <c r="J258" s="5" t="s">
        <v>806</v>
      </c>
    </row>
    <row r="259" spans="9:10" x14ac:dyDescent="0.25">
      <c r="I259" s="5" t="s">
        <v>547</v>
      </c>
      <c r="J259" s="5" t="s">
        <v>806</v>
      </c>
    </row>
    <row r="260" spans="9:10" x14ac:dyDescent="0.25">
      <c r="I260" s="5" t="s">
        <v>547</v>
      </c>
      <c r="J260" s="5" t="s">
        <v>806</v>
      </c>
    </row>
    <row r="261" spans="9:10" x14ac:dyDescent="0.25">
      <c r="I261" s="5" t="s">
        <v>547</v>
      </c>
      <c r="J261" s="5" t="s">
        <v>806</v>
      </c>
    </row>
    <row r="262" spans="9:10" x14ac:dyDescent="0.25">
      <c r="I262" s="5" t="s">
        <v>547</v>
      </c>
      <c r="J262" s="5" t="s">
        <v>806</v>
      </c>
    </row>
    <row r="263" spans="9:10" x14ac:dyDescent="0.25">
      <c r="I263" s="5" t="s">
        <v>702</v>
      </c>
      <c r="J263" s="5" t="s">
        <v>807</v>
      </c>
    </row>
    <row r="264" spans="9:10" x14ac:dyDescent="0.25">
      <c r="I264" s="5" t="s">
        <v>702</v>
      </c>
      <c r="J264" s="5" t="s">
        <v>807</v>
      </c>
    </row>
    <row r="265" spans="9:10" x14ac:dyDescent="0.25">
      <c r="I265" s="5" t="s">
        <v>702</v>
      </c>
      <c r="J265" s="5" t="s">
        <v>807</v>
      </c>
    </row>
    <row r="266" spans="9:10" x14ac:dyDescent="0.25">
      <c r="I266" s="5" t="s">
        <v>702</v>
      </c>
      <c r="J266" s="5" t="s">
        <v>807</v>
      </c>
    </row>
    <row r="267" spans="9:10" x14ac:dyDescent="0.25">
      <c r="I267" s="5" t="s">
        <v>692</v>
      </c>
      <c r="J267" s="5" t="s">
        <v>808</v>
      </c>
    </row>
    <row r="268" spans="9:10" x14ac:dyDescent="0.25">
      <c r="I268" s="5" t="s">
        <v>634</v>
      </c>
      <c r="J268" s="5" t="s">
        <v>809</v>
      </c>
    </row>
    <row r="269" spans="9:10" x14ac:dyDescent="0.25">
      <c r="I269" s="5">
        <v>22750</v>
      </c>
      <c r="J269" s="5" t="s">
        <v>830</v>
      </c>
    </row>
    <row r="270" spans="9:10" x14ac:dyDescent="0.25">
      <c r="I270" s="5" t="s">
        <v>664</v>
      </c>
      <c r="J270" s="5" t="s">
        <v>810</v>
      </c>
    </row>
    <row r="271" spans="9:10" x14ac:dyDescent="0.25">
      <c r="I271" s="5" t="s">
        <v>664</v>
      </c>
      <c r="J271" s="5" t="s">
        <v>810</v>
      </c>
    </row>
    <row r="272" spans="9:10" x14ac:dyDescent="0.25">
      <c r="I272" s="5" t="s">
        <v>664</v>
      </c>
      <c r="J272" s="5" t="s">
        <v>810</v>
      </c>
    </row>
    <row r="273" spans="9:10" x14ac:dyDescent="0.25">
      <c r="I273" s="5" t="s">
        <v>716</v>
      </c>
      <c r="J273" s="5" t="s">
        <v>811</v>
      </c>
    </row>
    <row r="274" spans="9:10" x14ac:dyDescent="0.25">
      <c r="I274" s="5" t="s">
        <v>716</v>
      </c>
      <c r="J274" s="5" t="s">
        <v>811</v>
      </c>
    </row>
    <row r="275" spans="9:10" x14ac:dyDescent="0.25">
      <c r="I275" s="5" t="s">
        <v>571</v>
      </c>
      <c r="J275" s="5" t="s">
        <v>812</v>
      </c>
    </row>
    <row r="276" spans="9:10" x14ac:dyDescent="0.25">
      <c r="I276" s="5" t="s">
        <v>583</v>
      </c>
      <c r="J276" s="5" t="s">
        <v>813</v>
      </c>
    </row>
    <row r="277" spans="9:10" x14ac:dyDescent="0.25">
      <c r="I277" s="5" t="s">
        <v>583</v>
      </c>
      <c r="J277" s="5" t="s">
        <v>813</v>
      </c>
    </row>
    <row r="278" spans="9:10" x14ac:dyDescent="0.25">
      <c r="I278" s="5" t="s">
        <v>583</v>
      </c>
      <c r="J278" s="5" t="s">
        <v>813</v>
      </c>
    </row>
    <row r="279" spans="9:10" x14ac:dyDescent="0.25">
      <c r="I279" s="5" t="s">
        <v>583</v>
      </c>
      <c r="J279" s="5" t="s">
        <v>813</v>
      </c>
    </row>
    <row r="280" spans="9:10" x14ac:dyDescent="0.25">
      <c r="I280" s="5" t="s">
        <v>527</v>
      </c>
      <c r="J280" s="5" t="s">
        <v>814</v>
      </c>
    </row>
    <row r="281" spans="9:10" x14ac:dyDescent="0.25">
      <c r="I281" s="5" t="s">
        <v>527</v>
      </c>
      <c r="J281" s="5" t="s">
        <v>814</v>
      </c>
    </row>
    <row r="282" spans="9:10" x14ac:dyDescent="0.25">
      <c r="I282" s="5" t="s">
        <v>569</v>
      </c>
      <c r="J282" s="5" t="s">
        <v>815</v>
      </c>
    </row>
    <row r="283" spans="9:10" x14ac:dyDescent="0.25">
      <c r="I283" s="5" t="s">
        <v>670</v>
      </c>
      <c r="J283" s="5" t="s">
        <v>816</v>
      </c>
    </row>
    <row r="284" spans="9:10" x14ac:dyDescent="0.25">
      <c r="I284" s="5" t="s">
        <v>670</v>
      </c>
      <c r="J284" s="5" t="s">
        <v>816</v>
      </c>
    </row>
    <row r="285" spans="9:10" x14ac:dyDescent="0.25">
      <c r="I285" s="5" t="s">
        <v>545</v>
      </c>
      <c r="J285" s="5" t="s">
        <v>817</v>
      </c>
    </row>
    <row r="286" spans="9:10" x14ac:dyDescent="0.25">
      <c r="I286" s="5" t="s">
        <v>545</v>
      </c>
      <c r="J286" s="5" t="s">
        <v>817</v>
      </c>
    </row>
    <row r="287" spans="9:10" x14ac:dyDescent="0.25">
      <c r="I287" s="5" t="s">
        <v>605</v>
      </c>
      <c r="J287" s="5" t="s">
        <v>818</v>
      </c>
    </row>
    <row r="288" spans="9:10" x14ac:dyDescent="0.25">
      <c r="I288" s="5" t="s">
        <v>605</v>
      </c>
      <c r="J288" s="5" t="s">
        <v>818</v>
      </c>
    </row>
    <row r="289" spans="9:10" x14ac:dyDescent="0.25">
      <c r="I289" s="5" t="s">
        <v>605</v>
      </c>
      <c r="J289" s="5" t="s">
        <v>818</v>
      </c>
    </row>
    <row r="290" spans="9:10" x14ac:dyDescent="0.25">
      <c r="I290" s="5" t="s">
        <v>605</v>
      </c>
      <c r="J290" s="5" t="s">
        <v>818</v>
      </c>
    </row>
    <row r="291" spans="9:10" x14ac:dyDescent="0.25">
      <c r="I291" s="5" t="s">
        <v>605</v>
      </c>
      <c r="J291" s="5" t="s">
        <v>818</v>
      </c>
    </row>
    <row r="292" spans="9:10" x14ac:dyDescent="0.25">
      <c r="I292" s="5" t="s">
        <v>674</v>
      </c>
      <c r="J292" s="5" t="s">
        <v>819</v>
      </c>
    </row>
    <row r="293" spans="9:10" x14ac:dyDescent="0.25">
      <c r="I293" s="5" t="s">
        <v>674</v>
      </c>
      <c r="J293" s="5" t="s">
        <v>819</v>
      </c>
    </row>
    <row r="294" spans="9:10" x14ac:dyDescent="0.25">
      <c r="I294" s="5" t="s">
        <v>601</v>
      </c>
      <c r="J294" s="5" t="s">
        <v>820</v>
      </c>
    </row>
    <row r="295" spans="9:10" x14ac:dyDescent="0.25">
      <c r="I295" s="5" t="s">
        <v>704</v>
      </c>
      <c r="J295" s="5" t="s">
        <v>821</v>
      </c>
    </row>
    <row r="296" spans="9:10" x14ac:dyDescent="0.25">
      <c r="I296" s="5" t="s">
        <v>507</v>
      </c>
      <c r="J296" s="5" t="s">
        <v>822</v>
      </c>
    </row>
    <row r="297" spans="9:10" x14ac:dyDescent="0.25">
      <c r="I297" s="5" t="s">
        <v>507</v>
      </c>
      <c r="J297" s="5" t="s">
        <v>822</v>
      </c>
    </row>
    <row r="298" spans="9:10" x14ac:dyDescent="0.25">
      <c r="I298" s="5" t="s">
        <v>507</v>
      </c>
      <c r="J298" s="5" t="s">
        <v>822</v>
      </c>
    </row>
    <row r="299" spans="9:10" x14ac:dyDescent="0.25">
      <c r="I299" s="5" t="s">
        <v>507</v>
      </c>
      <c r="J299" s="5" t="s">
        <v>822</v>
      </c>
    </row>
    <row r="300" spans="9:10" x14ac:dyDescent="0.25">
      <c r="I300" s="5" t="s">
        <v>609</v>
      </c>
      <c r="J300" s="5" t="s">
        <v>823</v>
      </c>
    </row>
    <row r="301" spans="9:10" x14ac:dyDescent="0.25">
      <c r="I301" s="5" t="s">
        <v>609</v>
      </c>
      <c r="J301" s="5" t="s">
        <v>823</v>
      </c>
    </row>
    <row r="302" spans="9:10" x14ac:dyDescent="0.25">
      <c r="I302" s="5" t="s">
        <v>666</v>
      </c>
      <c r="J302" s="5" t="s">
        <v>824</v>
      </c>
    </row>
    <row r="303" spans="9:10" x14ac:dyDescent="0.25">
      <c r="I303" s="5" t="s">
        <v>666</v>
      </c>
      <c r="J303" s="5" t="s">
        <v>824</v>
      </c>
    </row>
    <row r="304" spans="9:10" x14ac:dyDescent="0.25">
      <c r="I304" s="5" t="s">
        <v>585</v>
      </c>
      <c r="J304" s="5" t="s">
        <v>825</v>
      </c>
    </row>
    <row r="305" spans="9:10" x14ac:dyDescent="0.25">
      <c r="I305" s="5" t="s">
        <v>585</v>
      </c>
      <c r="J305" s="5" t="s">
        <v>825</v>
      </c>
    </row>
    <row r="306" spans="9:10" x14ac:dyDescent="0.25">
      <c r="I306" s="5" t="s">
        <v>521</v>
      </c>
      <c r="J306" s="5" t="s">
        <v>826</v>
      </c>
    </row>
    <row r="307" spans="9:10" x14ac:dyDescent="0.25">
      <c r="I307" s="5" t="s">
        <v>521</v>
      </c>
      <c r="J307" s="5" t="s">
        <v>826</v>
      </c>
    </row>
    <row r="308" spans="9:10" x14ac:dyDescent="0.25">
      <c r="I308" s="5" t="s">
        <v>541</v>
      </c>
      <c r="J308" s="5" t="s">
        <v>827</v>
      </c>
    </row>
    <row r="309" spans="9:10" x14ac:dyDescent="0.25">
      <c r="I309" s="5" t="s">
        <v>541</v>
      </c>
      <c r="J309" s="5" t="s">
        <v>827</v>
      </c>
    </row>
    <row r="310" spans="9:10" x14ac:dyDescent="0.25">
      <c r="I310" s="5" t="s">
        <v>541</v>
      </c>
      <c r="J310" s="5" t="s">
        <v>827</v>
      </c>
    </row>
    <row r="311" spans="9:10" x14ac:dyDescent="0.25">
      <c r="I311" s="5" t="s">
        <v>611</v>
      </c>
      <c r="J311" s="5" t="s">
        <v>828</v>
      </c>
    </row>
    <row r="312" spans="9:10" x14ac:dyDescent="0.25">
      <c r="I312" s="5" t="s">
        <v>611</v>
      </c>
      <c r="J312" s="5" t="s">
        <v>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Names</vt:lpstr>
      <vt:lpstr>data</vt:lpstr>
      <vt:lpstr>res</vt:lpstr>
      <vt:lpstr>Лист6</vt:lpstr>
      <vt:lpstr>Разобранные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2022-06-23T08:40:07Z</dcterms:modified>
</cp:coreProperties>
</file>