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A8FA1BD4-11D5-4BAB-A76C-EF6806AF08EE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4" i="42" l="1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A24" i="43" l="1"/>
  <c r="A25" i="43"/>
  <c r="A23" i="43"/>
  <c r="C1" i="43"/>
  <c r="C2" i="43"/>
  <c r="AA1" i="39" a="1"/>
  <c r="T2" i="39" l="1"/>
  <c r="S2" i="39"/>
  <c r="A2" i="39"/>
  <c r="AU2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E2" i="39" l="1"/>
  <c r="AJ2" i="39"/>
  <c r="AC2" i="39"/>
  <c r="Q2" i="39"/>
  <c r="O2" i="39"/>
  <c r="P2" i="39"/>
  <c r="M2" i="39"/>
  <c r="AP2" i="39" s="1"/>
  <c r="N2" i="39"/>
  <c r="K2" i="39"/>
  <c r="L2" i="39"/>
  <c r="AN2" i="39" s="1"/>
  <c r="I2" i="39"/>
  <c r="AL2" i="39" s="1"/>
  <c r="J2" i="39"/>
  <c r="G2" i="39"/>
  <c r="B2" i="39" s="1"/>
  <c r="H2" i="39"/>
  <c r="E2" i="39"/>
  <c r="F2" i="39"/>
  <c r="AK2" i="39" s="1"/>
  <c r="C2" i="39"/>
  <c r="D2" i="39"/>
  <c r="AH2" i="39" s="1"/>
  <c r="A26" i="43"/>
  <c r="A17" i="43"/>
  <c r="R2" i="39" l="1"/>
  <c r="AO2" i="39"/>
  <c r="AI2" i="39"/>
  <c r="AB2" i="39"/>
  <c r="AG2" i="39" s="1"/>
  <c r="AF2" i="39"/>
  <c r="Z2" i="39"/>
  <c r="AM2" i="39" s="1"/>
  <c r="AD2" i="39"/>
  <c r="X2" i="39"/>
  <c r="Y2" i="39"/>
  <c r="B2" i="43"/>
  <c r="W2" i="39" l="1"/>
  <c r="AW2" i="39" s="1"/>
  <c r="V2" i="39"/>
  <c r="AB2" i="32"/>
  <c r="AQ2" i="39"/>
  <c r="AT2" i="39" l="1"/>
  <c r="AV2" i="39"/>
  <c r="AR2" i="39"/>
  <c r="D376" i="13"/>
  <c r="AS2" i="39" l="1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<sst xmlns="http://schemas.openxmlformats.org/spreadsheetml/2006/main" count="34388" uniqueCount="30454">
  <si>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</si>
  <si>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</si>
  <si>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</si>
  <si>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</si>
  <si>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</si>
  <si>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</si>
  <si>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</si>
  <si>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</si>
  <si>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</si>
  <si>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</si>
  <si>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</si>
  <si>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</si>
  <si>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</si>
  <si>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</si>
  <si>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</si>
  <si>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</si>
  <si>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</si>
  <si>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</si>
  <si>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</si>
  <si>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</si>
  <si>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</si>
  <si>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</si>
  <si>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</si>
  <si>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</si>
  <si>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</si>
  <si>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</si>
  <si>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</si>
  <si>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</si>
  <si>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</si>
  <si>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</si>
  <si>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</si>
  <si>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</si>
  <si>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</si>
  <si>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</si>
  <si>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</si>
  <si>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</si>
  <si>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</si>
  <si>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</si>
  <si>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</si>
  <si>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</si>
  <si>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</si>
  <si>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</si>
  <si>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</si>
  <si>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</si>
  <si>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</si>
  <si>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</si>
  <si>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</si>
  <si>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</si>
  <si>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</si>
  <si>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</si>
  <si>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</si>
  <si>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</si>
  <si>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</si>
  <si>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</si>
  <si>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</si>
  <si>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</si>
  <si>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</si>
  <si>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</si>
  <si>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</si>
  <si>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</si>
  <si>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</si>
  <si>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</si>
  <si>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</si>
  <si>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</si>
  <si>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</si>
  <si>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</si>
  <si>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</si>
  <si>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</si>
  <si>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</si>
  <si>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</si>
  <si>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</si>
  <si>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</si>
  <si>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</si>
  <si>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</si>
  <si>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</si>
  <si>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</si>
  <si>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</si>
  <si>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</si>
  <si>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</si>
  <si>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</si>
  <si>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</si>
  <si>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</si>
  <si>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</si>
  <si>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</si>
  <si>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</si>
  <si>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</si>
  <si>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</si>
  <si>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</si>
  <si>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</si>
  <si>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</si>
  <si>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</si>
  <si>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</si>
  <si>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</si>
  <si>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</si>
  <si>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</si>
  <si>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</si>
  <si>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</si>
  <si>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</si>
  <si>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</si>
  <si>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</si>
  <si>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</si>
  <si>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</si>
  <si>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</si>
  <si>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</si>
  <si>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</si>
  <si>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</si>
  <si>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</si>
  <si>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</si>
  <si>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</si>
  <si>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</si>
  <si>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</si>
  <si>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</si>
  <si>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</si>
  <si>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</si>
  <si>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</si>
  <si>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</si>
  <si>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</si>
  <si>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</si>
  <si>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</si>
  <si>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</si>
  <si>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</si>
  <si>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</si>
  <si>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</si>
  <si>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</si>
  <si>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</si>
  <si>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</si>
  <si>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</si>
  <si>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</si>
  <si>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</si>
  <si>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</si>
  <si>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</si>
  <si>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</si>
  <si>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</si>
  <si>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</si>
  <si>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</si>
  <si>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</si>
  <si>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</si>
  <si>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</si>
  <si>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</si>
  <si>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</si>
  <si>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</si>
  <si>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</si>
  <si>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</si>
  <si>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</si>
  <si>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</si>
  <si>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</si>
  <si>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</si>
  <si>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</si>
  <si>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</si>
  <si>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</si>
  <si>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</si>
  <si>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</si>
  <si>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</si>
  <si>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</si>
  <si>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</si>
  <si>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</si>
  <si>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</si>
  <si>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</si>
  <si>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</si>
  <si>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</si>
  <si>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</si>
  <si>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</si>
  <si>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</si>
  <si>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</si>
  <si>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</si>
  <si>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</si>
  <si>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</si>
  <si>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</si>
  <si>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</si>
  <si>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</si>
  <si>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</si>
  <si>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</si>
  <si>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</si>
  <si>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</si>
  <si>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</si>
  <si>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</si>
  <si>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</si>
  <si>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</si>
  <si>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</si>
  <si>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</si>
  <si>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</si>
  <si>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</si>
  <si>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</si>
  <si>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</si>
  <si>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</si>
  <si>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</si>
  <si>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</si>
  <si>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</si>
  <si>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</si>
  <si>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</si>
  <si>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</si>
  <si>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</si>
  <si>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</si>
  <si>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</si>
  <si>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</si>
  <si>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</si>
  <si>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</si>
  <si>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</si>
  <si>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</si>
  <si>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</si>
  <si>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</si>
  <si>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</si>
  <si>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</si>
  <si>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</si>
  <si>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</si>
  <si>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</si>
  <si>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</si>
  <si>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</si>
  <si>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</si>
  <si>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</si>
  <si>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</si>
  <si>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</si>
  <si>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</si>
  <si>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</si>
  <si>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</si>
  <si>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</si>
  <si>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</si>
  <si>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</si>
  <si>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</si>
  <si>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</si>
  <si>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</si>
  <si>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</si>
  <si>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</si>
  <si>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</si>
  <si>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</si>
  <si>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</si>
  <si>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</si>
  <si>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</si>
  <si>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</si>
  <si>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</si>
  <si>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</si>
  <si>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</si>
  <si>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</si>
  <si>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</si>
  <si>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</si>
  <si>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</si>
  <si>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</si>
  <si>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</si>
  <si>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</si>
  <si>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</si>
  <si>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</si>
  <si>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</si>
  <si>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</si>
  <si>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</si>
  <si>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</si>
  <si>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</si>
  <si>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</si>
  <si>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</si>
  <si>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</si>
  <si>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</si>
  <si>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</si>
  <si>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</si>
  <si>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</si>
  <si>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</si>
  <si>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</si>
  <si>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</si>
  <si>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</si>
  <si>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</si>
  <si>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</si>
  <si>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</si>
  <si>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</si>
  <si>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</si>
  <si>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</si>
  <si>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</si>
  <si>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</si>
  <si>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</si>
  <si>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</si>
  <si>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</si>
  <si>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</si>
  <si>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</si>
  <si>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</si>
  <si>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</si>
  <si>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</si>
  <si>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</si>
  <si>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</si>
  <si>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</si>
  <si>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</si>
  <si>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</si>
  <si>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</si>
  <si>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</si>
  <si>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</si>
  <si>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</si>
  <si>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</si>
  <si>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</si>
  <si>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</si>
  <si>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</si>
  <si>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</si>
  <si>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</si>
  <si>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</si>
  <si>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</si>
  <si>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</si>
  <si>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</si>
  <si>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</si>
  <si>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</si>
  <si>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</si>
  <si>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</si>
  <si>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</si>
  <si>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</si>
  <si>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</si>
  <si>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</si>
  <si>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</si>
  <si>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</si>
  <si>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</si>
  <si>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</si>
  <si>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</si>
  <si>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</si>
  <si>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</si>
  <si>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</si>
  <si>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</si>
  <si>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</si>
  <si>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</si>
  <si>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</si>
  <si>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</si>
  <si>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</si>
  <si>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</si>
  <si>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</si>
  <si>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</si>
  <si>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</si>
  <si>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</si>
  <si>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</si>
  <si>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</si>
  <si>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</si>
  <si>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</si>
  <si>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</si>
  <si>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</si>
  <si>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</si>
  <si>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</si>
  <si>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</si>
  <si>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</si>
  <si>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</si>
  <si>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</si>
  <si>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</si>
  <si>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</si>
  <si>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</si>
  <si>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</si>
  <si>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</si>
  <si>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</si>
  <si>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</si>
  <si>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</si>
  <si>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</si>
  <si>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</si>
  <si>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</si>
  <si>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</si>
  <si>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</si>
  <si>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</si>
  <si>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</si>
  <si>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</si>
  <si>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</si>
  <si>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</si>
  <si>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</si>
  <si>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</si>
  <si>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</si>
  <si>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</si>
  <si>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</si>
  <si>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</si>
  <si>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</si>
  <si>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</si>
  <si>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</si>
  <si>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</si>
  <si>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</si>
  <si>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</si>
  <si>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</si>
  <si>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</si>
  <si>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</si>
  <si>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</si>
  <si>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</si>
  <si>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</si>
  <si>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</si>
  <si>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</si>
  <si>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</si>
  <si>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</si>
  <si>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</si>
  <si>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</si>
  <si>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</si>
  <si>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</si>
  <si>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</si>
  <si>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</si>
  <si>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</si>
  <si>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</si>
  <si>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</si>
  <si>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</si>
  <si>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</si>
  <si>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</si>
  <si>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</si>
  <si>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</si>
  <si>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</si>
  <si>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</si>
  <si>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</si>
  <si>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</si>
  <si>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</si>
  <si>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</si>
  <si>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</si>
  <si>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</si>
  <si>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</si>
  <si>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</si>
  <si>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</si>
  <si>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</si>
  <si>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</si>
  <si>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</si>
  <si>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</si>
  <si>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</si>
  <si>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</si>
  <si>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</si>
  <si>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</si>
  <si>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</si>
  <si>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</si>
  <si>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</si>
  <si>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</si>
  <si>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</si>
  <si>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</si>
  <si>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</si>
  <si>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</si>
  <si>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</si>
  <si>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</si>
  <si>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</si>
  <si>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</si>
  <si>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</si>
  <si>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</si>
  <si>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</si>
  <si>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</si>
  <si>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</si>
  <si>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</si>
  <si>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</si>
  <si>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</si>
  <si>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</si>
  <si>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</si>
  <si>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</si>
  <si>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</si>
  <si>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</si>
  <si>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</si>
  <si>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</si>
  <si>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</si>
  <si>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</si>
  <si>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</si>
  <si>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</si>
  <si>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</si>
  <si>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</si>
  <si>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</si>
  <si>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</si>
  <si>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</si>
  <si>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</si>
  <si>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</si>
  <si>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</si>
  <si>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</si>
  <si>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</si>
  <si>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</si>
  <si>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</si>
  <si>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</si>
  <si>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</si>
  <si>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</si>
  <si>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</si>
  <si>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</si>
  <si>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</si>
  <si>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</si>
  <si>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</si>
  <si>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</si>
  <si>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</si>
  <si>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</si>
  <si>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</si>
  <si>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</si>
  <si>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</si>
  <si>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</si>
  <si>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</si>
  <si>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</si>
  <si>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</si>
  <si>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</si>
  <si>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</si>
  <si>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</si>
  <si>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</si>
  <si>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</si>
  <si>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</si>
  <si>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</si>
  <si>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</si>
  <si>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</si>
  <si>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</si>
  <si>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</si>
  <si>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</si>
  <si>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</si>
  <si>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</si>
  <si>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</si>
  <si>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</si>
  <si>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</si>
  <si>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</si>
  <si>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</si>
  <si>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</si>
  <si>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</si>
  <si>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</si>
  <si>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</si>
  <si>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</si>
  <si>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</si>
  <si>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</si>
  <si>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</si>
  <si>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</si>
  <si>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</si>
  <si>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</si>
  <si>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</si>
  <si>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</si>
  <si>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</si>
  <si>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</si>
  <si>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</si>
  <si>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</si>
  <si>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</si>
  <si>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</si>
  <si>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</si>
  <si>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</si>
  <si>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</si>
  <si>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</si>
  <si>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</si>
  <si>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</si>
  <si>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</si>
  <si>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</si>
  <si>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</si>
  <si>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</si>
  <si>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</si>
  <si>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</si>
  <si>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</si>
  <si>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</si>
  <si>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</si>
  <si>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</si>
  <si>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</si>
  <si>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</si>
  <si>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</si>
  <si>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</si>
  <si>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</si>
  <si>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</si>
  <si>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</si>
  <si>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</si>
  <si>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</si>
  <si>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</si>
  <si>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</si>
  <si>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</si>
  <si>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</si>
  <si>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</si>
  <si>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</si>
  <si>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</si>
  <si>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</si>
  <si>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</si>
  <si>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</si>
  <si>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</si>
  <si>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</si>
  <si>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</si>
  <si>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</si>
  <si>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</si>
  <si>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</si>
  <si>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</si>
  <si>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</si>
  <si>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</si>
  <si>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</si>
  <si>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</si>
  <si>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</si>
  <si>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</si>
  <si>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</si>
  <si>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</si>
  <si>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</si>
  <si>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</si>
  <si>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</si>
  <si>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</si>
  <si>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</si>
  <si>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</si>
  <si>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</si>
  <si>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</si>
  <si>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</si>
  <si>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</si>
  <si>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</si>
  <si>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</si>
  <si>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</si>
  <si>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</si>
  <si>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</si>
  <si>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</si>
  <si>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</si>
  <si>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</si>
  <si>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</si>
  <si>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</si>
  <si>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</si>
  <si>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</si>
  <si>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</si>
  <si>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</si>
  <si>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</si>
  <si>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</si>
  <si>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</si>
  <si>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</si>
  <si>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</si>
  <si>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</si>
  <si>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</si>
  <si>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</si>
  <si>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</si>
  <si>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</si>
  <si>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</si>
  <si>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</si>
  <si>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</si>
  <si>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</si>
  <si>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</si>
  <si>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</si>
  <si>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</si>
  <si>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</si>
  <si>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</si>
  <si>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</si>
  <si>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</si>
  <si>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</si>
  <si>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</si>
  <si>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</si>
  <si>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</si>
  <si>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</si>
  <si>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</si>
  <si>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</si>
  <si>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</si>
  <si>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</si>
  <si>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</si>
  <si>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</si>
  <si>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</si>
  <si>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</si>
  <si>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</si>
  <si>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</si>
  <si>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</si>
  <si>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</si>
  <si>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</si>
  <si>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</si>
  <si>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</si>
  <si>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</si>
  <si>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</si>
  <si>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</si>
  <si>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</si>
  <si>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</si>
  <si>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</si>
  <si>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</si>
  <si>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</si>
  <si>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</si>
  <si>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</si>
  <si>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</si>
  <si>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</si>
  <si>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</si>
  <si>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</si>
  <si>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</si>
  <si>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</si>
  <si>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</si>
  <si>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</si>
  <si>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</si>
  <si>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</si>
  <si>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</si>
  <si>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</si>
  <si>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</si>
  <si>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</si>
  <si>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</si>
  <si>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</si>
  <si>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</si>
  <si>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</si>
  <si>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</si>
  <si>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</si>
  <si>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</si>
  <si>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</si>
  <si>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</si>
  <si>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</si>
  <si>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</si>
  <si>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</si>
  <si>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</si>
  <si>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</si>
  <si>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</si>
  <si>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</si>
  <si>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</si>
  <si>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</si>
  <si>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</si>
  <si>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</si>
  <si>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</si>
  <si>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</si>
  <si>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</si>
  <si>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</si>
  <si>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</si>
  <si>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</si>
  <si>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</si>
  <si>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</si>
  <si>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</si>
  <si>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</si>
  <si>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</si>
  <si>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</si>
  <si>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</si>
  <si>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</si>
  <si>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</si>
  <si>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</si>
  <si>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</si>
  <si>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</si>
  <si>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</si>
  <si>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</si>
  <si>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</si>
  <si>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</si>
  <si>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</si>
  <si>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</si>
  <si>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</si>
  <si>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</si>
  <si>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</si>
  <si>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</si>
  <si>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</si>
  <si>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</si>
  <si>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</si>
  <si>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</si>
  <si>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</si>
  <si>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</si>
  <si>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</si>
  <si>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</si>
  <si>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</si>
  <si>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</si>
  <si>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</si>
  <si>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</si>
  <si>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</si>
  <si>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</si>
  <si>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</si>
  <si>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</si>
  <si>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</si>
  <si>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</si>
  <si>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</si>
  <si>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</si>
  <si>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</si>
  <si>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</si>
  <si>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</si>
  <si>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</si>
  <si>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</si>
  <si>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</si>
  <si>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</si>
  <si>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</si>
  <si>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</si>
  <si>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</si>
  <si>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</si>
  <si>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</si>
  <si>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</si>
  <si>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</si>
  <si>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</si>
  <si>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</si>
  <si>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</si>
  <si>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</si>
  <si>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</si>
  <si>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</si>
  <si>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</si>
  <si>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</si>
  <si>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</si>
  <si>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</si>
  <si>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</si>
  <si>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</si>
  <si>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</si>
  <si>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</si>
  <si>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</si>
  <si>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</si>
  <si>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</si>
  <si>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</si>
  <si>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</si>
  <si>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</si>
  <si>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</si>
  <si>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</si>
  <si>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</si>
  <si>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</si>
  <si>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</si>
  <si>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</si>
  <si>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</si>
  <si>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</si>
  <si>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</si>
  <si>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</si>
  <si>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</si>
  <si>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</si>
  <si>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</si>
  <si>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</si>
  <si>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</si>
  <si>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</si>
  <si>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</si>
  <si>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</si>
  <si>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</si>
  <si>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</si>
  <si>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</si>
  <si>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</si>
  <si>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</si>
  <si>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</si>
  <si>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</si>
  <si>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</si>
  <si>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</si>
  <si>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</si>
  <si>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</si>
  <si>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</si>
  <si>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</si>
  <si>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</si>
  <si>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</si>
  <si>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</si>
  <si>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</si>
  <si>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</si>
  <si>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</si>
  <si>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</si>
  <si>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</si>
  <si>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</si>
  <si>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</si>
  <si>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</si>
  <si>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</si>
  <si>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</si>
  <si>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</si>
  <si>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</si>
  <si>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</si>
  <si>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</si>
  <si>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</si>
  <si>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</si>
  <si>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</si>
  <si>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</si>
  <si>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</si>
  <si>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</si>
  <si>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</si>
  <si>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</si>
  <si>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</si>
  <si>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</si>
  <si>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</si>
  <si>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</si>
  <si>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</si>
  <si>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</si>
  <si>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</si>
  <si>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</si>
  <si>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</si>
  <si>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</si>
  <si>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</si>
  <si>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</si>
  <si>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</si>
  <si>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</si>
  <si>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</si>
  <si>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</si>
  <si>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</si>
  <si>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</si>
  <si>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</si>
  <si>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</si>
  <si>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</si>
  <si>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</si>
  <si>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</si>
  <si>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</si>
  <si>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</si>
  <si>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</si>
  <si>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</si>
  <si>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</si>
  <si>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</si>
  <si>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</si>
  <si>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</si>
  <si>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</si>
  <si>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</si>
  <si>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</si>
  <si>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</si>
  <si>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</si>
  <si>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</si>
  <si>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</si>
  <si>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</si>
  <si>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</si>
  <si>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</si>
  <si>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</si>
  <si>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</si>
  <si>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</si>
  <si>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</si>
  <si>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</si>
  <si>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</si>
  <si>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</si>
  <si>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</si>
  <si>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</si>
  <si>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</si>
  <si>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</si>
  <si>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</si>
  <si>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</si>
  <si>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</si>
  <si>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</si>
  <si>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</si>
  <si>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</si>
  <si>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</si>
  <si>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</si>
  <si>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</si>
  <si>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</si>
  <si>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</si>
  <si>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</si>
  <si>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</si>
  <si>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</si>
  <si>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</si>
  <si>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</si>
  <si>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</si>
  <si>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</si>
  <si>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</si>
  <si>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</si>
  <si>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</si>
  <si>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</si>
  <si>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</si>
  <si>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</si>
  <si>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</si>
  <si>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</si>
  <si>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</si>
  <si>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</si>
  <si>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</si>
  <si>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</si>
  <si>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</si>
  <si>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</si>
  <si>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</si>
  <si>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</si>
  <si>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</si>
  <si>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</si>
  <si>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</si>
  <si>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</si>
  <si>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</si>
  <si>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</si>
  <si>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</si>
  <si>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</si>
  <si>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</si>
  <si>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</si>
  <si>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</si>
  <si>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</si>
  <si>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</si>
  <si>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</si>
  <si>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</si>
  <si>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</si>
  <si>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</si>
  <si>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</si>
  <si>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</si>
  <si>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</si>
  <si>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</si>
  <si>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</si>
  <si>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</si>
  <si>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</si>
  <si>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</si>
  <si>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</si>
  <si>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</si>
  <si>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</si>
  <si>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</si>
  <si>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</si>
  <si>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</si>
  <si>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</si>
  <si>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</si>
  <si>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</si>
  <si>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</si>
  <si>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</si>
  <si>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</si>
  <si>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</si>
  <si>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</si>
  <si>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</si>
  <si>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</si>
  <si>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</si>
  <si>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</si>
  <si>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</si>
  <si>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</si>
  <si>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</si>
  <si>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</si>
  <si>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</si>
  <si>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</si>
  <si>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</si>
  <si>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</si>
  <si>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</si>
  <si>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</si>
  <si>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</si>
  <si>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</si>
  <si>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</si>
  <si>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</si>
  <si>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</si>
  <si>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</si>
  <si>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</si>
  <si>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</si>
  <si>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</si>
  <si>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</si>
  <si>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</si>
  <si>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</si>
  <si>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</si>
  <si>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</si>
  <si>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</si>
  <si>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</si>
  <si>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</si>
  <si>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</si>
  <si>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</si>
  <si>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</si>
  <si>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</si>
  <si>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</si>
  <si>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</si>
  <si>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</si>
  <si>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</si>
  <si>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</si>
  <si>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</si>
  <si>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</si>
  <si>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</si>
  <si>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</si>
  <si>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</si>
  <si>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</si>
  <si>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</si>
  <si>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</si>
  <si>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</si>
  <si>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</si>
  <si>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</si>
  <si>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</si>
  <si>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</si>
  <si>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</si>
  <si>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</si>
  <si>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</si>
  <si>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</si>
  <si>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</si>
  <si>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</si>
  <si>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</si>
  <si>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</si>
  <si>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</si>
  <si>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</si>
  <si>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</si>
  <si>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</si>
  <si>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</si>
  <si>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</si>
  <si>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</si>
  <si>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</si>
  <si>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</si>
  <si>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</si>
  <si>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</si>
  <si>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</si>
  <si>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</si>
  <si>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</si>
  <si>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</si>
  <si>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</si>
  <si>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</si>
  <si>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</si>
  <si>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</si>
  <si>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</si>
  <si>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</si>
  <si>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</si>
  <si>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</si>
  <si>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</si>
  <si>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</si>
  <si>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</si>
  <si>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</si>
  <si>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</si>
  <si>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</si>
  <si>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</si>
  <si>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</si>
  <si>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</si>
  <si>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</si>
  <si>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</si>
  <si>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</si>
  <si>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</si>
  <si>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</si>
  <si>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</si>
  <si>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</si>
  <si>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</si>
  <si>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</si>
  <si>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</si>
  <si>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</si>
  <si>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</si>
  <si>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</si>
  <si>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</si>
  <si>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</si>
  <si>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</si>
  <si>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</si>
  <si>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</si>
  <si>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</si>
  <si>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</si>
  <si>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</si>
  <si>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</si>
  <si>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</si>
  <si>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</si>
  <si>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</si>
  <si>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</si>
  <si>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</si>
  <si>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</si>
  <si>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</si>
  <si>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</si>
  <si>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</si>
  <si>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</si>
  <si>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</si>
  <si>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</si>
  <si>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</si>
  <si>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</si>
  <si>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</si>
  <si>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</si>
  <si>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</si>
  <si>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</si>
  <si>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</si>
  <si>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</si>
  <si>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</si>
  <si>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</si>
  <si>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</si>
  <si>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</si>
  <si>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</si>
  <si>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</si>
  <si>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</si>
  <si>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</si>
  <si>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</si>
  <si>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</si>
  <si>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</si>
  <si>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</si>
  <si>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</si>
  <si>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</si>
  <si>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</si>
  <si>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</si>
  <si>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</si>
  <si>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</si>
  <si>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</si>
  <si>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</si>
  <si>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</si>
  <si>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</si>
  <si>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</si>
  <si>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</si>
  <si>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</si>
  <si>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</si>
  <si>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</si>
  <si>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</si>
  <si>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</si>
  <si>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</si>
  <si>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</si>
  <si>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</si>
  <si>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</si>
  <si>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</si>
  <si>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</si>
  <si>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</si>
  <si>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</si>
  <si>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</si>
  <si>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</si>
  <si>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</si>
  <si>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</si>
  <si>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</si>
  <si>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</si>
  <si>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</si>
  <si>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</si>
  <si>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</si>
  <si>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</si>
  <si>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</si>
  <si>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</si>
  <si>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</si>
  <si>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</si>
  <si>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</si>
  <si>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</si>
  <si>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</si>
  <si>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</si>
  <si>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</si>
  <si>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</si>
  <si>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</si>
  <si>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</si>
  <si>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</si>
  <si>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</si>
  <si>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</si>
  <si>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</si>
  <si>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</si>
  <si>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</si>
  <si>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</si>
  <si>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</si>
  <si>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</si>
  <si>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</si>
  <si>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</si>
  <si>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</si>
  <si>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</si>
  <si>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</si>
  <si>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</si>
  <si>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</si>
  <si>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</si>
  <si>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</si>
  <si>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</si>
  <si>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</si>
  <si>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</si>
  <si>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</si>
  <si>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</si>
  <si>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</si>
  <si>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</si>
  <si>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</si>
  <si>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</si>
  <si>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</si>
  <si>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</si>
  <si>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</si>
  <si>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</si>
  <si>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</si>
  <si>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</si>
  <si>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</si>
  <si>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</si>
  <si>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</si>
  <si>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</si>
  <si>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</si>
  <si>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</si>
  <si>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</si>
  <si>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</si>
  <si>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</si>
  <si>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</si>
  <si>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</si>
  <si>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</si>
  <si>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</si>
  <si>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</si>
  <si>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</si>
  <si>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</si>
  <si>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</si>
  <si>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</si>
  <si>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</si>
  <si>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</si>
  <si>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</si>
  <si>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</si>
  <si>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</si>
  <si>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</si>
  <si>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</si>
  <si>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</si>
  <si>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</si>
  <si>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</si>
  <si>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</si>
  <si>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</si>
  <si>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</si>
  <si>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</si>
  <si>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</si>
  <si>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</si>
  <si>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</si>
  <si>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</si>
  <si>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</si>
  <si>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</si>
  <si>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</si>
  <si>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</si>
  <si>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</si>
  <si>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</si>
  <si>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</si>
  <si>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</si>
  <si>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</si>
  <si>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</si>
  <si>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</si>
  <si>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</si>
  <si>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</si>
  <si>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</si>
  <si>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</si>
  <si>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</si>
  <si>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</si>
  <si>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</si>
  <si>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</si>
  <si>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</si>
  <si>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</si>
  <si>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</si>
  <si>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</si>
  <si>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</si>
  <si>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</si>
  <si>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</si>
  <si>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</si>
  <si>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</si>
  <si>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</si>
  <si>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</si>
  <si>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</si>
  <si>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</si>
  <si>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</si>
  <si>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</si>
  <si>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</si>
  <si>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</si>
  <si>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</si>
  <si>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</si>
  <si>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</si>
  <si>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</si>
  <si>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</si>
  <si>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</si>
  <si>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</si>
  <si>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</si>
  <si>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</si>
  <si>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</si>
  <si>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</si>
  <si>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</si>
  <si>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</si>
  <si>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</si>
  <si>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</si>
  <si>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</si>
  <si>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</si>
  <si>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</si>
  <si>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</si>
  <si>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</si>
  <si>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</si>
  <si>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</si>
  <si>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</si>
  <si>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</si>
  <si>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</si>
  <si>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</si>
  <si>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</si>
  <si>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</si>
  <si>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</si>
  <si>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</si>
  <si>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</si>
  <si>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</si>
  <si>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</si>
  <si>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</si>
  <si>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</si>
  <si>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</si>
  <si>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</si>
  <si>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</si>
  <si>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</si>
  <si>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</si>
  <si>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</si>
  <si>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</si>
  <si>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</si>
  <si>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</si>
  <si>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</si>
  <si>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</si>
  <si>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</si>
  <si>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</si>
  <si>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</si>
  <si>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</si>
  <si>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</si>
  <si>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</si>
  <si>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</si>
  <si>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</si>
  <si>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</si>
  <si>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</si>
  <si>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</si>
  <si>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</si>
  <si>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</si>
  <si>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</si>
  <si>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</si>
  <si>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</si>
  <si>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</si>
  <si>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</si>
  <si>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</si>
  <si>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</si>
  <si>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</si>
  <si>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</si>
  <si>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</si>
  <si>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</si>
  <si>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</si>
  <si>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</si>
  <si>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</si>
  <si>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</si>
  <si>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</si>
  <si>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</si>
  <si>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</si>
  <si>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</si>
  <si>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</si>
  <si>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</si>
  <si>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</si>
  <si>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</si>
  <si>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</si>
  <si>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</si>
  <si>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</si>
  <si>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</si>
  <si>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</si>
  <si>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</si>
  <si>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</si>
  <si>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</si>
  <si>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</si>
  <si>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</si>
  <si>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</si>
  <si>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</si>
  <si>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</si>
  <si>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</si>
  <si>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</si>
  <si>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</si>
  <si>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</si>
  <si>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</si>
  <si>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</si>
  <si>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</si>
  <si>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</si>
  <si>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</si>
  <si>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</si>
  <si>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</si>
  <si>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</si>
  <si>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</si>
  <si>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</si>
  <si>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</si>
  <si>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</si>
  <si>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</si>
  <si>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</si>
  <si>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</si>
  <si>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</si>
  <si>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</si>
  <si>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</si>
  <si>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</si>
  <si>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</si>
  <si>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</si>
  <si>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</si>
  <si>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</si>
  <si>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</si>
  <si>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</si>
  <si>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</si>
  <si>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</si>
  <si>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</si>
  <si>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</si>
  <si>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</si>
  <si>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</si>
  <si>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</si>
  <si>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</si>
  <si>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</si>
  <si>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</si>
  <si>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</si>
  <si>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</si>
  <si>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</si>
  <si>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</si>
  <si>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</si>
  <si>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</si>
  <si>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</si>
  <si>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</si>
  <si>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</si>
  <si>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</si>
  <si>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</si>
  <si>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</si>
  <si>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</si>
  <si>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</si>
  <si>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</si>
  <si>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</si>
  <si>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</si>
  <si>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</si>
  <si>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</si>
  <si>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</si>
  <si>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</si>
  <si>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</si>
  <si>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</si>
  <si>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</si>
  <si>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</si>
  <si>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</si>
  <si>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</si>
  <si>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</si>
  <si>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</si>
  <si>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</si>
  <si>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</si>
  <si>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</si>
  <si>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</si>
  <si>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</si>
  <si>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</si>
  <si>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</si>
  <si>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</si>
  <si>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</si>
  <si>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</si>
  <si>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</si>
  <si>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</si>
  <si>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</si>
  <si>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</si>
  <si>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</si>
  <si>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</si>
  <si>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</si>
  <si>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</si>
  <si>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</si>
  <si>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</si>
  <si>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</si>
  <si>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</si>
  <si>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</si>
  <si>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</si>
  <si>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</si>
  <si>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</si>
  <si>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</si>
  <si>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</si>
  <si>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</si>
  <si>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</si>
  <si>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</si>
  <si>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</si>
  <si>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</si>
  <si>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</si>
  <si>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</si>
  <si>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</si>
  <si>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</si>
  <si>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</si>
  <si>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</si>
  <si>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</si>
  <si>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</si>
  <si>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</si>
  <si>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</si>
  <si>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</si>
  <si>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</si>
  <si>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</si>
  <si>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</si>
  <si>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</si>
  <si>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</si>
  <si>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</si>
  <si>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</si>
  <si>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</si>
  <si>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</si>
  <si>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</si>
  <si>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</si>
  <si>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</si>
  <si>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</si>
  <si>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</si>
  <si>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</si>
  <si>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</si>
  <si>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</si>
  <si>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</si>
  <si>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</si>
  <si>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</si>
  <si>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</si>
  <si>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</si>
  <si>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</si>
  <si>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</si>
  <si>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</si>
  <si>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</si>
  <si>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</si>
  <si>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</si>
  <si>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</si>
  <si>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</si>
  <si>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</si>
  <si>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</si>
  <si>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</si>
  <si>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</si>
  <si>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</si>
  <si>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</si>
  <si>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</si>
  <si>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</si>
  <si>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</si>
  <si>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</si>
  <si>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</si>
  <si>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</si>
  <si>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</si>
  <si>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</si>
  <si>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</si>
  <si>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</si>
  <si>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</si>
  <si>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</si>
  <si>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</si>
  <si>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</si>
  <si>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</si>
  <si>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</si>
  <si>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</si>
  <si>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</si>
  <si>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</si>
  <si>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</si>
  <si>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</si>
  <si>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</si>
  <si>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</si>
  <si>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</si>
  <si>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</si>
  <si>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</si>
  <si>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</si>
  <si>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</si>
  <si>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</si>
  <si>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</si>
  <si>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</si>
  <si>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</si>
  <si>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</si>
  <si>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</si>
  <si>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</si>
  <si>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</si>
  <si>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</si>
  <si>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</si>
  <si>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</si>
  <si>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</si>
  <si>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</si>
  <si>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</si>
  <si>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</si>
  <si>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</si>
  <si>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</si>
  <si>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</si>
  <si>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</si>
  <si>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</si>
  <si>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</si>
  <si>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</si>
  <si>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</si>
  <si>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</si>
  <si>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</si>
  <si>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</si>
  <si>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</si>
  <si>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</si>
  <si>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</si>
  <si>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</si>
  <si>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</si>
  <si>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</si>
  <si>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</si>
  <si>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</si>
  <si>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</si>
  <si>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</si>
  <si>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</si>
  <si>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</si>
  <si>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</si>
  <si>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</si>
  <si>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</si>
  <si>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</si>
  <si>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</si>
  <si>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</si>
  <si>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</si>
  <si>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</si>
  <si>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</si>
  <si>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</si>
  <si>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</si>
  <si>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</si>
  <si>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</si>
  <si>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</si>
  <si>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</si>
  <si>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</si>
  <si>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</si>
  <si>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</si>
  <si>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</si>
  <si>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</si>
  <si>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</si>
  <si>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</si>
  <si>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</si>
  <si>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</si>
  <si>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</si>
  <si>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</si>
  <si>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</si>
  <si>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</si>
  <si>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</si>
  <si>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</si>
  <si>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</si>
  <si>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</si>
  <si>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</si>
  <si>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</si>
  <si>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</si>
  <si>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</si>
  <si>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</si>
  <si>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</si>
  <si>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</si>
  <si>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</si>
  <si>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</si>
  <si>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</si>
  <si>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</si>
  <si>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</si>
  <si>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</si>
  <si>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</si>
  <si>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</si>
  <si>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</si>
  <si>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</si>
  <si>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</si>
  <si>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</si>
  <si>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</si>
  <si>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</si>
  <si>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</si>
  <si>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</si>
  <si>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</si>
  <si>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</si>
  <si>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</si>
  <si>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</si>
  <si>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</si>
  <si>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</si>
  <si>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</si>
  <si>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</si>
  <si>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</si>
  <si>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</si>
  <si>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</si>
  <si>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</si>
  <si>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</si>
  <si>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</si>
  <si>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</si>
  <si>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</si>
  <si>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</si>
  <si>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</si>
  <si>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</si>
  <si>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</si>
  <si>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</si>
  <si>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</si>
  <si>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</si>
  <si>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</si>
  <si>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</si>
  <si>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</si>
  <si>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</si>
  <si>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</si>
  <si>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</si>
  <si>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</si>
  <si>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</si>
  <si>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</si>
  <si>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</si>
  <si>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</si>
  <si>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</si>
  <si>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</si>
  <si>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</si>
  <si>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</si>
  <si>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</si>
  <si>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</si>
  <si>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</si>
  <si>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</si>
  <si>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</si>
  <si>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</si>
  <si>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</si>
  <si>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</si>
  <si>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</si>
  <si>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</si>
  <si>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</si>
  <si>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</si>
  <si>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</si>
  <si>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</si>
  <si>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</si>
  <si>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</si>
  <si>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</si>
  <si>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</si>
  <si>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</si>
  <si>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</si>
  <si>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</si>
  <si>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</si>
  <si>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</si>
  <si>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</si>
  <si>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</si>
  <si>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</si>
  <si>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</si>
  <si>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</si>
  <si>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</si>
  <si>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</si>
  <si>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</si>
  <si>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</si>
  <si>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</si>
  <si>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</si>
  <si>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</si>
  <si>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</si>
  <si>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</si>
  <si>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</si>
  <si>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</si>
  <si>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</si>
  <si>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</si>
  <si>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</si>
  <si>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</si>
  <si>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</si>
  <si>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</si>
  <si>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</si>
  <si>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</si>
  <si>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</si>
  <si>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</si>
  <si>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</si>
  <si>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</si>
  <si>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</si>
  <si>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</si>
  <si>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</si>
  <si>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</si>
  <si>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</si>
  <si>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</si>
  <si>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</si>
  <si>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</si>
  <si>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</si>
  <si>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</si>
  <si>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</si>
  <si>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</si>
  <si>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</si>
  <si>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</si>
  <si>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</si>
  <si>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</si>
  <si>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</si>
  <si>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</si>
  <si>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</si>
  <si>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</si>
  <si>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</si>
  <si>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</si>
  <si>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</si>
  <si>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</si>
  <si>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</si>
  <si>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</si>
  <si>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</si>
  <si>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</si>
  <si>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</si>
  <si>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</si>
  <si>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</si>
  <si>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</si>
  <si>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</si>
  <si>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</si>
  <si>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</si>
  <si>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</si>
  <si>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</si>
  <si>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</si>
  <si>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</si>
  <si>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</si>
  <si>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</si>
  <si>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</si>
  <si>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</si>
  <si>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</si>
  <si>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</si>
  <si>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</si>
  <si>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</si>
  <si>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</si>
  <si>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</si>
  <si>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</si>
  <si>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</si>
  <si>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</si>
  <si>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</si>
  <si>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</si>
  <si>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</si>
  <si>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</si>
  <si>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</si>
  <si>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</si>
  <si>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</si>
  <si>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</si>
  <si>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</si>
  <si>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</si>
  <si>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</si>
  <si>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</si>
  <si>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</si>
  <si>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</si>
  <si>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</si>
  <si>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</si>
  <si>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</si>
  <si>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</si>
  <si>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</si>
  <si>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</si>
  <si>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</si>
  <si>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</si>
  <si>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</si>
  <si>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</si>
  <si>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</si>
  <si>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</si>
  <si>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</si>
  <si>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</si>
  <si>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</si>
  <si>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</si>
  <si>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</si>
  <si>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</si>
  <si>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</si>
  <si>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</si>
  <si>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</si>
  <si>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</si>
  <si>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</si>
  <si>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</si>
  <si>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</si>
  <si>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</si>
  <si>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</si>
  <si>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</si>
  <si>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</si>
  <si>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</si>
  <si>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</si>
  <si>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</si>
  <si>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</si>
  <si>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</si>
  <si>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</si>
  <si>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</si>
  <si>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</si>
  <si>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</si>
  <si>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</si>
  <si>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</si>
  <si>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</si>
  <si>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</si>
  <si>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</si>
  <si>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</si>
  <si>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</si>
  <si>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</si>
  <si>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</si>
  <si>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</si>
  <si>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</si>
  <si>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</si>
  <si>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</si>
  <si>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</si>
  <si>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</si>
  <si>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</si>
  <si>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</si>
  <si>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</si>
  <si>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</si>
  <si>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</si>
  <si>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</si>
  <si>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</si>
  <si>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</si>
  <si>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</si>
  <si>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</si>
  <si>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</si>
  <si>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</si>
  <si>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</si>
  <si>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</si>
  <si>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</si>
  <si>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</si>
  <si>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</si>
  <si>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</si>
  <si>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</si>
  <si>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</si>
  <si>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</si>
  <si>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</si>
  <si>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</si>
  <si>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</si>
  <si>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</si>
  <si>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</si>
  <si>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</si>
  <si>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</si>
  <si>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</si>
  <si>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</si>
  <si>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</si>
  <si>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</si>
  <si>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</si>
  <si>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</si>
  <si>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</si>
  <si>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</si>
  <si>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</si>
  <si>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</si>
  <si>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</si>
  <si>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</si>
  <si>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</si>
  <si>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</si>
  <si>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</si>
  <si>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</si>
  <si>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</si>
  <si>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</si>
  <si>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</si>
  <si>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</si>
  <si>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</si>
  <si>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</si>
  <si>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</si>
  <si>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</si>
  <si>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</si>
  <si>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</si>
  <si>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</si>
  <si>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</si>
  <si>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</si>
  <si>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</si>
  <si>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</si>
  <si>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</si>
  <si>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</si>
  <si>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</si>
  <si>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</si>
  <si>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</si>
  <si>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</si>
  <si>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</si>
  <si>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</si>
  <si>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</si>
  <si>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</si>
  <si>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</si>
  <si>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</si>
  <si>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</si>
  <si>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</si>
  <si>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</si>
  <si>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</si>
  <si>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</si>
  <si>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</si>
  <si>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</si>
  <si>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</si>
  <si>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</si>
  <si>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</si>
  <si>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</si>
  <si>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</si>
  <si>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</si>
  <si>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</si>
  <si>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</si>
  <si>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</si>
  <si>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</si>
  <si>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</si>
  <si>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</si>
  <si>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</si>
  <si>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</si>
  <si>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</si>
  <si>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</si>
  <si>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</si>
  <si>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</si>
  <si>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</si>
  <si>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</si>
  <si>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</si>
  <si>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</si>
  <si>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</si>
  <si>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</si>
  <si>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</si>
  <si>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</si>
  <si>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</si>
  <si>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</si>
  <si>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</si>
  <si>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</si>
  <si>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</si>
  <si>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</si>
  <si>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</si>
  <si>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</si>
  <si>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</si>
  <si>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</si>
  <si>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</si>
  <si>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</si>
  <si>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</si>
  <si>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</si>
  <si>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</si>
  <si>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</si>
  <si>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</si>
  <si>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</si>
  <si>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</si>
  <si>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</si>
  <si>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</si>
  <si>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</si>
  <si>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</si>
  <si>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</si>
  <si>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</si>
  <si>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</si>
  <si>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</si>
  <si>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</si>
  <si>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</si>
  <si>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</si>
  <si>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</si>
  <si>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</si>
  <si>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</si>
  <si>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</si>
  <si>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</si>
  <si>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</si>
  <si>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</si>
  <si>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</si>
  <si>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</si>
  <si>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</si>
  <si>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</si>
  <si>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</si>
  <si>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</si>
  <si>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</si>
  <si>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</si>
  <si>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</si>
  <si>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</si>
  <si>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</si>
  <si>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</si>
  <si>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</si>
  <si>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</si>
  <si>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</si>
  <si>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</si>
  <si>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</si>
  <si>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</si>
  <si>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</si>
  <si>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</si>
  <si>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</si>
  <si>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</si>
  <si>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</si>
  <si>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</si>
  <si>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</si>
  <si>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</si>
  <si>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</si>
  <si>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</si>
  <si>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</si>
  <si>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</si>
  <si>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</si>
  <si>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</si>
  <si>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</si>
  <si>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</si>
  <si>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</si>
  <si>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</si>
  <si>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</si>
  <si>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</si>
  <si>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</si>
  <si>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</si>
  <si>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</si>
  <si>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</si>
  <si>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</si>
  <si>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</si>
  <si>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</si>
  <si>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</si>
  <si>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</si>
  <si>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</si>
  <si>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</si>
  <si>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</si>
  <si>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</si>
  <si>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</si>
  <si>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</si>
  <si>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</si>
  <si>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</si>
  <si>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</si>
  <si>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</si>
  <si>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</si>
  <si>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</si>
  <si>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</si>
  <si>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</si>
  <si>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</si>
  <si>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</si>
  <si>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</si>
  <si>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</si>
  <si>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</si>
  <si>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</si>
  <si>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</si>
  <si>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</si>
  <si>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</si>
  <si>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</si>
  <si>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</si>
  <si>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</si>
  <si>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</si>
  <si>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</si>
  <si>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</si>
  <si>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</si>
  <si>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</si>
  <si>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</si>
  <si>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</si>
  <si>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</si>
  <si>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</si>
  <si>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</si>
  <si>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</si>
  <si>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</si>
  <si>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</si>
  <si>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</si>
  <si>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</si>
  <si>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</si>
  <si>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</si>
  <si>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</si>
  <si>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</si>
  <si>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</si>
  <si>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</si>
  <si>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</si>
  <si>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</si>
  <si>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</si>
  <si>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</si>
  <si>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</si>
  <si>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</si>
  <si>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</si>
  <si>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</si>
  <si>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</si>
  <si>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</si>
  <si>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</si>
  <si>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</si>
  <si>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</si>
  <si>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</si>
  <si>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</si>
  <si>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</si>
  <si>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</si>
  <si>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</si>
  <si>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</si>
  <si>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</si>
  <si>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</si>
  <si>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</si>
  <si>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</si>
  <si>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</si>
  <si>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</si>
  <si>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</si>
  <si>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</si>
  <si>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</si>
  <si>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</si>
  <si>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</si>
  <si>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</si>
  <si>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</si>
  <si>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</si>
  <si>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</si>
  <si>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</si>
  <si>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</si>
  <si>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</si>
  <si>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</si>
  <si>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</si>
  <si>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</si>
  <si>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</si>
  <si>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</si>
  <si>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</si>
  <si>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</si>
  <si>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</si>
  <si>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</si>
  <si>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</si>
  <si>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</si>
  <si>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</si>
  <si>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</si>
  <si>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</si>
  <si>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</si>
  <si>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</si>
  <si>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</si>
  <si>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</si>
  <si>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</si>
  <si>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</si>
  <si>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</si>
  <si>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</si>
  <si>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</si>
  <si>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</si>
  <si>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</si>
  <si>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</si>
  <si>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</si>
  <si>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</si>
  <si>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</si>
  <si>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</si>
  <si>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</si>
  <si>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</si>
  <si>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</si>
  <si>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</si>
  <si>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</si>
  <si>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</si>
  <si>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</si>
  <si>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</si>
  <si>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</si>
  <si>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</si>
  <si>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</si>
  <si>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</si>
  <si>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</si>
  <si>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</si>
  <si>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</si>
  <si>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</si>
  <si>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</si>
  <si>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</si>
  <si>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</si>
  <si>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</si>
  <si>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</si>
  <si>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</si>
  <si>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</si>
  <si>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</si>
  <si>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</si>
  <si>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</si>
  <si>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</si>
  <si>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</si>
  <si>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</si>
  <si>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</si>
  <si>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</si>
  <si>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</si>
  <si>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</si>
  <si>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</si>
  <si>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</si>
  <si>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</si>
  <si>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</si>
  <si>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</si>
  <si>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</si>
  <si>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</si>
  <si>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</si>
  <si>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</si>
  <si>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</si>
  <si>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</si>
  <si>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</si>
  <si>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</si>
  <si>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</si>
  <si>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</si>
  <si>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</si>
  <si>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</si>
  <si>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</si>
  <si>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</si>
  <si>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</si>
  <si>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</si>
  <si>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</si>
  <si>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</si>
  <si>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</si>
  <si>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</si>
  <si>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</si>
  <si>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</si>
  <si>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</si>
  <si>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</si>
  <si>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</si>
  <si>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</si>
  <si>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</si>
  <si>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</si>
  <si>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</si>
  <si>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</si>
  <si>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</si>
  <si>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</si>
  <si>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</si>
  <si>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</si>
  <si>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</si>
  <si>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</si>
  <si>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</si>
  <si>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</si>
  <si>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</si>
  <si>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</si>
  <si>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</si>
  <si>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</si>
  <si>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</si>
  <si>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</si>
  <si>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</si>
  <si>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</si>
  <si>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</si>
  <si>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</si>
  <si>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</si>
  <si>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</si>
  <si>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</si>
  <si>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</si>
  <si>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</si>
  <si>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</si>
  <si>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</si>
  <si>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</si>
  <si>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</si>
  <si>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</si>
  <si>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</si>
  <si>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</si>
  <si>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</si>
  <si>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</si>
  <si>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</si>
  <si>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</si>
  <si>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</si>
  <si>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</si>
  <si>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</si>
  <si>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</si>
  <si>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</si>
  <si>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</si>
  <si>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</si>
  <si>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</si>
  <si>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</si>
  <si>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</si>
  <si>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</si>
  <si>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</si>
  <si>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</si>
  <si>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</si>
  <si>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</si>
  <si>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</si>
  <si>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</si>
  <si>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</si>
  <si>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</si>
  <si>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</si>
  <si>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</si>
  <si>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</si>
  <si>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</si>
  <si>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</si>
  <si>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</si>
  <si>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</si>
  <si>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</si>
  <si>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</si>
  <si>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</si>
  <si>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</si>
  <si>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</si>
  <si>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</si>
  <si>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</si>
  <si>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</si>
  <si>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</si>
  <si>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</si>
  <si>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</si>
  <si>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</si>
  <si>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</si>
  <si>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</si>
  <si>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</si>
  <si>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</si>
  <si>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</si>
  <si>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</si>
  <si>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</si>
  <si>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</si>
  <si>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</si>
  <si>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</si>
  <si>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</si>
  <si>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</si>
  <si>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</si>
  <si>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</si>
  <si>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</si>
  <si>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</si>
  <si>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</si>
  <si>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</si>
  <si>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</si>
  <si>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</si>
  <si>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</si>
  <si>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</si>
  <si>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</si>
  <si>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</si>
  <si>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</si>
  <si>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</si>
  <si>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</si>
  <si>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</si>
  <si>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</si>
  <si>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</si>
  <si>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</si>
  <si>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</si>
  <si>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</si>
  <si>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</si>
  <si>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</si>
  <si>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</si>
  <si>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</si>
  <si>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</si>
  <si>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</si>
  <si>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</si>
  <si>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</si>
  <si>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</si>
  <si>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</si>
  <si>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</si>
  <si>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</si>
  <si>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</si>
  <si>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</si>
  <si>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</si>
  <si>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</si>
  <si>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</si>
  <si>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</si>
  <si>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</si>
  <si>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</si>
  <si>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</si>
  <si>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</si>
  <si>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</si>
  <si>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</si>
  <si>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</si>
  <si>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</si>
  <si>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</si>
  <si>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</si>
  <si>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</si>
  <si>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</si>
  <si>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</si>
  <si>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</si>
  <si>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</si>
  <si>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</si>
  <si>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</si>
  <si>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</si>
  <si>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</si>
  <si>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</si>
  <si>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</si>
  <si>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</si>
  <si>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</si>
  <si>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</si>
  <si>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</si>
  <si>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</si>
  <si>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</si>
  <si>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</si>
  <si>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</si>
  <si>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</si>
  <si>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</si>
  <si>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</si>
  <si>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</si>
  <si>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</si>
  <si>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</si>
  <si>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</si>
  <si>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</si>
  <si>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</si>
  <si>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</si>
  <si>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</si>
  <si>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</si>
  <si>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</si>
  <si>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</si>
  <si>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</si>
  <si>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</si>
  <si>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</si>
  <si>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</si>
  <si>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</si>
  <si>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</si>
  <si>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</si>
  <si>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</si>
  <si>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</si>
  <si>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</si>
  <si>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</si>
  <si>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</si>
  <si>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</si>
  <si>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</si>
  <si>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</si>
  <si>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</si>
  <si>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</si>
  <si>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</si>
  <si>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</si>
  <si>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</si>
  <si>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</si>
  <si>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</si>
  <si>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</si>
  <si>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</si>
  <si>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</si>
  <si>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</si>
  <si>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</si>
  <si>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</si>
  <si>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</si>
  <si>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</si>
  <si>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</si>
  <si>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</si>
  <si>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</si>
  <si>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</si>
  <si>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</si>
  <si>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</si>
  <si>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</si>
  <si>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</si>
  <si>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</si>
  <si>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</si>
  <si>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</si>
  <si>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</si>
  <si>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</si>
  <si>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</si>
  <si>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</si>
  <si>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</si>
  <si>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</si>
  <si>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</si>
  <si>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</si>
  <si>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</si>
  <si>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</si>
  <si>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</si>
  <si>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</si>
  <si>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</si>
  <si>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</si>
  <si>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</si>
  <si>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</si>
  <si>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</si>
  <si>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</si>
  <si>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</si>
  <si>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</si>
  <si>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</si>
  <si>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</si>
  <si>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</si>
  <si>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</si>
  <si>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</si>
  <si>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</si>
  <si>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</si>
  <si>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</si>
  <si>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</si>
  <si>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</si>
  <si>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</si>
  <si>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</si>
  <si>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</si>
  <si>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</si>
  <si>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</si>
  <si>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</si>
  <si>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</si>
  <si>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</si>
  <si>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</si>
  <si>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</si>
  <si>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</si>
  <si>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</si>
  <si>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</si>
  <si>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</si>
  <si>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</si>
  <si>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</si>
  <si>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</si>
  <si>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</si>
  <si>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</si>
  <si>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</si>
  <si>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</si>
  <si>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</si>
  <si>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</si>
  <si>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</si>
  <si>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</si>
  <si>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</si>
  <si>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</si>
  <si>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</si>
  <si>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</si>
  <si>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</si>
  <si>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</si>
  <si>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</si>
  <si>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</si>
  <si>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</si>
  <si>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</si>
  <si>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</si>
  <si>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</si>
  <si>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</si>
  <si>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</si>
  <si>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</si>
  <si>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</si>
  <si>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</si>
  <si>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</si>
  <si>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</si>
  <si>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</si>
  <si>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</si>
  <si>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</si>
  <si>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</si>
  <si>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</si>
  <si>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</si>
  <si>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</si>
  <si>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</si>
  <si>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</si>
  <si>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</si>
  <si>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</si>
  <si>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</si>
  <si>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</si>
  <si>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</si>
  <si>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</si>
  <si>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</si>
  <si>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</si>
  <si>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</si>
  <si>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</si>
  <si>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</si>
  <si>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</si>
  <si>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</si>
  <si>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</si>
  <si>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</si>
  <si>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</si>
  <si>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</si>
  <si>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</si>
  <si>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</si>
  <si>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</si>
  <si>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</si>
  <si>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</si>
  <si>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</si>
  <si>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</si>
  <si>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</si>
  <si>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</si>
  <si>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</si>
  <si>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</si>
  <si>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</si>
  <si>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</si>
  <si>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</si>
  <si>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</si>
  <si>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</si>
  <si>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</si>
  <si>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</si>
  <si>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</si>
  <si>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</si>
  <si>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</si>
  <si>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</si>
  <si>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</si>
  <si>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</si>
  <si>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</si>
  <si>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</si>
  <si>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</si>
  <si>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</si>
  <si>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</si>
  <si>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</si>
  <si>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</si>
  <si>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</si>
  <si>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</si>
  <si>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</si>
  <si>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</si>
  <si>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</si>
  <si>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</si>
  <si>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</si>
  <si>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</si>
  <si>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</si>
  <si>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</si>
  <si>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</si>
  <si>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</si>
  <si>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</si>
  <si>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</si>
  <si>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</si>
  <si>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</si>
  <si>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</si>
  <si>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</si>
  <si>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</si>
  <si>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</si>
  <si>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</si>
  <si>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</si>
  <si>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</si>
  <si>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</si>
  <si>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</si>
  <si>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</si>
  <si>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</si>
  <si>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</si>
  <si>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</si>
  <si>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</si>
  <si>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</si>
  <si>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</si>
  <si>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</si>
  <si>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</si>
  <si>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</si>
  <si>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</si>
  <si>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</si>
  <si>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</si>
  <si>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</si>
  <si>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</si>
  <si>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</si>
  <si>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</si>
  <si>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</si>
  <si>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</si>
  <si>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</si>
  <si>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</si>
  <si>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</si>
  <si>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</si>
  <si>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</si>
  <si>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</si>
  <si>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</si>
  <si>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</si>
  <si>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</si>
  <si>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</si>
  <si>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</si>
  <si>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</si>
  <si>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</si>
  <si>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</si>
  <si>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</si>
  <si>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</si>
  <si>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</si>
  <si>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</si>
  <si>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</si>
  <si>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</si>
  <si>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</si>
  <si>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</si>
  <si>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</si>
  <si>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</si>
  <si>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</si>
  <si>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</si>
  <si>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</si>
  <si>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</si>
  <si>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</si>
  <si>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</si>
  <si>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</si>
  <si>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</si>
  <si>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</si>
  <si>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</si>
  <si>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</si>
  <si>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</si>
  <si>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</si>
  <si>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</si>
  <si>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</si>
  <si>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</si>
  <si>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</si>
  <si>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</si>
  <si>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</si>
  <si>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</si>
  <si>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</si>
  <si>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</si>
  <si>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</si>
  <si>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</si>
  <si>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</si>
  <si>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</si>
  <si>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</si>
  <si>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</si>
  <si>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</si>
  <si>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</si>
  <si>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</si>
  <si>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</si>
  <si>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</si>
  <si>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</si>
  <si>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</si>
  <si>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</si>
  <si>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</si>
  <si>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</si>
  <si>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</si>
  <si>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</si>
  <si>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</si>
  <si>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</si>
  <si>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</si>
  <si>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</si>
  <si>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</si>
  <si>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</si>
  <si>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</si>
  <si>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</si>
  <si>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</si>
  <si>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</si>
  <si>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</si>
  <si>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</si>
  <si>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</si>
  <si>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</si>
  <si>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</si>
  <si>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</si>
  <si>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</si>
  <si>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</si>
  <si>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</si>
  <si>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</si>
  <si>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</si>
  <si>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</si>
  <si>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</si>
  <si>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</si>
  <si>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</si>
  <si>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</si>
  <si>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</si>
  <si>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</si>
  <si>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</si>
  <si>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</si>
  <si>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</si>
  <si>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</si>
  <si>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</si>
  <si>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</si>
  <si>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</si>
  <si>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</si>
  <si>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</si>
  <si>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</si>
  <si>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</si>
  <si>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</si>
  <si>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</si>
  <si>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</si>
  <si>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</si>
  <si>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</si>
  <si>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</si>
  <si>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</si>
  <si>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</si>
  <si>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</si>
  <si>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</si>
  <si>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</si>
  <si>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</si>
  <si>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</si>
  <si>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</si>
  <si>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</si>
  <si>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</si>
  <si>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</si>
  <si>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</si>
  <si>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</si>
  <si>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</si>
  <si>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</si>
  <si>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</si>
  <si>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</si>
  <si>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</si>
  <si>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</si>
  <si>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</si>
  <si>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</si>
  <si>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</si>
  <si>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</si>
  <si>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</si>
  <si>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</si>
  <si>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</si>
  <si>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</si>
  <si>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</si>
  <si>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</si>
  <si>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</si>
  <si>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</si>
  <si>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</si>
  <si>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</si>
  <si>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</si>
  <si>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</si>
  <si>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</si>
  <si>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</si>
  <si>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</si>
  <si>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</si>
  <si>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</si>
  <si>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</si>
  <si>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</si>
  <si>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</si>
  <si>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</si>
  <si>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</si>
  <si>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</si>
  <si>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</si>
  <si>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</si>
  <si>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</si>
  <si>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</si>
  <si>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</si>
  <si>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</si>
  <si>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</si>
  <si>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</si>
  <si>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</si>
  <si>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</si>
  <si>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</si>
  <si>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</si>
  <si>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</si>
  <si>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</si>
  <si>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</si>
  <si>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</si>
  <si>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</si>
  <si>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</si>
  <si>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</si>
  <si>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</si>
  <si>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</si>
  <si>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</si>
  <si>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</si>
  <si>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</si>
  <si>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</si>
  <si>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</si>
  <si>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</si>
  <si>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</si>
  <si>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</si>
  <si>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</si>
  <si>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</si>
  <si>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</si>
  <si>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</si>
  <si>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</si>
  <si>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</si>
  <si>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</si>
  <si>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</si>
  <si>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</si>
  <si>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</si>
  <si>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</si>
  <si>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</si>
  <si>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</si>
  <si>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</si>
  <si>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</si>
  <si>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</si>
  <si>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</si>
  <si>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</si>
  <si>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</si>
  <si>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</si>
  <si>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</si>
  <si>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</si>
  <si>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</si>
  <si>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</si>
  <si>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</si>
  <si>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</si>
  <si>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</si>
  <si>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</si>
  <si>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</si>
  <si>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</si>
  <si>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</si>
  <si>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</si>
  <si>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</si>
  <si>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</si>
  <si>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</si>
  <si>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</si>
  <si>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</si>
  <si>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</si>
  <si>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</si>
  <si>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</si>
  <si>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</si>
  <si>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</si>
  <si>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</si>
  <si>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</si>
  <si>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</si>
  <si>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</si>
  <si>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</si>
  <si>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</si>
  <si>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</si>
  <si>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</si>
  <si>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</si>
  <si>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</si>
  <si>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</si>
  <si>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</si>
  <si>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</si>
  <si>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</si>
  <si>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</si>
  <si>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</si>
  <si>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</si>
  <si>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</si>
  <si>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</si>
  <si>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</si>
  <si>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</si>
  <si>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</si>
  <si>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</si>
  <si>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</si>
  <si>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</si>
  <si>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</si>
  <si>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</si>
  <si>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</si>
  <si>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</si>
  <si>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</si>
  <si>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</si>
  <si>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</si>
  <si>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</si>
  <si>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</si>
  <si>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</si>
  <si>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</si>
  <si>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</si>
  <si>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</si>
  <si>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</si>
  <si>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</si>
  <si>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</si>
  <si>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</si>
  <si>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</si>
  <si>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</si>
  <si>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</si>
  <si>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</si>
  <si>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</si>
  <si>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</si>
  <si>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</si>
  <si>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</si>
  <si>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</si>
  <si>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</si>
  <si>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</si>
  <si>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</si>
  <si>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</si>
  <si>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</si>
  <si>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</si>
  <si>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</si>
  <si>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</si>
  <si>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</si>
  <si>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</si>
  <si>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</si>
  <si>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</si>
  <si>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</si>
  <si>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</si>
  <si>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</si>
  <si>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</si>
  <si>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</si>
  <si>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</si>
  <si>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</si>
  <si>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</si>
  <si>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</si>
  <si>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</si>
  <si>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</si>
  <si>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</si>
  <si>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</si>
  <si>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</si>
  <si>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</si>
  <si>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</si>
  <si>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</si>
  <si>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</si>
  <si>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</si>
  <si>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</si>
  <si>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</si>
  <si>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</si>
  <si>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</si>
  <si>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</si>
  <si>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</si>
  <si>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</si>
  <si>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</si>
  <si>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</si>
  <si>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</si>
  <si>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</si>
  <si>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</si>
  <si>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</si>
  <si>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</si>
  <si>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</si>
  <si>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</si>
  <si>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</si>
  <si>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</si>
  <si>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</si>
  <si>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</si>
  <si>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</si>
  <si>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</si>
  <si>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</si>
  <si>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</si>
  <si>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</si>
  <si>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</si>
  <si>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</si>
  <si>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</si>
  <si>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</si>
  <si>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</si>
  <si>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</si>
  <si>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</si>
  <si>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</si>
  <si>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</si>
  <si>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</si>
  <si>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</si>
  <si>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</si>
  <si>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</si>
  <si>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</si>
  <si>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</si>
  <si>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</si>
  <si>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</si>
  <si>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</si>
  <si>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</si>
  <si>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</si>
  <si>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</si>
  <si>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</si>
  <si>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</si>
  <si>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</si>
  <si>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</si>
  <si>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</si>
  <si>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</si>
  <si>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</si>
  <si>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</si>
  <si>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</si>
  <si>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</si>
  <si>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</si>
  <si>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</si>
  <si>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</si>
  <si>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</si>
  <si>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</si>
  <si>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</si>
  <si>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</si>
  <si>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</si>
  <si>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</si>
  <si>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</si>
  <si>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</si>
  <si>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</si>
  <si>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</si>
  <si>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</si>
  <si>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</si>
  <si>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</si>
  <si>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</si>
  <si>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</si>
  <si>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</si>
  <si>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</si>
  <si>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</si>
  <si>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</si>
  <si>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</si>
  <si>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</si>
  <si>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</si>
  <si>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</si>
  <si>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</si>
  <si>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</si>
  <si>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</si>
  <si>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</si>
  <si>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</si>
  <si>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</si>
  <si>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</si>
  <si>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</si>
  <si>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</si>
  <si>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</si>
  <si>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</si>
  <si>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</si>
  <si>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</si>
  <si>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</si>
  <si>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</si>
  <si>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</si>
  <si>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</si>
  <si>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</si>
  <si>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</si>
  <si>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</si>
  <si>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</si>
  <si>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</si>
  <si>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</si>
  <si>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</si>
  <si>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</si>
  <si>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</si>
  <si>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</si>
  <si>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</si>
  <si>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</si>
  <si>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</si>
  <si>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</si>
  <si>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</si>
  <si>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</si>
  <si>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</si>
  <si>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</si>
  <si>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</si>
  <si>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</si>
  <si>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</si>
  <si>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</si>
  <si>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</si>
  <si>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</si>
  <si>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</si>
  <si>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</si>
  <si>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</si>
  <si>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</si>
  <si>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</si>
  <si>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</si>
  <si>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</si>
  <si>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</si>
  <si>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</si>
  <si>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</si>
  <si>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</si>
  <si>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</si>
  <si>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</si>
  <si>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</si>
  <si>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</si>
  <si>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</si>
  <si>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</si>
  <si>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</si>
  <si>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</si>
  <si>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</si>
  <si>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</si>
  <si>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</si>
  <si>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</si>
  <si>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</si>
  <si>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</si>
  <si>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</si>
  <si>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</si>
  <si>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</si>
  <si>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</si>
  <si>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</si>
  <si>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</si>
  <si>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</si>
  <si>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</si>
  <si>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</si>
  <si>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</si>
  <si>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</si>
  <si>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</si>
  <si>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</si>
  <si>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</si>
  <si>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</si>
  <si>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</si>
  <si>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</si>
  <si>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</si>
  <si>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</si>
  <si>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</si>
  <si>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</si>
  <si>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</si>
  <si>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</si>
  <si>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</si>
  <si>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</si>
  <si>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</si>
  <si>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</si>
  <si>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</si>
  <si>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</si>
  <si>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</si>
  <si>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</si>
  <si>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</si>
  <si>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</si>
  <si>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</si>
  <si>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</si>
  <si>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</si>
  <si>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</si>
  <si>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</si>
  <si>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</si>
  <si>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</si>
  <si>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</si>
  <si>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</si>
  <si>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</si>
  <si>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</si>
  <si>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</si>
  <si>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</si>
  <si>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</si>
  <si>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</si>
  <si>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</si>
  <si>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</si>
  <si>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</si>
  <si>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</si>
  <si>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</si>
  <si>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</si>
  <si>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</si>
  <si>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</si>
  <si>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</si>
  <si>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</si>
  <si>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</si>
  <si>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</si>
  <si>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</si>
  <si>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</si>
  <si>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</si>
  <si>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</si>
  <si>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</si>
  <si>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</si>
  <si>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</si>
  <si>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</si>
  <si>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</si>
  <si>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</si>
  <si>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</si>
  <si>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</si>
  <si>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</si>
  <si>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</si>
  <si>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</si>
  <si>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</si>
  <si>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</si>
  <si>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</si>
  <si>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</si>
  <si>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</si>
  <si>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</si>
  <si>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</si>
  <si>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</si>
  <si>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</si>
  <si>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</si>
  <si>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</si>
  <si>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</si>
  <si>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</si>
  <si>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</si>
  <si>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</si>
  <si>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</si>
  <si>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</si>
  <si>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</si>
  <si>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</si>
  <si>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</si>
  <si>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</si>
  <si>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</si>
  <si>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</si>
  <si>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</si>
  <si>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</si>
  <si>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</si>
  <si>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</si>
  <si>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</si>
  <si>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</si>
  <si>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</si>
  <si>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</si>
  <si>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</si>
  <si>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</si>
  <si>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</si>
  <si>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</si>
  <si>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</si>
  <si>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</si>
  <si>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</si>
  <si>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</si>
  <si>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</si>
  <si>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</si>
  <si>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</si>
  <si>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</si>
  <si>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</si>
  <si>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</si>
  <si>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</si>
  <si>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</si>
  <si>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</si>
  <si>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</si>
  <si>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</si>
  <si>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</si>
  <si>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</si>
  <si>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</si>
  <si>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</si>
  <si>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</si>
  <si>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</si>
  <si>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</si>
  <si>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</si>
  <si>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</si>
  <si>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</si>
  <si>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</si>
  <si>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</si>
  <si>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</si>
  <si>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</si>
  <si>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</si>
  <si>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</si>
  <si>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</si>
  <si>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</si>
  <si>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</si>
  <si>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</si>
  <si>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</si>
  <si>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</si>
  <si>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</si>
  <si>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</si>
  <si>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</si>
  <si>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</si>
  <si>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</si>
  <si>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</si>
  <si>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</si>
  <si>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</si>
  <si>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</si>
  <si>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</si>
  <si>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</si>
  <si>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</si>
  <si>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</si>
  <si>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</si>
  <si>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</si>
  <si>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</si>
  <si>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</si>
  <si>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</si>
  <si>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</si>
  <si>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</si>
  <si>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</si>
  <si>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</si>
  <si>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</si>
  <si>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</si>
  <si>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</si>
  <si>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</si>
  <si>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</si>
  <si>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</si>
  <si>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</si>
  <si>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</si>
  <si>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</si>
  <si>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</si>
  <si>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</si>
  <si>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</si>
  <si>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</si>
  <si>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</si>
  <si>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</si>
  <si>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</si>
  <si>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</si>
  <si>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</si>
  <si>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</si>
  <si>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</si>
  <si>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</si>
  <si>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</si>
  <si>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</si>
  <si>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</si>
  <si>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</si>
  <si>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</si>
  <si>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</si>
  <si>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</si>
  <si>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</si>
  <si>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</si>
  <si>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</si>
  <si>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</si>
  <si>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</si>
  <si>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</si>
  <si>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</si>
  <si>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</si>
  <si>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</si>
  <si>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</si>
  <si>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</si>
  <si>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</si>
  <si>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</si>
  <si>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</si>
  <si>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</si>
  <si>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</si>
  <si>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</si>
  <si>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</si>
  <si>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</si>
  <si>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</si>
  <si>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</si>
  <si>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</si>
  <si>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</si>
  <si>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</si>
  <si>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</si>
  <si>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</si>
  <si>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</si>
  <si>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</si>
  <si>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</si>
  <si>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</si>
  <si>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</si>
  <si>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</si>
  <si>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</si>
  <si>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</si>
  <si>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</si>
  <si>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</si>
  <si>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</si>
  <si>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</si>
  <si>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</si>
  <si>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</si>
  <si>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</si>
  <si>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</si>
  <si>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</si>
  <si>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</si>
  <si>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</si>
  <si>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</si>
  <si>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</si>
  <si>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</si>
  <si>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</si>
  <si>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</si>
  <si>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</si>
  <si>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</si>
  <si>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</si>
  <si>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</si>
  <si>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</si>
  <si>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</si>
  <si>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</si>
  <si>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</si>
  <si>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</si>
  <si>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</si>
  <si>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</si>
  <si>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</si>
  <si>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</si>
  <si>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</si>
  <si>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</si>
  <si>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</si>
  <si>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</si>
  <si>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</si>
  <si>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</si>
  <si>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</si>
  <si>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</si>
  <si>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</si>
  <si>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</si>
  <si>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</si>
  <si>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</si>
  <si>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</si>
  <si>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</si>
  <si>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</si>
  <si>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</si>
  <si>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</si>
  <si>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</si>
  <si>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</si>
  <si>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</si>
  <si>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</si>
  <si>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</si>
  <si>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</si>
  <si>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</si>
  <si>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</si>
  <si>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</si>
  <si>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</si>
  <si>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</si>
  <si>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</si>
  <si>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</si>
  <si>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</si>
  <si>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</si>
  <si>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</si>
  <si>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</si>
  <si>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</si>
  <si>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</si>
  <si>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</si>
  <si>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</si>
  <si>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</si>
  <si>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</si>
  <si>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</si>
  <si>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</si>
  <si>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</si>
  <si>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</si>
  <si>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</si>
  <si>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</si>
  <si>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</si>
  <si>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</si>
  <si>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</si>
  <si>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</si>
  <si>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</si>
  <si>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</si>
  <si>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</si>
  <si>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</si>
  <si>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</si>
  <si>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</si>
  <si>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</si>
  <si>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</si>
  <si>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</si>
  <si>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</si>
  <si>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</si>
  <si>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</si>
  <si>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</si>
  <si>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</si>
  <si>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</si>
  <si>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</si>
  <si>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</si>
  <si>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</si>
  <si>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</si>
  <si>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</si>
  <si>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</si>
  <si>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</si>
  <si>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</si>
  <si>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</si>
  <si>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</si>
  <si>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</si>
  <si>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</si>
  <si>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</si>
  <si>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</si>
  <si>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</si>
  <si>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</si>
  <si>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</si>
  <si>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</si>
  <si>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</si>
  <si>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</si>
  <si>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</si>
  <si>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</si>
  <si>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</si>
  <si>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</si>
  <si>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</si>
  <si>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</si>
  <si>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</si>
  <si>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</si>
  <si>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</si>
  <si>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</si>
  <si>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</si>
  <si>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</si>
  <si>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</si>
  <si>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</si>
  <si>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</si>
  <si>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</si>
  <si>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</si>
  <si>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</si>
  <si>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</si>
  <si>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</si>
  <si>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</si>
  <si>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</si>
  <si>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</si>
  <si>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</si>
  <si>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</si>
  <si>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</si>
  <si>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</si>
  <si>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</si>
  <si>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</si>
  <si>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</si>
  <si>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</si>
  <si>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</si>
  <si>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</si>
  <si>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</si>
  <si>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</si>
  <si>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</si>
  <si>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</si>
  <si>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</si>
  <si>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</si>
  <si>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</si>
  <si>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</si>
  <si>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</si>
  <si>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</si>
  <si>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</si>
  <si>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</si>
  <si>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</si>
  <si>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</si>
  <si>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</si>
  <si>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</si>
  <si>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</si>
  <si>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</si>
  <si>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</si>
  <si>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</si>
  <si>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</si>
  <si>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</si>
  <si>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</si>
  <si>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</si>
  <si>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</si>
  <si>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</si>
  <si>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</si>
  <si>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</si>
  <si>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</si>
  <si>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</si>
  <si>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</si>
  <si>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</si>
  <si>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</si>
  <si>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</si>
  <si>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</si>
  <si>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</si>
  <si>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</si>
  <si>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</si>
  <si>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</si>
  <si>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</si>
  <si>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</si>
  <si>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</si>
  <si>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</si>
  <si>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</si>
  <si>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</si>
  <si>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</si>
  <si>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</si>
  <si>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</si>
  <si>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</si>
  <si>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</si>
  <si>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</si>
  <si>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</si>
  <si>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</si>
  <si>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</si>
  <si>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</si>
  <si>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</si>
  <si>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</si>
  <si>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</si>
  <si>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</si>
  <si>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</si>
  <si>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</si>
  <si>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</si>
  <si>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</si>
  <si>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</si>
  <si>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</si>
  <si>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</si>
  <si>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</si>
  <si>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</si>
  <si>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</si>
  <si>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</si>
  <si>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</si>
  <si>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</si>
  <si>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</si>
  <si>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</si>
  <si>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</si>
  <si>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</si>
  <si>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</si>
  <si>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</si>
  <si>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</si>
  <si>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</si>
  <si>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</si>
  <si>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</si>
  <si>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</si>
  <si>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</si>
  <si>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</si>
  <si>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</si>
  <si>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</si>
  <si>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</si>
  <si>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</si>
  <si>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</si>
  <si>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</si>
  <si>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</si>
  <si>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</si>
  <si>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</si>
  <si>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</si>
  <si>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</si>
  <si>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</si>
  <si>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</si>
  <si>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</si>
  <si>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</si>
  <si>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</si>
  <si>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</si>
  <si>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</si>
  <si>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</si>
  <si>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</si>
  <si>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</si>
  <si>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</si>
  <si>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</si>
  <si>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</si>
  <si>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</si>
  <si>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</si>
  <si>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</si>
  <si>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</si>
  <si>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</si>
  <si>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</si>
  <si>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</si>
  <si>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</si>
  <si>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</si>
  <si>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</si>
  <si>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</si>
  <si>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</si>
  <si>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</si>
  <si>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</si>
  <si>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</si>
  <si>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</si>
  <si>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</si>
  <si>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</si>
  <si>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</si>
  <si>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</si>
  <si>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</si>
  <si>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</si>
  <si>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</si>
  <si>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</si>
  <si>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</si>
  <si>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</si>
  <si>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</si>
  <si>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</si>
  <si>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</si>
  <si>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</si>
  <si>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</si>
  <si>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</si>
  <si>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</si>
  <si>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</si>
  <si>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</si>
  <si>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</si>
  <si>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</si>
  <si>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</si>
  <si>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</si>
  <si>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</si>
  <si>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</si>
  <si>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</si>
  <si>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</si>
  <si>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</si>
  <si>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</si>
  <si>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</si>
  <si>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</si>
  <si>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</si>
  <si>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</si>
  <si>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</si>
  <si>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</si>
  <si>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</si>
  <si>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</si>
  <si>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</si>
  <si>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</si>
  <si>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</si>
  <si>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</si>
  <si>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</si>
  <si>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</si>
  <si>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</si>
  <si>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</si>
  <si>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</si>
  <si>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</si>
  <si>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</si>
  <si>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</si>
  <si>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</si>
  <si>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</si>
  <si>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</si>
  <si>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</si>
  <si>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</si>
  <si>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</si>
  <si>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</si>
  <si>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</si>
  <si>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</si>
  <si>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</si>
  <si>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</si>
  <si>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</si>
  <si>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</si>
  <si>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</si>
  <si>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</si>
  <si>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</si>
  <si>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</si>
  <si>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</si>
  <si>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</si>
  <si>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</si>
  <si>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</si>
  <si>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</si>
  <si>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</si>
  <si>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</si>
  <si>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</si>
  <si>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</si>
  <si>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</si>
  <si>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</si>
  <si>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</si>
  <si>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</si>
  <si>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</si>
  <si>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</si>
  <si>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</si>
  <si>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</si>
  <si>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</si>
  <si>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</si>
  <si>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</si>
  <si>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</si>
  <si>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</si>
  <si>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</si>
  <si>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</si>
  <si>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</si>
  <si>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</si>
  <si>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</si>
  <si>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</si>
  <si>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</si>
  <si>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</si>
  <si>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</si>
  <si>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</si>
  <si>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</si>
  <si>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</si>
  <si>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</si>
  <si>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</si>
  <si>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</si>
  <si>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</si>
  <si>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</si>
  <si>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</si>
  <si>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</si>
  <si>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</si>
  <si>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</si>
  <si>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</si>
  <si>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</si>
  <si>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</si>
  <si>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</si>
  <si>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</si>
  <si>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</si>
  <si>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</si>
  <si>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</si>
  <si>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</si>
  <si>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</si>
  <si>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</si>
  <si>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</si>
  <si>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</si>
  <si>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</si>
  <si>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</si>
  <si>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</si>
  <si>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</si>
  <si>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</si>
  <si>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</si>
  <si>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</si>
  <si>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</si>
  <si>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</si>
  <si>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</si>
  <si>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</si>
  <si>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</si>
  <si>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</si>
  <si>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</si>
  <si>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</si>
  <si>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</si>
  <si>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</si>
  <si>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</si>
  <si>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</si>
  <si>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</si>
  <si>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</si>
  <si>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</si>
  <si>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</si>
  <si>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</si>
  <si>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</si>
  <si>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</si>
  <si>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</si>
  <si>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</si>
  <si>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</si>
  <si>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</si>
  <si>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</si>
  <si>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</si>
  <si>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</si>
  <si>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</si>
  <si>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</si>
  <si>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</si>
  <si>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</si>
  <si>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</si>
  <si>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</si>
  <si>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</si>
  <si>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</si>
  <si>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</si>
  <si>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</si>
  <si>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</si>
  <si>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</si>
  <si>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</si>
  <si>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</si>
  <si>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</si>
  <si>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</si>
  <si>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</si>
  <si>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</si>
  <si>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</si>
  <si>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</si>
  <si>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</si>
  <si>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</si>
  <si>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</si>
  <si>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</si>
  <si>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</si>
  <si>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</si>
  <si>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</si>
  <si>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</si>
  <si>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</si>
  <si>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</si>
  <si>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</si>
  <si>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</si>
  <si>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</si>
  <si>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</si>
  <si>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</si>
  <si>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</si>
  <si>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</si>
  <si>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</si>
  <si>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</si>
  <si>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</si>
  <si>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</si>
  <si>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</si>
  <si>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</si>
  <si>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</si>
  <si>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</si>
  <si>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</si>
  <si>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</si>
  <si>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</si>
  <si>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</si>
  <si>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</si>
  <si>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</si>
  <si>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</si>
  <si>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</si>
  <si>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</si>
  <si>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</si>
  <si>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</si>
  <si>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</si>
  <si>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</si>
  <si>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</si>
  <si>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</si>
  <si>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</si>
  <si>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</si>
  <si>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</si>
  <si>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</si>
  <si>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</si>
  <si>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</si>
  <si>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</si>
  <si>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</si>
  <si>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</si>
  <si>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</si>
  <si>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</si>
  <si>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</si>
  <si>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</si>
  <si>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</si>
  <si>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</si>
  <si>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</si>
  <si>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</si>
  <si>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</si>
  <si>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</si>
  <si>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</si>
  <si>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</si>
  <si>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</si>
  <si>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</si>
  <si>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</si>
  <si>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</si>
  <si>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</si>
  <si>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</si>
  <si>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</si>
  <si>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</si>
  <si>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</si>
  <si>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</si>
  <si>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</si>
  <si>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</si>
  <si>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</si>
  <si>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</si>
  <si>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</si>
  <si>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</si>
  <si>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</si>
  <si>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</si>
  <si>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</si>
  <si>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</si>
  <si>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</si>
  <si>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</si>
  <si>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</si>
  <si>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</si>
  <si>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</si>
  <si>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</si>
  <si>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</si>
  <si>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</si>
  <si>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</si>
  <si>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</si>
  <si>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</si>
  <si>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</si>
  <si>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</si>
  <si>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</si>
  <si>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</si>
  <si>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</si>
  <si>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</si>
  <si>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</si>
  <si>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</si>
  <si>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</si>
  <si>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</si>
  <si>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</si>
  <si>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</si>
  <si>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</si>
  <si>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</si>
  <si>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</si>
  <si>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</si>
  <si>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</si>
  <si>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</si>
  <si>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</si>
  <si>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</si>
  <si>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</si>
  <si>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</si>
  <si>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</si>
  <si>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</si>
  <si>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</si>
  <si>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</si>
  <si>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</si>
  <si>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</si>
  <si>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</si>
  <si>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</si>
  <si>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</si>
  <si>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</si>
  <si>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</si>
  <si>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</si>
  <si>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</si>
  <si>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</si>
  <si>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</si>
  <si>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</si>
  <si>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</si>
  <si>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</si>
  <si>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</si>
  <si>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</si>
  <si>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</si>
  <si>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</si>
  <si>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</si>
  <si>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</si>
  <si>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</si>
  <si>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</si>
  <si>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</si>
  <si>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</si>
  <si>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</si>
  <si>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</si>
  <si>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</si>
  <si>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</si>
  <si>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</si>
  <si>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</si>
  <si>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</si>
  <si>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</si>
  <si>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</si>
  <si>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</si>
  <si>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</si>
  <si>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</si>
  <si>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</si>
  <si>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</si>
  <si>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</si>
  <si>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</si>
  <si>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</si>
  <si>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</si>
  <si>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</si>
  <si>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</si>
  <si>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</si>
  <si>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</si>
  <si>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</si>
  <si>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</si>
  <si>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</si>
  <si>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</si>
  <si>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</si>
  <si>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</si>
  <si>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</si>
  <si>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</si>
  <si>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</si>
  <si>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</si>
  <si>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</si>
  <si>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</si>
  <si>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</si>
  <si>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</si>
  <si>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</si>
  <si>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</si>
  <si>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</si>
  <si>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</si>
  <si>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</si>
  <si>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</si>
  <si>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</si>
  <si>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</si>
  <si>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</si>
  <si>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</si>
  <si>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</si>
  <si>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</si>
  <si>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</si>
  <si>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</si>
  <si>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</si>
  <si>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</si>
  <si>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</si>
  <si>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</si>
  <si>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</si>
  <si>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</si>
  <si>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</si>
  <si>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</si>
  <si>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</si>
  <si>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</si>
  <si>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</si>
  <si>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</si>
  <si>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</si>
  <si>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</si>
  <si>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</si>
  <si>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</si>
  <si>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</si>
  <si>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</si>
  <si>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</si>
  <si>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</si>
  <si>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</si>
  <si>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</si>
  <si>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</si>
  <si>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</si>
  <si>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</si>
  <si>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</si>
  <si>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</si>
  <si>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</si>
  <si>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</si>
  <si>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</si>
  <si>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</si>
  <si>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</si>
  <si>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</si>
  <si>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</si>
  <si>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</si>
  <si>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</si>
  <si>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</si>
  <si>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</si>
  <si>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</si>
  <si>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</si>
  <si>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</si>
  <si>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</si>
  <si>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</si>
  <si>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</si>
  <si>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</si>
  <si>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</si>
  <si>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</si>
  <si>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</si>
  <si>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</si>
  <si>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</si>
  <si>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</si>
  <si>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</si>
  <si>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</si>
  <si>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</si>
  <si>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</si>
  <si>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</si>
  <si>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</si>
  <si>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</si>
  <si>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</si>
  <si>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</si>
  <si>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</si>
  <si>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</si>
  <si>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</si>
  <si>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</si>
  <si>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</si>
  <si>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</si>
  <si>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</si>
  <si>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</si>
  <si>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</si>
  <si>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</si>
  <si>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</si>
  <si>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</si>
  <si>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</si>
  <si>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</si>
  <si>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</si>
  <si>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</si>
  <si>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</si>
  <si>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</si>
  <si>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</si>
  <si>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</si>
  <si>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</si>
  <si>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</si>
  <si>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</si>
  <si>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</si>
  <si>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</si>
  <si>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</si>
  <si>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</si>
  <si>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</si>
  <si>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</si>
  <si>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</si>
  <si>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</si>
  <si>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</si>
  <si>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</si>
  <si>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</si>
  <si>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</si>
  <si>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</si>
  <si>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</si>
  <si>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</si>
  <si>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</si>
  <si>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</si>
  <si>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</si>
  <si>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</si>
  <si>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</si>
  <si>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</si>
  <si>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</si>
  <si>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</si>
  <si>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</si>
  <si>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</si>
  <si>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</si>
  <si>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</si>
  <si>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</si>
  <si>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</si>
  <si>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</si>
  <si>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</si>
  <si>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</si>
  <si>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</si>
  <si>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</si>
  <si>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</si>
  <si>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</si>
  <si>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</si>
  <si>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</si>
  <si>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</si>
  <si>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</si>
  <si>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</si>
  <si>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</si>
  <si>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</si>
  <si>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</si>
  <si>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</si>
  <si>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</si>
  <si>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</si>
  <si>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</si>
  <si>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</si>
  <si>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</si>
  <si>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</si>
  <si>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</si>
  <si>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</si>
  <si>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</si>
  <si>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</si>
  <si>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</si>
  <si>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</si>
  <si>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</si>
  <si>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</si>
  <si>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</si>
  <si>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</si>
  <si>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</si>
  <si>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</si>
  <si>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</si>
  <si>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</si>
  <si>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</si>
  <si>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</si>
  <si>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</si>
  <si>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</si>
  <si>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</si>
  <si>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</si>
  <si>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</si>
  <si>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</si>
  <si>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</si>
  <si>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</si>
  <si>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</si>
  <si>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</si>
  <si>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</si>
  <si>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</si>
  <si>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</si>
  <si>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</si>
  <si>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</si>
  <si>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</si>
  <si>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</si>
  <si>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</si>
  <si>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</si>
  <si>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</si>
  <si>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</si>
  <si>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</si>
  <si>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</si>
  <si>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</si>
  <si>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</si>
  <si>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</si>
  <si>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</si>
  <si>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</si>
  <si>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</si>
  <si>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</si>
  <si>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</si>
  <si>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</si>
  <si>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</si>
  <si>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</si>
  <si>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</si>
  <si>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</si>
  <si>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</si>
  <si>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</si>
  <si>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</si>
  <si>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</si>
  <si>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</si>
  <si>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</si>
  <si>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</si>
  <si>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</si>
  <si>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</si>
  <si>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</si>
  <si>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</si>
  <si>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</si>
  <si>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</si>
  <si>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</si>
  <si>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</si>
  <si>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</si>
  <si>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</si>
  <si>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</si>
  <si>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</si>
  <si>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</si>
  <si>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</si>
  <si>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</si>
  <si>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</si>
  <si>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</si>
  <si>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</si>
  <si>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</si>
  <si>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</si>
  <si>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</si>
  <si>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</si>
  <si>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</si>
  <si>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</si>
  <si>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</si>
  <si>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</si>
  <si>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</si>
  <si>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</si>
  <si>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</si>
  <si>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</si>
  <si>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</si>
  <si>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</si>
  <si>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</si>
  <si>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</si>
  <si>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</si>
  <si>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</si>
  <si>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</si>
  <si>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</si>
  <si>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</si>
  <si>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</si>
  <si>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</si>
  <si>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</si>
  <si>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</si>
  <si>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</si>
  <si>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</si>
  <si>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</si>
  <si>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</si>
  <si>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</si>
  <si>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</si>
  <si>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</si>
  <si>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</si>
  <si>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</si>
  <si>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</si>
  <si>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</si>
  <si>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</si>
  <si>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</si>
  <si>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</si>
  <si>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</si>
  <si>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</si>
  <si>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</si>
  <si>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</si>
  <si>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</si>
  <si>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</si>
  <si>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</si>
  <si>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</si>
  <si>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</si>
  <si>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</si>
  <si>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</si>
  <si>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</si>
  <si>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</si>
  <si>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</si>
  <si>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</si>
  <si>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</si>
  <si>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</si>
  <si>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</si>
  <si>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</si>
  <si>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</si>
  <si>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</si>
  <si>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</si>
  <si>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</si>
  <si>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</si>
  <si>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</si>
  <si>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</si>
  <si>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</si>
  <si>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</si>
  <si>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</si>
  <si>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</si>
  <si>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</si>
  <si>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</si>
  <si>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</si>
  <si>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</si>
  <si>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</si>
  <si>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</si>
  <si>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</si>
  <si>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</si>
  <si>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</si>
  <si>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</si>
  <si>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</si>
  <si>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</si>
  <si>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</si>
  <si>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</si>
  <si>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</si>
  <si>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</si>
  <si>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</si>
  <si>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</si>
  <si>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</si>
  <si>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</si>
  <si>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</si>
  <si>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</si>
  <si>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</si>
  <si>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</si>
  <si>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</si>
  <si>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</si>
  <si>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</si>
  <si>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</si>
  <si>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</si>
  <si>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</si>
  <si>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</si>
  <si>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</si>
  <si>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</si>
  <si>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</si>
  <si>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</si>
  <si>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</si>
  <si>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</si>
  <si>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</si>
  <si>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</si>
  <si>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</si>
  <si>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</si>
  <si>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</si>
  <si>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</si>
  <si>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</si>
  <si>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</si>
  <si>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</si>
  <si>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</si>
  <si>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</si>
  <si>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</si>
  <si>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</si>
  <si>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</si>
  <si>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</si>
  <si>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</si>
  <si>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</si>
  <si>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</si>
  <si>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</si>
  <si>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</si>
  <si>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</si>
  <si>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</si>
  <si>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</si>
  <si>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</si>
  <si>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</si>
  <si>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</si>
  <si>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</si>
  <si>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</si>
  <si>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</si>
  <si>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</si>
  <si>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</si>
  <si>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</si>
  <si>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</si>
  <si>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</si>
  <si>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</si>
  <si>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</si>
  <si>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</si>
  <si>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</si>
  <si>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</si>
  <si>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</si>
  <si>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</si>
  <si>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</si>
  <si>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</si>
  <si>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</si>
  <si>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</si>
  <si>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</si>
  <si>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</si>
  <si>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</si>
  <si>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</si>
  <si>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</si>
  <si>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</si>
  <si>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</si>
  <si>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</si>
  <si>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</si>
  <si>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</si>
  <si>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</si>
  <si>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</si>
  <si>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</si>
  <si>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</si>
  <si>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</si>
  <si>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</si>
  <si>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</si>
  <si>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</si>
  <si>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</si>
  <si>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</si>
  <si>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</si>
  <si>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</si>
  <si>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</si>
  <si>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</si>
  <si>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</si>
  <si>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</si>
  <si>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</si>
  <si>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</si>
  <si>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</si>
  <si>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</si>
  <si>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</si>
  <si>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</si>
  <si>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</si>
  <si>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</si>
  <si>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</si>
  <si>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</si>
  <si>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</si>
  <si>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</si>
  <si>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</si>
  <si>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</si>
  <si>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</si>
  <si>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</si>
  <si>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</si>
  <si>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</si>
  <si>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</si>
  <si>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</si>
  <si>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</si>
  <si>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</si>
  <si>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</si>
  <si>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</si>
  <si>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</si>
  <si>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</si>
  <si>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</si>
  <si>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</si>
  <si>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</si>
  <si>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</si>
  <si>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</si>
  <si>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</si>
  <si>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</si>
  <si>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</si>
  <si>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</si>
  <si>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</si>
  <si>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</si>
  <si>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</si>
  <si>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</si>
  <si>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</si>
  <si>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</si>
  <si>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</si>
  <si>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</si>
  <si>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</si>
  <si>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</si>
  <si>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</si>
  <si>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</si>
  <si>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</si>
  <si>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</si>
  <si>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</si>
  <si>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</si>
  <si>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</si>
  <si>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</si>
  <si>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</si>
  <si>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</si>
  <si>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</si>
  <si>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</si>
  <si>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</si>
  <si>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</si>
  <si>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</si>
  <si>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</si>
  <si>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</si>
  <si>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</si>
  <si>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</si>
  <si>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</si>
  <si>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</si>
  <si>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</si>
  <si>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</si>
  <si>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</si>
  <si>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</si>
  <si>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</si>
  <si>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</si>
  <si>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</si>
  <si>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</si>
  <si>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</si>
  <si>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</si>
  <si>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</si>
  <si>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</si>
  <si>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</si>
  <si>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</si>
  <si>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</si>
  <si>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</si>
  <si>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</si>
  <si>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</si>
  <si>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</si>
  <si>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</si>
  <si>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</si>
  <si>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</si>
  <si>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</si>
  <si>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</si>
  <si>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</si>
  <si>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</si>
  <si>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</si>
  <si>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</si>
  <si>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</si>
  <si>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</si>
  <si>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</si>
  <si>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</si>
  <si>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</si>
  <si>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</si>
  <si>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</si>
  <si>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</si>
  <si>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</si>
  <si>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</si>
  <si>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</si>
  <si>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</si>
  <si>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</si>
  <si>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</si>
  <si>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</si>
  <si>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</si>
  <si>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</si>
  <si>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</si>
  <si>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</si>
  <si>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</si>
  <si>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</si>
  <si>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</si>
  <si>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</si>
  <si>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</si>
  <si>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</si>
  <si>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</si>
  <si>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</si>
  <si>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</si>
  <si>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</si>
  <si>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</si>
  <si>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</si>
  <si>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</si>
  <si>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</si>
  <si>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</si>
  <si>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</si>
  <si>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</si>
  <si>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</si>
  <si>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</si>
  <si>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</si>
  <si>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</si>
  <si>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</si>
  <si>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</si>
  <si>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</si>
  <si>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</si>
  <si>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</si>
  <si>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</si>
  <si>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</si>
  <si>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</si>
  <si>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</si>
  <si>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</si>
  <si>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</si>
  <si>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</si>
  <si>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</si>
  <si>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</si>
  <si>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</si>
  <si>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</si>
  <si>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</si>
  <si>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</si>
  <si>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</si>
  <si>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</si>
  <si>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</si>
  <si>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</si>
  <si>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</si>
  <si>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</si>
  <si>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</si>
  <si>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</si>
  <si>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</si>
  <si>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</si>
  <si>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</si>
  <si>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</si>
  <si>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</si>
  <si>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</si>
  <si>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</si>
  <si>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</si>
  <si>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</si>
  <si>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</si>
  <si>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</si>
  <si>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</si>
  <si>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</si>
  <si>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</si>
  <si>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</si>
  <si>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</si>
  <si>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</si>
  <si>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</si>
  <si>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</si>
  <si>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</si>
  <si>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</si>
  <si>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</si>
  <si>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</si>
  <si>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</si>
  <si>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</si>
  <si>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</si>
  <si>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</si>
  <si>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</si>
  <si>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</si>
  <si>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</si>
  <si>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</si>
  <si>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</si>
  <si>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</si>
  <si>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</si>
  <si>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</si>
  <si>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</si>
  <si>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</si>
  <si>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</si>
  <si>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</si>
  <si>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</si>
  <si>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</si>
  <si>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</si>
  <si>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</si>
  <si>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</si>
  <si>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</si>
  <si>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</si>
  <si>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</si>
  <si>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</si>
  <si>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</si>
  <si>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</si>
  <si>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</si>
  <si>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</si>
  <si>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</si>
  <si>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</si>
  <si>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</si>
  <si>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</si>
  <si>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</si>
  <si>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</si>
  <si>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</si>
  <si>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</si>
  <si>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</si>
  <si>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</si>
  <si>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</si>
  <si>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</si>
  <si>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</si>
  <si>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</si>
  <si>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</si>
  <si>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</si>
  <si>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</si>
  <si>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</si>
  <si>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</si>
  <si>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</si>
  <si>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</si>
  <si>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</si>
  <si>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</si>
  <si>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</si>
  <si>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</si>
  <si>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</si>
  <si>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</si>
  <si>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</si>
  <si>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</si>
  <si>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</si>
  <si>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</si>
  <si>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</si>
  <si>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</si>
  <si>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</si>
  <si>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</si>
  <si>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</si>
  <si>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</si>
  <si>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</si>
  <si>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</si>
  <si>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</si>
  <si>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</si>
  <si>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</si>
  <si>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</si>
  <si>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</si>
  <si>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</si>
  <si>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</si>
  <si>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</si>
  <si>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</si>
  <si>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</si>
  <si>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</si>
  <si>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</si>
  <si>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</si>
  <si>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</si>
  <si>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</si>
  <si>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</si>
  <si>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</si>
  <si>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</si>
  <si>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</si>
  <si>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</si>
  <si>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</si>
  <si>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</si>
  <si>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</si>
  <si>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</si>
  <si>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</si>
  <si>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</si>
  <si>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</si>
  <si>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</si>
  <si>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</si>
  <si>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</si>
  <si>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</si>
  <si>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</si>
  <si>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</si>
  <si>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</si>
  <si>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</si>
  <si>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</si>
  <si>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</si>
  <si>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</si>
  <si>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</si>
  <si>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</si>
  <si>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</si>
  <si>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</si>
  <si>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</si>
  <si>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</si>
  <si>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</si>
  <si>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</si>
  <si>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</si>
  <si>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</si>
  <si>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</si>
  <si>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</si>
  <si>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</si>
  <si>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</si>
  <si>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</si>
  <si>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</si>
  <si>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</si>
  <si>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</si>
  <si>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</si>
  <si>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</si>
  <si>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</si>
  <si>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</si>
  <si>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</si>
  <si>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</si>
  <si>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</si>
  <si>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</si>
  <si>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</si>
  <si>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</si>
  <si>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</si>
  <si>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</si>
  <si>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</si>
  <si>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</si>
  <si>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</si>
  <si>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</si>
  <si>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</si>
  <si>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</si>
  <si>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</si>
  <si>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</si>
  <si>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</si>
  <si>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</si>
  <si>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</si>
  <si>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</si>
  <si>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</si>
  <si>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</si>
  <si>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</si>
  <si>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</si>
  <si>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</si>
  <si>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</si>
  <si>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</si>
  <si>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</si>
  <si>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</si>
  <si>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</si>
  <si>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</si>
  <si>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</si>
  <si>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</si>
  <si>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</si>
  <si>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</si>
  <si>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</si>
  <si>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</si>
  <si>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</si>
  <si>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</si>
  <si>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</si>
  <si>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</si>
  <si>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</si>
  <si>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</si>
  <si>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</si>
  <si>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</si>
  <si>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</si>
  <si>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</si>
  <si>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</si>
  <si>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</si>
  <si>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</si>
  <si>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</si>
  <si>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</si>
  <si>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</si>
  <si>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</si>
  <si>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</si>
  <si>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</si>
  <si>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</si>
  <si>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</si>
  <si>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</si>
  <si>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</si>
  <si>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</si>
  <si>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</si>
  <si>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</si>
  <si>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</si>
  <si>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</si>
  <si>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</si>
  <si>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</si>
  <si>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</si>
  <si>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</si>
  <si>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</si>
  <si>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</si>
  <si>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</si>
  <si>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</si>
  <si>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</si>
  <si>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</si>
  <si>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</si>
  <si>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</si>
  <si>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</si>
  <si>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</si>
  <si>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</si>
  <si>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</si>
  <si>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</si>
  <si>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</si>
  <si>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</si>
  <si>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</si>
  <si>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</si>
  <si>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</si>
  <si>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</si>
  <si>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</si>
  <si>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</si>
  <si>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</si>
  <si>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</si>
  <si>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</si>
  <si>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</si>
  <si>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</si>
  <si>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</si>
  <si>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</si>
  <si>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</si>
  <si>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</si>
  <si>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</si>
  <si>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</si>
  <si>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</si>
  <si>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</si>
  <si>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</si>
  <si>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</si>
  <si>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</si>
  <si>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</si>
  <si>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</si>
  <si>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</si>
  <si>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</si>
  <si>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</si>
  <si>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</si>
  <si>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</si>
  <si>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</si>
  <si>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</si>
  <si>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</si>
  <si>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</si>
  <si>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</si>
  <si>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</si>
  <si>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</si>
  <si>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</si>
  <si>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</si>
  <si>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</si>
  <si>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</si>
  <si>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</si>
  <si>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</si>
  <si>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</si>
  <si>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</si>
  <si>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</si>
  <si>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</si>
  <si>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</si>
  <si>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</si>
  <si>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</si>
  <si>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</si>
  <si>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</si>
  <si>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</si>
  <si>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</si>
  <si>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</si>
  <si>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</si>
  <si>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</si>
  <si>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</si>
  <si>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</si>
  <si>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</si>
  <si>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</si>
  <si>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</si>
  <si>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</si>
  <si>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</si>
  <si>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</si>
  <si>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</si>
  <si>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</si>
  <si>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</si>
  <si>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</si>
  <si>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</si>
  <si>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</si>
  <si>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</si>
  <si>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</si>
  <si>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</si>
  <si>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</si>
  <si>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</si>
  <si>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</si>
  <si>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</si>
  <si>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</si>
  <si>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</si>
  <si>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</si>
  <si>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</si>
  <si>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</si>
  <si>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</si>
  <si>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</si>
  <si>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</si>
  <si>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</si>
  <si>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</si>
  <si>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</si>
  <si>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</si>
  <si>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</si>
  <si>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</si>
  <si>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</si>
  <si>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</si>
  <si>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</si>
  <si>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</si>
  <si>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</si>
  <si>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</si>
  <si>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</si>
  <si>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</si>
  <si>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</si>
  <si>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</si>
  <si>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</si>
  <si>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</si>
  <si>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</si>
  <si>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</si>
  <si>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</si>
  <si>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</si>
  <si>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</si>
  <si>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</si>
  <si>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</si>
  <si>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</si>
  <si>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</si>
  <si>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</si>
  <si>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</si>
  <si>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</si>
  <si>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</si>
  <si>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</si>
  <si>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</si>
  <si>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</si>
  <si>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</si>
  <si>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</si>
  <si>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</si>
  <si>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</si>
  <si>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</si>
  <si>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</si>
  <si>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</si>
  <si>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</si>
  <si>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</si>
  <si>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</si>
  <si>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</si>
  <si>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</si>
  <si>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</si>
  <si>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</si>
  <si>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</si>
  <si>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</si>
  <si>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</si>
  <si>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</si>
  <si>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</si>
  <si>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</si>
  <si>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</si>
  <si>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</si>
  <si>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</si>
  <si>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</si>
  <si>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</si>
  <si>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</si>
  <si>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</si>
  <si>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</si>
  <si>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</si>
  <si>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</si>
  <si>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</si>
  <si>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</si>
  <si>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</si>
  <si>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</si>
  <si>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</si>
  <si>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</si>
  <si>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</si>
  <si>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</si>
  <si>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</si>
  <si>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</si>
  <si>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</si>
  <si>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</si>
  <si>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</si>
  <si>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</si>
  <si>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</si>
  <si>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</si>
  <si>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</si>
  <si>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</si>
  <si>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</si>
  <si>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</si>
  <si>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</si>
  <si>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</si>
  <si>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</si>
  <si>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</si>
  <si>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</si>
  <si>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</si>
  <si>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</si>
  <si>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</si>
  <si>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</si>
  <si>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</si>
  <si>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</si>
  <si>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</si>
  <si>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</si>
  <si>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</si>
  <si>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</si>
  <si>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</si>
  <si>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</si>
  <si>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</si>
  <si>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</si>
  <si>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</si>
  <si>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</si>
  <si>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</si>
  <si>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</si>
  <si>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</si>
  <si>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</si>
  <si>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</si>
  <si>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</si>
  <si>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</si>
  <si>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</si>
  <si>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</si>
  <si>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</si>
  <si>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</si>
  <si>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</si>
  <si>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</si>
  <si>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</si>
  <si>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</si>
  <si>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</si>
  <si>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</si>
  <si>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</si>
  <si>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</si>
  <si>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</si>
  <si>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</si>
  <si>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</si>
  <si>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</si>
  <si>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</si>
  <si>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</si>
  <si>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</si>
  <si>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</si>
  <si>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</si>
  <si>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</si>
  <si>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</si>
  <si>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</si>
  <si>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</si>
  <si>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</si>
  <si>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</si>
  <si>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</si>
  <si>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</si>
  <si>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</si>
  <si>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</si>
  <si>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</si>
  <si>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</si>
  <si>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</si>
  <si>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</si>
  <si>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</si>
  <si>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</si>
  <si>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</si>
  <si>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</si>
  <si>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</si>
  <si>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</si>
  <si>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</si>
  <si>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</si>
  <si>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</si>
  <si>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</si>
  <si>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</si>
  <si>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</si>
  <si>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</si>
  <si>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</si>
  <si>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</si>
  <si>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</si>
  <si>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</si>
  <si>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</si>
  <si>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</si>
  <si>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</si>
  <si>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</si>
  <si>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</si>
  <si>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</si>
  <si>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</si>
  <si>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</si>
  <si>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</si>
  <si>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</si>
  <si>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</si>
  <si>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</si>
  <si>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</si>
  <si>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</si>
  <si>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</si>
  <si>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</si>
  <si>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</si>
  <si>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</si>
  <si>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</si>
  <si>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</si>
  <si>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</si>
  <si>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</si>
  <si>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</si>
  <si>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</si>
  <si>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</si>
  <si>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</si>
  <si>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</si>
  <si>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</si>
  <si>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</si>
  <si>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</si>
  <si>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</si>
  <si>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</si>
  <si>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</si>
  <si>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</si>
  <si>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</si>
  <si>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</si>
  <si>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</si>
  <si>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</si>
  <si>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</si>
  <si>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</si>
  <si>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</si>
  <si>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</si>
  <si>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</si>
  <si>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</si>
  <si>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</si>
  <si>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</si>
  <si>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</si>
  <si>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</si>
  <si>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</si>
  <si>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</si>
  <si>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</si>
  <si>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</si>
  <si>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</si>
  <si>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</si>
  <si>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</si>
  <si>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</si>
  <si>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</si>
  <si>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</si>
  <si>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</si>
  <si>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</si>
  <si>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</si>
  <si>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</si>
  <si>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</si>
  <si>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</si>
  <si>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</si>
  <si>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</si>
  <si>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</si>
  <si>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</si>
  <si>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</si>
  <si>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</si>
  <si>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</si>
  <si>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</si>
  <si>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</si>
  <si>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</si>
  <si>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</si>
  <si>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</si>
  <si>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</si>
  <si>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</si>
  <si>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</si>
  <si>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</si>
  <si>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</si>
  <si>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</si>
  <si>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</si>
  <si>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</si>
  <si>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</si>
  <si>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</si>
  <si>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</si>
  <si>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</si>
  <si>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</si>
  <si>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</si>
  <si>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</si>
  <si>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</si>
  <si>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</si>
  <si>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</si>
  <si>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</si>
  <si>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</si>
  <si>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</si>
  <si>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</si>
  <si>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</si>
  <si>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</si>
  <si>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</si>
  <si>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</si>
  <si>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</si>
  <si>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</si>
  <si>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</si>
  <si>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</si>
  <si>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</si>
  <si>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</si>
  <si>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</si>
  <si>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</si>
  <si>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</si>
  <si>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</si>
  <si>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</si>
  <si>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</si>
  <si>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</si>
  <si>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</si>
  <si>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</si>
  <si>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</si>
  <si>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</si>
  <si>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</si>
  <si>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</si>
  <si>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</si>
  <si>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</si>
  <si>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</si>
  <si>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</si>
  <si>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</si>
  <si>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</si>
  <si>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</si>
  <si>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</si>
  <si>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</si>
  <si>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</si>
  <si>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</si>
  <si>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</si>
  <si>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</si>
  <si>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</si>
  <si>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</si>
  <si>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</si>
  <si>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</si>
  <si>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</si>
  <si>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</si>
  <si>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</si>
  <si>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</si>
  <si>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</si>
  <si>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</si>
  <si>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</si>
  <si>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</si>
  <si>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</si>
  <si>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</si>
  <si>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</si>
  <si>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</si>
  <si>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</si>
  <si>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</si>
  <si>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</si>
  <si>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</si>
  <si>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</si>
  <si>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</si>
  <si>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</si>
  <si>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</si>
  <si>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</si>
  <si>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</si>
  <si>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</si>
  <si>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</si>
  <si>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</si>
  <si>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</si>
  <si>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</si>
  <si>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</si>
  <si>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</si>
  <si>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</si>
  <si>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</si>
  <si>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</si>
  <si>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</si>
  <si>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</si>
  <si>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</si>
  <si>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</si>
  <si>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</si>
  <si>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</si>
  <si>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</si>
  <si>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</si>
  <si>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</si>
  <si>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</si>
  <si>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</si>
  <si>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</si>
  <si>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</si>
  <si>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</si>
  <si>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</si>
  <si>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</si>
  <si>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</si>
  <si>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</si>
  <si>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</si>
  <si>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</si>
  <si>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</si>
  <si>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</si>
  <si>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</si>
  <si>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</si>
  <si>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</si>
  <si>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</si>
  <si>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</si>
  <si>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</si>
  <si>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</si>
  <si>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</si>
  <si>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</si>
  <si>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</si>
  <si>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</si>
  <si>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</si>
  <si>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</si>
  <si>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</si>
  <si>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</si>
  <si>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</si>
  <si>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</si>
  <si>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</si>
  <si>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</si>
  <si>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</si>
  <si>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</si>
  <si>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</si>
  <si>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</si>
  <si>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</si>
  <si>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</si>
  <si>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</si>
  <si>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</si>
  <si>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</si>
  <si>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</si>
  <si>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</si>
  <si>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</si>
  <si>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</si>
  <si>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</si>
  <si>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</si>
  <si>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</si>
  <si>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</si>
  <si>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</si>
  <si>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</si>
  <si>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</si>
  <si>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</si>
  <si>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</si>
  <si>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</si>
  <si>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</si>
  <si>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</si>
  <si>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</si>
  <si>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</si>
  <si>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</si>
  <si>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</si>
  <si>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</si>
  <si>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</si>
  <si>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</si>
  <si>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</si>
  <si>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</si>
  <si>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</si>
  <si>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</si>
  <si>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</si>
  <si>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</si>
  <si>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</si>
  <si>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</si>
  <si>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</si>
  <si>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</si>
  <si>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</si>
  <si>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</si>
  <si>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</si>
  <si>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</si>
  <si>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</si>
  <si>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</si>
  <si>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</si>
  <si>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</si>
  <si>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</si>
  <si>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</si>
  <si>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</si>
  <si>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</si>
  <si>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</si>
  <si>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</si>
  <si>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</si>
  <si>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</si>
  <si>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</si>
  <si>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</si>
  <si>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</si>
  <si>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</si>
  <si>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</si>
  <si>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</si>
  <si>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</si>
  <si>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</si>
  <si>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</si>
  <si>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</si>
  <si>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</si>
  <si>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</si>
  <si>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</si>
  <si>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</si>
  <si>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</si>
  <si>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</si>
  <si>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</si>
  <si>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</si>
  <si>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</si>
  <si>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</si>
  <si>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</si>
  <si>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</si>
  <si>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</si>
  <si>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</si>
  <si>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</si>
  <si>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</si>
  <si>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</si>
  <si>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</si>
  <si>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</si>
  <si>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</si>
  <si>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</si>
  <si>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</si>
  <si>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</si>
  <si>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</si>
  <si>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</si>
  <si>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</si>
  <si>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</si>
  <si>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</si>
  <si>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</si>
  <si>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</si>
  <si>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</si>
  <si>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</si>
  <si>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</si>
  <si>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</si>
  <si>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</si>
  <si>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</si>
  <si>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</si>
  <si>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</si>
  <si>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</si>
  <si>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</si>
  <si>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</si>
  <si>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</si>
  <si>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</si>
  <si>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</si>
  <si>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</si>
  <si>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</si>
  <si>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</si>
  <si>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</si>
  <si>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</si>
  <si>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</si>
  <si>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</si>
  <si>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</si>
  <si>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</si>
  <si>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</si>
  <si>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</si>
  <si>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</si>
  <si>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</si>
  <si>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</si>
  <si>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</si>
  <si>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</si>
  <si>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</si>
  <si>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</si>
  <si>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</si>
  <si>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</si>
  <si>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</si>
  <si>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</si>
  <si>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</si>
  <si>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</si>
  <si>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</si>
  <si>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</si>
  <si>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</si>
  <si>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</si>
  <si>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</si>
  <si>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</si>
  <si>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</si>
  <si>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</si>
  <si>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</si>
  <si>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</si>
  <si>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</si>
  <si>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</si>
  <si>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</si>
  <si>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</si>
  <si>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</si>
  <si>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</si>
  <si>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</si>
  <si>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</si>
  <si>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</si>
  <si>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</si>
  <si>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</si>
  <si>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</si>
  <si>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</si>
  <si>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</si>
  <si>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</si>
  <si>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</si>
  <si>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</si>
  <si>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</si>
  <si>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</si>
  <si>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</si>
  <si>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</si>
  <si>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</si>
  <si>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</si>
  <si>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</si>
  <si>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</si>
  <si>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</si>
  <si>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</si>
  <si>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</si>
  <si>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</si>
  <si>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</si>
  <si>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</si>
  <si>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</si>
  <si>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</si>
  <si>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</si>
  <si>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</si>
  <si>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</si>
  <si>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</si>
  <si>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</si>
  <si>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</si>
  <si>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</si>
  <si>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</si>
  <si>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</si>
  <si>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</si>
  <si>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</si>
  <si>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</si>
  <si>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</si>
  <si>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</si>
  <si>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</si>
  <si>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</si>
  <si>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</si>
  <si>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</si>
  <si>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</si>
  <si>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</si>
  <si>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</si>
  <si>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</si>
  <si>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</si>
  <si>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</si>
  <si>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</si>
  <si>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</si>
  <si>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</si>
  <si>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</si>
  <si>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</si>
  <si>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</si>
  <si>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</si>
  <si>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</si>
  <si>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</si>
  <si>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</si>
  <si>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</si>
  <si>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</si>
  <si>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</si>
  <si>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</si>
  <si>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</si>
  <si>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</si>
  <si>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</si>
  <si>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</si>
  <si>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</si>
  <si>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</si>
  <si>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</si>
  <si>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</si>
  <si>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</si>
  <si>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</si>
  <si>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</si>
  <si>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</si>
  <si>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</si>
  <si>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</si>
  <si>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</si>
  <si>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</si>
  <si>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</si>
  <si>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</si>
  <si>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</si>
  <si>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</si>
  <si>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</si>
  <si>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</si>
  <si>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</si>
  <si>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</si>
  <si>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</si>
  <si>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</si>
  <si>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</si>
  <si>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</si>
  <si>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</si>
  <si>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</si>
  <si>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</si>
  <si>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</si>
  <si>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</si>
  <si>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</si>
  <si>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</si>
  <si>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</si>
  <si>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</si>
  <si>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</si>
  <si>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</si>
  <si>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</si>
  <si>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</si>
  <si>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</si>
  <si>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</si>
  <si>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</si>
  <si>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</si>
  <si>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</si>
  <si>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</si>
  <si>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</si>
  <si>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</si>
  <si>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</si>
  <si>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</si>
  <si>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</si>
  <si>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</si>
  <si>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</si>
  <si>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</si>
  <si>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</si>
  <si>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</si>
  <si>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</si>
  <si>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</si>
  <si>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</si>
  <si>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</si>
  <si>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</si>
  <si>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</si>
  <si>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</si>
  <si>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</si>
  <si>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</si>
  <si>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</si>
  <si>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</si>
  <si>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</si>
  <si>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</si>
  <si>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</si>
  <si>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</si>
  <si>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</si>
  <si>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</si>
  <si>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</si>
  <si>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</si>
  <si>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</si>
  <si>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</si>
  <si>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</si>
  <si>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</si>
  <si>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</si>
  <si>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</si>
  <si>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</si>
  <si>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</si>
  <si>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</si>
  <si>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</si>
  <si>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</si>
  <si>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</si>
  <si>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</si>
  <si>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</si>
  <si>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</si>
  <si>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</si>
  <si>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</si>
  <si>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</si>
  <si>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</si>
  <si>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</si>
  <si>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</si>
  <si>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</si>
  <si>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</si>
  <si>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</si>
  <si>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</si>
  <si>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</si>
  <si>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</si>
  <si>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</si>
  <si>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</si>
  <si>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</si>
  <si>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</si>
  <si>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</si>
  <si>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</si>
  <si>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</si>
  <si>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</si>
  <si>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</si>
  <si>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</si>
  <si>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</si>
  <si>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</si>
  <si>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</si>
  <si>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</si>
  <si>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</si>
  <si>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</si>
  <si>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</si>
  <si>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</si>
  <si>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</si>
  <si>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</si>
  <si>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</si>
  <si>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</si>
  <si>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</si>
  <si>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</si>
  <si>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</si>
  <si>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</si>
  <si>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</si>
  <si>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</si>
  <si>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</si>
  <si>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</si>
  <si>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</si>
  <si>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</si>
  <si>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</si>
  <si>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</si>
  <si>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</si>
  <si>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</si>
  <si>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</si>
  <si>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</si>
  <si>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</si>
  <si>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</si>
  <si>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</si>
  <si>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</si>
  <si>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</si>
  <si>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</si>
  <si>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</si>
  <si>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</si>
  <si>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</si>
  <si>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</si>
  <si>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</si>
  <si>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</si>
  <si>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</si>
  <si>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</si>
  <si>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</si>
  <si>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</si>
  <si>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</si>
  <si>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</si>
  <si>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</si>
  <si>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</si>
  <si>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</si>
  <si>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</si>
  <si>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</si>
  <si>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</si>
  <si>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</si>
  <si>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</si>
  <si>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</si>
  <si>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</si>
  <si>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</si>
  <si>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</si>
  <si>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</si>
  <si>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</si>
  <si>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</si>
  <si>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</si>
  <si>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</si>
  <si>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</si>
  <si>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</si>
  <si>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</si>
  <si>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</si>
  <si>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</si>
  <si>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</si>
  <si>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</si>
  <si>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</si>
  <si>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</si>
  <si>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</si>
  <si>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</si>
  <si>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</si>
  <si>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</si>
  <si>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</si>
  <si>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</si>
  <si>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</si>
  <si>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</si>
  <si>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</si>
  <si>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</si>
  <si>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</si>
  <si>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</si>
  <si>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</si>
  <si>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</si>
  <si>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</si>
  <si>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</si>
  <si>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</si>
  <si>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</si>
  <si>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</si>
  <si>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</si>
  <si>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</si>
  <si>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</si>
  <si>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</si>
  <si>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</si>
  <si>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</si>
  <si>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</si>
  <si>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</si>
  <si>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</si>
  <si>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</si>
  <si>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</si>
  <si>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</si>
  <si>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</si>
  <si>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</si>
  <si>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</si>
  <si>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</si>
  <si>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</si>
  <si>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</si>
  <si>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</si>
  <si>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</si>
  <si>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</si>
  <si>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</si>
  <si>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</si>
  <si>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</si>
  <si>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</si>
  <si>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</si>
  <si>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</si>
  <si>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</si>
  <si>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</si>
  <si>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</si>
  <si>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</si>
  <si>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</si>
  <si>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</si>
  <si>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</si>
  <si>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</si>
  <si>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</si>
  <si>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</si>
  <si>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</si>
  <si>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</si>
  <si>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</si>
  <si>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</si>
  <si>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</si>
  <si>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</si>
  <si>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</si>
  <si>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</si>
  <si>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</si>
  <si>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</si>
  <si>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</si>
  <si>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</si>
  <si>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</si>
  <si>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</si>
  <si>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</si>
  <si>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</si>
  <si>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</si>
  <si>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</si>
  <si>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</si>
  <si>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</si>
  <si>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</si>
  <si>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</si>
  <si>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</si>
  <si>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</si>
  <si>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</si>
  <si>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</si>
  <si>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</si>
  <si>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</si>
  <si>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</si>
  <si>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</si>
  <si>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</si>
  <si>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</si>
  <si>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</si>
  <si>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</si>
  <si>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</si>
  <si>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</si>
  <si>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</si>
  <si>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</si>
  <si>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</si>
  <si>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</si>
  <si>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</si>
  <si>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</si>
  <si>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</si>
  <si>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</si>
  <si>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</si>
  <si>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</si>
  <si>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</si>
  <si>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</si>
  <si>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</si>
  <si>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</si>
  <si>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</si>
  <si>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</si>
  <si>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</si>
  <si>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</si>
  <si>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</si>
  <si>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</si>
  <si>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</si>
  <si>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</si>
  <si>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</si>
  <si>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</si>
  <si>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</si>
  <si>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</si>
  <si>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</si>
  <si>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</si>
  <si>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</si>
  <si>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</si>
  <si>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</si>
  <si>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</si>
  <si>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</si>
  <si>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</si>
  <si>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</si>
  <si>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</si>
  <si>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</si>
  <si>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</si>
  <si>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</si>
  <si>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</si>
  <si>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</si>
  <si>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</si>
  <si>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</si>
  <si>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</si>
  <si>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</si>
  <si>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</si>
  <si>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</si>
  <si>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</si>
  <si>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</si>
  <si>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</si>
  <si>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</si>
  <si>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</si>
  <si>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</si>
  <si>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</si>
  <si>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</si>
  <si>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</si>
  <si>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</si>
  <si>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</si>
  <si>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</si>
  <si>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</si>
  <si>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</si>
  <si>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</si>
  <si>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</si>
  <si>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</si>
  <si>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</si>
  <si>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</si>
  <si>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</si>
  <si>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</si>
  <si>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</si>
  <si>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</si>
  <si>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</si>
  <si>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</si>
  <si>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</si>
  <si>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</si>
  <si>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</si>
  <si>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</si>
  <si>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</si>
  <si>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</si>
  <si>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</si>
  <si>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</si>
  <si>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</si>
  <si>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</si>
  <si>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</si>
  <si>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</si>
  <si>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</si>
  <si>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</si>
  <si>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</si>
  <si>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</si>
  <si>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</si>
  <si>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</si>
  <si>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</si>
  <si>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</si>
  <si>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</si>
  <si>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</si>
  <si>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</si>
  <si>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</si>
  <si>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</si>
  <si>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</si>
  <si>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</si>
  <si>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</si>
  <si>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</si>
  <si>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</si>
  <si>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</si>
  <si>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</si>
  <si>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</si>
  <si>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</si>
  <si>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</si>
  <si>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</si>
  <si>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</si>
  <si>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</si>
  <si>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</si>
  <si>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</si>
  <si>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</si>
  <si>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</si>
  <si>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</si>
  <si>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</si>
  <si>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</si>
  <si>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</si>
  <si>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</si>
  <si>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</si>
  <si>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</si>
  <si>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</si>
  <si>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</si>
  <si>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</si>
  <si>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</si>
  <si>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</si>
  <si>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</si>
  <si>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</si>
  <si>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</si>
  <si>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</si>
  <si>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</si>
  <si>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</si>
  <si>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</si>
  <si>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</si>
  <si>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</si>
  <si>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</si>
  <si>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</si>
  <si>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</si>
  <si>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</si>
  <si>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</si>
  <si>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</si>
  <si>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</si>
  <si>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</si>
  <si>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</si>
  <si>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</si>
  <si>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</si>
  <si>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</si>
  <si>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</si>
  <si>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</si>
  <si>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</si>
  <si>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</si>
  <si>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</si>
  <si>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</si>
  <si>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</si>
  <si>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</si>
  <si>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</si>
  <si>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</si>
  <si>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</si>
  <si>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</si>
  <si>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</si>
  <si>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</si>
  <si>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</si>
  <si>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</si>
  <si>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</si>
  <si>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</si>
  <si>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</si>
  <si>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</si>
  <si>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</si>
  <si>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</si>
  <si>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</si>
  <si>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</si>
  <si>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</si>
  <si>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</si>
  <si>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</si>
  <si>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</si>
  <si>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</si>
  <si>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</si>
  <si>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</si>
  <si>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</si>
  <si>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</si>
  <si>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</si>
  <si>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</si>
  <si>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</si>
  <si>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</si>
  <si>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</si>
  <si>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</si>
  <si>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</si>
  <si>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</si>
  <si>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</si>
  <si>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</si>
  <si>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</si>
  <si>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</si>
  <si>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</si>
  <si>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</si>
  <si>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</si>
  <si>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</si>
  <si>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</si>
  <si>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</si>
  <si>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</si>
  <si>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</si>
  <si>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</si>
  <si>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</si>
  <si>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</si>
  <si>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</si>
  <si>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</si>
  <si>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</si>
  <si>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</si>
  <si>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</si>
  <si>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</si>
  <si>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</si>
  <si>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</si>
  <si>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</si>
  <si>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</si>
  <si>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</si>
  <si>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</si>
  <si>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</si>
  <si>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</si>
  <si>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</si>
  <si>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</si>
  <si>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</si>
  <si>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</si>
  <si>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</si>
  <si>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</si>
  <si>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</si>
  <si>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</si>
  <si>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</si>
  <si>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</si>
  <si>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</si>
  <si>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</si>
  <si>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</si>
  <si>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</si>
  <si>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</si>
  <si>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</si>
  <si>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</si>
  <si>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</si>
  <si>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</si>
  <si>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</si>
  <si>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</si>
  <si>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</si>
  <si>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</si>
  <si>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</si>
  <si>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</si>
  <si>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</si>
  <si>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</si>
  <si>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</si>
  <si>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</si>
  <si>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</si>
  <si>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</si>
  <si>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</si>
  <si>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</si>
  <si>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</si>
  <si>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</si>
  <si>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</si>
  <si>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</si>
  <si>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</si>
  <si>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</si>
  <si>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</si>
  <si>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</si>
  <si>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</si>
  <si>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</si>
  <si>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</si>
  <si>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</si>
  <si>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</si>
  <si>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</si>
  <si>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</si>
  <si>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</si>
  <si>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</si>
  <si>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</si>
  <si>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</si>
  <si>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</si>
  <si>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</si>
  <si>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</si>
  <si>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</si>
  <si>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</si>
  <si>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</si>
  <si>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</si>
  <si>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</si>
  <si>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</si>
  <si>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</si>
  <si>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</si>
  <si>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</si>
  <si>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</si>
  <si>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</si>
  <si>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</si>
  <si>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</si>
  <si>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</si>
  <si>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</si>
  <si>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</si>
  <si>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</si>
  <si>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</si>
  <si>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</si>
  <si>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</si>
  <si>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</si>
  <si>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</si>
  <si>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</si>
  <si>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</si>
  <si>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</si>
  <si>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</si>
  <si>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</si>
  <si>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</si>
  <si>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</si>
  <si>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</si>
  <si>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</si>
  <si>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</si>
  <si>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</si>
  <si>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</si>
  <si>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</si>
  <si>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</si>
  <si>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</si>
  <si>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</si>
  <si>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</si>
  <si>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</si>
  <si>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</si>
  <si>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</si>
  <si>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</si>
  <si>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</si>
  <si>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</si>
  <si>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</si>
  <si>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</si>
  <si>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</si>
  <si>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</si>
  <si>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</si>
  <si>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</si>
  <si>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</si>
  <si>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</si>
  <si>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</si>
  <si>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</si>
  <si>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</si>
  <si>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</si>
  <si>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</si>
  <si>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</si>
  <si>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</si>
  <si>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</si>
  <si>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</si>
  <si>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</si>
  <si>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</si>
  <si>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</si>
  <si>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</si>
  <si>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</si>
  <si>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</si>
  <si>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</si>
  <si>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</si>
  <si>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</si>
  <si>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</si>
  <si>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</si>
  <si>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</si>
  <si>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</si>
  <si>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</si>
  <si>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</si>
  <si>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</si>
  <si>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</si>
  <si>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</si>
  <si>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</si>
  <si>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</si>
  <si>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</si>
  <si>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</si>
  <si>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</si>
  <si>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</si>
  <si>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</si>
  <si>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</si>
  <si>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</si>
  <si>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</si>
  <si>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</si>
  <si>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</si>
  <si>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</si>
  <si>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</si>
  <si>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</si>
  <si>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</si>
  <si>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</si>
  <si>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</si>
  <si>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</si>
  <si>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</si>
  <si>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</si>
  <si>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</si>
  <si>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</si>
  <si>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</si>
  <si>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</si>
  <si>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</si>
  <si>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</si>
  <si>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</si>
  <si>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</si>
  <si>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</si>
  <si>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</si>
  <si>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</si>
  <si>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</si>
  <si>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</si>
  <si>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</si>
  <si>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</si>
  <si>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</si>
  <si>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</si>
  <si>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</si>
  <si>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</si>
  <si>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</si>
  <si>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</si>
  <si>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</si>
  <si>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</si>
  <si>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</si>
  <si>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</si>
  <si>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</si>
  <si>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</si>
  <si>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</si>
  <si>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</si>
  <si>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</si>
  <si>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</si>
  <si>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</si>
  <si>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</si>
  <si>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</si>
  <si>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</si>
  <si>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</si>
  <si>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</si>
  <si>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</si>
  <si>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</si>
  <si>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</si>
  <si>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</si>
  <si>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</si>
  <si>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</si>
  <si>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</si>
  <si>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</si>
  <si>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</si>
  <si>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</si>
  <si>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</si>
  <si>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</si>
  <si>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</si>
  <si>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</si>
  <si>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</si>
  <si>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</si>
  <si>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</si>
  <si>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</si>
  <si>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</si>
  <si>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</si>
  <si>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</si>
  <si>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</si>
  <si>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</si>
  <si>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</si>
  <si>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</si>
  <si>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</si>
  <si>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</si>
  <si>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</si>
  <si>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</si>
  <si>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</si>
  <si>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</si>
  <si>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</si>
  <si>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</si>
  <si>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</si>
  <si>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</si>
  <si>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</si>
  <si>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</si>
  <si>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</si>
  <si>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</si>
  <si>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</si>
  <si>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</si>
  <si>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</si>
  <si>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</si>
  <si>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</si>
  <si>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</si>
  <si>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</si>
  <si>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</si>
  <si>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</si>
  <si>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</si>
  <si>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</si>
  <si>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</si>
  <si>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</si>
  <si>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</si>
  <si>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</si>
  <si>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</si>
  <si>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</si>
  <si>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</si>
  <si>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</si>
  <si>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</si>
  <si>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</si>
  <si>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</si>
  <si>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</si>
  <si>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</si>
  <si>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</si>
  <si>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</si>
  <si>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</si>
  <si>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</si>
  <si>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</si>
  <si>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</si>
  <si>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</si>
  <si>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</si>
  <si>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</si>
  <si>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</si>
  <si>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</si>
  <si>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</si>
  <si>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</si>
  <si>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</si>
  <si>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</si>
  <si>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</si>
  <si>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</si>
  <si>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</si>
  <si>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</si>
  <si>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</si>
  <si>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</si>
  <si>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</si>
  <si>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</si>
  <si>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</si>
  <si>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</si>
  <si>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</si>
  <si>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</si>
  <si>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</si>
  <si>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</si>
  <si>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</si>
  <si>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</si>
  <si>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</si>
  <si>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</si>
  <si>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</si>
  <si>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</si>
  <si>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</si>
  <si>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</si>
  <si>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</si>
  <si>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</si>
  <si>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</si>
  <si>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</si>
  <si>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</si>
  <si>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</si>
  <si>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</si>
  <si>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</si>
  <si>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</si>
  <si>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</si>
  <si>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</si>
  <si>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</si>
  <si>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</si>
  <si>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</si>
  <si>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</si>
  <si>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</si>
  <si>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</si>
  <si>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</si>
  <si>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</si>
  <si>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</si>
  <si>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</si>
  <si>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</si>
  <si>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</si>
  <si>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</si>
  <si>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</si>
  <si>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</si>
  <si>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</si>
  <si>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</si>
  <si>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</si>
  <si>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</si>
  <si>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</si>
  <si>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</si>
  <si>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</si>
  <si>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</si>
  <si>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</si>
  <si>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</si>
  <si>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</si>
  <si>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</si>
  <si>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</si>
  <si>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</si>
  <si>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</si>
  <si>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</si>
  <si>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</si>
  <si>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</si>
  <si>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</si>
  <si>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</si>
  <si>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</si>
  <si>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</si>
  <si>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</si>
  <si>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</si>
  <si>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</si>
  <si>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</si>
  <si>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</si>
  <si>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</si>
  <si>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</si>
  <si>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</si>
  <si>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</si>
  <si>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</si>
  <si>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</si>
  <si>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</si>
  <si>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</si>
  <si>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</si>
  <si>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</si>
  <si>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</si>
  <si>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</si>
  <si>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</si>
  <si>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</si>
  <si>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</si>
  <si>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</si>
  <si>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</si>
  <si>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</si>
  <si>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</si>
  <si>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</si>
  <si>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</si>
  <si>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</si>
  <si>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</si>
  <si>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</si>
  <si>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</si>
  <si>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</si>
  <si>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</si>
  <si>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</si>
  <si>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</si>
  <si>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</si>
  <si>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</si>
  <si>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</si>
  <si>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</si>
  <si>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</si>
  <si>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</si>
  <si>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</si>
  <si>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</si>
  <si>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</si>
  <si>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</si>
  <si>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</si>
  <si>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</si>
  <si>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</si>
  <si>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</si>
  <si>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</si>
  <si>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</si>
  <si>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</si>
  <si>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</si>
  <si>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</si>
  <si>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</si>
  <si>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</si>
  <si>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</si>
  <si>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</si>
  <si>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</si>
  <si>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</si>
  <si>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</si>
  <si>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</si>
  <si>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</si>
  <si>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</si>
  <si>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</si>
  <si>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</si>
  <si>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</si>
  <si>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</si>
  <si>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</si>
  <si>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</si>
  <si>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</si>
  <si>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</si>
  <si>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</si>
  <si>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</si>
  <si>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</si>
  <si>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</si>
  <si>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</si>
  <si>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</si>
  <si>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</si>
  <si>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</si>
  <si>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</si>
  <si>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</si>
  <si>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</si>
  <si>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</si>
  <si>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</si>
  <si>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</si>
  <si>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</si>
  <si>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</si>
  <si>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</si>
  <si>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</si>
  <si>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</si>
  <si>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</si>
  <si>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</si>
  <si>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</si>
  <si>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</si>
  <si>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</si>
  <si>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</si>
  <si>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</si>
  <si>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</si>
  <si>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</si>
  <si>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</si>
  <si>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</si>
  <si>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</si>
  <si>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</si>
  <si>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</si>
  <si>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</si>
  <si>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</si>
  <si>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</si>
  <si>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</si>
  <si>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</si>
  <si>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</si>
  <si>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</si>
  <si>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</si>
  <si>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</si>
  <si>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</si>
  <si>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</si>
  <si>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</si>
  <si>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</si>
  <si>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</si>
  <si>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</si>
  <si>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</si>
  <si>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</si>
  <si>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</si>
  <si>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</si>
  <si>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</si>
  <si>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</si>
  <si>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</si>
  <si>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</si>
  <si>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</si>
  <si>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</si>
  <si>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</si>
  <si>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</si>
  <si>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</si>
  <si>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</si>
  <si>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</si>
  <si>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</si>
  <si>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</si>
  <si>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</si>
  <si>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</si>
  <si>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</si>
  <si>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</si>
  <si>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</si>
  <si>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</si>
  <si>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</si>
  <si>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</si>
  <si>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</si>
  <si>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</si>
  <si>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</si>
  <si>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</si>
  <si>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</si>
  <si>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</si>
  <si>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</si>
  <si>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</si>
  <si>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</si>
  <si>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</si>
  <si>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</si>
  <si>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</si>
  <si>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</si>
  <si>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</si>
  <si>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</si>
  <si>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</si>
  <si>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</si>
  <si>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</si>
  <si>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</si>
  <si>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</si>
  <si>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</si>
  <si>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</si>
  <si>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</si>
  <si>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</si>
  <si>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</si>
  <si>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</si>
  <si>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</si>
  <si>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</si>
  <si>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</si>
  <si>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</si>
  <si>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</si>
  <si>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</si>
  <si>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</si>
  <si>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</si>
  <si>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</si>
  <si>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</si>
  <si>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</si>
  <si>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</si>
  <si>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</si>
  <si>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</si>
  <si>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</si>
  <si>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</si>
  <si>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</si>
  <si>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</si>
  <si>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</si>
  <si>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</si>
  <si>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</si>
  <si>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</si>
  <si>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</si>
  <si>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</si>
  <si>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</si>
  <si>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</si>
  <si>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</si>
  <si>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</si>
  <si>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</si>
  <si>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</si>
  <si>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</si>
  <si>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</si>
  <si>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</si>
  <si>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</si>
  <si>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</si>
  <si>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</si>
  <si>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</si>
  <si>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</si>
  <si>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</si>
  <si>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</si>
  <si>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</si>
  <si>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</si>
  <si>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</si>
  <si>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</si>
  <si>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</si>
  <si>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</si>
  <si>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</si>
  <si>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</si>
  <si>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</si>
  <si>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</si>
  <si>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</si>
  <si>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</si>
  <si>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</si>
  <si>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</si>
  <si>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</si>
  <si>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</si>
  <si>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</si>
  <si>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</si>
  <si>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</si>
  <si>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</si>
  <si>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</si>
  <si>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</si>
  <si>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</si>
  <si>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</si>
  <si>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</si>
  <si>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</si>
  <si>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</si>
  <si>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</si>
  <si>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</si>
  <si>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</si>
  <si>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</si>
  <si>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</si>
  <si>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</si>
  <si>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</si>
  <si>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</si>
  <si>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</si>
  <si>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</si>
  <si>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</si>
  <si>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</si>
  <si>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</si>
  <si>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</si>
  <si>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</si>
  <si>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</si>
  <si>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</si>
  <si>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</si>
  <si>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</si>
  <si>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</si>
  <si>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</si>
  <si>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</si>
  <si>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</si>
  <si>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</si>
  <si>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</si>
  <si>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</si>
  <si>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</si>
  <si>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</si>
  <si>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</si>
  <si>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</si>
  <si>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</si>
  <si>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</si>
  <si>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</si>
  <si>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</si>
  <si>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</si>
  <si>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</si>
  <si>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</si>
  <si>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</si>
  <si>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</si>
  <si>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</si>
  <si>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</si>
  <si>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</si>
  <si>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</si>
  <si>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</si>
  <si>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</si>
  <si>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</si>
  <si>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</si>
  <si>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</si>
  <si>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</si>
  <si>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</si>
  <si>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</si>
  <si>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</si>
  <si>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</si>
  <si>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</si>
  <si>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</si>
  <si>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</si>
  <si>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</si>
  <si>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</si>
  <si>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</si>
  <si>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</si>
  <si>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</si>
  <si>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</si>
  <si>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</si>
  <si>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</si>
  <si>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</si>
  <si>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</si>
  <si>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</si>
  <si>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</si>
  <si>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</si>
  <si>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</si>
  <si>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</si>
  <si>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</si>
  <si>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</si>
  <si>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</si>
  <si>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</si>
  <si>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</si>
  <si>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</si>
  <si>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</si>
  <si>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</si>
  <si>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</si>
  <si>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</si>
  <si>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</si>
  <si>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</si>
  <si>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</si>
  <si>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</si>
  <si>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</si>
  <si>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</si>
  <si>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</si>
  <si>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</si>
  <si>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</si>
  <si>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</si>
  <si>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</si>
  <si>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</si>
  <si>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</si>
  <si>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</si>
  <si>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</si>
  <si>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</si>
  <si>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</si>
  <si>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</si>
  <si>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</si>
  <si>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</si>
  <si>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</si>
  <si>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</si>
  <si>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</si>
  <si>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</si>
  <si>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</si>
  <si>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</si>
  <si>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</si>
  <si>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</si>
  <si>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</si>
  <si>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</si>
  <si>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</si>
  <si>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</si>
  <si>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</si>
  <si>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</si>
  <si>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</si>
  <si>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</si>
  <si>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</si>
  <si>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</si>
  <si>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</si>
  <si>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</si>
  <si>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</si>
  <si>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</si>
  <si>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</si>
  <si>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</si>
  <si>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</si>
  <si>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</si>
  <si>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</si>
  <si>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</si>
  <si>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</si>
  <si>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</si>
  <si>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</si>
  <si>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</si>
  <si>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</si>
  <si>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</si>
  <si>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</si>
  <si>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</si>
  <si>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</si>
  <si>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</si>
  <si>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</si>
  <si>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</si>
  <si>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</si>
  <si>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</si>
  <si>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</si>
  <si>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</si>
  <si>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</si>
  <si>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</si>
  <si>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</si>
  <si>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</si>
  <si>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</si>
  <si>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</si>
  <si>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</si>
  <si>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</si>
  <si>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</si>
  <si>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</si>
  <si>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</si>
  <si>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</si>
  <si>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</si>
  <si>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</si>
  <si>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</si>
  <si>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</si>
  <si>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</si>
  <si>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</si>
  <si>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</si>
  <si>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</si>
  <si>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</si>
  <si>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</si>
  <si>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</si>
  <si>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</si>
  <si>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</si>
  <si>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</si>
  <si>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</si>
  <si>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</si>
  <si>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</si>
  <si>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</si>
  <si>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</si>
  <si>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</si>
  <si>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</si>
  <si>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</si>
  <si>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</si>
  <si>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</si>
  <si>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</si>
  <si>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</si>
  <si>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</si>
  <si>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</si>
  <si>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</si>
  <si>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</si>
  <si>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</si>
  <si>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</si>
  <si>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</si>
  <si>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</si>
  <si>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</si>
  <si>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</si>
  <si>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</si>
  <si>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</si>
  <si>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</si>
  <si>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</si>
  <si>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</si>
  <si>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</si>
  <si>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</si>
  <si>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</si>
  <si>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</si>
  <si>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</si>
  <si>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</si>
  <si>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</si>
  <si>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</si>
  <si>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</si>
  <si>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</si>
  <si>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</si>
  <si>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</si>
  <si>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</si>
  <si>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</si>
  <si>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</si>
  <si>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</si>
  <si>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</si>
  <si>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</si>
  <si>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</si>
  <si>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</si>
  <si>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</si>
  <si>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</si>
  <si>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</si>
  <si>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</si>
  <si>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</si>
  <si>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</si>
  <si>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</si>
  <si>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</si>
  <si>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</si>
  <si>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</si>
  <si>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</si>
  <si>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</si>
  <si>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</si>
  <si>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</si>
  <si>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</si>
  <si>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</si>
  <si>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</si>
  <si>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</si>
  <si>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</si>
  <si>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</si>
  <si>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</si>
  <si>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</si>
  <si>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</si>
  <si>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</si>
  <si>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</si>
  <si>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</si>
  <si>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</si>
  <si>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</si>
  <si>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</si>
  <si>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</si>
  <si>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</si>
  <si>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</si>
  <si>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</si>
  <si>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</si>
  <si>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</si>
  <si>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</si>
  <si>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</si>
  <si>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</si>
  <si>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</si>
  <si>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</si>
  <si>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</si>
  <si>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</si>
  <si>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</si>
  <si>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</si>
  <si>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</si>
  <si>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</si>
  <si>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</si>
  <si>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</si>
  <si>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</si>
  <si>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</si>
  <si>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</si>
  <si>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</si>
  <si>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</si>
  <si>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</si>
  <si>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</si>
  <si>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</si>
  <si>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</si>
  <si>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</si>
  <si>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</si>
  <si>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</si>
  <si>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</si>
  <si>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</si>
  <si>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</si>
  <si>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</si>
  <si>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</si>
  <si>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</si>
  <si>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</si>
  <si>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</si>
  <si>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</si>
  <si>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</si>
  <si>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</si>
  <si>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</si>
  <si>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</si>
  <si>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</si>
  <si>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</si>
  <si>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</si>
  <si>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</si>
  <si>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</si>
  <si>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</si>
  <si>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</si>
  <si>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</si>
  <si>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</si>
  <si>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</si>
  <si>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</si>
  <si>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</si>
  <si>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</si>
  <si>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</si>
  <si>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</si>
  <si>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</si>
  <si>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</si>
  <si>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</si>
  <si>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</si>
  <si>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</si>
  <si>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</si>
  <si>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</si>
  <si>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</si>
  <si>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</si>
  <si>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</si>
  <si>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</si>
  <si>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</si>
  <si>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</si>
  <si>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</si>
  <si>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</si>
  <si>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</si>
  <si>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</si>
  <si>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</si>
  <si>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</si>
  <si>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</si>
  <si>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</si>
  <si>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</si>
  <si>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</si>
  <si>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</si>
  <si>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</si>
  <si>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</si>
  <si>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</si>
  <si>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</si>
  <si>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</si>
  <si>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</si>
  <si>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</si>
  <si>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</si>
  <si>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</si>
  <si>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</si>
  <si>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</si>
  <si>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</si>
  <si>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</si>
  <si>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</si>
  <si>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</si>
  <si>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</si>
  <si>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</si>
  <si>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</si>
  <si>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</si>
  <si>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</si>
  <si>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</si>
  <si>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</si>
  <si>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</si>
  <si>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</si>
  <si>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</si>
  <si>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</si>
  <si>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</si>
  <si>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</si>
  <si>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</si>
  <si>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</si>
  <si>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</si>
  <si>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</si>
  <si>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</si>
  <si>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</si>
  <si>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</si>
  <si>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</si>
  <si>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</si>
  <si>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</si>
  <si>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</si>
  <si>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</si>
  <si>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</si>
  <si>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</si>
  <si>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</si>
  <si>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</si>
  <si>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</si>
  <si>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</si>
  <si>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</si>
  <si>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</si>
  <si>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</si>
  <si>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</si>
  <si>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</si>
  <si>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</si>
  <si>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</si>
  <si>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</si>
  <si>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</si>
  <si>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</si>
  <si>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</si>
  <si>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</si>
  <si>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</si>
  <si>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</si>
  <si>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</si>
  <si>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</si>
  <si>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</si>
  <si>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</si>
  <si>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</si>
  <si>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</si>
  <si>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</si>
  <si>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</si>
  <si>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</si>
  <si>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</si>
  <si>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</si>
  <si>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</si>
  <si>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</si>
  <si>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</si>
  <si>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</si>
  <si>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</si>
  <si>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</si>
  <si>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</si>
  <si>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</si>
  <si>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</si>
  <si>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</si>
  <si>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</si>
  <si>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</si>
  <si>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</si>
  <si>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</si>
  <si>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</si>
  <si>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</si>
  <si>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</si>
  <si>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</si>
  <si>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</si>
  <si>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</si>
  <si>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</si>
  <si>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</si>
  <si>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</si>
  <si>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</si>
  <si>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</si>
  <si>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</si>
  <si>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</si>
  <si>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</si>
  <si>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</si>
  <si>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</si>
  <si>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</si>
  <si>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</si>
  <si>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</si>
  <si>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</si>
  <si>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</si>
  <si>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</si>
  <si>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</si>
  <si>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</si>
  <si>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</si>
  <si>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</si>
  <si>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</si>
  <si>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</si>
  <si>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</si>
  <si>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</si>
  <si>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</si>
  <si>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</si>
  <si>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</si>
  <si>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</si>
  <si>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</si>
  <si>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</si>
  <si>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</si>
  <si>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</si>
  <si>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</si>
  <si>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</si>
  <si>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</si>
  <si>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</si>
  <si>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</si>
  <si>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</si>
  <si>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</si>
  <si>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</si>
  <si>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</si>
  <si>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</si>
  <si>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</si>
  <si>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</si>
  <si>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</si>
  <si>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</si>
  <si>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</si>
  <si>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</si>
  <si>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</si>
  <si>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</si>
  <si>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</si>
  <si>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</si>
  <si>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</si>
  <si>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</si>
  <si>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</si>
  <si>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</si>
  <si>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</si>
  <si>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</si>
  <si>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</si>
  <si>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</si>
  <si>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</si>
  <si>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</si>
  <si>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</si>
  <si>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</si>
  <si>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</si>
  <si>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</si>
  <si>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</si>
  <si>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</si>
  <si>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</si>
  <si>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</si>
  <si>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</si>
  <si>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</si>
  <si>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</si>
  <si>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</si>
  <si>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</si>
  <si>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</si>
  <si>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</si>
  <si>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</si>
  <si>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</si>
  <si>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</si>
  <si>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</si>
  <si>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</si>
  <si>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</si>
  <si>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</si>
  <si>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</si>
  <si>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</si>
  <si>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</si>
  <si>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</si>
  <si>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</si>
  <si>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</si>
  <si>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</si>
  <si>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</si>
  <si>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</si>
  <si>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</si>
  <si>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</si>
  <si>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</si>
  <si>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</si>
  <si>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</si>
  <si>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</si>
  <si>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</si>
  <si>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</si>
  <si>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</si>
  <si>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</si>
  <si>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</si>
  <si>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</si>
  <si>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</si>
  <si>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</si>
  <si>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</si>
  <si>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</si>
  <si>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</si>
  <si>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</si>
  <si>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</si>
  <si>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</si>
  <si>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</si>
  <si>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</si>
  <si>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</si>
  <si>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</si>
  <si>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</si>
  <si>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</si>
  <si>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</si>
  <si>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</si>
  <si>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</si>
  <si>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</si>
  <si>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</si>
  <si>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</si>
  <si>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</si>
  <si>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</si>
  <si>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</si>
  <si>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</si>
  <si>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</si>
  <si>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</si>
  <si>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</si>
  <si>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</si>
  <si>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</si>
  <si>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</si>
  <si>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</si>
  <si>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</si>
  <si>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</si>
  <si>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</si>
  <si>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</si>
  <si>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</si>
  <si>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</si>
  <si>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</si>
  <si>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</si>
  <si>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</si>
  <si>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</si>
  <si>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</si>
  <si>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</si>
  <si>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</si>
  <si>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</si>
  <si>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</si>
  <si>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</si>
  <si>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</si>
  <si>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</si>
  <si>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</si>
  <si>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</si>
  <si>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</si>
  <si>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</si>
  <si>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</si>
  <si>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</si>
  <si>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</si>
  <si>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</si>
  <si>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</si>
  <si>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</si>
  <si>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</si>
  <si>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</si>
  <si>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</si>
  <si>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</si>
  <si>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</si>
  <si>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</si>
  <si>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</si>
  <si>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</si>
  <si>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</si>
  <si>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</si>
  <si>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</si>
  <si>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</si>
  <si>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</si>
  <si>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</si>
  <si>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</si>
  <si>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</si>
  <si>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</si>
  <si>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</si>
  <si>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</si>
  <si>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</si>
  <si>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</si>
  <si>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</si>
  <si>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</si>
  <si>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</si>
  <si>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</si>
  <si>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</si>
  <si>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</si>
  <si>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</si>
  <si>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</si>
  <si>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</si>
  <si>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</si>
  <si>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</si>
  <si>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</si>
  <si>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</si>
  <si>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</si>
  <si>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</si>
  <si>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</si>
  <si>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</si>
  <si>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</si>
  <si>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</si>
  <si>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</si>
  <si>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</si>
  <si>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</si>
  <si>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</si>
  <si>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</si>
  <si>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</si>
  <si>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</si>
  <si>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</si>
  <si>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</si>
  <si>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</si>
  <si>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</si>
  <si>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</si>
  <si>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</si>
  <si>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</si>
  <si>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</si>
  <si>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</si>
  <si>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</si>
  <si>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</si>
  <si>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</si>
  <si>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</si>
  <si>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</si>
  <si>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</si>
  <si>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</si>
  <si>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</si>
  <si>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</si>
  <si>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</si>
  <si>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</si>
  <si>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</si>
  <si>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</si>
  <si>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</si>
  <si>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</si>
  <si>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</si>
  <si>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</si>
  <si>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</si>
  <si>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</si>
  <si>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</si>
  <si>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</si>
  <si>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</si>
  <si>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</si>
  <si>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</si>
  <si>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</si>
  <si>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</si>
  <si>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</si>
  <si>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</si>
  <si>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</si>
  <si>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</si>
  <si>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</si>
  <si>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</si>
  <si>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</si>
  <si>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</si>
  <si>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</si>
  <si>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</si>
  <si>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</si>
  <si>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</si>
  <si>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</si>
  <si>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</si>
  <si>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</si>
  <si>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</si>
  <si>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</si>
  <si>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</si>
  <si>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</si>
  <si>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</si>
  <si>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</si>
  <si>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</si>
  <si>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</si>
  <si>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</si>
  <si>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</si>
  <si>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</si>
  <si>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</si>
  <si>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</si>
  <si>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</si>
  <si>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</si>
  <si>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</si>
  <si>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</si>
  <si>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</si>
  <si>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</si>
  <si>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</si>
  <si>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</si>
  <si>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</si>
  <si>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</si>
  <si>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</si>
  <si>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</si>
  <si>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</si>
  <si>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</si>
  <si>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</si>
  <si>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</si>
  <si>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</si>
  <si>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</si>
  <si>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</si>
  <si>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</si>
  <si>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</si>
  <si>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</si>
  <si>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</si>
  <si>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</si>
  <si>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</si>
  <si>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</si>
  <si>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</si>
  <si>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</si>
  <si>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</si>
  <si>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</si>
  <si>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</si>
  <si>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</si>
  <si>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</si>
  <si>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</si>
  <si>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</si>
  <si>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</si>
  <si>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</si>
  <si>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</si>
  <si>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</si>
  <si>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</si>
  <si>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</si>
  <si>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</si>
  <si>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</si>
  <si>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</si>
  <si>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</si>
  <si>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</si>
  <si>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</si>
  <si>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</si>
  <si>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</si>
  <si>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</si>
  <si>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</si>
  <si>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</si>
  <si>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</si>
  <si>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</si>
  <si>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</si>
  <si>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</si>
  <si>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</si>
  <si>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</si>
  <si>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</si>
  <si>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</si>
  <si>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</si>
  <si>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</si>
  <si>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</si>
  <si>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</si>
  <si>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</si>
  <si>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</si>
  <si>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</si>
  <si>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</si>
  <si>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</si>
  <si>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</si>
  <si>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</si>
  <si>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</si>
  <si>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</si>
  <si>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</si>
  <si>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</si>
  <si>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</si>
  <si>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</si>
  <si>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</si>
  <si>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</si>
  <si>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</si>
  <si>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</si>
  <si>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</si>
  <si>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</si>
  <si>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</si>
  <si>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</si>
  <si>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</si>
  <si>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</si>
  <si>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</si>
  <si>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</si>
  <si>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</si>
  <si>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</si>
  <si>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</si>
  <si>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</si>
  <si>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</si>
  <si>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</si>
  <si>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</si>
  <si>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</si>
  <si>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</si>
  <si>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</si>
  <si>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</si>
  <si>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</si>
  <si>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</si>
  <si>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</si>
  <si>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</si>
  <si>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</si>
  <si>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</si>
  <si>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</si>
  <si>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</si>
  <si>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</si>
  <si>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</si>
  <si>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</si>
  <si>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</si>
  <si>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</si>
  <si>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</si>
  <si>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</si>
  <si>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</si>
  <si>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</si>
  <si>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</si>
  <si>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</si>
  <si>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</si>
  <si>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</si>
  <si>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</si>
  <si>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</si>
  <si>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</si>
  <si>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</si>
  <si>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</si>
  <si>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</si>
  <si>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</si>
  <si>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</si>
  <si>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</si>
  <si>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</si>
  <si>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</si>
  <si>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</si>
  <si>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</si>
  <si>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</si>
  <si>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</si>
  <si>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</si>
  <si>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</si>
  <si>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</si>
  <si>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</si>
  <si>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</si>
  <si>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</si>
  <si>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</si>
  <si>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</si>
  <si>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</si>
  <si>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</si>
  <si>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</si>
  <si>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</si>
  <si>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</si>
  <si>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</si>
  <si>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</si>
  <si>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</si>
  <si>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</si>
  <si>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</si>
  <si>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</si>
  <si>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</si>
  <si>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</si>
  <si>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</si>
  <si>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</si>
  <si>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</si>
  <si>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</si>
  <si>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</si>
  <si>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</si>
  <si>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</si>
  <si>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</si>
  <si>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</si>
  <si>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</si>
  <si>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</si>
  <si>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</si>
  <si>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</si>
  <si>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</si>
  <si>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</si>
  <si>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</si>
  <si>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</si>
  <si>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</si>
  <si>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</si>
  <si>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</si>
  <si>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</si>
  <si>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</si>
  <si>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</si>
  <si>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</si>
  <si>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</si>
  <si>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</si>
  <si>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</si>
  <si>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</si>
  <si>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</si>
  <si>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</si>
  <si>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</si>
  <si>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</si>
  <si>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</si>
  <si>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</si>
  <si>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</si>
  <si>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</si>
  <si>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</si>
  <si>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</si>
  <si>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</si>
  <si>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</si>
  <si>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</si>
  <si>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</si>
  <si>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</si>
  <si>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</si>
  <si>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</si>
  <si>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</si>
  <si>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</si>
  <si>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</si>
  <si>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</si>
  <si>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</si>
  <si>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</si>
  <si>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</si>
  <si>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</si>
  <si>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</si>
  <si>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</si>
  <si>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</si>
  <si>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</si>
  <si>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</si>
  <si>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</si>
  <si>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</si>
  <si>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</si>
  <si>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</si>
  <si>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</si>
  <si>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</si>
  <si>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</si>
  <si>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</si>
  <si>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</si>
  <si>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</si>
  <si>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</si>
  <si>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</si>
  <si>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</si>
  <si>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</si>
  <si>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</si>
  <si>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</si>
  <si>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</si>
  <si>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</si>
  <si>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</si>
  <si>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</si>
  <si>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</si>
  <si>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</si>
  <si>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</si>
  <si>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</si>
  <si>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</si>
  <si>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</si>
  <si>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</si>
  <si>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</si>
  <si>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</si>
  <si>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</si>
  <si>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</si>
  <si>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</si>
  <si>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</si>
  <si>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</si>
  <si>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</si>
  <si>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</si>
  <si>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</si>
  <si>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</si>
  <si>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</si>
  <si>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</si>
  <si>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</si>
  <si>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</si>
  <si>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</si>
  <si>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</si>
  <si>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</si>
  <si>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</si>
  <si>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</si>
  <si>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</si>
  <si>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</si>
  <si>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</si>
  <si>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</si>
  <si>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</si>
  <si>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</si>
  <si>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</si>
  <si>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</si>
  <si>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</si>
  <si>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</si>
  <si>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</si>
  <si>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</si>
  <si>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</si>
  <si>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</si>
  <si>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</si>
  <si>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</si>
  <si>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</si>
  <si>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</si>
  <si>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</si>
  <si>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</si>
  <si>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</si>
  <si>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</si>
  <si>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</si>
  <si>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</si>
  <si>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</si>
  <si>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</si>
  <si>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</si>
  <si>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</si>
  <si>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</si>
  <si>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</si>
  <si>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</si>
  <si>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</si>
  <si>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</si>
  <si>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</si>
  <si>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</si>
  <si>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</si>
  <si>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</si>
  <si>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</si>
  <si>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</si>
  <si>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</si>
  <si>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</si>
  <si>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</si>
  <si>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</si>
  <si>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</si>
  <si>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</si>
  <si>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</si>
  <si>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</si>
  <si>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</si>
  <si>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</si>
  <si>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</si>
  <si>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</si>
  <si>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</si>
  <si>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</si>
  <si>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</si>
  <si>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</si>
  <si>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</si>
  <si>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</si>
  <si>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</si>
  <si>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</si>
  <si>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</si>
  <si>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</si>
  <si>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</si>
  <si>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</si>
  <si>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</si>
  <si>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</si>
  <si>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</si>
  <si>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</si>
  <si>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</si>
  <si>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</si>
  <si>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</si>
  <si>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</si>
  <si>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</si>
  <si>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</si>
  <si>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</si>
  <si>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</si>
  <si>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</si>
  <si>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</si>
  <si>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</si>
  <si>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</si>
  <si>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</si>
  <si>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</si>
  <si>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</si>
  <si>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</si>
  <si>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</si>
  <si>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</si>
  <si>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</si>
  <si>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</si>
  <si>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</si>
  <si>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</si>
  <si>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</si>
  <si>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</si>
  <si>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</si>
  <si>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</si>
  <si>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</si>
  <si>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</si>
  <si>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</si>
  <si>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</si>
  <si>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</si>
  <si>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</si>
  <si>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</si>
  <si>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</si>
  <si>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</si>
  <si>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</si>
  <si>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</si>
  <si>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</si>
  <si>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</si>
  <si>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</si>
  <si>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</si>
  <si>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</si>
  <si>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</si>
  <si>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</si>
  <si>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</si>
  <si>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</si>
  <si>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</si>
  <si>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</si>
  <si>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</si>
  <si>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</si>
  <si>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</si>
  <si>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</si>
  <si>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</si>
  <si>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</si>
  <si>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</si>
  <si>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</si>
  <si>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</si>
  <si>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</si>
  <si>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</si>
  <si>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</si>
  <si>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</si>
  <si>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</si>
  <si>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</si>
  <si>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</si>
  <si>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</si>
  <si>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</si>
  <si>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</si>
  <si>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</si>
  <si>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</si>
  <si>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</si>
  <si>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</si>
  <si>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</si>
  <si>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</si>
  <si>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</si>
  <si>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</si>
  <si>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</si>
  <si>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</si>
  <si>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</si>
  <si>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</si>
  <si>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</si>
  <si>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</si>
  <si>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</si>
  <si>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</si>
  <si>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</si>
  <si>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</si>
  <si>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</si>
  <si>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</si>
  <si>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</si>
  <si>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</si>
  <si>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</si>
  <si>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</si>
  <si>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</si>
  <si>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</si>
  <si>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</si>
  <si>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</si>
  <si>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</si>
  <si>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</si>
  <si>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</si>
  <si>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</si>
  <si>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</si>
  <si>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</si>
  <si>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</si>
  <si>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</si>
  <si>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</si>
  <si>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</si>
  <si>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</si>
  <si>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</si>
  <si>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</si>
  <si>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</si>
  <si>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</si>
  <si>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</si>
  <si>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</si>
  <si>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</si>
  <si>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</si>
  <si>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</si>
  <si>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</si>
  <si>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</si>
  <si>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</si>
  <si>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</si>
  <si>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</si>
  <si>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</si>
  <si>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</si>
  <si>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</si>
  <si>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</si>
  <si>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</si>
  <si>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</si>
  <si>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</si>
  <si>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</si>
  <si>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</si>
  <si>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</si>
  <si>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</si>
  <si>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</si>
  <si>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</si>
  <si>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</si>
  <si>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</si>
  <si>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</si>
  <si>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</si>
  <si>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</si>
  <si>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</si>
  <si>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</si>
  <si>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</si>
  <si>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</si>
  <si>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</si>
  <si>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</si>
  <si>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</si>
  <si>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</si>
  <si>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</si>
  <si>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</si>
  <si>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</si>
  <si>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</si>
  <si>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</si>
  <si>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</si>
  <si>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</si>
  <si>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</si>
  <si>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</si>
  <si>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</si>
  <si>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</si>
  <si>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</si>
  <si>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</si>
  <si>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</si>
  <si>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</si>
  <si>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</si>
  <si>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</si>
  <si>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</si>
  <si>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</si>
  <si>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</si>
  <si>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</si>
  <si>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</si>
  <si>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</si>
  <si>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</si>
  <si>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</si>
  <si>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</si>
  <si>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</si>
  <si>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</si>
  <si>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</si>
  <si>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</si>
  <si>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</si>
  <si>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</si>
  <si>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</si>
  <si>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</si>
  <si>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</si>
  <si>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</si>
  <si>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</si>
  <si>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</si>
  <si>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</si>
  <si>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</si>
  <si>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</si>
  <si>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</si>
  <si>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</si>
  <si>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</si>
  <si>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</si>
  <si>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</si>
  <si>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</si>
  <si>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</si>
  <si>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</si>
  <si>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</si>
  <si>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</si>
  <si>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</si>
  <si>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</si>
  <si>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</si>
  <si>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</si>
  <si>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</si>
  <si>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</si>
  <si>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</si>
  <si>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</si>
  <si>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</si>
  <si>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</si>
  <si>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</si>
  <si>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</si>
  <si>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</si>
  <si>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</si>
  <si>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</si>
  <si>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</si>
  <si>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</si>
  <si>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</si>
  <si>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</si>
  <si>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</si>
  <si>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</si>
  <si>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</si>
  <si>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</si>
  <si>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</si>
  <si>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</si>
  <si>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</si>
  <si>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</si>
  <si>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</si>
  <si>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</si>
  <si>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</si>
  <si>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</si>
  <si>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</si>
  <si>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</si>
  <si>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</si>
  <si>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</si>
  <si>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</si>
  <si>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</si>
  <si>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</si>
  <si>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</si>
  <si>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</si>
  <si>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</si>
  <si>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</si>
  <si>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</si>
  <si>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</si>
  <si>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</si>
  <si>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</si>
  <si>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</si>
  <si>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</si>
  <si>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</si>
  <si>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</si>
  <si>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</si>
  <si>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</si>
  <si>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</si>
  <si>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</si>
  <si>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</si>
  <si>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</si>
  <si>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</si>
  <si>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</si>
  <si>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</si>
  <si>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</si>
  <si>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</si>
  <si>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</si>
  <si>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</si>
  <si>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</si>
  <si>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</si>
  <si>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</si>
  <si>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</si>
  <si>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</si>
  <si>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</si>
  <si>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</si>
  <si>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</si>
  <si>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</si>
  <si>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</si>
  <si>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</si>
  <si>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</si>
  <si>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</si>
  <si>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</si>
  <si>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</si>
  <si>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</si>
  <si>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</si>
  <si>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</si>
  <si>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</si>
  <si>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</si>
  <si>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</si>
  <si>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</si>
  <si>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</si>
  <si>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</si>
  <si>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</si>
  <si>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</si>
  <si>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</si>
  <si>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</si>
  <si>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</si>
  <si>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</si>
  <si>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</si>
  <si>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</si>
  <si>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</si>
  <si>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</si>
  <si>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</si>
  <si>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</si>
  <si>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</si>
  <si>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</si>
  <si>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</si>
  <si>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</si>
  <si>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</si>
  <si>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</si>
  <si>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</si>
  <si>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</si>
  <si>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</si>
  <si>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</si>
  <si>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</si>
  <si>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</si>
  <si>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</si>
  <si>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</si>
  <si>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</si>
  <si>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</si>
  <si>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</si>
  <si>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</si>
  <si>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</si>
  <si>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</si>
  <si>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</si>
  <si>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</si>
  <si>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</si>
  <si>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</si>
  <si>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</si>
  <si>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</si>
  <si>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</si>
  <si>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</si>
  <si>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</si>
  <si>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</si>
  <si>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</si>
  <si>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</si>
  <si>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</si>
  <si>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</si>
  <si>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</si>
  <si>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</si>
  <si>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</si>
  <si>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</si>
  <si>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</si>
  <si>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</si>
  <si>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</si>
  <si>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</si>
  <si>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</si>
  <si>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</si>
  <si>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</si>
  <si>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</si>
  <si>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</si>
  <si>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</si>
  <si>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</si>
  <si>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</si>
  <si>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</si>
  <si>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</si>
  <si>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</si>
  <si>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</si>
  <si>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</si>
  <si>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</si>
  <si>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</si>
  <si>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</si>
  <si>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</si>
  <si>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</si>
  <si>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</si>
  <si>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</si>
  <si>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</si>
  <si>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</si>
  <si>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</si>
  <si>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</si>
  <si>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</si>
  <si>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</si>
  <si>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</si>
  <si>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</si>
  <si>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</si>
  <si>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</si>
  <si>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</si>
  <si>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</si>
  <si>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</si>
  <si>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</si>
  <si>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</si>
  <si>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</si>
  <si>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</si>
  <si>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</si>
  <si>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</si>
  <si>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</si>
  <si>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</si>
  <si>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</si>
  <si>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</si>
  <si>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</si>
  <si>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</si>
  <si>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</si>
  <si>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</si>
  <si>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</si>
  <si>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</si>
  <si>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</si>
  <si>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</si>
  <si>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</si>
  <si>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</si>
  <si>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</si>
  <si>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</si>
  <si>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</si>
  <si>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</si>
  <si>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</si>
  <si>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</si>
  <si>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</si>
  <si>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</si>
  <si>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</si>
  <si>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</si>
  <si>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</si>
  <si>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</si>
  <si>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</si>
  <si>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</si>
  <si>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</si>
  <si>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</si>
  <si>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</si>
  <si>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</si>
  <si>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</si>
  <si>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</si>
  <si>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</si>
  <si>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</si>
  <si>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</si>
  <si>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</si>
  <si>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</si>
  <si>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</si>
  <si>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</si>
  <si>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</si>
  <si>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</si>
  <si>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</si>
  <si>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</si>
  <si>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</si>
  <si>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</si>
  <si>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</si>
  <si>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</si>
  <si>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</si>
  <si>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</si>
  <si>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</si>
  <si>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</si>
  <si>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</si>
  <si>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</si>
  <si>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</si>
  <si>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</si>
  <si>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</si>
  <si>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</si>
  <si>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</si>
  <si>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</si>
  <si>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</si>
  <si>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</si>
  <si>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</si>
  <si>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</si>
  <si>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</si>
  <si>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</si>
  <si>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</si>
  <si>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</si>
  <si>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</si>
  <si>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</si>
  <si>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</si>
  <si>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</si>
  <si>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</si>
  <si>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</si>
  <si>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</si>
  <si>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</si>
  <si>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</si>
  <si>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</si>
  <si>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</si>
  <si>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</si>
  <si>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</si>
  <si>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</si>
  <si>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</si>
  <si>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</si>
  <si>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</si>
  <si>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</si>
  <si>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</si>
  <si>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</si>
  <si>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</si>
  <si>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</si>
  <si>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</si>
  <si>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</si>
  <si>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</si>
  <si>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</si>
  <si>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</si>
  <si>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</si>
  <si>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</si>
  <si>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</si>
  <si>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</si>
  <si>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</si>
  <si>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</si>
  <si>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</si>
  <si>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</si>
  <si>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</si>
  <si>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</si>
  <si>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</si>
  <si>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</si>
  <si>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</si>
  <si>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</si>
  <si>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</si>
  <si>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</si>
  <si>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</si>
  <si>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</si>
  <si>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</si>
  <si>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</si>
  <si>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</si>
  <si>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</si>
  <si>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</si>
  <si>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</si>
  <si>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</si>
  <si>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</si>
  <si>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</si>
  <si>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</si>
  <si>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</si>
  <si>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</si>
  <si>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</si>
  <si>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</si>
  <si>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</si>
  <si>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</si>
  <si>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</si>
  <si>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</si>
  <si>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</si>
  <si>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</si>
  <si>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</si>
  <si>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</si>
  <si>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</si>
  <si>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</si>
  <si>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</si>
  <si>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</si>
  <si>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</si>
  <si>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</si>
  <si>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</si>
  <si>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</si>
  <si>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</si>
  <si>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</si>
  <si>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</si>
  <si>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</si>
  <si>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</si>
  <si>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</si>
  <si>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</si>
  <si>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</si>
  <si>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</si>
  <si>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</si>
  <si>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</si>
  <si>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</si>
  <si>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</si>
  <si>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</si>
  <si>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</si>
  <si>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</si>
  <si>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</si>
  <si>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</si>
  <si>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</si>
  <si>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</si>
  <si>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</si>
  <si>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</si>
  <si>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</si>
  <si>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</si>
  <si>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</si>
  <si>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</si>
  <si>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</si>
  <si>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</si>
  <si>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</si>
  <si>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</si>
  <si>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</si>
  <si>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</si>
  <si>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</si>
  <si>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</si>
  <si>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</si>
  <si>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</si>
  <si>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</si>
  <si>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</si>
  <si>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</si>
  <si>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</si>
  <si>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</si>
  <si>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</si>
  <si>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</si>
  <si>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</si>
  <si>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</si>
  <si>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</si>
  <si>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</si>
  <si>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</si>
  <si>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</si>
  <si>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</si>
  <si>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</si>
  <si>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</si>
  <si>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</si>
  <si>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</si>
  <si>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</si>
  <si>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</si>
  <si>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</si>
  <si>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</si>
  <si>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</si>
  <si>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</si>
  <si>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</si>
  <si>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</si>
  <si>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</si>
  <si>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</si>
  <si>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</si>
  <si>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</si>
  <si>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</si>
  <si>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</si>
  <si>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</si>
  <si>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</si>
  <si>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</si>
  <si>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</si>
  <si>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</si>
  <si>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</si>
  <si>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</si>
  <si>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</si>
  <si>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</si>
  <si>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</si>
  <si>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</si>
  <si>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</si>
  <si>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</si>
  <si>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</si>
  <si>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</si>
  <si>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</si>
  <si>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</si>
  <si>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</si>
  <si>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</si>
  <si>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</si>
  <si>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</si>
  <si>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</si>
  <si>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</si>
  <si>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</si>
  <si>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</si>
  <si>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</si>
  <si>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</si>
  <si>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</si>
  <si>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</si>
  <si>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</si>
  <si>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</si>
  <si>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</si>
  <si>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</si>
  <si>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</si>
  <si>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</si>
  <si>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</si>
  <si>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</si>
  <si>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</si>
  <si>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</si>
  <si>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</si>
  <si>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</si>
  <si>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</si>
  <si>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</si>
  <si>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</si>
  <si>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</si>
  <si>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</si>
  <si>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</si>
  <si>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</si>
  <si>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</si>
  <si>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</si>
  <si>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</si>
  <si>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</si>
  <si>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</si>
  <si>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</si>
  <si>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</si>
  <si>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</si>
  <si>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</si>
  <si>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</si>
  <si>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</si>
  <si>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</si>
  <si>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</si>
  <si>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</si>
  <si>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</si>
  <si>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</si>
  <si>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</si>
  <si>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</si>
  <si>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</si>
  <si>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</si>
  <si>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</si>
  <si>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</si>
  <si>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</si>
  <si>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</si>
  <si>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</si>
  <si>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</si>
  <si>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</si>
  <si>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</si>
  <si>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</si>
  <si>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</si>
  <si>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</si>
  <si>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</si>
  <si>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</si>
  <si>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</si>
  <si>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</si>
  <si>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</si>
  <si>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</si>
  <si>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</si>
  <si>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</si>
  <si>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</si>
  <si>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</si>
  <si>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</si>
  <si>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</si>
  <si>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</si>
  <si>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</si>
  <si>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</si>
  <si>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</si>
  <si>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</si>
  <si>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</si>
  <si>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</si>
  <si>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</si>
  <si>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</si>
  <si>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</si>
  <si>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</si>
  <si>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</si>
  <si>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</si>
  <si>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</si>
  <si>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</si>
  <si>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</si>
  <si>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</si>
  <si>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</si>
  <si>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</si>
  <si>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</si>
  <si>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</si>
  <si>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</si>
  <si>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</si>
  <si>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</si>
  <si>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</si>
  <si>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</si>
  <si>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</si>
  <si>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</si>
  <si>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</si>
  <si>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</si>
  <si>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</si>
  <si>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</si>
  <si>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</si>
  <si>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</si>
  <si>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</si>
  <si>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</si>
  <si>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</si>
  <si>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</si>
  <si>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</si>
  <si>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</si>
  <si>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</si>
  <si>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</si>
  <si>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</si>
  <si>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</si>
  <si>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</si>
  <si>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</si>
  <si>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</si>
  <si>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</si>
  <si>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</si>
  <si>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</si>
  <si>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</si>
  <si>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</si>
  <si>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</si>
  <si>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</si>
  <si>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</si>
  <si>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</si>
  <si>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</si>
  <si>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</si>
  <si>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</si>
  <si>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</si>
  <si>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</si>
  <si>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</si>
  <si>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</si>
  <si>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</si>
  <si>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</si>
  <si>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</si>
  <si>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</si>
  <si>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</si>
  <si>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</si>
  <si>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</si>
  <si>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</si>
  <si>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</si>
  <si>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</si>
  <si>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</si>
  <si>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</si>
  <si>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</si>
  <si>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</si>
  <si>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</si>
  <si>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</si>
  <si>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</si>
  <si>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</si>
  <si>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</si>
  <si>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</si>
  <si>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</si>
  <si>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</si>
  <si>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</si>
  <si>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</si>
  <si>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</si>
  <si>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</si>
  <si>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</si>
  <si>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</si>
  <si>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</si>
  <si>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</si>
  <si>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</si>
  <si>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</si>
  <si>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</si>
  <si>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</si>
  <si>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</si>
  <si>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</si>
  <si>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</si>
  <si>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</si>
  <si>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</si>
  <si>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</si>
  <si>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</si>
  <si>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</si>
  <si>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</si>
  <si>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</si>
  <si>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</si>
  <si>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</si>
  <si>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</si>
  <si>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</si>
  <si>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</si>
  <si>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</si>
  <si>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</si>
  <si>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</si>
  <si>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</si>
  <si>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</si>
  <si>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</si>
  <si>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</si>
  <si>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</si>
  <si>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</si>
  <si>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</si>
  <si>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</si>
  <si>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</si>
  <si>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</si>
  <si>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</si>
  <si>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</si>
  <si>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</si>
  <si>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</si>
  <si>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</si>
  <si>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</si>
  <si>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</si>
  <si>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</si>
  <si>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</si>
  <si>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</si>
  <si>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</si>
  <si>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</si>
  <si>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</si>
  <si>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</si>
  <si>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</si>
  <si>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</si>
  <si>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</si>
  <si>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</si>
  <si>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</si>
  <si>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</si>
  <si>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</si>
  <si>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</si>
  <si>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</si>
  <si>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</si>
  <si>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</si>
  <si>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</si>
  <si>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</si>
  <si>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</si>
  <si>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</si>
  <si>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</si>
  <si>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</si>
  <si>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</si>
  <si>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</si>
  <si>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</si>
  <si>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</si>
  <si>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</si>
  <si>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</si>
  <si>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</si>
  <si>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</si>
  <si>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</si>
  <si>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</si>
  <si>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</si>
  <si>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</si>
  <si>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</si>
  <si>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</si>
  <si>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</si>
  <si>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</si>
  <si>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</si>
  <si>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</si>
  <si>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</si>
  <si>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</si>
  <si>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</si>
  <si>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</si>
  <si>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</si>
  <si>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</si>
  <si>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</si>
  <si>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</si>
  <si>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</si>
  <si>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</si>
  <si>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</si>
  <si>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</si>
  <si>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</si>
  <si>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</si>
  <si>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</si>
  <si>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</si>
  <si>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</si>
  <si>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</si>
  <si>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</si>
  <si>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</si>
  <si>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</si>
  <si>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</si>
  <si>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</si>
  <si>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</si>
  <si>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</si>
  <si>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</si>
  <si>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</si>
  <si>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</si>
  <si>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</si>
  <si>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</si>
  <si>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</si>
  <si>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</si>
  <si>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</si>
  <si>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</si>
  <si>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</si>
  <si>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</si>
  <si>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</si>
  <si>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</si>
  <si>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</si>
  <si>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</si>
  <si>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</si>
  <si>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</si>
  <si>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</si>
  <si>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</si>
  <si>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</si>
  <si>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</si>
  <si>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</si>
  <si>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</si>
  <si>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</si>
  <si>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</si>
  <si>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</si>
  <si>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</si>
  <si>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</si>
  <si>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</si>
  <si>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</si>
  <si>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</si>
  <si>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</si>
  <si>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</si>
  <si>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</si>
  <si>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</si>
  <si>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</si>
  <si>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</si>
  <si>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</si>
  <si>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</si>
  <si>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</si>
  <si>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</si>
  <si>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</si>
  <si>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</si>
  <si>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</si>
  <si>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</si>
  <si>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</si>
  <si>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</si>
  <si>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</si>
  <si>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</si>
  <si>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</si>
  <si>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</si>
  <si>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</si>
  <si>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</si>
  <si>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</si>
  <si>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</si>
  <si>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</si>
  <si>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</si>
  <si>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</si>
  <si>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</si>
  <si>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</si>
  <si>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</si>
  <si>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</si>
  <si>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</si>
  <si>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</si>
  <si>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</si>
  <si>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</si>
  <si>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</si>
  <si>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</si>
  <si>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</si>
  <si>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</si>
  <si>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</si>
  <si>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</si>
  <si>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</si>
  <si>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</si>
  <si>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</si>
  <si>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</si>
  <si>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</si>
  <si>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</si>
  <si>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</si>
  <si>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</si>
  <si>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</si>
  <si>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</si>
  <si>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</si>
  <si>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</si>
  <si>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</si>
  <si>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</si>
  <si>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</si>
  <si>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</si>
  <si>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</si>
  <si>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</si>
  <si>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</si>
  <si>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</si>
  <si>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</si>
  <si>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</si>
  <si>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</si>
  <si>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</si>
  <si>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</si>
  <si>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</si>
  <si>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</si>
  <si>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</si>
  <si>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</si>
  <si>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</si>
  <si>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</si>
  <si>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</si>
  <si>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</si>
  <si>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</si>
  <si>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</si>
  <si>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</si>
  <si>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</si>
  <si>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</si>
  <si>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</si>
  <si>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</si>
  <si>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</si>
  <si>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</si>
  <si>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</si>
  <si>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</si>
  <si>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</si>
  <si>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</si>
  <si>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</si>
  <si>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</si>
  <si>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</si>
  <si>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</si>
  <si>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</si>
  <si>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</si>
  <si>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</si>
  <si>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</si>
  <si>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</si>
  <si>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</si>
  <si>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</si>
  <si>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</si>
  <si>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</si>
  <si>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</si>
  <si>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</si>
  <si>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</si>
  <si>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</si>
  <si>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</si>
  <si>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</si>
  <si>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</si>
  <si>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</si>
  <si>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</si>
  <si>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</si>
  <si>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</si>
  <si>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</si>
  <si>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</si>
  <si>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</si>
  <si>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</si>
  <si>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</si>
  <si>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</si>
  <si>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</si>
  <si>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</si>
  <si>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</si>
  <si>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</si>
  <si>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</si>
  <si>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</si>
  <si>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</si>
  <si>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</si>
  <si>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</si>
  <si>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</si>
  <si>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</si>
  <si>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</si>
  <si>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</si>
  <si>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</si>
  <si>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</si>
  <si>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</si>
  <si>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</si>
  <si>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</si>
  <si>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</si>
  <si>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</si>
  <si>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</si>
  <si>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</si>
  <si>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</si>
  <si>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</si>
  <si>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</si>
  <si>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</si>
  <si>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</si>
  <si>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</si>
  <si>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</si>
  <si>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</si>
  <si>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</si>
  <si>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</si>
  <si>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</si>
  <si>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</si>
  <si>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</si>
  <si>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</si>
  <si>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</si>
  <si>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</si>
  <si>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</si>
  <si>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</si>
  <si>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</si>
  <si>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</si>
  <si>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</si>
  <si>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</si>
  <si>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</si>
  <si>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</si>
  <si>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</si>
  <si>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</si>
  <si>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</si>
  <si>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</si>
  <si>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</si>
  <si>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</si>
  <si>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</si>
  <si>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</si>
  <si>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</si>
  <si>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</si>
  <si>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</si>
  <si>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</si>
  <si>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</si>
  <si>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</si>
  <si>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</si>
  <si>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</si>
  <si>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</si>
  <si>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</si>
  <si>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</si>
  <si>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</si>
  <si>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</si>
  <si>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</si>
  <si>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</si>
  <si>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</si>
  <si>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</si>
  <si>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</si>
  <si>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</si>
  <si>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</si>
  <si>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</si>
  <si>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</si>
  <si>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</si>
  <si>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</si>
  <si>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</si>
  <si>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</si>
  <si>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</si>
  <si>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</si>
  <si>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</si>
  <si>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</si>
  <si>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</si>
  <si>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</si>
  <si>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</si>
  <si>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</si>
  <si>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</si>
  <si>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</si>
  <si>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</si>
  <si>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</si>
  <si>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</si>
  <si>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</si>
  <si>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</si>
  <si>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</si>
  <si>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</si>
  <si>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</si>
  <si>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</si>
  <si>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</si>
  <si>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</si>
  <si>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</si>
  <si>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</si>
  <si>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</si>
  <si>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</si>
  <si>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</si>
  <si>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</si>
  <si>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</si>
  <si>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</si>
  <si>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</si>
  <si>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</si>
  <si>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</si>
  <si>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</si>
  <si>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</si>
  <si>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</si>
  <si>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</si>
  <si>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</si>
  <si>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</si>
  <si>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</si>
  <si>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</si>
  <si>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</si>
  <si>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</si>
  <si>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</si>
  <si>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</si>
  <si>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</si>
  <si>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</si>
  <si>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</si>
  <si>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</si>
  <si>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</si>
  <si>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</si>
  <si>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</si>
  <si>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</si>
  <si>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</si>
  <si>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</si>
  <si>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</si>
  <si>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</si>
  <si>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</si>
  <si>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</si>
  <si>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</si>
  <si>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</si>
  <si>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</si>
  <si>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</si>
  <si>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</si>
  <si>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</si>
  <si>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</si>
  <si>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</si>
  <si>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</si>
  <si>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</si>
  <si>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</si>
  <si>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</si>
  <si>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</si>
  <si>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</si>
  <si>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</si>
  <si>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</si>
  <si>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</si>
  <si>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</si>
  <si>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</si>
  <si>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</si>
  <si>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</si>
  <si>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</si>
  <si>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</si>
  <si>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</si>
  <si>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</si>
  <si>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</si>
  <si>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</si>
  <si>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</si>
  <si>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</si>
  <si>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</si>
  <si>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</si>
  <si>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</si>
  <si>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</si>
  <si>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</si>
  <si>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</si>
  <si>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</si>
  <si>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</si>
  <si>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</si>
  <si>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</si>
  <si>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</si>
  <si>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</si>
  <si>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</si>
  <si>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</si>
  <si>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</si>
  <si>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</si>
  <si>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</si>
  <si>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</si>
  <si>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</si>
  <si>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</si>
  <si>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</si>
  <si>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</si>
  <si>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</si>
  <si>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</si>
  <si>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</si>
  <si>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</si>
  <si>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</si>
  <si>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</si>
  <si>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</si>
  <si>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</si>
  <si>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</si>
  <si>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</si>
  <si>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</si>
  <si>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</si>
  <si>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</si>
  <si>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</si>
  <si>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</si>
  <si>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</si>
  <si>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</si>
  <si>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</si>
  <si>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</si>
  <si>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</si>
  <si>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</si>
  <si>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</si>
  <si>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</si>
  <si>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</si>
  <si>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</si>
  <si>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</si>
  <si>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</si>
  <si>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</si>
  <si>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</si>
  <si>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</si>
  <si>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</si>
  <si>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</si>
  <si>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</si>
  <si>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</si>
  <si>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</si>
  <si>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</si>
  <si>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</si>
  <si>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</si>
  <si>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</si>
  <si>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</si>
  <si>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</si>
  <si>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</si>
  <si>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</si>
  <si>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</si>
  <si>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</si>
  <si>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</si>
  <si>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</si>
  <si>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</si>
  <si>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</si>
  <si>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</si>
  <si>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</si>
  <si>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</si>
  <si>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</si>
  <si>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</si>
  <si>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</si>
  <si>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</si>
  <si>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</si>
  <si>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</si>
  <si>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</si>
  <si>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</si>
  <si>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</si>
  <si>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</si>
  <si>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</si>
  <si>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</si>
  <si>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</si>
  <si>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</si>
  <si>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</si>
  <si>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</si>
  <si>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</si>
  <si>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</si>
  <si>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</si>
  <si>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</si>
  <si>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</si>
  <si>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</si>
  <si>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</si>
  <si>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</si>
  <si>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</si>
  <si>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</si>
  <si>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</si>
  <si>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</si>
  <si>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</si>
  <si>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</si>
  <si>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</si>
  <si>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</si>
  <si>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</si>
  <si>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</si>
  <si>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</si>
  <si>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</si>
  <si>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</si>
  <si>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</si>
  <si>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</si>
  <si>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</si>
  <si>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</si>
  <si>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</si>
  <si>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</si>
  <si>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</si>
  <si>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</si>
  <si>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</si>
  <si>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</si>
  <si>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</si>
  <si>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</si>
  <si>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</si>
  <si>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</si>
  <si>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</si>
  <si>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</si>
  <si>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</si>
  <si>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</si>
  <si>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</si>
  <si>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</si>
  <si>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</si>
  <si>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</si>
  <si>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</si>
  <si>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</si>
  <si>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</si>
  <si>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</si>
  <si>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</si>
  <si>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</si>
  <si>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</si>
  <si>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</si>
  <si>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</si>
  <si>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</si>
  <si>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</si>
  <si>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</si>
  <si>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</si>
  <si>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</si>
  <si>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</si>
  <si>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</si>
  <si>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</si>
  <si>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</si>
  <si>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</si>
  <si>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</si>
  <si>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</si>
  <si>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</si>
  <si>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</si>
  <si>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</si>
  <si>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</si>
  <si>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</si>
  <si>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</si>
  <si>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</si>
  <si>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</si>
  <si>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</si>
  <si>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</si>
  <si>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</si>
  <si>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</si>
  <si>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</si>
  <si>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</si>
  <si>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</si>
  <si>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</si>
  <si>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</si>
  <si>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</si>
  <si>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</si>
  <si>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</si>
  <si>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</si>
  <si>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</si>
  <si>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</si>
  <si>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</si>
  <si>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</si>
  <si>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</si>
  <si>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</si>
  <si>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</si>
  <si>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</si>
  <si>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</si>
  <si>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</si>
  <si>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</si>
  <si>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</si>
  <si>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</si>
  <si>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</si>
  <si>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</si>
  <si>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</si>
  <si>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</si>
  <si>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</si>
  <si>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</si>
  <si>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</si>
  <si>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</si>
  <si>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</si>
  <si>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</si>
  <si>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</si>
  <si>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</si>
  <si>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</si>
  <si>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</si>
  <si>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</si>
  <si>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</si>
  <si>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</si>
  <si>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</si>
  <si>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</si>
  <si>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</si>
  <si>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</si>
  <si>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</si>
  <si>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</si>
  <si>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</si>
  <si>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</si>
  <si>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</si>
  <si>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</si>
  <si>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</si>
  <si>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</si>
  <si>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</si>
  <si>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</si>
  <si>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</si>
  <si>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</si>
  <si>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</si>
  <si>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</si>
  <si>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</si>
  <si>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</si>
  <si>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</si>
  <si>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</si>
  <si>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</si>
  <si>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</si>
  <si>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</si>
  <si>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</si>
  <si>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</si>
  <si>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</si>
  <si>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</si>
  <si>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</si>
  <si>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</si>
  <si>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</si>
  <si>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</si>
  <si>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</si>
  <si>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</si>
  <si>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</si>
  <si>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</si>
  <si>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</si>
  <si>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</si>
  <si>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</si>
  <si>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</si>
  <si>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</si>
  <si>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</si>
  <si>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</si>
  <si>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</si>
  <si>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</si>
  <si>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</si>
  <si>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</si>
  <si>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</si>
  <si>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</si>
  <si>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</si>
  <si>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</si>
  <si>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</si>
  <si>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</si>
  <si>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</si>
  <si>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</si>
  <si>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</si>
  <si>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</si>
  <si>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</si>
  <si>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</si>
  <si>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</si>
  <si>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</si>
  <si>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</si>
  <si>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</si>
  <si>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</si>
  <si>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</si>
  <si>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</si>
  <si>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</si>
  <si>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</si>
  <si>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</si>
  <si>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</si>
  <si>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</si>
  <si>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</si>
  <si>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</si>
  <si>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</si>
  <si>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</si>
  <si>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</si>
  <si>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</si>
  <si>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</si>
  <si>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</si>
  <si>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</si>
  <si>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</si>
  <si>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</si>
  <si>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</si>
  <si>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</si>
  <si>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</si>
  <si>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</si>
  <si>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</si>
  <si>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</si>
  <si>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</si>
  <si>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</si>
  <si>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</si>
  <si>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</si>
  <si>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</si>
  <si>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</si>
  <si>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</si>
  <si>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</si>
  <si>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</si>
  <si>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</si>
  <si>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</si>
  <si>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</si>
  <si>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</si>
  <si>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</si>
  <si>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</si>
  <si>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</si>
  <si>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</si>
  <si>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</si>
  <si>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</si>
  <si>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</si>
  <si>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</si>
  <si>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</si>
  <si>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</si>
  <si>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</si>
  <si>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</si>
  <si>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</si>
  <si>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</si>
  <si>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</si>
  <si>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</si>
  <si>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</si>
  <si>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</si>
  <si>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</si>
  <si>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</si>
  <si>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</si>
  <si>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</si>
  <si>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</si>
  <si>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</si>
  <si>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</si>
  <si>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</si>
  <si>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</si>
  <si>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</si>
  <si>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</si>
  <si>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</si>
  <si>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</si>
  <si>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</si>
  <si>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</si>
  <si>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</si>
  <si>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</si>
  <si>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</si>
  <si>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</si>
  <si>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</si>
  <si>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</si>
  <si>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</si>
  <si>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</si>
  <si>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</si>
  <si>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</si>
  <si>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</si>
  <si>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</si>
  <si>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</si>
  <si>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</si>
  <si>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</si>
  <si>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</si>
  <si>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</si>
  <si>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</si>
  <si>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</si>
  <si>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</si>
  <si>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</si>
  <si>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</si>
  <si>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</si>
  <si>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</si>
  <si>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</si>
  <si>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</si>
  <si>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</si>
  <si>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</si>
  <si>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</si>
  <si>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</si>
  <si>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</si>
  <si>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</si>
  <si>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</si>
  <si>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</si>
  <si>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</si>
  <si>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</si>
  <si>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</si>
  <si>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</si>
  <si>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</si>
  <si>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</si>
  <si>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</si>
  <si>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</si>
  <si>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</si>
  <si>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</si>
  <si>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</si>
  <si>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</si>
  <si>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</si>
  <si>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</si>
  <si>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</si>
  <si>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</si>
  <si>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</si>
  <si>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</si>
  <si>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</si>
  <si>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</si>
  <si>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</si>
  <si>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</si>
  <si>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</si>
  <si>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</si>
  <si>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</si>
  <si>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</si>
  <si>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</si>
  <si>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</si>
  <si>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</si>
  <si>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</si>
  <si>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</si>
  <si>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</si>
  <si>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</si>
  <si>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</si>
  <si>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</si>
  <si>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</si>
  <si>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</si>
  <si>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</si>
  <si>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</si>
  <si>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</si>
  <si>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</si>
  <si>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</si>
  <si>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</si>
  <si>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</si>
  <si>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</si>
  <si>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</si>
  <si>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</si>
  <si>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</si>
  <si>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</si>
  <si>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</si>
  <si>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</si>
  <si>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</si>
  <si>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</si>
  <si>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</si>
  <si>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</si>
  <si>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</si>
  <si>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</si>
  <si>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</si>
  <si>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</si>
  <si>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</si>
  <si>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</si>
  <si>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</si>
  <si>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</si>
  <si>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</si>
  <si>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</si>
  <si>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</si>
  <si>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</si>
  <si>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</si>
  <si>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</si>
  <si>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</si>
  <si>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</si>
  <si>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</si>
  <si>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</si>
  <si>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</si>
  <si>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</si>
  <si>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</si>
  <si>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</si>
  <si>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</si>
  <si>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</si>
  <si>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</si>
  <si>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</si>
  <si>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</si>
  <si>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</si>
  <si>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</si>
  <si>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</si>
  <si>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</si>
  <si>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</si>
  <si>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</si>
  <si>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</si>
  <si>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</si>
  <si>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</si>
  <si>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</si>
  <si>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</si>
  <si>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</si>
  <si>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</si>
  <si>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</si>
  <si>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</si>
  <si>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</si>
  <si>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</si>
  <si>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</si>
  <si>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</si>
  <si>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</si>
  <si>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</si>
  <si>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</si>
  <si>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</si>
  <si>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</si>
  <si>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</si>
  <si>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</si>
  <si>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</si>
  <si>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</si>
  <si>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</si>
  <si>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</si>
  <si>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</si>
  <si>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</si>
  <si>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</si>
  <si>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</si>
  <si>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</si>
  <si>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</si>
  <si>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</si>
  <si>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</si>
  <si>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</si>
  <si>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</si>
  <si>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</si>
  <si>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</si>
  <si>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</si>
  <si>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</si>
  <si>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</si>
  <si>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</si>
  <si>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</si>
  <si>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</si>
  <si>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</si>
  <si>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</si>
  <si>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</si>
  <si>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</si>
  <si>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</si>
  <si>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</si>
  <si>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</si>
  <si>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</si>
  <si>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</si>
  <si>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</si>
  <si>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</si>
  <si>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</si>
  <si>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</si>
  <si>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</si>
  <si>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</si>
  <si>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</si>
  <si>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</si>
  <si>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</si>
  <si>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</si>
  <si>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</si>
  <si>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</si>
  <si>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</si>
  <si>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</si>
  <si>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</si>
  <si>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</si>
  <si>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</si>
  <si>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</si>
  <si>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</si>
  <si>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</si>
  <si>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</si>
  <si>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</si>
  <si>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</si>
  <si>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</si>
  <si>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</si>
  <si>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</si>
  <si>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</si>
  <si>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</si>
  <si>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</si>
  <si>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</si>
  <si>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</si>
  <si>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</si>
  <si>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</si>
  <si>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</si>
  <si>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</si>
  <si>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</si>
  <si>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</si>
  <si>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</si>
  <si>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</si>
  <si>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</si>
  <si>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</si>
  <si>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</si>
  <si>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</si>
  <si>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</si>
  <si>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</si>
  <si>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</si>
  <si>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</si>
  <si>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</si>
  <si>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</si>
  <si>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</si>
  <si>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</si>
  <si>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</si>
  <si>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</si>
  <si>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</si>
  <si>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</si>
  <si>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</si>
  <si>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</si>
  <si>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</si>
  <si>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</si>
  <si>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</si>
  <si>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</si>
  <si>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</si>
  <si>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</si>
  <si>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</si>
  <si>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</si>
  <si>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</si>
  <si>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</si>
  <si>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</si>
  <si>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</si>
  <si>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</si>
  <si>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</si>
  <si>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</si>
  <si>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</si>
  <si>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</si>
  <si>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</si>
  <si>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</si>
  <si>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</si>
  <si>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</si>
  <si>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</si>
  <si>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</si>
  <si>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</si>
  <si>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</si>
  <si>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</si>
  <si>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</si>
  <si>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</si>
  <si>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</si>
  <si>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</si>
  <si>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</si>
  <si>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</si>
  <si>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</si>
  <si>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</si>
  <si>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</si>
  <si>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</si>
  <si>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</si>
  <si>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</si>
  <si>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</si>
  <si>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</si>
  <si>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</si>
  <si>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</si>
  <si>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</si>
  <si>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</si>
  <si>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</si>
  <si>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</si>
  <si>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</si>
  <si>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</si>
  <si>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</si>
  <si>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</si>
  <si>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</si>
  <si>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</si>
  <si>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</si>
  <si>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</si>
  <si>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</si>
  <si>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</si>
  <si>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</si>
  <si>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</si>
  <si>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</si>
  <si>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</si>
  <si>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</si>
  <si>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</si>
  <si>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</si>
  <si>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</si>
  <si>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</si>
  <si>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</si>
  <si>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</si>
  <si>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</si>
  <si>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</si>
  <si>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</si>
  <si>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</si>
  <si>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</si>
  <si>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</si>
  <si>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</si>
  <si>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</si>
  <si>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</si>
  <si>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</si>
  <si>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</si>
  <si>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</si>
  <si>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</si>
  <si>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</si>
  <si>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</si>
  <si>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</si>
  <si>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</si>
  <si>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</si>
  <si>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</si>
  <si>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</si>
  <si>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</si>
  <si>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</si>
  <si>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</si>
  <si>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</si>
  <si>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</si>
  <si>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</si>
  <si>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</si>
  <si>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</si>
  <si>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</si>
  <si>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</si>
  <si>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</si>
  <si>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</si>
  <si>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</si>
  <si>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</si>
  <si>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</si>
  <si>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</si>
  <si>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</si>
  <si>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</si>
  <si>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</si>
  <si>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</si>
  <si>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</si>
  <si>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</si>
  <si>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</si>
  <si>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</si>
  <si>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</si>
  <si>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</si>
  <si>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</si>
  <si>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</si>
  <si>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</si>
  <si>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</si>
  <si>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</si>
  <si>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</si>
  <si>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</si>
  <si>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</si>
  <si>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</si>
  <si>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</si>
  <si>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</si>
  <si>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</si>
  <si>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</si>
  <si>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</si>
  <si>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</si>
  <si>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</si>
  <si>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</si>
  <si>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</si>
  <si>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</si>
  <si>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</si>
  <si>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</si>
  <si>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</si>
  <si>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</si>
  <si>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</si>
  <si>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</si>
  <si>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</si>
  <si>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</si>
  <si>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</si>
  <si>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</si>
  <si>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</si>
  <si>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</si>
  <si>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</si>
  <si>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</si>
  <si>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</si>
  <si>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</si>
  <si>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</si>
  <si>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</si>
  <si>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</si>
  <si>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</si>
  <si>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</si>
  <si>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</si>
  <si>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</si>
  <si>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</si>
  <si>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</si>
  <si>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</si>
  <si>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</si>
  <si>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</si>
  <si>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</si>
  <si>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</si>
  <si>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</si>
  <si>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</si>
  <si>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</si>
  <si>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</si>
  <si>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</si>
  <si>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</si>
  <si>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</si>
  <si>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</si>
  <si>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</si>
  <si>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</si>
  <si>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</si>
  <si>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</si>
  <si>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</si>
  <si>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</si>
  <si>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</si>
  <si>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</si>
  <si>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</si>
  <si>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</si>
  <si>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</si>
  <si>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</si>
  <si>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</si>
  <si>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</si>
  <si>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</si>
  <si>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</si>
  <si>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</si>
  <si>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</si>
  <si>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</si>
  <si>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</si>
  <si>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</si>
  <si>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</si>
  <si>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</si>
  <si>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</si>
  <si>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</si>
  <si>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</si>
  <si>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</si>
  <si>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</si>
  <si>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</si>
  <si>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</si>
  <si>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</si>
  <si>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</si>
  <si>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</si>
  <si>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</si>
  <si>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</si>
  <si>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</si>
  <si>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</si>
  <si>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</si>
  <si>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</si>
  <si>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</si>
  <si>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</si>
  <si>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</si>
  <si>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</si>
  <si>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</si>
  <si>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</si>
  <si>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</si>
  <si>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</si>
  <si>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</si>
  <si>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</si>
  <si>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</si>
  <si>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</si>
  <si>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</si>
  <si>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</si>
  <si>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</si>
  <si>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</si>
  <si>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</si>
  <si>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</si>
  <si>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</si>
  <si>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</si>
  <si>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</si>
  <si>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</si>
  <si>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</si>
  <si>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</si>
  <si>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</si>
  <si>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</si>
  <si>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</si>
  <si>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</si>
  <si>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</si>
  <si>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</si>
  <si>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</si>
  <si>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</si>
  <si>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</si>
  <si>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</si>
  <si>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</si>
  <si>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</si>
  <si>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</si>
  <si>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</si>
  <si>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</si>
  <si>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</si>
  <si>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</si>
  <si>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</si>
  <si>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</si>
  <si>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</si>
  <si>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</si>
  <si>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</si>
  <si>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</si>
  <si>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</si>
  <si>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</si>
  <si>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</si>
  <si>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</si>
  <si>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</si>
  <si>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</si>
  <si>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</si>
  <si>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</si>
  <si>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</si>
  <si>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</si>
  <si>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</si>
  <si>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</si>
  <si>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</si>
  <si>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</si>
  <si>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</si>
  <si>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</si>
  <si>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</si>
  <si>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</si>
  <si>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</si>
  <si>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</si>
  <si>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</si>
  <si>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</si>
  <si>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</si>
  <si>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</si>
  <si>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</si>
  <si>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</si>
  <si>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</si>
  <si>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</si>
  <si>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</si>
  <si>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</si>
  <si>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</si>
  <si>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</si>
  <si>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</si>
  <si>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</si>
  <si>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</si>
  <si>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</si>
  <si>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</si>
  <si>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</si>
  <si>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</si>
  <si>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</si>
  <si>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</si>
  <si>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</si>
  <si>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</si>
  <si>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</si>
  <si>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</si>
  <si>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</si>
  <si>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</si>
  <si>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</si>
  <si>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</si>
  <si>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</si>
  <si>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</si>
  <si>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</si>
  <si>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</si>
  <si>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</si>
  <si>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</si>
  <si>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</si>
  <si>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</si>
  <si>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</si>
  <si>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</si>
  <si>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</si>
  <si>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</si>
  <si>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</si>
  <si>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</si>
  <si>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</si>
  <si>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</si>
  <si>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</si>
  <si>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</si>
  <si>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</si>
  <si>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</si>
  <si>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</si>
  <si>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</si>
  <si>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</si>
  <si>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</si>
  <si>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</si>
  <si>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</si>
  <si>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</si>
  <si>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</si>
  <si>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</si>
  <si>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</si>
  <si>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</si>
  <si>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</si>
  <si>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</si>
  <si>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</si>
  <si>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</si>
  <si>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</si>
  <si>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</si>
  <si>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</si>
  <si>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</si>
  <si>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</si>
  <si>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</si>
  <si>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</si>
  <si>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</si>
  <si>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</si>
  <si>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</si>
  <si>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</si>
  <si>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</si>
  <si>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</si>
  <si>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</si>
  <si>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</si>
  <si>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</si>
  <si>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</si>
  <si>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</si>
  <si>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</si>
  <si>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</si>
  <si>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</si>
  <si>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</si>
  <si>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</si>
  <si>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</si>
  <si>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</si>
  <si>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</si>
  <si>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</si>
  <si>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</si>
  <si>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</si>
  <si>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</si>
  <si>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</si>
  <si>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</si>
  <si>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</si>
  <si>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</si>
  <si>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</si>
  <si>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</si>
  <si>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</si>
  <si>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</si>
  <si>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</si>
  <si>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</si>
  <si>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</si>
  <si>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</si>
  <si>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</si>
  <si>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</si>
  <si>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</si>
  <si>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</si>
  <si>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</si>
  <si>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</si>
  <si>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</si>
  <si>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</si>
  <si>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</si>
  <si>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</si>
  <si>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</si>
  <si>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</si>
  <si>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</si>
  <si>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</si>
  <si>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</si>
  <si>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</si>
  <si>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</si>
  <si>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</si>
  <si>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</si>
  <si>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</si>
  <si>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</si>
  <si>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</si>
  <si>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</si>
  <si>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</si>
  <si>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</si>
  <si>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</si>
  <si>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</si>
  <si>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</si>
  <si>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</si>
  <si>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</si>
  <si>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</si>
  <si>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</si>
  <si>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</si>
  <si>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</si>
  <si>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</si>
  <si>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</si>
  <si>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</si>
  <si>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</si>
  <si>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</si>
  <si>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</si>
  <si>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</si>
  <si>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</si>
  <si>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</si>
  <si>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</si>
  <si>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</si>
  <si>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</si>
  <si>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</si>
  <si>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</si>
  <si>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</si>
  <si>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</si>
  <si>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</si>
  <si>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</si>
  <si>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</si>
  <si>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</si>
  <si>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</si>
  <si>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</si>
  <si>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</si>
  <si>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</si>
  <si>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</si>
  <si>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</si>
  <si>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</si>
  <si>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</si>
  <si>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</si>
  <si>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</si>
  <si>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</si>
  <si>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</si>
  <si>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</si>
  <si>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</si>
  <si>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</si>
  <si>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</si>
  <si>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</si>
  <si>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</si>
  <si>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</si>
  <si>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</si>
  <si>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</si>
  <si>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</si>
  <si>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</si>
  <si>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</si>
  <si>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</si>
  <si>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</si>
  <si>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</si>
  <si>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</si>
  <si>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</si>
  <si>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</si>
  <si>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</si>
  <si>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</si>
  <si>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</si>
  <si>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</si>
  <si>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</si>
  <si>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</si>
  <si>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</si>
  <si>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</si>
  <si>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</si>
  <si>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</si>
  <si>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</si>
  <si>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</si>
  <si>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</si>
  <si>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</si>
  <si>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</si>
  <si>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</si>
  <si>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</si>
  <si>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</si>
  <si>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</si>
  <si>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</si>
  <si>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</si>
  <si>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</si>
  <si>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</si>
  <si>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</si>
  <si>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</si>
  <si>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</si>
  <si>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</si>
  <si>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</si>
  <si>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</si>
  <si>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</si>
  <si>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</si>
  <si>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</si>
  <si>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</si>
  <si>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</si>
  <si>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</si>
  <si>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</si>
  <si>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</si>
  <si>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</si>
  <si>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</si>
  <si>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</si>
  <si>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</si>
  <si>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</si>
  <si>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</si>
  <si>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</si>
  <si>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</si>
  <si>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</si>
  <si>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</si>
  <si>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</si>
  <si>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</si>
  <si>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</si>
  <si>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</si>
  <si>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</si>
  <si>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</si>
  <si>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</si>
  <si>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</si>
  <si>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</si>
  <si>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</si>
  <si>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</si>
  <si>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</si>
  <si>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</si>
  <si>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</si>
  <si>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</si>
  <si>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</si>
  <si>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</si>
  <si>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</si>
  <si>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</si>
  <si>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</si>
  <si>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</si>
  <si>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</si>
  <si>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</si>
  <si>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</si>
  <si>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</si>
  <si>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</si>
  <si>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</si>
  <si>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</si>
  <si>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</si>
  <si>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</si>
  <si>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</si>
  <si>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</si>
  <si>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</si>
  <si>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</si>
  <si>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</si>
  <si>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</si>
  <si>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</si>
  <si>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</si>
  <si>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</si>
  <si>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</si>
  <si>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</si>
  <si>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</si>
  <si>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</si>
  <si>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</si>
  <si>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</si>
  <si>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</si>
  <si>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</si>
  <si>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</si>
  <si>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</si>
  <si>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</si>
  <si>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</si>
  <si>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</si>
  <si>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</si>
  <si>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</si>
  <si>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</si>
  <si>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</si>
  <si>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</si>
  <si>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</si>
  <si>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</si>
  <si>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</si>
  <si>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</si>
  <si>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</si>
  <si>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</si>
  <si>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</si>
  <si>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</si>
  <si>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</si>
  <si>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</si>
  <si>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</si>
  <si>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</si>
  <si>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</si>
  <si>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</si>
  <si>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</si>
  <si>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</si>
  <si>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</si>
  <si>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</si>
  <si>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</si>
  <si>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</si>
  <si>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</si>
  <si>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</si>
  <si>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</si>
  <si>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</si>
  <si>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</si>
  <si>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</si>
  <si>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</si>
  <si>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</si>
  <si>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</si>
  <si>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</si>
  <si>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</si>
  <si>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</si>
  <si>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</si>
  <si>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</si>
  <si>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</si>
  <si>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</si>
  <si>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</si>
  <si>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</si>
  <si>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</si>
  <si>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</si>
  <si>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</si>
  <si>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</si>
  <si>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</si>
  <si>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</si>
  <si>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</si>
  <si>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</si>
  <si>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</si>
  <si>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</si>
  <si>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</si>
  <si>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</si>
  <si>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</si>
  <si>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</si>
  <si>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</si>
  <si>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</si>
  <si>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</si>
  <si>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</si>
  <si>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</si>
  <si>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</si>
  <si>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</si>
  <si>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</si>
  <si>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</si>
  <si>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</si>
  <si>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</si>
  <si>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</si>
  <si>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</si>
  <si>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</si>
  <si>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</si>
  <si>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</si>
  <si>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</si>
  <si>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</si>
  <si>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</si>
  <si>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</si>
  <si>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</si>
  <si>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</si>
  <si>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</si>
  <si>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</si>
  <si>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</si>
  <si>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</si>
  <si>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</si>
  <si>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</si>
  <si>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</si>
  <si>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</si>
  <si>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</si>
  <si>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</si>
  <si>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</si>
  <si>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</si>
  <si>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</si>
  <si>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</si>
  <si>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</si>
  <si>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</si>
  <si>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</si>
  <si>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</si>
  <si>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</si>
  <si>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</si>
  <si>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</si>
  <si>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</si>
  <si>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</si>
  <si>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</si>
  <si>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</si>
  <si>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</si>
  <si>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</si>
  <si>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</si>
  <si>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</si>
  <si>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</si>
  <si>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</si>
  <si>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</si>
  <si>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</si>
  <si>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</si>
  <si>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</si>
  <si>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</si>
  <si>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</si>
  <si>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</si>
  <si>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</si>
  <si>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</si>
  <si>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</si>
  <si>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</si>
  <si>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</si>
  <si>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</si>
  <si>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</si>
  <si>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</si>
  <si>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</si>
  <si>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</si>
  <si>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</si>
  <si>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</si>
  <si>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</si>
  <si>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</si>
  <si>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</si>
  <si>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</si>
  <si>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</si>
  <si>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</si>
  <si>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</si>
  <si>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</si>
  <si>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</si>
  <si>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</si>
  <si>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</si>
  <si>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</si>
  <si>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</si>
  <si>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</si>
  <si>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</si>
  <si>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</si>
  <si>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</si>
  <si>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</si>
  <si>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</si>
  <si>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</si>
  <si>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</si>
  <si>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</si>
  <si>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</si>
  <si>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</si>
  <si>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</si>
  <si>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</si>
  <si>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</si>
  <si>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</si>
  <si>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</si>
  <si>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</si>
  <si>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</si>
  <si>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</si>
  <si>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</si>
  <si>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</si>
  <si>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</si>
  <si>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</si>
  <si>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</si>
  <si>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</si>
  <si>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</si>
  <si>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</si>
  <si>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</si>
  <si>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</si>
  <si>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</si>
  <si>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</si>
  <si>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</si>
  <si>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</si>
  <si>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</si>
  <si>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</si>
  <si>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</si>
  <si>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</si>
  <si>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</si>
  <si>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</si>
  <si>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</si>
  <si>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</si>
  <si>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</si>
  <si>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</si>
  <si>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</si>
  <si>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</si>
  <si>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</si>
  <si>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</si>
  <si>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</si>
  <si>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</si>
  <si>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</si>
  <si>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</si>
  <si>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</si>
  <si>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</si>
  <si>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</si>
  <si>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</si>
  <si>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</si>
  <si>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</si>
  <si>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</si>
  <si>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</si>
  <si>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</si>
  <si>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</si>
  <si>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</si>
  <si>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</si>
  <si>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</si>
  <si>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</si>
  <si>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</si>
  <si>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</si>
  <si>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</si>
  <si>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</si>
  <si>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</si>
  <si>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</si>
  <si>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</si>
  <si>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</si>
  <si>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</si>
  <si>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</si>
  <si>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</si>
  <si>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</si>
  <si>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</si>
  <si>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</si>
  <si>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</si>
  <si>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</si>
  <si>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</si>
  <si>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</si>
  <si>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</si>
  <si>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</si>
  <si>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</si>
  <si>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</si>
  <si>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</si>
  <si>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</si>
  <si>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</si>
  <si>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</si>
  <si>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</si>
  <si>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</si>
  <si>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</si>
  <si>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</si>
  <si>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</si>
  <si>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</si>
  <si>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</si>
  <si>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</si>
  <si>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</si>
  <si>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</si>
  <si>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</si>
  <si>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</si>
  <si>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</si>
  <si>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</si>
  <si>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</si>
  <si>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</si>
  <si>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</si>
  <si>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</si>
  <si>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</si>
  <si>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</si>
  <si>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</si>
  <si>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</si>
  <si>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</si>
  <si>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</si>
  <si>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</si>
  <si>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</si>
  <si>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</si>
  <si>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</si>
  <si>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</si>
  <si>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</si>
  <si>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</si>
  <si>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</si>
  <si>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</si>
  <si>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</si>
  <si>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</si>
  <si>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</si>
  <si>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</si>
  <si>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</si>
  <si>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</si>
  <si>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</si>
  <si>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</si>
  <si>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</si>
  <si>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</si>
  <si>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</si>
  <si>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</si>
  <si>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</si>
  <si>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</si>
  <si>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</si>
  <si>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</si>
  <si>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</si>
  <si>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</si>
  <si>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</si>
  <si>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</si>
  <si>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</si>
  <si>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</si>
  <si>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</si>
  <si>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</si>
  <si>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</si>
  <si>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</si>
  <si>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</si>
  <si>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</si>
  <si>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</si>
  <si>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</si>
  <si>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</si>
  <si>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</si>
  <si>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</si>
  <si>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</si>
  <si>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</si>
  <si>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</si>
  <si>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</si>
  <si>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</si>
  <si>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</si>
  <si>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</si>
  <si>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</si>
  <si>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</si>
  <si>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</si>
  <si>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</si>
  <si>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</si>
  <si>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</si>
  <si>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</si>
  <si>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</si>
  <si>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</si>
  <si>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</si>
  <si>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</si>
  <si>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</si>
  <si>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</si>
  <si>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</si>
  <si>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</si>
  <si>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</si>
  <si>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</si>
  <si>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</si>
  <si>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</si>
  <si>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</si>
  <si>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</si>
  <si>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</si>
  <si>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</si>
  <si>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</si>
  <si>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</si>
  <si>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</si>
  <si>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</si>
  <si>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</si>
  <si>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</si>
  <si>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</si>
  <si>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</si>
  <si>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</si>
  <si>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</si>
  <si>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</si>
  <si>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</si>
  <si>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</si>
  <si>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</si>
  <si>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</si>
  <si>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</si>
  <si>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</si>
  <si>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</si>
  <si>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</si>
  <si>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</si>
  <si>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</si>
  <si>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</si>
  <si>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</si>
  <si>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</si>
  <si>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</si>
  <si>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</si>
  <si>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</si>
  <si>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</si>
  <si>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</si>
  <si>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</si>
  <si>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</si>
  <si>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</si>
  <si>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</si>
  <si>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</si>
  <si>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</si>
  <si>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</si>
  <si>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</si>
  <si>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</si>
  <si>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</si>
  <si>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</si>
  <si>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</si>
  <si>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</si>
  <si>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</si>
  <si>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</si>
  <si>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</si>
  <si>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</si>
  <si>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</si>
  <si>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</si>
  <si>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</si>
  <si>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</si>
  <si>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</si>
  <si>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</si>
  <si>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</si>
  <si>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</si>
  <si>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</si>
  <si>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</si>
  <si>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</si>
  <si>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</si>
  <si>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</si>
  <si>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</si>
  <si>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</si>
  <si>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</si>
  <si>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</si>
  <si>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</si>
  <si>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</si>
  <si>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</si>
  <si>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</si>
  <si>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</si>
  <si>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</si>
  <si>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</si>
  <si>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</si>
  <si>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</si>
  <si>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</si>
  <si>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</si>
  <si>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</si>
  <si>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</si>
  <si>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</si>
  <si>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</si>
  <si>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</si>
  <si>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</si>
  <si>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</si>
  <si>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</si>
  <si>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</si>
  <si>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</si>
  <si>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</si>
  <si>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</si>
  <si>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</si>
  <si>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</si>
  <si>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</si>
  <si>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</si>
  <si>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</si>
  <si>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</si>
  <si>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</si>
  <si>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</si>
  <si>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</si>
  <si>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</si>
  <si>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</si>
  <si>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</si>
  <si>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</si>
  <si>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</si>
  <si>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</si>
  <si>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</si>
  <si>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</si>
  <si>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</si>
  <si>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</si>
  <si>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</si>
  <si>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</si>
  <si>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</si>
  <si>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</si>
  <si>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</si>
  <si>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</si>
  <si>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</si>
  <si>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</si>
  <si>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</si>
  <si>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</si>
  <si>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</si>
  <si>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</si>
  <si>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</si>
  <si>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</si>
  <si>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</si>
  <si>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</si>
  <si>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</si>
  <si>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</si>
  <si>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</si>
  <si>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</si>
  <si>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</si>
  <si>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</si>
  <si>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</si>
  <si>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</si>
  <si>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</si>
  <si>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</si>
  <si>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</si>
  <si>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</si>
  <si>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</si>
  <si>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</si>
  <si>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</si>
  <si>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</si>
  <si>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</si>
  <si>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</si>
  <si>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</si>
  <si>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</si>
  <si>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</si>
  <si>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</si>
  <si>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</si>
  <si>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</si>
  <si>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</si>
  <si>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</si>
  <si>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</si>
  <si>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</si>
  <si>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</si>
  <si>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</si>
  <si>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</si>
  <si>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</si>
  <si>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</si>
  <si>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</si>
  <si>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</si>
  <si>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</si>
  <si>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</si>
  <si>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</si>
  <si>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</si>
  <si>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</si>
  <si>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</si>
  <si>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</si>
  <si>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</si>
  <si>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</si>
  <si>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</si>
  <si>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</si>
  <si>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</si>
  <si>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</si>
  <si>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</si>
  <si>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</si>
  <si>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</si>
  <si>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</si>
  <si>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</si>
  <si>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</si>
  <si>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</si>
  <si>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</si>
  <si>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</si>
  <si>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</si>
  <si>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</si>
  <si>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</si>
  <si>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</si>
  <si>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</si>
  <si>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</si>
  <si>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</si>
  <si>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</si>
  <si>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</si>
  <si>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</si>
  <si>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</si>
  <si>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</si>
  <si>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</si>
  <si>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</si>
  <si>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</si>
  <si>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</si>
  <si>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</si>
  <si>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</si>
  <si>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</si>
  <si>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</si>
  <si>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</si>
  <si>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</si>
  <si>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</si>
  <si>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</si>
  <si>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</si>
  <si>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</si>
  <si>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</si>
  <si>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</si>
  <si>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</si>
  <si>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</si>
  <si>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</si>
  <si>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</si>
  <si>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</si>
  <si>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</si>
  <si>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</si>
  <si>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</si>
  <si>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</si>
  <si>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</si>
  <si>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</si>
  <si>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</si>
  <si>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</si>
  <si>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</si>
  <si>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</si>
  <si>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</si>
  <si>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</si>
  <si>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</si>
  <si>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</si>
  <si>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</si>
  <si>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</si>
  <si>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</si>
  <si>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</si>
  <si>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</si>
  <si>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</si>
  <si>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</si>
  <si>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</si>
  <si>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</si>
  <si>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</si>
  <si>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</si>
  <si>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</si>
  <si>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</si>
  <si>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</si>
  <si>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</si>
  <si>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</si>
  <si>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</si>
  <si>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</si>
  <si>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</si>
  <si>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</si>
  <si>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</si>
  <si>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</si>
  <si>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</si>
  <si>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</si>
  <si>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</si>
  <si>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</si>
  <si>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</si>
  <si>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</si>
  <si>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</si>
  <si>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</si>
  <si>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</si>
  <si>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</si>
  <si>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</si>
  <si>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</si>
  <si>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</si>
  <si>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</si>
  <si>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</si>
  <si>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</si>
  <si>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</si>
  <si>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</si>
  <si>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</si>
  <si>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</si>
  <si>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</si>
  <si>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</si>
  <si>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</si>
  <si>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</si>
  <si>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</si>
  <si>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</si>
  <si>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</si>
  <si>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</si>
  <si>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</si>
  <si>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</si>
  <si>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</si>
  <si>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</si>
  <si>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</si>
  <si>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</si>
  <si>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</si>
  <si>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</si>
  <si>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</si>
  <si>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</si>
  <si>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</si>
  <si>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</si>
  <si>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</si>
  <si>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</si>
  <si>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</si>
  <si>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</si>
  <si>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</si>
  <si>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</si>
  <si>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</si>
  <si>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</si>
  <si>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</si>
  <si>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</si>
  <si>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</si>
  <si>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</si>
  <si>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</si>
  <si>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</si>
  <si>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</si>
  <si>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</si>
  <si>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</si>
  <si>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</si>
  <si>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</si>
  <si>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</si>
  <si>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</si>
  <si>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</si>
  <si>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</si>
  <si>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</si>
  <si>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</si>
  <si>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</si>
  <si>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</si>
  <si>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</si>
  <si>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</si>
  <si>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</si>
  <si>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</si>
  <si>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</si>
  <si>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</si>
  <si>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</si>
  <si>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</si>
  <si>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</si>
  <si>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</si>
  <si>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</si>
  <si>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</si>
  <si>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</si>
  <si>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</si>
  <si>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</si>
  <si>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</si>
  <si>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</si>
  <si>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</si>
  <si>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</si>
  <si>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</si>
  <si>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</si>
  <si>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</si>
  <si>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</si>
  <si>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</si>
  <si>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</si>
  <si>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</si>
  <si>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</si>
  <si>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</si>
  <si>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</si>
  <si>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</si>
  <si>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</si>
  <si>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</si>
  <si>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</si>
  <si>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</si>
  <si>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</si>
  <si>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</si>
  <si>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</si>
  <si>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</si>
  <si>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</si>
  <si>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</si>
  <si>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</si>
  <si>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</si>
  <si>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</si>
  <si>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</si>
  <si>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</si>
  <si>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</si>
  <si>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</si>
  <si>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</si>
  <si>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</si>
  <si>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</si>
  <si>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</si>
  <si>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</si>
  <si>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</si>
  <si>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</si>
  <si>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</si>
  <si>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</si>
  <si>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</si>
  <si>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</si>
  <si>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</si>
  <si>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</si>
  <si>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</si>
  <si>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</si>
  <si>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</si>
  <si>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</si>
  <si>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</si>
  <si>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</si>
  <si>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</si>
  <si>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</si>
  <si>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</si>
  <si>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</si>
  <si>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</si>
  <si>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</si>
  <si>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</si>
  <si>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</si>
  <si>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</si>
  <si>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</si>
  <si>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</si>
  <si>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</si>
  <si>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</si>
  <si>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</si>
  <si>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</si>
  <si>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</si>
  <si>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</si>
  <si>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</si>
  <si>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</si>
  <si>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</si>
  <si>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</si>
  <si>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</si>
  <si>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</si>
  <si>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</si>
  <si>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</si>
  <si>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</si>
  <si>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</si>
  <si>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</si>
  <si>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</si>
  <si>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</si>
  <si>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</si>
  <si>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</si>
  <si>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</si>
  <si>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</si>
  <si>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</si>
  <si>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</si>
  <si>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</si>
  <si>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</si>
  <si>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</si>
  <si>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</si>
  <si>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</si>
  <si>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</si>
  <si>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</si>
  <si>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</si>
  <si>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</si>
  <si>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</si>
  <si>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</si>
  <si>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</si>
  <si>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</si>
  <si>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</si>
  <si>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</si>
  <si>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</si>
  <si>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</si>
  <si>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</si>
  <si>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</si>
  <si>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</si>
  <si>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</si>
  <si>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</si>
  <si>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</si>
  <si>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</si>
  <si>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</si>
  <si>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</si>
  <si>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</si>
  <si>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</si>
  <si>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</si>
  <si>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</si>
  <si>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</si>
  <si>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</si>
  <si>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</si>
  <si>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</si>
  <si>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</si>
  <si>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</si>
  <si>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</si>
  <si>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</si>
  <si>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</si>
  <si>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</si>
  <si>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</si>
  <si>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</si>
  <si>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</si>
  <si>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</si>
  <si>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</si>
  <si>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</si>
  <si>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</si>
  <si>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</si>
  <si>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</si>
  <si>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</si>
  <si>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</si>
  <si>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</si>
  <si>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</si>
  <si>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</si>
  <si>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</si>
  <si>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</si>
  <si>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</si>
  <si>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</si>
  <si>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</si>
  <si>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</si>
  <si>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</si>
  <si>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</si>
  <si>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</si>
  <si>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</si>
  <si>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</si>
  <si>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</si>
  <si>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</si>
  <si>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</si>
  <si>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</si>
  <si>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</si>
  <si>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</si>
  <si>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</si>
  <si>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</si>
  <si>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</si>
  <si>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</si>
  <si>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</si>
  <si>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</si>
  <si>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</si>
  <si>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</si>
  <si>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</si>
  <si>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</si>
  <si>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</si>
  <si>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</si>
  <si>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</si>
  <si>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</si>
  <si>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</si>
  <si>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</si>
  <si>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</si>
  <si>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</si>
  <si>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</si>
  <si>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</si>
  <si>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</si>
  <si>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</si>
  <si>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</si>
  <si>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</si>
  <si>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</si>
  <si>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</si>
  <si>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</si>
  <si>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</si>
  <si>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</si>
  <si>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</si>
  <si>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</si>
  <si>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</si>
  <si>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</si>
  <si>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</si>
  <si>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</si>
  <si>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</si>
  <si>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</si>
  <si>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</si>
  <si>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</si>
  <si>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</si>
  <si>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</si>
  <si>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</si>
  <si>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</si>
  <si>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</si>
  <si>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</si>
  <si>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</si>
  <si>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</si>
  <si>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</si>
  <si>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</si>
  <si>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</si>
  <si>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</si>
  <si>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</si>
  <si>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</si>
  <si>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</si>
  <si>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</si>
  <si>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</si>
  <si>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</si>
  <si>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</si>
  <si>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</si>
  <si>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</si>
  <si>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</si>
  <si>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</si>
  <si>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</si>
  <si>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</si>
  <si>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</si>
  <si>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</si>
  <si>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</si>
  <si>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</si>
  <si>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</si>
  <si>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</si>
  <si>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</si>
  <si>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</si>
  <si>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</si>
  <si>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</si>
  <si>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</si>
  <si>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</si>
  <si>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</si>
  <si>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</si>
  <si>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</si>
  <si>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</si>
  <si>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</si>
  <si>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</si>
  <si>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</si>
  <si>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</si>
  <si>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</si>
  <si>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</si>
  <si>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</si>
  <si>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</si>
  <si>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</si>
  <si>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</si>
  <si>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</si>
  <si>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</si>
  <si>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</si>
  <si>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</si>
  <si>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</si>
  <si>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</si>
  <si>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</si>
  <si>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</si>
  <si>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</si>
  <si>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</si>
  <si>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</si>
  <si>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</si>
  <si>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</si>
  <si>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</si>
  <si>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</si>
  <si>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</si>
  <si>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</si>
  <si>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</si>
  <si>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</si>
  <si>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</si>
  <si>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</si>
  <si>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</si>
  <si>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</si>
  <si>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</si>
  <si>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</si>
  <si>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</si>
  <si>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</si>
  <si>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</si>
  <si>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</si>
  <si>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</si>
  <si>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</si>
  <si>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</si>
  <si>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</si>
  <si>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</si>
  <si>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</si>
  <si>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</si>
  <si>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</si>
  <si>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</si>
  <si>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</si>
  <si>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</si>
  <si>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</si>
  <si>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</si>
  <si>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</si>
  <si>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</si>
  <si>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</si>
  <si>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</si>
  <si>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</si>
  <si>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</si>
  <si>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</si>
  <si>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</si>
  <si>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</si>
  <si>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</si>
  <si>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</si>
  <si>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</si>
  <si>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</si>
  <si>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</si>
  <si>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</si>
  <si>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</si>
  <si>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</si>
  <si>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</si>
  <si>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</si>
  <si>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</si>
  <si>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</si>
  <si>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</si>
  <si>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</si>
  <si>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</si>
  <si>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</si>
  <si>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</si>
  <si>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</si>
  <si>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</si>
  <si>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</si>
  <si>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</si>
  <si>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</si>
  <si>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</si>
  <si>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</si>
  <si>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</si>
  <si>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</si>
  <si>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</si>
  <si>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</si>
  <si>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</si>
  <si>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</si>
  <si>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</si>
  <si>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</si>
  <si>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</si>
  <si>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</si>
  <si>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</si>
  <si>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</si>
  <si>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</si>
  <si>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</si>
  <si>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</si>
  <si>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</si>
  <si>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</si>
  <si>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</si>
  <si>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</si>
  <si>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</si>
  <si>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</si>
  <si>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</si>
  <si>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</si>
  <si>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</si>
  <si>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</si>
  <si>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</si>
  <si>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</si>
  <si>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</si>
  <si>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</si>
  <si>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</si>
  <si>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</si>
  <si>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</si>
  <si>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</si>
  <si>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</si>
  <si>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</si>
  <si>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</si>
  <si>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</si>
  <si>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</si>
  <si>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</si>
  <si>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</si>
  <si>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</si>
  <si>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</si>
  <si>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</si>
  <si>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</si>
  <si>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</si>
  <si>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</si>
  <si>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</si>
  <si>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</si>
  <si>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</si>
  <si>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</si>
  <si>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</si>
  <si>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</si>
  <si>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</si>
  <si>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</si>
  <si>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</si>
  <si>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</si>
  <si>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</si>
  <si>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</si>
  <si>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</si>
  <si>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</si>
  <si>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</si>
  <si>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</si>
  <si>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</si>
  <si>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</si>
  <si>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</si>
  <si>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</si>
  <si>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</si>
  <si>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</si>
  <si>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</si>
  <si>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</si>
  <si>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</si>
  <si>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</si>
  <si>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</si>
  <si>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</si>
  <si>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</si>
  <si>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</si>
  <si>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</si>
  <si>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</si>
  <si>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</si>
  <si>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</si>
  <si>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</si>
  <si>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</si>
  <si>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</si>
  <si>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</si>
  <si>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</si>
  <si>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</si>
  <si>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</si>
  <si>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</si>
  <si>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</si>
  <si>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</si>
  <si>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</si>
  <si>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</si>
  <si>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</si>
  <si>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</si>
  <si>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</si>
  <si>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</si>
  <si>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</si>
  <si>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</si>
  <si>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</si>
  <si>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</si>
  <si>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</si>
  <si>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</si>
  <si>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</si>
  <si>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</si>
  <si>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</si>
  <si>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</si>
  <si>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</si>
  <si>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</si>
  <si>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</si>
  <si>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</si>
  <si>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</si>
  <si>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</si>
  <si>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</si>
  <si>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</si>
  <si>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</si>
  <si>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</si>
  <si>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</si>
  <si>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</si>
  <si>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</si>
  <si>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</si>
  <si>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</si>
  <si>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</si>
  <si>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</si>
  <si>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</si>
  <si>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</si>
  <si>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</si>
  <si>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</si>
  <si>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</si>
  <si>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</si>
  <si>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</si>
  <si>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</si>
  <si>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</si>
  <si>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</si>
  <si>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</si>
  <si>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</si>
  <si>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</si>
  <si>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</si>
  <si>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</si>
  <si>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</si>
  <si>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</si>
  <si>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</si>
  <si>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</si>
  <si>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</si>
  <si>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</si>
  <si>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</si>
  <si>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</si>
  <si>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</si>
  <si>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</si>
  <si>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</si>
  <si>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</si>
  <si>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</si>
  <si>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</si>
  <si>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</si>
  <si>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</si>
  <si>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</si>
  <si>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</si>
  <si>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</si>
  <si>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</si>
  <si>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</si>
  <si>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</si>
  <si>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</si>
  <si>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</si>
  <si>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</si>
  <si>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</si>
  <si>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</si>
  <si>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</si>
  <si>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</si>
  <si>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</si>
  <si>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</si>
  <si>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</si>
  <si>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</si>
  <si>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</si>
  <si>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</si>
  <si>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</si>
  <si>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</si>
  <si>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</si>
  <si>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</si>
  <si>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</si>
  <si>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</si>
  <si>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</si>
  <si>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</si>
  <si>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</si>
  <si>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</si>
  <si>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</si>
  <si>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</si>
  <si>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</si>
  <si>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</si>
  <si>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</si>
  <si>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</si>
  <si>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</si>
  <si>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</si>
  <si>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</si>
  <si>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</si>
  <si>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</si>
  <si>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</si>
  <si>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</si>
  <si>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</si>
  <si>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</si>
  <si>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</si>
  <si>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</si>
  <si>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</si>
  <si>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</si>
  <si>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</si>
  <si>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</si>
  <si>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</si>
  <si>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</si>
  <si>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</si>
  <si>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</si>
  <si>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</si>
  <si>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</si>
  <si>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</si>
  <si>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</si>
  <si>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</si>
  <si>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</si>
  <si>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</si>
  <si>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</si>
  <si>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</si>
  <si>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</si>
  <si>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</si>
  <si>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</si>
  <si>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</si>
  <si>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</si>
  <si>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</si>
  <si>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</si>
  <si>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</si>
  <si>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</si>
  <si>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</si>
  <si>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</si>
  <si>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</si>
  <si>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</si>
  <si>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</si>
  <si>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</si>
  <si>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</si>
  <si>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</si>
  <si>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</si>
  <si>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</si>
  <si>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</si>
  <si>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</si>
  <si>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</si>
  <si>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</si>
  <si>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</si>
  <si>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</si>
  <si>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</si>
  <si>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</si>
  <si>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</si>
  <si>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</si>
  <si>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</si>
  <si>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</si>
  <si>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</si>
  <si>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</si>
  <si>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</si>
  <si>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</si>
  <si>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</si>
  <si>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</si>
  <si>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</si>
  <si>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</si>
  <si>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</si>
  <si>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</si>
  <si>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</si>
  <si>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</si>
  <si>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</si>
  <si>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</si>
  <si>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</si>
  <si>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</si>
  <si>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</si>
  <si>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</si>
  <si>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</si>
  <si>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</si>
  <si>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</si>
  <si>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</si>
  <si>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</si>
  <si>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</si>
  <si>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</si>
  <si>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</si>
  <si>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</si>
  <si>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</si>
  <si>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</si>
  <si>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</si>
  <si>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</si>
  <si>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</si>
  <si>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</si>
  <si>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</si>
  <si>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</si>
  <si>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</si>
  <si>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</si>
  <si>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</si>
  <si>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</si>
  <si>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</si>
  <si>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</si>
  <si>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</si>
  <si>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</si>
  <si>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</si>
  <si>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</si>
  <si>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</si>
  <si>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</si>
  <si>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</si>
  <si>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</si>
  <si>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</si>
  <si>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</si>
  <si>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</si>
  <si>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</si>
  <si>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</si>
  <si>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</si>
  <si>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</si>
  <si>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</si>
  <si>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</si>
  <si>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</si>
  <si>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</si>
  <si>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</si>
  <si>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</si>
  <si>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</si>
  <si>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</si>
  <si>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</si>
  <si>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</si>
  <si>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</si>
  <si>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</si>
  <si>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</si>
  <si>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</si>
  <si>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</si>
  <si>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</si>
  <si>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</si>
  <si>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</si>
  <si>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</si>
  <si>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</si>
  <si>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</si>
  <si>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</si>
  <si>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</si>
  <si>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</si>
  <si>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</si>
  <si>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</si>
  <si>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</si>
  <si>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</si>
  <si>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</si>
  <si>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</si>
  <si>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</si>
  <si>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</si>
  <si>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</si>
  <si>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</si>
  <si>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</si>
  <si>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</si>
  <si>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</si>
  <si>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</si>
  <si>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</si>
  <si>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</si>
  <si>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</si>
  <si>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</si>
  <si>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</si>
  <si>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</si>
  <si>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</si>
  <si>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</si>
  <si>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</si>
  <si>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</si>
  <si>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</si>
  <si>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</si>
  <si>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</si>
  <si>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</si>
  <si>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</si>
  <si>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</si>
  <si>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</si>
  <si>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</si>
  <si>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</si>
  <si>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</si>
  <si>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</si>
  <si>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</si>
  <si>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</si>
  <si>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</si>
  <si>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</si>
  <si>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</si>
  <si>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</si>
  <si>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</si>
  <si>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</si>
  <si>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</si>
  <si>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</si>
  <si>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</si>
  <si>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</si>
  <si>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</si>
  <si>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</si>
  <si>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</si>
  <si>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</si>
  <si>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</si>
  <si>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</si>
  <si>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</si>
  <si>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</si>
  <si>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</si>
  <si>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</si>
  <si>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</si>
  <si>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</si>
  <si>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</si>
  <si>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</si>
  <si>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</si>
  <si>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</si>
  <si>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</si>
  <si>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</si>
  <si>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</si>
  <si>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</si>
  <si>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</si>
  <si>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</si>
  <si>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</si>
  <si>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</si>
  <si>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</si>
  <si>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</si>
  <si>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</si>
  <si>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</si>
  <si>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</si>
  <si>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</si>
  <si>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</si>
  <si>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</si>
  <si>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</si>
  <si>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</si>
  <si>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</si>
  <si>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</si>
  <si>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</si>
  <si>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</si>
  <si>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</si>
  <si>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</si>
  <si>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</si>
  <si>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</si>
  <si>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</si>
  <si>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</si>
  <si>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</si>
  <si>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</si>
  <si>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</si>
  <si>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</si>
  <si>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</si>
  <si>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</si>
  <si>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</si>
  <si>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</si>
  <si>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</si>
  <si>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</si>
  <si>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</si>
  <si>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</si>
  <si>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</si>
  <si>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</si>
  <si>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</si>
  <si>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</si>
  <si>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</si>
  <si>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</si>
  <si>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</si>
  <si>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</si>
  <si>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</si>
  <si>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</si>
  <si>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</si>
  <si>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</si>
  <si>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</si>
  <si>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</si>
  <si>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</si>
  <si>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</si>
  <si>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</si>
  <si>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</si>
  <si>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</si>
  <si>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</si>
  <si>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</si>
  <si>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</si>
  <si>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</si>
  <si>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</si>
  <si>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</si>
  <si>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</si>
  <si>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</si>
  <si>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</si>
  <si>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</si>
  <si>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</si>
  <si>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</si>
  <si>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</si>
  <si>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</si>
  <si>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</si>
  <si>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</si>
  <si>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</si>
  <si>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</si>
  <si>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</si>
  <si>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</si>
  <si>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</si>
  <si>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</si>
  <si>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</si>
  <si>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</si>
  <si>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</si>
  <si>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</si>
  <si>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</si>
  <si>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</si>
  <si>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</si>
  <si>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</si>
  <si>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</si>
  <si>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</si>
  <si>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</si>
  <si>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</si>
  <si>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</si>
  <si>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</si>
  <si>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</si>
  <si>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</si>
  <si>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</si>
  <si>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</si>
  <si>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</si>
  <si>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</si>
  <si>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</si>
  <si>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</si>
  <si>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</si>
  <si>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</si>
  <si>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</si>
  <si>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</si>
  <si>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</si>
  <si>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</si>
  <si>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</si>
  <si>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</si>
  <si>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</si>
  <si>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</si>
  <si>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</si>
  <si>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</si>
  <si>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</si>
  <si>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</si>
  <si>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</si>
  <si>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</si>
  <si>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</si>
  <si>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</si>
  <si>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</si>
  <si>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</si>
  <si>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</si>
  <si>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</si>
  <si>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</si>
  <si>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</si>
  <si>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</si>
  <si>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</si>
  <si>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</si>
  <si>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</si>
  <si>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</si>
  <si>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</si>
  <si>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</si>
  <si>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</si>
  <si>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</si>
  <si>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</si>
  <si>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</si>
  <si>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</si>
  <si>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</si>
  <si>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</si>
  <si>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</si>
  <si>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</si>
  <si>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</si>
  <si>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</si>
  <si>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</si>
  <si>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</si>
  <si>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</si>
  <si>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</si>
  <si>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</si>
  <si>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</si>
  <si>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</si>
  <si>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</si>
  <si>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</si>
  <si>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</si>
  <si>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</si>
  <si>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</si>
  <si>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</si>
  <si>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</si>
  <si>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</si>
  <si>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</si>
  <si>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</si>
  <si>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</si>
  <si>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</si>
  <si>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</si>
  <si>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</si>
  <si>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</si>
  <si>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</si>
  <si>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</si>
  <si>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</si>
  <si>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</si>
  <si>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</si>
  <si>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</si>
  <si>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</si>
  <si>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</si>
  <si>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</si>
  <si>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</si>
  <si>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</si>
  <si>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</si>
  <si>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</si>
  <si>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</si>
  <si>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</si>
  <si>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</si>
  <si>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</si>
  <si>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</si>
  <si>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</si>
  <si>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</si>
  <si>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</si>
  <si>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</si>
  <si>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</si>
  <si>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</si>
  <si>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</si>
  <si>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</si>
  <si>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</si>
  <si>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</si>
  <si>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</si>
  <si>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</si>
  <si>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</si>
  <si>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</si>
  <si>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</si>
  <si>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</si>
  <si>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</si>
  <si>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</si>
  <si>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</si>
  <si>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</si>
  <si>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</si>
  <si>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</si>
  <si>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</si>
  <si>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</si>
  <si>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</si>
  <si>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</si>
  <si>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</si>
  <si>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</si>
  <si>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</si>
  <si>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</si>
  <si>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</si>
  <si>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</si>
  <si>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</si>
  <si>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</si>
  <si>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</si>
  <si>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</si>
  <si>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</si>
  <si>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</si>
  <si>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</si>
  <si>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</si>
  <si>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</si>
  <si>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</si>
  <si>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</si>
  <si>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</si>
  <si>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</si>
  <si>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</si>
  <si>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</si>
  <si>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</si>
  <si>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</si>
  <si>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</si>
  <si>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</si>
  <si>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</si>
  <si>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</si>
  <si>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</si>
  <si>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</si>
  <si>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</si>
  <si>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</si>
  <si>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</si>
  <si>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</si>
  <si>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</si>
  <si>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</si>
  <si>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</si>
  <si>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</si>
  <si>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</si>
  <si>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</si>
  <si>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</si>
  <si>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</si>
  <si>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</si>
  <si>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</si>
  <si>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</si>
  <si>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</si>
  <si>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</si>
  <si>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</si>
  <si>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</si>
  <si>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</si>
  <si>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</si>
  <si>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</si>
  <si>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</si>
  <si>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</si>
  <si>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</si>
  <si>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</si>
  <si>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</si>
  <si>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</si>
  <si>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</si>
  <si>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</si>
  <si>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</si>
  <si>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</si>
  <si>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</si>
  <si>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</si>
  <si>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</si>
  <si>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</si>
  <si>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</si>
  <si>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</si>
  <si>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</si>
  <si>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</si>
  <si>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</si>
  <si>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</si>
  <si>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</si>
  <si>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</si>
  <si>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</si>
  <si>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</si>
  <si>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</si>
  <si>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</si>
  <si>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</si>
  <si>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</si>
  <si>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</si>
  <si>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</si>
  <si>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</si>
  <si>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</si>
  <si>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</si>
  <si>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</si>
  <si>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</si>
  <si>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</si>
  <si>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</si>
  <si>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</si>
  <si>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</si>
  <si>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</si>
  <si>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</si>
  <si>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</si>
  <si>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</si>
  <si>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</si>
  <si>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</si>
  <si>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</si>
  <si>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</si>
  <si>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</si>
  <si>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</si>
  <si>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</si>
  <si>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</si>
  <si>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</si>
  <si>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</si>
  <si>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</si>
  <si>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</si>
  <si>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</si>
  <si>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</si>
  <si>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</si>
  <si>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</si>
  <si>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</si>
  <si>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</si>
  <si>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</si>
  <si>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</si>
  <si>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</si>
  <si>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</si>
  <si>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</si>
  <si>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</si>
  <si>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</si>
  <si>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</si>
  <si>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</si>
  <si>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</si>
  <si>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</si>
  <si>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</si>
  <si>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</si>
  <si>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</si>
  <si>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</si>
  <si>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</si>
  <si>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</si>
  <si>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</si>
  <si>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</si>
  <si>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</si>
  <si>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</si>
  <si>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</si>
  <si>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</si>
  <si>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</si>
  <si>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</si>
  <si>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</si>
  <si>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</si>
  <si>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</si>
  <si>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</si>
  <si>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</si>
  <si>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</si>
  <si>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</si>
  <si>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</si>
  <si>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</si>
  <si>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</si>
  <si>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</si>
  <si>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</si>
  <si>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</si>
  <si>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</si>
  <si>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</si>
  <si>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</si>
  <si>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</si>
  <si>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</si>
  <si>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</si>
  <si>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</si>
  <si>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</si>
  <si>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</si>
  <si>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</si>
  <si>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</si>
  <si>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</si>
  <si>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</si>
  <si>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</si>
  <si>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</si>
  <si>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</si>
  <si>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</si>
  <si>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</si>
  <si>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</si>
  <si>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</si>
  <si>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</si>
  <si>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</si>
  <si>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</si>
  <si>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</si>
  <si>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</si>
  <si>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</si>
  <si>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</si>
  <si>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</si>
  <si>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</si>
  <si>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</si>
  <si>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</si>
  <si>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</si>
  <si>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</si>
  <si>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</si>
  <si>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</si>
  <si>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</si>
  <si>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</si>
  <si>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</si>
  <si>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</si>
  <si>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</si>
  <si>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</si>
  <si>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</si>
  <si>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</si>
  <si>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</si>
  <si>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</si>
  <si>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</si>
  <si>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</si>
  <si>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</si>
  <si>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</si>
  <si>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</si>
  <si>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</si>
  <si>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</si>
  <si>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</si>
  <si>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</si>
  <si>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</si>
  <si>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</si>
  <si>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</si>
  <si>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</si>
  <si>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</si>
  <si>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</si>
  <si>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</si>
  <si>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</si>
  <si>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</si>
  <si>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</si>
  <si>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</si>
  <si>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</si>
  <si>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</si>
  <si>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</si>
  <si>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</si>
  <si>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</si>
  <si>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</si>
  <si>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</si>
  <si>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</si>
  <si>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</si>
  <si>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</si>
  <si>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</si>
  <si>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</si>
  <si>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</si>
  <si>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</si>
  <si>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</si>
  <si>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</si>
  <si>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</si>
  <si>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</si>
  <si>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</si>
  <si>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</si>
  <si>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</si>
  <si>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</si>
  <si>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</si>
  <si>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</si>
  <si>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</si>
  <si>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</si>
  <si>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</si>
  <si>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</si>
  <si>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</si>
  <si>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</si>
  <si>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</si>
  <si>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</si>
  <si>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</si>
  <si>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</si>
  <si>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</si>
  <si>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</si>
  <si>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</si>
  <si>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</si>
  <si>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</si>
  <si>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</si>
  <si>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</si>
  <si>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</si>
  <si>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</si>
  <si>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</si>
  <si>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</si>
  <si>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</si>
  <si>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</si>
  <si>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</si>
  <si>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</si>
  <si>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</si>
  <si>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</si>
  <si>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</si>
  <si>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</si>
  <si>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</si>
  <si>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</si>
  <si>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</si>
  <si>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</si>
  <si>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</si>
  <si>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</si>
  <si>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</si>
  <si>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</si>
  <si>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</si>
  <si>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</si>
  <si>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</si>
  <si>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</si>
  <si>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</si>
  <si>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</si>
  <si>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</si>
  <si>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</si>
  <si>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</si>
  <si>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</si>
  <si>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</si>
  <si>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</si>
  <si>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</si>
  <si>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</si>
  <si>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</si>
  <si>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</si>
  <si>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</si>
  <si>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</si>
  <si>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</si>
  <si>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</si>
  <si>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</si>
  <si>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</si>
  <si>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</si>
  <si>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</si>
  <si>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</si>
  <si>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</si>
  <si>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</si>
  <si>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</si>
  <si>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</si>
  <si>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</si>
  <si>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</si>
  <si>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</si>
  <si>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</si>
  <si>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</si>
  <si>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</si>
  <si>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</si>
  <si>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</si>
  <si>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</si>
  <si>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</si>
  <si>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</si>
  <si>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</si>
  <si>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</si>
  <si>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</si>
  <si>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</si>
  <si>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</si>
  <si>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</si>
  <si>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</si>
  <si>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</si>
  <si>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</si>
  <si>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</si>
  <si>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</si>
  <si>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</si>
  <si>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</si>
  <si>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</si>
  <si>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</si>
  <si>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</si>
  <si>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</si>
  <si>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</si>
  <si>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</si>
  <si>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</si>
  <si>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</si>
  <si>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</si>
  <si>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</si>
  <si>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</si>
  <si>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</si>
  <si>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</si>
  <si>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</si>
  <si>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</si>
  <si>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</si>
  <si>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</si>
  <si>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</si>
  <si>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</si>
  <si>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</si>
  <si>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</si>
  <si>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</si>
  <si>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</si>
  <si>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</si>
  <si>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</si>
  <si>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</si>
  <si>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</si>
  <si>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</si>
  <si>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</si>
  <si>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</si>
  <si>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</si>
  <si>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</si>
  <si>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</si>
  <si>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</si>
  <si>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</si>
  <si>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</si>
  <si>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</si>
  <si>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</si>
  <si>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</si>
  <si>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</si>
  <si>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</si>
  <si>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</si>
  <si>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</si>
  <si>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</si>
  <si>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</si>
  <si>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</si>
  <si>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</si>
  <si>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</si>
  <si>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</si>
  <si>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</si>
  <si>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</si>
  <si>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</si>
  <si>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</si>
  <si>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</si>
  <si>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</si>
  <si>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</si>
  <si>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</si>
  <si>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</si>
  <si>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</si>
  <si>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</si>
  <si>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</si>
  <si>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</si>
  <si>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</si>
  <si>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</si>
  <si>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</si>
  <si>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</si>
  <si>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</si>
  <si>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</si>
  <si>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</si>
  <si>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</si>
  <si>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</si>
  <si>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</si>
  <si>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</si>
  <si>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</si>
  <si>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</si>
  <si>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</si>
  <si>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</si>
  <si>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</si>
  <si>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</si>
  <si>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</si>
  <si>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</si>
  <si>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</si>
  <si>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</si>
  <si>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</si>
  <si>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</si>
  <si>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</si>
  <si>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</si>
  <si>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</si>
  <si>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</si>
  <si>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</si>
  <si>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</si>
  <si>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</si>
  <si>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</si>
  <si>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</si>
  <si>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</si>
  <si>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</si>
  <si>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</si>
  <si>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</si>
  <si>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</si>
  <si>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</si>
  <si>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</si>
  <si>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</si>
  <si>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</si>
  <si>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</si>
  <si>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</si>
  <si>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</si>
  <si>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</si>
  <si>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</si>
  <si>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</si>
  <si>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</si>
  <si>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</si>
  <si>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</si>
  <si>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</si>
  <si>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</si>
  <si>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</si>
  <si>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</si>
  <si>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</si>
  <si>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</si>
  <si>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</si>
  <si>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</si>
  <si>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</si>
  <si>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</si>
  <si>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</si>
  <si>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</si>
  <si>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</si>
  <si>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</si>
  <si>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</si>
  <si>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</si>
  <si>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</si>
  <si>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</si>
  <si>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</si>
  <si>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</si>
  <si>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</si>
  <si>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</si>
  <si>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</si>
  <si>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</si>
  <si>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</si>
  <si>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</si>
  <si>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</si>
  <si>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</si>
  <si>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</si>
  <si>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</si>
  <si>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</si>
  <si>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</si>
  <si>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</si>
  <si>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</si>
  <si>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</si>
  <si>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</si>
  <si>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</si>
  <si>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</si>
  <si>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</si>
  <si>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</si>
  <si>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</si>
  <si>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</si>
  <si>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</si>
  <si>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</si>
  <si>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</si>
  <si>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</si>
  <si>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</si>
  <si>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</si>
  <si>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</si>
  <si>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</si>
  <si>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</si>
  <si>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</si>
  <si>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</si>
  <si>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</si>
  <si>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</si>
  <si>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</si>
  <si>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</si>
  <si>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</si>
  <si>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</si>
  <si>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</si>
  <si>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</si>
  <si>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</si>
  <si>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</si>
  <si>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</si>
  <si>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</si>
  <si>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</si>
  <si>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</si>
  <si>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</si>
  <si>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</si>
  <si>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</si>
  <si>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</si>
  <si>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</si>
  <si>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</si>
  <si>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</si>
  <si>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</si>
  <si>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</si>
  <si>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</si>
  <si>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</si>
  <si>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</si>
  <si>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</si>
  <si>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</si>
  <si>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</si>
  <si>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</si>
  <si>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</si>
  <si>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</si>
  <si>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</si>
  <si>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</si>
  <si>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</si>
  <si>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</si>
  <si>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</si>
  <si>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</si>
  <si>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</si>
  <si>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</si>
  <si>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</si>
  <si>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</si>
  <si>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</si>
  <si>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</si>
  <si>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</si>
  <si>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</si>
  <si>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</si>
  <si>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</si>
  <si>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</si>
  <si>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</si>
  <si>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</si>
  <si>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</si>
  <si>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</si>
  <si>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</si>
  <si>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</si>
  <si>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</si>
  <si>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</si>
  <si>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</si>
  <si>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</si>
  <si>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</si>
  <si>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</si>
  <si>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</si>
  <si>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</si>
  <si>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</si>
  <si>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</si>
  <si>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</si>
  <si>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</si>
  <si>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</si>
  <si>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</si>
  <si>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</si>
  <si>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</si>
  <si>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</si>
  <si>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</si>
  <si>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</si>
  <si>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</si>
  <si>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</si>
  <si>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</si>
  <si>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</si>
  <si>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</si>
  <si>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</si>
  <si>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</si>
  <si>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</si>
  <si>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</si>
  <si>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</si>
  <si>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</si>
  <si>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</si>
  <si>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</si>
  <si>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</si>
  <si>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</si>
  <si>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</si>
  <si>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</si>
  <si>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</si>
  <si>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</si>
  <si>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</si>
  <si>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</si>
  <si>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</si>
  <si>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</si>
  <si>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</si>
  <si>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</si>
  <si>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</si>
  <si>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</si>
  <si>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</si>
  <si>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</si>
  <si>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</si>
  <si>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</si>
  <si>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</si>
  <si>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</si>
  <si>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</si>
  <si>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</si>
  <si>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</si>
  <si>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</si>
  <si>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</si>
  <si>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</si>
  <si>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</si>
  <si>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</si>
  <si>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</si>
  <si>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</si>
  <si>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</si>
  <si>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</si>
  <si>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</si>
  <si>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</si>
  <si>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</si>
  <si>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</si>
  <si>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</si>
  <si>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</si>
  <si>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</si>
  <si>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</si>
  <si>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</si>
  <si>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</si>
  <si>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</si>
  <si>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</si>
  <si>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</si>
  <si>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</si>
  <si>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</si>
  <si>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</si>
  <si>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</si>
  <si>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</si>
  <si>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</si>
  <si>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</si>
  <si>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</si>
  <si>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</si>
  <si>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</si>
  <si>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</si>
  <si>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</si>
  <si>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</si>
  <si>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</si>
  <si>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</si>
  <si>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</si>
  <si>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</si>
  <si>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</si>
  <si>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</si>
  <si>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</si>
  <si>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</si>
  <si>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</si>
  <si>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</si>
  <si>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</si>
  <si>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</si>
  <si>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</si>
  <si>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</si>
  <si>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</si>
  <si>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</si>
  <si>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</si>
  <si>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</si>
  <si>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</si>
  <si>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</si>
  <si>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</si>
  <si>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</si>
  <si>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</si>
  <si>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</si>
  <si>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</si>
  <si>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</si>
  <si>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</si>
  <si>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</si>
  <si>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</si>
  <si>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</si>
  <si>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</si>
  <si>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</si>
  <si>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</si>
  <si>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</si>
  <si>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</si>
  <si>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</si>
  <si>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</si>
  <si>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</si>
  <si>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</si>
  <si>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</si>
  <si>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</si>
  <si>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</si>
  <si>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</si>
  <si>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</si>
  <si>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</si>
  <si>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</si>
  <si>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</si>
  <si>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</si>
  <si>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</si>
  <si>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</si>
  <si>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</si>
  <si>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</si>
  <si>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</si>
  <si>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</si>
  <si>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</si>
  <si>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</si>
  <si>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</si>
  <si>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</si>
  <si>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</si>
  <si>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</si>
  <si>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</si>
  <si>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</si>
  <si>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</si>
  <si>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</si>
  <si>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</si>
  <si>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</si>
  <si>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</si>
  <si>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</si>
  <si>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</si>
  <si>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</si>
  <si>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</si>
  <si>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</si>
  <si>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</si>
  <si>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</si>
  <si>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</si>
  <si>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</si>
  <si>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</si>
  <si>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</si>
  <si>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</si>
  <si>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</si>
  <si>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</si>
  <si>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</si>
  <si>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</si>
  <si>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</si>
  <si>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</si>
  <si>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</si>
  <si>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</si>
  <si>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</si>
  <si>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</si>
  <si>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</si>
  <si>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</si>
  <si>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</si>
  <si>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</si>
  <si>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</si>
  <si>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</si>
  <si>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</si>
  <si>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</si>
  <si>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</si>
  <si>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</si>
  <si>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</si>
  <si>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</si>
  <si>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</si>
  <si>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</si>
  <si>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</si>
  <si>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</si>
  <si>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</si>
  <si>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</si>
  <si>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</si>
  <si>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</si>
  <si>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</si>
  <si>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</si>
  <si>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</si>
  <si>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</si>
  <si>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</si>
  <si>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</si>
  <si>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</si>
  <si>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</si>
  <si>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</si>
  <si>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</si>
  <si>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</si>
  <si>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</si>
  <si>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</si>
  <si>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</si>
  <si>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</si>
  <si>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</si>
  <si>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</si>
  <si>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</si>
  <si>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</si>
  <si>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</si>
  <si>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</si>
  <si>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</si>
  <si>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</si>
  <si>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</si>
  <si>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</si>
  <si>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</si>
  <si>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</si>
  <si>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</si>
  <si>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</si>
  <si>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</si>
  <si>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</si>
  <si>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</si>
  <si>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</si>
  <si>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</si>
  <si>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</si>
  <si>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</si>
  <si>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</si>
  <si>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</si>
  <si>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</si>
  <si>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</si>
  <si>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</si>
  <si>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</si>
  <si>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</si>
  <si>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</si>
  <si>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</si>
  <si>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</si>
  <si>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</si>
  <si>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</si>
  <si>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</si>
  <si>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</si>
  <si>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</si>
  <si>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</si>
  <si>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</si>
  <si>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</si>
  <si>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</si>
  <si>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</si>
  <si>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</si>
  <si>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</si>
  <si>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</si>
  <si>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</si>
  <si>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</si>
  <si>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</si>
  <si>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</si>
  <si>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</si>
  <si>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</si>
  <si>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</si>
  <si>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</si>
  <si>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</si>
  <si>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</si>
  <si>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</si>
  <si>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</si>
  <si>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</si>
  <si>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</si>
  <si>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</si>
  <si>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</si>
  <si>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</si>
  <si>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</si>
  <si>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</si>
  <si>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</si>
  <si>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</si>
  <si>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</si>
  <si>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</si>
  <si>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</si>
  <si>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</si>
  <si>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</si>
  <si>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</si>
  <si>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</si>
  <si>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</si>
  <si>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</si>
  <si>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</si>
  <si>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</si>
  <si>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</si>
  <si>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</si>
  <si>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</si>
  <si>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</si>
  <si>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</si>
  <si>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</si>
  <si>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</si>
  <si>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</si>
  <si>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</si>
  <si>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</si>
  <si>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</si>
  <si>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</si>
  <si>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</si>
  <si>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</si>
  <si>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</si>
  <si>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</si>
  <si>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</si>
  <si>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</si>
  <si>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</si>
  <si>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</si>
  <si>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</si>
  <si>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</si>
  <si>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</si>
  <si>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</si>
  <si>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</si>
  <si>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</si>
  <si>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</si>
  <si>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</si>
  <si>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</si>
  <si>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</si>
  <si>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</si>
  <si>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</si>
  <si>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</si>
  <si>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</si>
  <si>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</si>
  <si>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</si>
  <si>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</si>
  <si>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</si>
  <si>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</si>
  <si>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</si>
  <si>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</si>
  <si>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</si>
  <si>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</si>
  <si>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</si>
  <si>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</si>
  <si>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</si>
  <si>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</si>
  <si>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</si>
  <si>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</si>
  <si>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</si>
  <si>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</si>
  <si>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</si>
  <si>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</si>
  <si>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</si>
  <si>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</si>
  <si>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</si>
  <si>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</si>
  <si>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</si>
  <si>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</si>
  <si>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</si>
  <si>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</si>
  <si>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</si>
  <si>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</si>
  <si>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</si>
  <si>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</si>
  <si>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</si>
  <si>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</si>
  <si>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</si>
  <si>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</si>
  <si>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</si>
  <si>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</si>
  <si>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</si>
  <si>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</si>
  <si>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</si>
  <si>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</si>
  <si>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</si>
  <si>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</si>
  <si>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</si>
  <si>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</si>
  <si>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</si>
  <si>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</si>
  <si>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</si>
  <si>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</si>
  <si>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</si>
  <si>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</si>
  <si>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</si>
  <si>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</si>
  <si>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</si>
  <si>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</si>
  <si>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</si>
  <si>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</si>
  <si>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</si>
  <si>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</si>
  <si>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</si>
  <si>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</si>
  <si>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</si>
  <si>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</si>
  <si>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</si>
  <si>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</si>
  <si>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</si>
  <si>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</si>
  <si>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</si>
  <si>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</si>
  <si>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</si>
  <si>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</si>
  <si>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</si>
  <si>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</si>
  <si>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</si>
  <si>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</si>
  <si>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</si>
  <si>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</si>
  <si>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</si>
  <si>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</si>
  <si>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</si>
  <si>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</si>
  <si>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</si>
  <si>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</si>
  <si>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</si>
  <si>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</si>
  <si>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</si>
  <si>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</si>
  <si>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</si>
  <si>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</si>
  <si>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</si>
  <si>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</si>
  <si>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</si>
  <si>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</si>
  <si>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</si>
  <si>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</si>
  <si>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</si>
  <si>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</si>
  <si>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</si>
  <si>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</si>
  <si>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</si>
  <si>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</si>
  <si>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</si>
  <si>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</si>
  <si>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</si>
  <si>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</si>
  <si>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</si>
  <si>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</si>
  <si>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</si>
  <si>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</si>
  <si>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</si>
  <si>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</si>
  <si>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</si>
  <si>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</si>
  <si>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</si>
  <si>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</si>
  <si>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</si>
  <si>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</si>
  <si>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</si>
  <si>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</si>
  <si>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</si>
  <si>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</si>
  <si>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</si>
  <si>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</si>
  <si>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</si>
  <si>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</si>
  <si>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</si>
  <si>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</si>
  <si>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</si>
  <si>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</si>
  <si>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</si>
  <si>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</si>
  <si>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</si>
  <si>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</si>
  <si>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</si>
  <si>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</si>
  <si>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</si>
  <si>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</si>
  <si>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</si>
  <si>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</si>
  <si>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</si>
  <si>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</si>
  <si>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</si>
  <si>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</si>
  <si>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</si>
  <si>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</si>
  <si>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</si>
  <si>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</si>
  <si>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</si>
  <si>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</si>
  <si>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</si>
  <si>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</si>
  <si>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</si>
  <si>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</si>
  <si>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</si>
  <si>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</si>
  <si>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</si>
  <si>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</si>
  <si>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</si>
  <si>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</si>
  <si>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</si>
  <si>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</si>
  <si>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</si>
  <si>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</si>
  <si>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</si>
  <si>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</si>
  <si>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</si>
  <si>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</si>
  <si>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</si>
  <si>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</si>
  <si>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</si>
  <si>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</si>
  <si>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</si>
  <si>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</si>
  <si>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</si>
  <si>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</si>
  <si>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</si>
  <si>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</si>
  <si>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</si>
  <si>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</si>
  <si>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</si>
  <si>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</si>
  <si>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</si>
  <si>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</si>
  <si>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</si>
  <si>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</si>
  <si>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</si>
  <si>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</si>
  <si>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</si>
  <si>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</si>
  <si>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</si>
  <si>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</si>
  <si>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</si>
  <si>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</si>
  <si>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</si>
  <si>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</si>
  <si>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</si>
  <si>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</si>
  <si>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</si>
  <si>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</si>
  <si>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</si>
  <si>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</si>
  <si>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</si>
  <si>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</si>
  <si>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</si>
  <si>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</si>
  <si>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</si>
  <si>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</si>
  <si>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</si>
  <si>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</si>
  <si>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</si>
  <si>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</si>
  <si>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</si>
  <si>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</si>
  <si>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</si>
  <si>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</si>
  <si>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</si>
  <si>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</si>
  <si>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</si>
  <si>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</si>
  <si>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</si>
  <si>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</si>
  <si>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</si>
  <si>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</si>
  <si>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</si>
  <si>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</si>
  <si>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</si>
  <si>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</si>
  <si>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</si>
  <si>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</si>
  <si>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</si>
  <si>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</si>
  <si>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</si>
  <si>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</si>
  <si>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</si>
  <si>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</si>
  <si>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</si>
  <si>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</si>
  <si>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</si>
  <si>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</si>
  <si>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</si>
  <si>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</si>
  <si>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</si>
  <si>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</si>
  <si>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</si>
  <si>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</si>
  <si>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</si>
  <si>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</si>
  <si>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</si>
  <si>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</si>
  <si>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</si>
  <si>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</si>
  <si>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</si>
  <si>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</si>
  <si>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</si>
  <si>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</si>
  <si>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</si>
  <si>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</si>
  <si>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</si>
  <si>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</si>
  <si>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</si>
  <si>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</si>
  <si>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</si>
  <si>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</si>
  <si>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</si>
  <si>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</si>
  <si>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</si>
  <si>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</si>
  <si>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</si>
  <si>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</si>
  <si>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</si>
  <si>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</si>
  <si>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</si>
  <si>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</si>
  <si>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</si>
  <si>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</si>
  <si>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</si>
  <si>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</si>
  <si>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</si>
  <si>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</si>
  <si>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</si>
  <si>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</si>
  <si>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</si>
  <si>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</si>
  <si>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</si>
  <si>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</si>
  <si>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</si>
  <si>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</si>
  <si>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</si>
  <si>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</si>
  <si>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</si>
  <si>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</si>
  <si>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</si>
  <si>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</si>
  <si>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</si>
  <si>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</si>
  <si>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</si>
  <si>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</si>
  <si>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</si>
  <si>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</si>
  <si>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</si>
  <si>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</si>
  <si>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</si>
  <si>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</si>
  <si>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</si>
  <si>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</si>
  <si>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</si>
  <si>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</si>
  <si>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</si>
  <si>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</si>
  <si>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</si>
  <si>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</si>
  <si>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</si>
  <si>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</si>
  <si>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</si>
  <si>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</si>
  <si>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</si>
  <si>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</si>
  <si>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</si>
  <si>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</si>
  <si>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</si>
  <si>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</si>
  <si>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</si>
  <si>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</si>
  <si>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</si>
  <si>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</si>
  <si>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</si>
  <si>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</si>
  <si>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</si>
  <si>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</si>
  <si>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</si>
  <si>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</si>
  <si>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</si>
  <si>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</si>
  <si>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</si>
  <si>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</si>
  <si>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</si>
  <si>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</si>
  <si>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</si>
  <si>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</si>
  <si>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</si>
  <si>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</si>
  <si>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</si>
  <si>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</si>
  <si>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</si>
  <si>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</si>
  <si>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</si>
  <si>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</si>
  <si>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</si>
  <si>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</si>
  <si>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</si>
  <si>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</si>
  <si>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</si>
  <si>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</si>
  <si>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</si>
  <si>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</si>
  <si>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</si>
  <si>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</si>
  <si>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</si>
  <si>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</si>
  <si>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</si>
  <si>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</si>
  <si>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</si>
  <si>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</si>
  <si>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</si>
  <si>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</si>
  <si>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</si>
  <si>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</si>
  <si>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</si>
  <si>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</si>
  <si>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</si>
  <si>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</si>
  <si>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</si>
  <si>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</si>
  <si>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</si>
  <si>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</si>
  <si>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</si>
  <si>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</si>
  <si>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</si>
  <si>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</si>
  <si>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</si>
  <si>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</si>
  <si>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</si>
  <si>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</si>
  <si>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</si>
  <si>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</si>
  <si>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</si>
  <si>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</si>
  <si>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</si>
  <si>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</si>
  <si>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</si>
  <si>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</si>
  <si>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</si>
  <si>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</si>
  <si>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</si>
  <si>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</si>
  <si>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</si>
  <si>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</si>
  <si>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</si>
  <si>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</si>
  <si>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</si>
  <si>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</si>
  <si>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</si>
  <si>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</si>
  <si>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</si>
  <si>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</si>
  <si>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</si>
  <si>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</si>
  <si>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</si>
  <si>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</si>
  <si>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</si>
  <si>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</si>
  <si>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</si>
  <si>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</si>
  <si>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</si>
  <si>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</si>
  <si>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</si>
  <si>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</si>
  <si>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</si>
  <si>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</si>
  <si>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</si>
  <si>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</si>
  <si>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</si>
  <si>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</si>
  <si>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</si>
  <si>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</si>
  <si>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</si>
  <si>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</si>
  <si>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</si>
  <si>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</si>
  <si>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</si>
  <si>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</si>
  <si>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</si>
  <si>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</si>
  <si>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</si>
  <si>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</si>
  <si>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</si>
  <si>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</si>
  <si>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</si>
  <si>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</si>
  <si>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</si>
  <si>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</si>
  <si>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</si>
  <si>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</si>
  <si>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</si>
  <si>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</si>
  <si>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</si>
  <si>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</si>
  <si>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</si>
  <si>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</si>
  <si>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</si>
  <si>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</si>
  <si>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</si>
  <si>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</si>
  <si>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</si>
  <si>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</si>
  <si>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</si>
  <si>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</si>
  <si>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</si>
  <si>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</si>
  <si>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</si>
  <si>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</si>
  <si>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</si>
  <si>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</si>
  <si>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</si>
  <si>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</si>
  <si>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</si>
  <si>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</si>
  <si>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</si>
  <si>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</si>
  <si>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</si>
  <si>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</si>
  <si>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</si>
  <si>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</si>
  <si>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</si>
  <si>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</si>
  <si>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</si>
  <si>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</si>
  <si>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</si>
  <si>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</si>
  <si>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</si>
  <si>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</si>
  <si>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</si>
  <si>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</si>
  <si>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</si>
  <si>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</si>
  <si>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</si>
  <si>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</si>
  <si>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</si>
  <si>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</si>
  <si>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</si>
  <si>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</si>
  <si>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</si>
  <si>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</si>
  <si>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</si>
  <si>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</si>
  <si>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</si>
  <si>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</si>
  <si>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</si>
  <si>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</si>
  <si>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</si>
  <si>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</si>
  <si>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</si>
  <si>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</si>
  <si>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</si>
  <si>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</si>
  <si>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</si>
  <si>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</si>
  <si>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</si>
  <si>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</si>
  <si>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</si>
  <si>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</si>
  <si>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</si>
  <si>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</si>
  <si>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</si>
  <si>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</si>
  <si>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</si>
  <si>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</si>
  <si>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</si>
  <si>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</si>
  <si>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</si>
  <si>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</si>
  <si>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</si>
  <si>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</si>
  <si>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</si>
  <si>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</si>
  <si>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</si>
  <si>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</si>
  <si>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</si>
  <si>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</si>
  <si>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</si>
  <si>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</si>
  <si>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</si>
  <si>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</si>
  <si>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</si>
  <si>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</si>
  <si>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</si>
  <si>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</si>
  <si>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</si>
  <si>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</si>
  <si>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</si>
  <si>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</si>
  <si>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</si>
  <si>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</si>
  <si>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</si>
  <si>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</si>
  <si>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</si>
  <si>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</si>
  <si>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</si>
  <si>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</si>
  <si>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</si>
  <si>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</si>
  <si>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</si>
  <si>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</si>
  <si>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</si>
  <si>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</si>
  <si>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</si>
  <si>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</si>
  <si>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</si>
  <si>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</si>
  <si>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</si>
  <si>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</si>
  <si>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</si>
  <si>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</si>
  <si>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</si>
  <si>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</si>
  <si>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</si>
  <si>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</si>
  <si>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</si>
  <si>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</si>
  <si>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</si>
  <si>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</si>
  <si>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</si>
  <si>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</si>
  <si>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</si>
  <si>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</si>
  <si>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</si>
  <si>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</si>
  <si>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</si>
  <si>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</si>
  <si>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</si>
  <si>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</si>
  <si>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</si>
  <si>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</si>
  <si>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</si>
  <si>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</si>
  <si>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</si>
  <si>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</si>
  <si>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</si>
  <si>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</si>
  <si>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</si>
  <si>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</si>
  <si>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</si>
  <si>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</si>
  <si>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</si>
  <si>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</si>
  <si>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</si>
  <si>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</si>
  <si>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</si>
  <si>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</si>
  <si>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</si>
  <si>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</si>
  <si>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</si>
  <si>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</si>
  <si>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</si>
  <si>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</si>
  <si>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</si>
  <si>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</si>
  <si>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</si>
  <si>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</si>
  <si>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</si>
  <si>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</si>
  <si>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</si>
  <si>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</si>
  <si>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</si>
  <si>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</si>
  <si>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</si>
  <si>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</si>
  <si>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</si>
  <si>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</si>
  <si>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</si>
  <si>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</si>
  <si>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</si>
  <si>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</si>
  <si>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</si>
  <si>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</si>
  <si>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</si>
  <si>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</si>
  <si>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</si>
  <si>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</si>
  <si>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</si>
  <si>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</si>
  <si>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</si>
  <si>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</si>
  <si>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</si>
  <si>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</si>
  <si>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</si>
  <si>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</si>
  <si>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</si>
  <si>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</si>
  <si>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</si>
  <si>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</si>
  <si>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</si>
  <si>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</si>
  <si>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</si>
  <si>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</si>
  <si>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</si>
  <si>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</si>
  <si>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</si>
  <si>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</si>
  <si>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</si>
  <si>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</si>
  <si>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</si>
  <si>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</si>
  <si>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</si>
  <si>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</si>
  <si>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</si>
  <si>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</si>
  <si>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</si>
  <si>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</si>
  <si>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</si>
  <si>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</si>
  <si>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</si>
  <si>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</si>
  <si>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</si>
  <si>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</si>
  <si>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</si>
  <si>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</si>
  <si>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</si>
  <si>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</si>
  <si>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</si>
  <si>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</si>
  <si>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</si>
  <si>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</si>
  <si>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</si>
  <si>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</si>
  <si>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</si>
  <si>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</si>
  <si>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</si>
  <si>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</si>
  <si>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</si>
  <si>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</si>
  <si>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</si>
  <si>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</si>
  <si>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</si>
  <si>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</si>
  <si>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</si>
  <si>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</si>
  <si>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</si>
  <si>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</si>
  <si>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</si>
  <si>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</si>
  <si>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</si>
  <si>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</si>
  <si>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</si>
  <si>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</si>
  <si>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</si>
  <si>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</si>
  <si>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</si>
  <si>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</si>
  <si>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</si>
  <si>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</si>
  <si>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</si>
  <si>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</si>
  <si>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</si>
  <si>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</si>
  <si>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</si>
  <si>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</si>
  <si>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</si>
  <si>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</si>
  <si>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</si>
  <si>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</si>
  <si>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</si>
  <si>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</si>
  <si>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</si>
  <si>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</si>
  <si>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</si>
  <si>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</si>
  <si>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</si>
  <si>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</si>
  <si>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</si>
  <si>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</si>
  <si>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</si>
  <si>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</si>
  <si>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</si>
  <si>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</si>
  <si>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</si>
  <si>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</si>
  <si>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</si>
  <si>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</si>
  <si>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</si>
  <si>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</si>
  <si>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</si>
  <si>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</si>
  <si>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</si>
  <si>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</si>
  <si>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</si>
  <si>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</si>
  <si>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</si>
  <si>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</si>
  <si>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</si>
  <si>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</si>
  <si>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</si>
  <si>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</si>
  <si>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</si>
  <si>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</si>
  <si>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</si>
  <si>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</si>
  <si>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</si>
  <si>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</si>
  <si>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</si>
  <si>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</si>
  <si>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</si>
  <si>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</si>
  <si>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</si>
  <si>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</si>
  <si>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</si>
  <si>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</si>
  <si>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</si>
  <si>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</si>
  <si>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</si>
  <si>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</si>
  <si>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</si>
  <si>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</si>
  <si>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</si>
  <si>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</si>
  <si>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</si>
  <si>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</si>
  <si>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</si>
  <si>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</si>
  <si>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</si>
  <si>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</si>
  <si>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</si>
  <si>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</si>
  <si>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</si>
  <si>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</si>
  <si>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</si>
  <si>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</si>
  <si>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</si>
  <si>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</si>
  <si>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</si>
  <si>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</si>
  <si>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</si>
  <si>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</si>
  <si>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</si>
  <si>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</si>
  <si>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</si>
  <si>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</si>
  <si>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</si>
  <si>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</si>
  <si>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</si>
  <si>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</si>
  <si>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</si>
  <si>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</si>
  <si>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</si>
  <si>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</si>
  <si>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</si>
  <si>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</si>
  <si>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</si>
  <si>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</si>
  <si>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</si>
  <si>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</si>
  <si>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</si>
  <si>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</si>
  <si>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</si>
  <si>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</si>
  <si>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</si>
  <si>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</si>
  <si>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</si>
  <si>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</si>
  <si>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</si>
  <si>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</si>
  <si>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</si>
  <si>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</si>
  <si>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</si>
  <si>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</si>
  <si>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</si>
  <si>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</si>
  <si>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</si>
  <si>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</si>
  <si>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</si>
  <si>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</si>
  <si>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</si>
  <si>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</si>
  <si>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</si>
  <si>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</si>
  <si>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</si>
  <si>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</si>
  <si>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</si>
  <si>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</si>
  <si>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</si>
  <si>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</si>
  <si>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</si>
  <si>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</si>
  <si>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</si>
  <si>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</si>
  <si>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</si>
  <si>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</si>
  <si>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</si>
  <si>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</si>
  <si>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</si>
  <si>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</si>
  <si>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</si>
  <si>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</si>
  <si>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</si>
  <si>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</si>
  <si>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</si>
  <si>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</si>
  <si>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</si>
  <si>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</si>
  <si>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</si>
  <si>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</si>
  <si>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</si>
  <si>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</si>
  <si>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</si>
  <si>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</si>
  <si>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</si>
  <si>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</si>
  <si>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</si>
  <si>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</si>
  <si>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</si>
  <si>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</si>
  <si>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</si>
  <si>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</si>
  <si>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</si>
  <si>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</si>
  <si>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</si>
  <si>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</si>
  <si>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</si>
  <si>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</si>
  <si>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</si>
  <si>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</si>
  <si>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</si>
  <si>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</si>
  <si>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</si>
  <si>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</si>
  <si>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</si>
  <si>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</si>
  <si>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</si>
  <si>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</si>
  <si>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</si>
  <si>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</si>
  <si>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</si>
  <si>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</si>
  <si>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</si>
  <si>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</si>
  <si>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</si>
  <si>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</si>
  <si>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</si>
  <si>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</si>
  <si>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</si>
  <si>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</si>
  <si>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</si>
  <si>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</si>
  <si>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</si>
  <si>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</si>
  <si>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</si>
  <si>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</si>
  <si>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</si>
  <si>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</si>
  <si>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</si>
  <si>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</si>
  <si>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</si>
  <si>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</si>
  <si>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</si>
  <si>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</si>
  <si>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</si>
  <si>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</si>
  <si>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</si>
  <si>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</si>
  <si>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</si>
  <si>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</si>
  <si>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</si>
  <si>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</si>
  <si>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</si>
  <si>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</si>
  <si>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</si>
  <si>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</si>
  <si>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</si>
  <si>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</si>
  <si>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</si>
  <si>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</si>
  <si>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</si>
  <si>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</si>
  <si>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</si>
  <si>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</si>
  <si>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</si>
  <si>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</si>
  <si>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</si>
  <si>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</si>
  <si>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</si>
  <si>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</si>
  <si>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</si>
  <si>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</si>
  <si>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</si>
  <si>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</si>
  <si>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</si>
  <si>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</si>
  <si>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</si>
  <si>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</si>
  <si>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</si>
  <si>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</si>
  <si>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</si>
  <si>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</si>
  <si>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</si>
  <si>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</si>
  <si>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</si>
  <si>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</si>
  <si>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</si>
  <si>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</si>
  <si>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</si>
  <si>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</si>
  <si>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</si>
  <si>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</si>
  <si>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</si>
  <si>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</si>
  <si>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</si>
  <si>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</si>
  <si>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</si>
  <si>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</si>
  <si>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</si>
  <si>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</si>
  <si>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</si>
  <si>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</si>
  <si>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</si>
  <si>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</si>
  <si>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</si>
  <si>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</si>
  <si>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</si>
  <si>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</si>
  <si>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</si>
  <si>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</si>
  <si>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</si>
  <si>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</si>
  <si>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</si>
  <si>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</si>
  <si>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</si>
  <si>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</si>
  <si>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</si>
  <si>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</si>
  <si>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</si>
  <si>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</si>
  <si>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</si>
  <si>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</si>
  <si>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</si>
  <si>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</si>
  <si>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</si>
  <si>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</si>
  <si>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</si>
  <si>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</si>
  <si>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</si>
  <si>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</si>
  <si>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</si>
  <si>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</si>
  <si>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</si>
  <si>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</si>
  <si>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</si>
  <si>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</si>
  <si>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</si>
  <si>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</si>
  <si>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</si>
  <si>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</si>
  <si>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</si>
  <si>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</si>
  <si>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</si>
  <si>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</si>
  <si>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</si>
  <si>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</si>
  <si>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</si>
  <si>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</si>
  <si>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</si>
  <si>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</si>
  <si>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</si>
  <si>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</si>
  <si>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</si>
  <si>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</si>
  <si>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</si>
  <si>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</si>
  <si>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</si>
  <si>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</si>
  <si>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</si>
  <si>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</si>
  <si>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</si>
  <si>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</si>
  <si>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</si>
  <si>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</si>
  <si>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</si>
  <si>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</si>
  <si>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</si>
  <si>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</si>
  <si>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</si>
  <si>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</si>
  <si>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</si>
  <si>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</si>
  <si>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</si>
  <si>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</si>
  <si>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</si>
  <si>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</si>
  <si>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</si>
  <si>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</si>
  <si>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</si>
  <si>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</si>
  <si>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</si>
  <si>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</si>
  <si>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</si>
  <si>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</si>
  <si>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</si>
  <si>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</si>
  <si>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</si>
  <si>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</si>
  <si>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</si>
  <si>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</si>
  <si>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</si>
  <si>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</si>
  <si>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</si>
  <si>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</si>
  <si>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</si>
  <si>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</si>
  <si>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</si>
  <si>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</si>
  <si>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</si>
  <si>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</si>
  <si>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</si>
  <si>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</si>
  <si>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</si>
  <si>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</si>
  <si>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</si>
  <si>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</si>
  <si>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</si>
  <si>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</si>
  <si>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</si>
  <si>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</si>
  <si>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</si>
  <si>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</si>
  <si>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</si>
  <si>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</si>
  <si>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</si>
  <si>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</si>
  <si>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</si>
  <si>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</si>
  <si>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</si>
  <si>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</si>
  <si>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</si>
  <si>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</si>
  <si>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</si>
  <si>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</si>
  <si>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</si>
  <si>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</si>
  <si>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</si>
  <si>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</si>
  <si>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</si>
  <si>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</si>
  <si>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</si>
  <si>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</si>
  <si>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</si>
  <si>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</si>
  <si>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</si>
  <si>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</si>
  <si>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</si>
  <si>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</si>
  <si>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</si>
  <si>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</si>
  <si>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</si>
  <si>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</si>
  <si>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</si>
  <si>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</si>
  <si>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</si>
  <si>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</si>
  <si>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</si>
  <si>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</si>
  <si>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</si>
  <si>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</si>
  <si>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</si>
  <si>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</si>
  <si>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</si>
  <si>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</si>
  <si>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</si>
  <si>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</si>
  <si>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</si>
  <si>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</si>
  <si>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</si>
  <si>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</si>
  <si>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</si>
  <si>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</si>
  <si>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</si>
  <si>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</si>
  <si>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</si>
  <si>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</si>
  <si>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</si>
  <si>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</si>
  <si>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</si>
  <si>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</si>
  <si>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</si>
  <si>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</si>
  <si>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</si>
  <si>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</si>
  <si>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</si>
  <si>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</si>
  <si>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</si>
  <si>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</si>
  <si>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</si>
  <si>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</si>
  <si>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</si>
  <si>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</si>
  <si>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</si>
  <si>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</si>
  <si>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</si>
  <si>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</si>
  <si>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</si>
  <si>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</si>
  <si>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</si>
  <si>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</si>
  <si>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</si>
  <si>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</si>
  <si>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</si>
  <si>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</si>
  <si>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</si>
  <si>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</si>
  <si>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</si>
  <si>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</si>
  <si>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</si>
  <si>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</si>
  <si>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</si>
  <si>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</si>
  <si>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</si>
  <si>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</si>
  <si>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</si>
  <si>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</si>
  <si>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</si>
  <si>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</si>
  <si>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</si>
  <si>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</si>
  <si>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</si>
  <si>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</si>
  <si>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</si>
  <si>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</si>
  <si>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</si>
  <si>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</si>
  <si>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</si>
  <si>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</si>
  <si>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</si>
  <si>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</si>
  <si>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</si>
  <si>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</si>
  <si>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</si>
  <si>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</si>
  <si>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</si>
  <si>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</si>
  <si>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</si>
  <si>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</si>
  <si>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</si>
  <si>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</si>
  <si>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</si>
  <si>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</si>
  <si>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</si>
  <si>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</si>
  <si>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</si>
  <si>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</si>
  <si>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</si>
  <si>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</si>
  <si>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</si>
  <si>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</si>
  <si>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</si>
  <si>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</si>
  <si>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</si>
  <si>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</si>
  <si>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</si>
  <si>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</si>
  <si>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</si>
  <si>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</si>
  <si>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</si>
  <si>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</si>
  <si>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</si>
  <si>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</si>
  <si>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</si>
  <si>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</si>
  <si>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</si>
  <si>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</si>
  <si>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</si>
  <si>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</si>
  <si>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</si>
  <si>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</si>
  <si>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</si>
  <si>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</si>
  <si>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</si>
  <si>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</si>
  <si>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</si>
  <si>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</si>
  <si>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</si>
  <si>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</si>
  <si>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</si>
  <si>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</si>
  <si>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</si>
  <si>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</si>
  <si>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</si>
  <si>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</si>
  <si>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</si>
  <si>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</si>
  <si>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</si>
  <si>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</si>
  <si>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</si>
  <si>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</si>
  <si>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</si>
  <si>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</si>
  <si>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</si>
  <si>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</si>
  <si>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</si>
  <si>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</si>
  <si>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</si>
  <si>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</si>
  <si>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</si>
  <si>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</si>
  <si>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</si>
  <si>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</si>
  <si>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</si>
  <si>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</si>
  <si>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</si>
  <si>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</si>
  <si>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</si>
  <si>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</si>
  <si>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</si>
  <si>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</si>
  <si>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</si>
  <si>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</si>
  <si>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</si>
  <si>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</si>
  <si>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</si>
  <si>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</si>
  <si>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</si>
  <si>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</si>
  <si>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</si>
  <si>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</si>
  <si>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</si>
  <si>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</si>
  <si>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</si>
  <si>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</si>
  <si>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</si>
  <si>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</si>
  <si>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</si>
  <si>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</si>
  <si>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</si>
  <si>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</si>
  <si>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</si>
  <si>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</si>
  <si>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</si>
  <si>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</si>
  <si>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</si>
  <si>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</si>
  <si>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</si>
  <si>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</si>
  <si>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</si>
  <si>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</si>
  <si>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</si>
  <si>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</si>
  <si>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</si>
  <si>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</si>
  <si>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</si>
  <si>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</si>
  <si>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</si>
  <si>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</si>
  <si>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</si>
  <si>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</si>
  <si>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</si>
  <si>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</si>
  <si>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</si>
  <si>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</si>
  <si>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</si>
  <si>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</si>
  <si>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</si>
  <si>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</si>
  <si>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</si>
  <si>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</si>
  <si>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</si>
  <si>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</si>
  <si>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</si>
  <si>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</si>
  <si>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</si>
  <si>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</si>
  <si>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</si>
  <si>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</si>
  <si>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</si>
  <si>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</si>
  <si>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</si>
  <si>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</si>
  <si>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</si>
  <si>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</si>
  <si>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</si>
  <si>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</si>
  <si>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</si>
  <si>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</si>
  <si>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</si>
  <si>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</si>
  <si>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</si>
  <si>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</si>
  <si>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</si>
  <si>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</si>
  <si>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</si>
  <si>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</si>
  <si>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</si>
  <si>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</si>
  <si>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</si>
  <si>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</si>
  <si>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</si>
  <si>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</si>
  <si>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</si>
  <si>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</si>
  <si>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</si>
  <si>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</si>
  <si>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</si>
  <si>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</si>
  <si>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</si>
  <si>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</si>
  <si>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</si>
  <si>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</si>
  <si>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</si>
  <si>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</si>
  <si>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</si>
  <si>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</si>
  <si>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</si>
  <si>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</si>
  <si>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</si>
  <si>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</si>
  <si>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</si>
  <si>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</si>
  <si>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</si>
  <si>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</si>
  <si>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</si>
  <si>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</si>
  <si>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</si>
  <si>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</si>
  <si>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</si>
  <si>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</si>
  <si>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</si>
  <si>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</si>
  <si>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</si>
  <si>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</si>
  <si>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</si>
  <si>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</si>
  <si>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</si>
  <si>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</si>
  <si>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</si>
  <si>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</si>
  <si>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</si>
  <si>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</si>
  <si>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</si>
  <si>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</si>
  <si>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</si>
  <si>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</si>
  <si>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</si>
  <si>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</si>
  <si>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</si>
  <si>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</si>
  <si>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</si>
  <si>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</si>
  <si>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</si>
  <si>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</si>
  <si>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</si>
  <si>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</si>
  <si>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</si>
  <si>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</si>
  <si>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</si>
  <si>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</si>
  <si>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</si>
  <si>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</si>
  <si>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</si>
  <si>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</si>
  <si>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</si>
  <si>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</si>
  <si>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</si>
  <si>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</si>
  <si>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</si>
  <si>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</si>
  <si>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</si>
  <si>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</si>
  <si>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</si>
  <si>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</si>
  <si>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</si>
  <si>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</si>
  <si>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</si>
  <si>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</si>
  <si>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</si>
  <si>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</si>
  <si>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</si>
  <si>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</si>
  <si>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</si>
  <si>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</si>
  <si>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</si>
  <si>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</si>
  <si>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</si>
  <si>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</si>
  <si>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</si>
  <si>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</si>
  <si>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</si>
  <si>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</si>
  <si>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</si>
  <si>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</si>
  <si>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</si>
  <si>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</si>
  <si>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</si>
  <si>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</si>
  <si>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</si>
  <si>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</si>
  <si>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</si>
  <si>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</si>
  <si>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</si>
  <si>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</si>
  <si>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</si>
  <si>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</si>
  <si>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</si>
  <si>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</si>
  <si>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</si>
  <si>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</si>
  <si>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</si>
  <si>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</si>
  <si>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</si>
  <si>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</si>
  <si>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</si>
  <si>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</si>
  <si>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</si>
  <si>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</si>
  <si>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</si>
  <si>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</si>
  <si>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</si>
  <si>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</si>
  <si>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</si>
  <si>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</si>
  <si>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</si>
  <si>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</si>
  <si>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</si>
  <si>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</si>
  <si>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</si>
  <si>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</si>
  <si>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</si>
  <si>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</si>
  <si>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</si>
  <si>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</si>
  <si>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</si>
  <si>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</si>
  <si>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</si>
  <si>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</si>
  <si>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</si>
  <si>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</si>
  <si>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</si>
  <si>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</si>
  <si>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</si>
  <si>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</si>
  <si>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</si>
  <si>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</si>
  <si>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</si>
  <si>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</si>
  <si>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</si>
  <si>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</si>
  <si>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</si>
  <si>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</si>
  <si>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</si>
  <si>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</si>
  <si>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</si>
  <si>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</si>
  <si>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</si>
  <si>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</si>
  <si>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</si>
  <si>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</si>
  <si>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</si>
  <si>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</si>
  <si>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</si>
  <si>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</si>
  <si>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</si>
  <si>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</si>
  <si>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</si>
  <si>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</si>
  <si>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</si>
  <si>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</si>
  <si>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</si>
  <si>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</si>
  <si>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</si>
  <si>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</si>
  <si>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</si>
  <si>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</si>
  <si>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</si>
  <si>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</si>
  <si>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</si>
  <si>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</si>
  <si>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</si>
  <si>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</si>
  <si>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</si>
  <si>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</si>
  <si>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</si>
  <si>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</si>
  <si>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</si>
  <si>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</si>
  <si>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</si>
  <si>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</si>
  <si>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</si>
  <si>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</si>
  <si>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</si>
  <si>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</si>
  <si>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</si>
  <si>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</si>
  <si>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</si>
  <si>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</si>
  <si>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</si>
  <si>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</si>
  <si>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</si>
  <si>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</si>
  <si>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</si>
  <si>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</si>
  <si>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</si>
  <si>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</si>
  <si>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</si>
  <si>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</si>
  <si>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</si>
  <si>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</si>
  <si>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</si>
  <si>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</si>
  <si>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</si>
  <si>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</si>
  <si>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</si>
  <si>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</si>
  <si>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</si>
  <si>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</si>
  <si>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</si>
  <si>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</si>
  <si>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</si>
  <si>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</si>
  <si>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</si>
  <si>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</si>
  <si>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</si>
  <si>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</si>
  <si>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</si>
  <si>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</si>
  <si>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</si>
  <si>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</si>
  <si>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</si>
  <si>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</si>
  <si>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</si>
  <si>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</si>
  <si>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</si>
  <si>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</si>
  <si>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</si>
  <si>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</si>
  <si>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</si>
  <si>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</si>
  <si>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</si>
  <si>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</si>
  <si>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</si>
  <si>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</si>
  <si>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</si>
  <si>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</si>
  <si>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</si>
  <si>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</si>
  <si>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</si>
  <si>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</si>
  <si>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</si>
  <si>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</si>
  <si>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</si>
  <si>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</si>
  <si>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</si>
  <si>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</si>
  <si>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</si>
  <si>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</si>
  <si>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</si>
  <si>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</si>
  <si>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</si>
  <si>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</si>
  <si>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</si>
  <si>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</si>
  <si>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</si>
  <si>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</si>
  <si>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</si>
  <si>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</si>
  <si>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</si>
  <si>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</si>
  <si>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</si>
  <si>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</si>
  <si>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</si>
  <si>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</si>
  <si>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</si>
  <si>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</si>
  <si>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</si>
  <si>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</si>
  <si>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</si>
  <si>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</si>
  <si>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</si>
  <si>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</si>
  <si>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</si>
  <si>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</si>
  <si>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</si>
  <si>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</si>
  <si>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</si>
  <si>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</si>
  <si>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</si>
  <si>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</si>
  <si>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</si>
  <si>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</si>
  <si>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</si>
  <si>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</si>
  <si>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</si>
  <si>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</si>
  <si>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</si>
  <si>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</si>
  <si>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</si>
  <si>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</si>
  <si>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</si>
  <si>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</si>
  <si>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</si>
  <si>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</si>
  <si>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</si>
  <si>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</si>
  <si>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</si>
  <si>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</si>
  <si>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</si>
  <si>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</si>
  <si>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</si>
  <si>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</si>
  <si>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</si>
  <si>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</si>
  <si>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</si>
  <si>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</si>
  <si>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</si>
  <si>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</si>
  <si>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</si>
  <si>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</si>
  <si>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</si>
  <si>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</si>
  <si>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</si>
  <si>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</si>
  <si>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</si>
  <si>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</si>
  <si>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</si>
  <si>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</si>
  <si>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</si>
  <si>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</si>
  <si>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</si>
  <si>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</si>
  <si>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</si>
  <si>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</si>
  <si>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</si>
  <si>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</si>
  <si>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</si>
  <si>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</si>
  <si>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</si>
  <si>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</si>
  <si>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</si>
  <si>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</si>
  <si>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</si>
  <si>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</si>
  <si>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</si>
  <si>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</si>
  <si>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</si>
  <si>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</si>
  <si>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</si>
  <si>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</si>
  <si>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</si>
  <si>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</si>
  <si>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</si>
  <si>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</si>
  <si>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</si>
  <si>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</si>
  <si>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</si>
  <si>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</si>
  <si>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</si>
  <si>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</si>
  <si>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</si>
  <si>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</si>
  <si>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</si>
  <si>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</si>
  <si>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</si>
  <si>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</si>
  <si>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</si>
  <si>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</si>
  <si>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</si>
  <si>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</si>
  <si>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</si>
  <si>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</si>
  <si>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</si>
  <si>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</si>
  <si>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</si>
  <si>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</si>
  <si>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</si>
  <si>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</si>
  <si>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</si>
  <si>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</si>
  <si>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</si>
  <si>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</si>
  <si>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</si>
  <si>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</si>
  <si>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</si>
  <si>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</si>
  <si>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</si>
  <si>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</si>
  <si>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</si>
  <si>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</si>
  <si>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</si>
  <si>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</si>
  <si>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</si>
  <si>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</si>
  <si>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</si>
  <si>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</si>
  <si>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</si>
  <si>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</si>
  <si>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</si>
  <si>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</si>
  <si>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</si>
  <si>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</si>
  <si>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</si>
  <si>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</si>
  <si>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</si>
  <si>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</si>
  <si>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</si>
  <si>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</si>
  <si>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</si>
  <si>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</si>
  <si>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</si>
  <si>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</si>
  <si>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</si>
  <si>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</si>
  <si>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</si>
  <si>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</si>
  <si>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</si>
  <si>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</si>
  <si>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</si>
  <si>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</si>
  <si>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</si>
  <si>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</si>
  <si>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</si>
  <si>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</si>
  <si>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</si>
  <si>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</si>
  <si>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</si>
  <si>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</si>
  <si>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</si>
  <si>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</si>
  <si>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</si>
  <si>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</si>
  <si>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</si>
  <si>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</si>
  <si>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</si>
  <si>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</si>
  <si>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</si>
  <si>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</si>
  <si>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</si>
  <si>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</si>
  <si>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</si>
  <si>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</si>
  <si>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</si>
  <si>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</si>
  <si>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</si>
  <si>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</si>
  <si>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</si>
  <si>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</si>
  <si>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</si>
  <si>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</si>
  <si>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</si>
  <si>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</si>
  <si>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</si>
  <si>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</si>
  <si>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</si>
  <si>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</si>
  <si>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</si>
  <si>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</si>
  <si>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</si>
  <si>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</si>
  <si>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</si>
  <si>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</si>
  <si>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</si>
  <si>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</si>
  <si>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</si>
  <si>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</si>
  <si>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</si>
  <si>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</si>
  <si>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</si>
  <si>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</si>
  <si>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</si>
  <si>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</si>
  <si>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</si>
  <si>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</si>
  <si>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</si>
  <si>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</si>
  <si>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</si>
  <si>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</si>
  <si>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</si>
  <si>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</si>
  <si>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</si>
  <si>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</si>
  <si>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</si>
  <si>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</si>
  <si>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</si>
  <si>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</si>
  <si>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</si>
  <si>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</si>
  <si>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</si>
  <si>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</si>
  <si>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</si>
  <si>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</si>
  <si>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</si>
  <si>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</si>
  <si>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</si>
  <si>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</si>
  <si>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</si>
  <si>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</si>
  <si>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</si>
  <si>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</si>
  <si>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</si>
  <si>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</si>
  <si>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</si>
  <si>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</si>
  <si>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</si>
  <si>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</si>
  <si>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</si>
  <si>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</si>
  <si>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</si>
  <si>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</si>
  <si>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</si>
  <si>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</si>
  <si>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</si>
  <si>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</si>
  <si>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</si>
  <si>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</si>
  <si>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</si>
  <si>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</si>
  <si>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</si>
  <si>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</si>
  <si>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</si>
  <si>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</si>
  <si>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</si>
  <si>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</si>
  <si>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</si>
  <si>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</si>
  <si>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</si>
  <si>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</si>
  <si>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</si>
  <si>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</si>
  <si>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</si>
  <si>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</si>
  <si>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</si>
  <si>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</si>
  <si>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</si>
  <si>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</si>
  <si>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</si>
  <si>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</si>
  <si>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</si>
  <si>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</si>
  <si>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</si>
  <si>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</si>
  <si>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</si>
  <si>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</si>
  <si>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</si>
  <si>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</si>
  <si>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</si>
  <si>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</si>
  <si>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</si>
  <si>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</si>
  <si>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</si>
  <si>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</si>
  <si>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</si>
  <si>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</si>
  <si>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</si>
  <si>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</si>
  <si>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</si>
  <si>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</si>
  <si>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</si>
  <si>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</si>
  <si>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</si>
  <si>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</si>
  <si>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</si>
  <si>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</si>
  <si>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</si>
  <si>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</si>
  <si>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</si>
  <si>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</si>
  <si>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</si>
  <si>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</si>
  <si>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</si>
  <si>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</si>
  <si>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</si>
  <si>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</si>
  <si>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</si>
  <si>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</si>
  <si>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</si>
  <si>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</si>
  <si>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</si>
  <si>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</si>
  <si>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</si>
  <si>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</si>
  <si>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</si>
  <si>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</si>
  <si>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</si>
  <si>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</si>
  <si>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</si>
  <si>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</si>
  <si>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</si>
  <si>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</si>
  <si>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</si>
  <si>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</si>
  <si>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</si>
  <si>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</si>
  <si>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</si>
  <si>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</si>
  <si>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</si>
  <si>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</si>
  <si>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</si>
  <si>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</si>
  <si>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</si>
  <si>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</si>
  <si>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</si>
  <si>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</si>
  <si>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</si>
  <si>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</si>
  <si>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</si>
  <si>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</si>
  <si>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</si>
  <si>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</si>
  <si>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</si>
  <si>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</si>
  <si>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</si>
  <si>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</si>
  <si>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</si>
  <si>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</si>
  <si>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</si>
  <si>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</si>
  <si>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</si>
  <si>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</si>
  <si>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</si>
  <si>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</si>
  <si>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</si>
  <si>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</si>
  <si>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</si>
  <si>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</si>
  <si>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</si>
  <si>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</si>
  <si>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</si>
  <si>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</si>
  <si>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</si>
  <si>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</si>
  <si>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</si>
  <si>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</si>
  <si>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</si>
  <si>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</si>
  <si>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</si>
  <si>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</si>
  <si>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</si>
  <si>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</si>
  <si>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</si>
  <si>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</si>
  <si>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</si>
  <si>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</si>
  <si>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</si>
  <si>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</si>
  <si>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</si>
  <si>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</si>
  <si>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</si>
  <si>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</si>
  <si>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</si>
  <si>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</si>
  <si>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</si>
  <si>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</si>
  <si>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</si>
  <si>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</si>
  <si>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</si>
  <si>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</si>
  <si>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</si>
  <si>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</si>
  <si>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</si>
  <si>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</si>
  <si>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</si>
  <si>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</si>
  <si>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</si>
  <si>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</si>
  <si>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</si>
  <si>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</si>
  <si>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</si>
  <si>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</si>
  <si>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</si>
  <si>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</si>
  <si>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</si>
  <si>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</si>
  <si>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</si>
  <si>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</si>
  <si>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</si>
  <si>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</si>
  <si>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</si>
  <si>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</si>
  <si>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</si>
  <si>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</si>
  <si>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</si>
  <si>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</si>
  <si>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</si>
  <si>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</si>
  <si>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</si>
  <si>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</si>
  <si>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</si>
  <si>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</si>
  <si>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</si>
  <si>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</si>
  <si>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</si>
  <si>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</si>
  <si>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</si>
  <si>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</si>
  <si>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</si>
  <si>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</si>
  <si>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</si>
  <si>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</si>
  <si>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</si>
  <si>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</si>
  <si>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</si>
  <si>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</si>
  <si>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</si>
  <si>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</si>
  <si>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</si>
  <si>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</si>
  <si>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</si>
  <si>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</si>
  <si>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</si>
  <si>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</si>
  <si>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</si>
  <si>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</si>
  <si>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</si>
  <si>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</si>
  <si>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</si>
  <si>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</si>
  <si>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</si>
  <si>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</si>
  <si>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</si>
  <si>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</si>
  <si>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</si>
  <si>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</si>
  <si>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</si>
  <si>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</si>
  <si>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</si>
  <si>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</si>
  <si>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</si>
  <si>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</si>
  <si>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</si>
  <si>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</si>
  <si>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</si>
  <si>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</si>
  <si>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</si>
  <si>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</si>
  <si>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</si>
  <si>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</si>
  <si>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</si>
  <si>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</si>
  <si>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</si>
  <si>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</si>
  <si>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</si>
  <si>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</si>
  <si>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</si>
  <si>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</si>
  <si>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</si>
  <si>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</si>
  <si>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</si>
  <si>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</si>
  <si>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</si>
  <si>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</si>
  <si>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</si>
  <si>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</si>
  <si>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</si>
  <si>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</si>
  <si>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</si>
  <si>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</si>
  <si>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</si>
  <si>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</si>
  <si>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</si>
  <si>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</si>
  <si>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</si>
  <si>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</si>
  <si>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</si>
  <si>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</si>
  <si>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</si>
  <si>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</si>
  <si>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</si>
  <si>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</si>
  <si>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</si>
  <si>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</si>
  <si>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</si>
  <si>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</si>
  <si>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</si>
  <si>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</si>
  <si>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</si>
  <si>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</si>
  <si>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</si>
  <si>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</si>
  <si>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</si>
  <si>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</si>
  <si>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</si>
  <si>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</si>
  <si>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</si>
  <si>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</si>
  <si>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</si>
  <si>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</si>
  <si>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</si>
  <si>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</si>
  <si>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</si>
  <si>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</si>
  <si>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</si>
  <si>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</si>
  <si>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</si>
  <si>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</si>
  <si>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</si>
  <si>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</si>
  <si>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</si>
  <si>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</si>
  <si>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</si>
  <si>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</si>
  <si>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</si>
  <si>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</si>
  <si>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</si>
  <si>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</si>
  <si>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</si>
  <si>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</si>
  <si>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</si>
  <si>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</si>
  <si>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</si>
  <si>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</si>
  <si>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</si>
  <si>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</si>
  <si>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</si>
  <si>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</si>
  <si>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</si>
  <si>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</si>
  <si>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</si>
  <si>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</si>
  <si>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</si>
  <si>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</si>
  <si>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</si>
  <si>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</si>
  <si>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</si>
  <si>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</si>
  <si>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</si>
  <si>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</si>
  <si>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</si>
  <si>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</si>
  <si>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</si>
  <si>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</si>
  <si>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</si>
  <si>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</si>
  <si>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</si>
  <si>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</si>
  <si>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</si>
  <si>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</si>
  <si>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</si>
  <si>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</si>
  <si>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</si>
  <si>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</si>
  <si>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</si>
  <si>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</si>
  <si>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</si>
  <si>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</si>
  <si>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</si>
  <si>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</si>
  <si>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</si>
  <si>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</si>
  <si>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</si>
  <si>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</si>
  <si>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</si>
  <si>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</si>
  <si>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</si>
  <si>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</si>
  <si>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</si>
  <si>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</si>
  <si>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</si>
  <si>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</si>
  <si>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</si>
  <si>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</si>
  <si>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</si>
  <si>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</si>
  <si>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</si>
  <si>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</si>
  <si>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</si>
  <si>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</si>
  <si>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</si>
  <si>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</si>
  <si>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</si>
  <si>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</si>
  <si>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</si>
  <si>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</si>
  <si>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</si>
  <si>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</si>
  <si>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</si>
  <si>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</si>
  <si>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</si>
  <si>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</si>
  <si>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</si>
  <si>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</si>
  <si>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</si>
  <si>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</si>
  <si>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</si>
  <si>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</si>
  <si>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</si>
  <si>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</si>
  <si>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</si>
  <si>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</si>
  <si>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</si>
  <si>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</si>
  <si>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</si>
  <si>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</si>
  <si>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</si>
  <si>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</si>
  <si>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</si>
  <si>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</si>
  <si>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</si>
  <si>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</si>
  <si>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</si>
  <si>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</si>
  <si>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</si>
  <si>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</si>
  <si>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</si>
  <si>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</si>
  <si>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</si>
  <si>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</si>
  <si>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</si>
  <si>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</si>
  <si>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</si>
  <si>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</si>
  <si>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</si>
  <si>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</si>
  <si>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</si>
  <si>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</si>
  <si>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</si>
  <si>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</si>
  <si>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</si>
  <si>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</si>
  <si>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</si>
  <si>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</si>
  <si>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</si>
  <si>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</si>
  <si>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</si>
  <si>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</si>
  <si>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</si>
  <si>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</si>
  <si>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</si>
  <si>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</si>
  <si>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</si>
  <si>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</si>
  <si>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</si>
  <si>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</si>
  <si>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</si>
  <si>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</si>
  <si>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</si>
  <si>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</si>
  <si>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</si>
  <si>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</si>
  <si>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</si>
  <si>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</si>
  <si>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</si>
  <si>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</si>
  <si>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</si>
  <si>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</si>
  <si>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</si>
  <si>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</si>
  <si>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</si>
  <si>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</si>
  <si>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</si>
  <si>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</si>
  <si>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</si>
  <si>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</si>
  <si>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</si>
  <si>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</si>
  <si>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</si>
  <si>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</si>
  <si>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</si>
  <si>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</si>
  <si>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</si>
  <si>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</si>
  <si>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</si>
  <si>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</si>
  <si>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</si>
  <si>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</si>
  <si>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</si>
  <si>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</si>
  <si>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</si>
  <si>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</si>
  <si>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</si>
  <si>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</si>
  <si>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</si>
  <si>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</si>
  <si>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</si>
  <si>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</si>
  <si>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</si>
  <si>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</si>
  <si>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</si>
  <si>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</si>
  <si>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</si>
  <si>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</si>
  <si>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</si>
  <si>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</si>
  <si>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</si>
  <si>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</si>
  <si>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</si>
  <si>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</si>
  <si>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</si>
  <si>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</si>
  <si>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</si>
  <si>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</si>
  <si>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</si>
  <si>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</si>
  <si>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</si>
  <si>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</si>
  <si>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</si>
  <si>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</si>
  <si>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</si>
  <si>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</si>
  <si>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</si>
  <si>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</si>
  <si>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</si>
  <si>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</si>
  <si>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</si>
  <si>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</si>
  <si>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</si>
  <si>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</si>
  <si>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</si>
  <si>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</si>
  <si>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</si>
  <si>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</si>
  <si>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</si>
  <si>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</si>
  <si>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</si>
  <si>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</si>
  <si>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</si>
  <si>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</si>
  <si>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</si>
  <si>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</si>
  <si>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</si>
  <si>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</si>
  <si>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</si>
  <si>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</si>
  <si>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</si>
  <si>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</si>
  <si>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</si>
  <si>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</si>
  <si>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</si>
  <si>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</si>
  <si>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</si>
  <si>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</si>
  <si>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</si>
  <si>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</si>
  <si>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</si>
  <si>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</si>
  <si>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</si>
  <si>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</si>
  <si>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</si>
  <si>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</si>
  <si>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</si>
  <si>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</si>
  <si>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</si>
  <si>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</si>
  <si>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</si>
  <si>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</si>
  <si>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</si>
  <si>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</si>
  <si>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</si>
  <si>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</si>
  <si>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</si>
  <si>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</si>
  <si>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</si>
  <si>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</si>
  <si>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</si>
  <si>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</si>
  <si>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</si>
  <si>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</si>
  <si>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</si>
  <si>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</si>
  <si>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</si>
  <si>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</si>
  <si>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</si>
  <si>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</si>
  <si>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</si>
  <si>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</si>
  <si>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</si>
  <si>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</si>
  <si>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</si>
  <si>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</si>
  <si>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</si>
  <si>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</si>
  <si>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</si>
  <si>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</si>
  <si>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</si>
  <si>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</si>
  <si>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</si>
  <si>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</si>
  <si>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</si>
  <si>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</si>
  <si>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</si>
  <si>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</si>
  <si>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</si>
  <si>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</si>
  <si>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</si>
  <si>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</si>
  <si>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</si>
  <si>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</si>
  <si>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</si>
  <si>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</si>
  <si>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</si>
  <si>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</si>
  <si>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</si>
  <si>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</si>
  <si>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</si>
  <si>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</si>
  <si>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</si>
  <si>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</si>
  <si>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</si>
  <si>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</si>
  <si>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</si>
  <si>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</si>
  <si>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</si>
  <si>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</si>
  <si>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</si>
  <si>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</si>
  <si>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</si>
  <si>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</si>
  <si>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</si>
  <si>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</si>
  <si>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</si>
  <si>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</si>
  <si>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</si>
  <si>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</si>
  <si>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</si>
  <si>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</si>
  <si>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</si>
  <si>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</si>
  <si>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</si>
  <si>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</si>
  <si>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</si>
  <si>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</si>
  <si>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</si>
  <si>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</si>
  <si>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</si>
  <si>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</si>
  <si>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</si>
  <si>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</si>
  <si>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</si>
  <si>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</si>
  <si>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</si>
  <si>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</si>
  <si>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</si>
  <si>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</si>
  <si>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</si>
  <si>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</si>
  <si>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</si>
  <si>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</si>
  <si>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</si>
  <si>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</si>
  <si>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</si>
  <si>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</si>
  <si>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</si>
  <si>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</si>
  <si>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</si>
  <si>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</si>
  <si>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</si>
  <si>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</si>
  <si>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</si>
  <si>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</si>
  <si>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</si>
  <si>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</si>
  <si>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</si>
  <si>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</si>
  <si>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</si>
  <si>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</si>
  <si>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</si>
  <si>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</si>
  <si>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</si>
  <si>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</si>
  <si>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</si>
  <si>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</si>
  <si>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</si>
  <si>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</si>
  <si>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</si>
  <si>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</si>
  <si>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</si>
  <si>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</si>
  <si>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</si>
  <si>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</si>
  <si>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</si>
  <si>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</si>
  <si>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</si>
  <si>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</si>
  <si>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</si>
  <si>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</si>
  <si>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</si>
  <si>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</si>
  <si>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</si>
  <si>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</si>
  <si>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</si>
  <si>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</si>
  <si>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</si>
  <si>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</si>
  <si>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</si>
  <si>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</si>
  <si>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</si>
  <si>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</si>
  <si>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</si>
  <si>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</si>
  <si>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</si>
  <si>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</si>
  <si>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</si>
  <si>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</si>
  <si>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</si>
  <si>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</si>
  <si>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</si>
  <si>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</si>
  <si>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</si>
  <si>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</si>
  <si>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</si>
  <si>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</si>
  <si>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</si>
  <si>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</si>
  <si>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</si>
  <si>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</si>
  <si>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</si>
  <si>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</si>
  <si>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</si>
  <si>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</si>
  <si>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</si>
  <si>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</si>
  <si>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</si>
  <si>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</si>
  <si>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</si>
  <si>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</si>
  <si>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</si>
  <si>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</si>
  <si>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</si>
  <si>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</si>
  <si>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</si>
  <si>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</si>
  <si>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</si>
  <si>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</si>
  <si>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</si>
  <si>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</si>
  <si>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</si>
  <si>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</si>
  <si>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</si>
  <si>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</si>
  <si>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</si>
  <si>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</si>
  <si>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</si>
  <si>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</si>
  <si>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</si>
  <si>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</si>
  <si>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</si>
  <si>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</si>
  <si>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</si>
  <si>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</si>
  <si>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</si>
  <si>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</si>
  <si>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</si>
  <si>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</si>
  <si>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</si>
  <si>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</si>
  <si>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</si>
  <si>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</si>
  <si>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</si>
  <si>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</si>
  <si>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</si>
  <si>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</si>
  <si>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</si>
  <si>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</si>
  <si>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</si>
  <si>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</si>
  <si>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</si>
  <si>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</si>
  <si>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</si>
  <si>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</si>
  <si>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</si>
  <si>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</si>
  <si>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</si>
  <si>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</si>
  <si>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</si>
  <si>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</si>
  <si>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</si>
  <si>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</si>
  <si>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</si>
  <si>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</si>
  <si>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</si>
  <si>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</si>
  <si>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</si>
  <si>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</si>
  <si>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</si>
  <si>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</si>
  <si>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</si>
  <si>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</si>
  <si>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</si>
  <si>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</si>
  <si>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</si>
  <si>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</si>
  <si>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</si>
  <si>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</si>
  <si>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</si>
  <si>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</si>
  <si>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</si>
  <si>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</si>
  <si>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</si>
  <si>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</si>
  <si>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</si>
  <si>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</si>
  <si>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</si>
  <si>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</si>
  <si>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</si>
  <si>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</si>
  <si>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</si>
  <si>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</si>
  <si>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</si>
  <si>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</si>
  <si>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</si>
  <si>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</si>
  <si>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</si>
  <si>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</si>
  <si>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</si>
  <si>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</si>
  <si>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</si>
  <si>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</si>
  <si>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</si>
  <si>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</si>
  <si>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</si>
  <si>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</si>
  <si>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</si>
  <si>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</si>
  <si>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</si>
  <si>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</si>
  <si>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</si>
  <si>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</si>
  <si>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</si>
  <si>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</si>
  <si>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</si>
  <si>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</si>
  <si>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</si>
  <si>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</si>
  <si>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</si>
  <si>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</si>
  <si>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</si>
  <si>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</si>
  <si>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</si>
  <si>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</si>
  <si>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</si>
  <si>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</si>
  <si>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</si>
  <si>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</si>
  <si>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</si>
  <si>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</si>
  <si>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</si>
  <si>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</si>
  <si>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</si>
  <si>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</si>
  <si>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</si>
  <si>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</si>
  <si>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</si>
  <si>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</si>
  <si>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</si>
  <si>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</si>
  <si>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</si>
  <si>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</si>
  <si>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</si>
  <si>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</si>
  <si>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</si>
  <si>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</si>
  <si>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</si>
  <si>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</si>
  <si>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</si>
  <si>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</si>
  <si>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</si>
  <si>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</si>
  <si>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</si>
  <si>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</si>
  <si>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</si>
  <si>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</si>
  <si>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</si>
  <si>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</si>
  <si>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</si>
  <si>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</si>
  <si>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</si>
  <si>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</si>
  <si>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</si>
  <si>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</si>
  <si>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</si>
  <si>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</si>
  <si>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</si>
  <si>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</si>
  <si>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</si>
  <si>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</si>
  <si>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</si>
  <si>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</si>
  <si>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</si>
  <si>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</si>
  <si>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</si>
  <si>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</si>
  <si>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</si>
  <si>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</si>
  <si>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</si>
  <si>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</si>
  <si>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</si>
  <si>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</si>
  <si>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</si>
  <si>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</si>
  <si>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</si>
  <si>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</si>
  <si>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</si>
  <si>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</si>
  <si>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</si>
  <si>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</si>
  <si>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</si>
  <si>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</si>
  <si>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</si>
  <si>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</si>
  <si>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</si>
  <si>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</si>
  <si>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</si>
  <si>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</si>
  <si>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</si>
  <si>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</si>
  <si>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</si>
  <si>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</si>
  <si>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</si>
  <si>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</si>
  <si>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</si>
  <si>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</si>
  <si>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</si>
  <si>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</si>
  <si>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</si>
  <si>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</si>
  <si>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</si>
  <si>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</si>
  <si>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</si>
  <si>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</si>
  <si>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</si>
  <si>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</si>
  <si>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</si>
  <si>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</si>
  <si>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</si>
  <si>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</si>
  <si>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</si>
  <si>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</si>
  <si>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</si>
  <si>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</si>
  <si>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</si>
  <si>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</si>
  <si>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</si>
  <si>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</si>
  <si>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</si>
  <si>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</si>
  <si>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</si>
  <si>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</si>
  <si>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</si>
  <si>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</si>
  <si>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</si>
  <si>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</si>
  <si>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</si>
  <si>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</si>
  <si>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</si>
  <si>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</si>
  <si>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</si>
  <si>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</si>
  <si>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</si>
  <si>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</si>
  <si>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</si>
  <si>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</si>
  <si>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</si>
  <si>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</si>
  <si>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</si>
  <si>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</si>
  <si>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</si>
  <si>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</si>
  <si>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</si>
  <si>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</si>
  <si>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</si>
  <si>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</si>
  <si>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</si>
  <si>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</si>
  <si>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</si>
  <si>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</si>
  <si>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</si>
  <si>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</si>
  <si>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</si>
  <si>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</si>
  <si>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</si>
  <si>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</si>
  <si>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</si>
  <si>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</si>
  <si>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</si>
  <si>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</si>
  <si>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</si>
  <si>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</si>
  <si>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</si>
  <si>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</si>
  <si>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</si>
  <si>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</si>
  <si>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</si>
  <si>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</si>
  <si>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</si>
  <si>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</si>
  <si>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</si>
  <si>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</si>
  <si>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</si>
  <si>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</si>
  <si>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</si>
  <si>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</si>
  <si>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</si>
  <si>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</si>
  <si>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</si>
  <si>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</si>
  <si>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</si>
  <si>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</si>
  <si>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</si>
  <si>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</si>
  <si>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</si>
  <si>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</si>
  <si>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</si>
  <si>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</si>
  <si>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</si>
  <si>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</si>
  <si>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</si>
  <si>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</si>
  <si>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</si>
  <si>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</si>
  <si>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</si>
  <si>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</si>
  <si>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</si>
  <si>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</si>
  <si>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</si>
  <si>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</si>
  <si>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</si>
  <si>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</si>
  <si>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</si>
  <si>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</si>
  <si>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</si>
  <si>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</si>
  <si>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</si>
  <si>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</si>
  <si>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</si>
  <si>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</si>
  <si>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</si>
  <si>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</si>
  <si>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</si>
  <si>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</si>
  <si>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</si>
  <si>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</si>
  <si>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</si>
  <si>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</si>
  <si>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</si>
  <si>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</si>
  <si>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</si>
  <si>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</si>
  <si>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</si>
  <si>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</si>
  <si>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</si>
  <si>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</si>
  <si>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</si>
  <si>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</si>
  <si>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</si>
  <si>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</si>
  <si>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</si>
  <si>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</si>
  <si>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</si>
  <si>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</si>
  <si>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</si>
  <si>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</si>
  <si>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</si>
  <si>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</si>
  <si>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</si>
  <si>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</si>
  <si>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</si>
  <si>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</si>
  <si>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</si>
  <si>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</si>
  <si>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</si>
  <si>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</si>
  <si>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</si>
  <si>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</si>
  <si>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</si>
  <si>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</si>
  <si>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</si>
  <si>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</si>
  <si>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</si>
  <si>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</si>
  <si>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</si>
  <si>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</si>
  <si>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</si>
  <si>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</si>
  <si>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</si>
  <si>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</si>
  <si>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</si>
  <si>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</si>
  <si>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</si>
  <si>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</si>
  <si>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</si>
  <si>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</si>
  <si>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</si>
  <si>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</si>
  <si>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</si>
  <si>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</si>
  <si>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</si>
  <si>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</si>
  <si>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</si>
  <si>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</si>
  <si>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</si>
  <si>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</si>
  <si>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</si>
  <si>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</si>
  <si>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</si>
  <si>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</si>
  <si>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</si>
  <si>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</si>
  <si>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</si>
  <si>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</si>
  <si>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</si>
  <si>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</si>
  <si>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</si>
  <si>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</si>
  <si>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</si>
  <si>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</si>
  <si>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</si>
  <si>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</si>
  <si>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</si>
  <si>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</si>
  <si>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</si>
  <si>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</si>
  <si>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</si>
  <si>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</si>
  <si>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</si>
  <si>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</si>
  <si>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</si>
  <si>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</si>
  <si>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</si>
  <si>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</si>
  <si>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</si>
  <si>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</si>
  <si>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</si>
  <si>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</si>
  <si>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</si>
  <si>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</si>
  <si>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</si>
  <si>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</si>
  <si>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</si>
  <si>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</si>
  <si>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</si>
  <si>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</si>
  <si>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</si>
  <si>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</si>
  <si>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</si>
  <si>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</si>
  <si>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</si>
  <si>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</si>
  <si>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</si>
  <si>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</si>
  <si>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</si>
  <si>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</si>
  <si>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</si>
  <si>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</si>
  <si>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</si>
  <si>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</si>
  <si>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</si>
  <si>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</si>
  <si>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</si>
  <si>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</si>
  <si>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</si>
  <si>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</si>
  <si>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</si>
  <si>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</si>
  <si>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</si>
  <si>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</si>
  <si>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</si>
  <si>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</si>
  <si>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</si>
  <si>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</si>
  <si>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</si>
  <si>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</si>
  <si>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</si>
  <si>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</si>
  <si>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</si>
  <si>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</si>
  <si>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</si>
  <si>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</si>
  <si>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</si>
  <si>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</si>
  <si>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</si>
  <si>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</si>
  <si>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</si>
  <si>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</si>
  <si>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</si>
  <si>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</si>
  <si>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</si>
  <si>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</si>
  <si>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</si>
  <si>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</si>
  <si>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</si>
  <si>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</si>
  <si>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</si>
  <si>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</si>
  <si>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</si>
  <si>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</si>
  <si>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</si>
  <si>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</si>
  <si>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</si>
  <si>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</si>
  <si>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</si>
  <si>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</si>
  <si>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</si>
  <si>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</si>
  <si>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</si>
  <si>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</si>
  <si>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</si>
  <si>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</si>
  <si>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</si>
  <si>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</si>
  <si>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</si>
  <si>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</si>
  <si>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</si>
  <si>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</si>
  <si>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</si>
  <si>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</si>
  <si>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</si>
  <si>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</si>
  <si>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</si>
  <si>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</si>
  <si>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</si>
  <si>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</si>
  <si>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</si>
  <si>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</si>
  <si>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</si>
  <si>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</si>
  <si>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</si>
  <si>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</si>
  <si>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</si>
  <si>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</si>
  <si>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</si>
  <si>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</si>
  <si>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</si>
  <si>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</si>
  <si>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</si>
  <si>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</si>
  <si>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</si>
  <si>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</si>
  <si>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</si>
  <si>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</si>
  <si>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</si>
  <si>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</si>
  <si>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</si>
  <si>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</si>
  <si>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</si>
  <si>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</si>
  <si>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</si>
  <si>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</si>
  <si>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</si>
  <si>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</si>
  <si>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</si>
  <si>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</si>
  <si>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</si>
  <si>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</si>
  <si>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</si>
  <si>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</si>
  <si>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</si>
  <si>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</si>
  <si>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</si>
  <si>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</si>
  <si>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</si>
  <si>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</si>
  <si>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</si>
  <si>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</si>
  <si>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</si>
  <si>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</si>
  <si>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</si>
  <si>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</si>
  <si>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</si>
  <si>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</si>
  <si>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</si>
  <si>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</si>
  <si>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</si>
  <si>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</si>
  <si>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</si>
  <si>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</si>
  <si>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</si>
  <si>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</si>
  <si>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</si>
  <si>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</si>
  <si>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</si>
  <si>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</si>
  <si>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</si>
  <si>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</si>
  <si>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</si>
  <si>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</si>
  <si>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</si>
  <si>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</si>
  <si>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</si>
  <si>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</si>
  <si>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</si>
  <si>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</si>
  <si>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</si>
  <si>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</si>
  <si>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</si>
  <si>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</si>
  <si>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</si>
  <si>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</si>
  <si>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</si>
  <si>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</si>
  <si>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</si>
  <si>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</si>
  <si>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</si>
  <si>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</si>
  <si>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</si>
  <si>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</si>
  <si>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</si>
  <si>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</si>
  <si>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</si>
  <si>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</si>
  <si>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</si>
  <si>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</si>
  <si>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</si>
  <si>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</si>
  <si>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</si>
  <si>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</si>
  <si>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</si>
  <si>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</si>
  <si>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</si>
  <si>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</si>
  <si>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</si>
  <si>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</si>
  <si>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</si>
  <si>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</si>
  <si>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</si>
  <si>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</si>
  <si>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</si>
  <si>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</si>
  <si>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</si>
  <si>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</si>
  <si>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</si>
  <si>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</si>
  <si>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</si>
  <si>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</si>
  <si>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</si>
  <si>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</si>
  <si>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</si>
  <si>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</si>
  <si>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</si>
  <si>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</si>
  <si>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</si>
  <si>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</si>
  <si>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</si>
  <si>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</si>
  <si>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</si>
  <si>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</si>
  <si>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</si>
  <si>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</si>
  <si>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</si>
  <si>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</si>
  <si>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</si>
  <si>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</si>
  <si>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</si>
  <si>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</si>
  <si>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</si>
  <si>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</si>
  <si>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</si>
  <si>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</si>
  <si>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</si>
  <si>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</si>
  <si>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</si>
  <si>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</si>
  <si>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</si>
  <si>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</si>
  <si>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</si>
  <si>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</si>
  <si>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</si>
  <si>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</si>
  <si>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</si>
  <si>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</si>
  <si>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</si>
  <si>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</si>
  <si>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</si>
  <si>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</si>
  <si>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</si>
  <si>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</si>
  <si>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</si>
  <si>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</si>
  <si>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</si>
  <si>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</si>
  <si>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</si>
  <si>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</si>
  <si>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</si>
  <si>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</si>
  <si>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</si>
  <si>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</si>
  <si>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</si>
  <si>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</si>
  <si>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</si>
  <si>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</si>
  <si>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</si>
  <si>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</si>
  <si>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</si>
  <si>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</si>
  <si>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</si>
  <si>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</si>
  <si>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</si>
  <si>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</si>
  <si>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</si>
  <si>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</si>
  <si>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</si>
  <si>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</si>
  <si>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</si>
  <si>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</si>
  <si>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</si>
  <si>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</si>
  <si>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</si>
  <si>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</si>
  <si>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</si>
  <si>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</si>
  <si>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</si>
  <si>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</si>
  <si>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</si>
  <si>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</si>
  <si>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</si>
  <si>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</si>
  <si>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</si>
  <si>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</si>
  <si>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</si>
  <si>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</si>
  <si>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</si>
  <si>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</si>
  <si>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</si>
  <si>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</si>
  <si>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</si>
  <si>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</si>
  <si>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</si>
  <si>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</si>
  <si>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</si>
  <si>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</si>
  <si>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</si>
  <si>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</si>
  <si>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</si>
  <si>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</si>
  <si>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</si>
  <si>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</si>
  <si>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</si>
  <si>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</si>
  <si>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</si>
  <si>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</si>
  <si>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</si>
  <si>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</si>
  <si>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</si>
  <si>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</si>
  <si>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</si>
  <si>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</si>
  <si>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</si>
  <si>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</si>
  <si>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</si>
  <si>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</si>
  <si>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</si>
  <si>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</si>
  <si>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</si>
  <si>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</si>
  <si>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</si>
  <si>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</si>
  <si>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</si>
  <si>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</si>
  <si>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</si>
  <si>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</si>
  <si>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</si>
  <si>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</si>
  <si>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</si>
  <si>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</si>
  <si>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</si>
  <si>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</si>
  <si>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</si>
  <si>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</si>
  <si>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</si>
  <si>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</si>
  <si>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</si>
  <si>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</si>
  <si>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</si>
  <si>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</si>
  <si>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</si>
  <si>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</si>
  <si>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</si>
  <si>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</si>
  <si>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</si>
  <si>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</si>
  <si>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</si>
  <si>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</si>
  <si>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</si>
  <si>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</si>
  <si>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</si>
  <si>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</si>
  <si>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</si>
  <si>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</si>
  <si>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</si>
  <si>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</si>
  <si>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</si>
  <si>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</si>
  <si>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</si>
  <si>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</si>
  <si>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</si>
  <si>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</si>
  <si>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</si>
  <si>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</si>
  <si>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</si>
  <si>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</si>
  <si>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</si>
  <si>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</si>
  <si>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</si>
  <si>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</si>
  <si>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</si>
  <si>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</si>
  <si>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</si>
  <si>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</si>
  <si>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</si>
  <si>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</si>
  <si>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</si>
  <si>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</si>
  <si>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</si>
  <si>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</si>
  <si>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</si>
  <si>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</si>
  <si>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</si>
  <si>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</si>
  <si>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</si>
  <si>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</si>
  <si>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</si>
  <si>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</si>
  <si>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</si>
  <si>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</si>
  <si>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</si>
  <si>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</si>
  <si>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</si>
  <si>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</si>
  <si>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</si>
  <si>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</si>
  <si>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</si>
  <si>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</si>
  <si>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</si>
  <si>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</si>
  <si>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</si>
  <si>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</si>
  <si>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</si>
  <si>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</si>
  <si>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</si>
  <si>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</si>
  <si>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</si>
  <si>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</si>
  <si>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</si>
  <si>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</si>
  <si>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</si>
  <si>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</si>
  <si>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</si>
  <si>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</si>
  <si>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</si>
  <si>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</si>
  <si>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</si>
  <si>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</si>
  <si>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</si>
  <si>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</si>
  <si>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</si>
  <si>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</si>
  <si>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</si>
  <si>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</si>
  <si>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</si>
  <si>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</si>
  <si>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</si>
  <si>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</si>
  <si>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</si>
  <si>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</si>
  <si>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</si>
  <si>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</si>
  <si>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</si>
  <si>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</si>
  <si>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</si>
  <si>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</si>
  <si>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</si>
  <si>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</si>
  <si>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</si>
  <si>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</si>
  <si>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</si>
  <si>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</si>
  <si>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</si>
  <si>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</si>
  <si>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</si>
  <si>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</si>
  <si>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</si>
  <si>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</si>
  <si>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</si>
  <si>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</si>
  <si>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</si>
  <si>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</si>
  <si>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</si>
  <si>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</si>
  <si>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</si>
  <si>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</si>
  <si>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</si>
  <si>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</si>
  <si>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</si>
  <si>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</si>
  <si>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</si>
  <si>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</si>
  <si>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</si>
  <si>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</si>
  <si>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</si>
  <si>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</si>
  <si>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</si>
  <si>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</si>
  <si>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</si>
  <si>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</si>
  <si>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</si>
  <si>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</si>
  <si>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</si>
  <si>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</si>
  <si>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</si>
  <si>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</si>
  <si>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</si>
  <si>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</si>
  <si>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</si>
  <si>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</si>
  <si>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</si>
  <si>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</si>
  <si>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</si>
  <si>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</si>
  <si>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</si>
  <si>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</si>
  <si>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</si>
  <si>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</si>
  <si>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</si>
  <si>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</si>
  <si>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</si>
  <si>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</si>
  <si>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</si>
  <si>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</si>
  <si>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</si>
  <si>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</si>
  <si>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</si>
  <si>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</si>
  <si>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</si>
  <si>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</si>
  <si>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</si>
  <si>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</si>
  <si>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</si>
  <si>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</si>
  <si>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</si>
  <si>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</si>
  <si>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</si>
  <si>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</si>
  <si>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</si>
  <si>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</si>
  <si>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</si>
  <si>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</si>
  <si>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</si>
  <si>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</si>
  <si>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</si>
  <si>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</si>
  <si>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</si>
  <si>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</si>
  <si>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</si>
  <si>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</si>
  <si>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</si>
  <si>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</si>
  <si>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</si>
  <si>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</si>
  <si>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</si>
  <si>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</si>
  <si>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</si>
  <si>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</si>
  <si>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</si>
  <si>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</si>
  <si>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</si>
  <si>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</si>
  <si>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</si>
  <si>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</si>
  <si>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</si>
  <si>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</si>
  <si>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</si>
  <si>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</si>
  <si>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</si>
  <si>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</si>
  <si>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</si>
  <si>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</si>
  <si>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</si>
  <si>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</si>
  <si>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</si>
  <si>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</si>
  <si>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</si>
  <si>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</si>
  <si>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</si>
  <si>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</si>
  <si>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</si>
  <si>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</si>
  <si>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</si>
  <si>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</si>
  <si>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</si>
  <si>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</si>
  <si>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</si>
  <si>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</si>
  <si>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</si>
  <si>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</si>
  <si>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</si>
  <si>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</si>
  <si>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</si>
  <si>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</si>
  <si>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</si>
  <si>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</si>
  <si>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</si>
  <si>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</si>
  <si>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</si>
  <si>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</si>
  <si>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</si>
  <si>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</si>
  <si>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</si>
  <si>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</si>
  <si>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</si>
  <si>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</si>
  <si>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</si>
  <si>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</si>
  <si>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</si>
  <si>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</si>
  <si>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</si>
  <si>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</si>
  <si>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</si>
  <si>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</si>
  <si>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</si>
  <si>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</si>
  <si>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</si>
  <si>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</si>
  <si>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</si>
  <si>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</si>
  <si>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</si>
  <si>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</si>
  <si>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</si>
  <si>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</si>
  <si>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</si>
  <si>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</si>
  <si>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</si>
  <si>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</si>
  <si>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</si>
  <si>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</si>
  <si>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</si>
  <si>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</si>
  <si>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</si>
  <si>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</si>
  <si>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</si>
  <si>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</si>
  <si>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</si>
  <si>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</si>
  <si>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</si>
  <si>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</si>
  <si>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</si>
  <si>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</si>
  <si>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</si>
  <si>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</si>
  <si>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</si>
  <si>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</si>
  <si>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</si>
  <si>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</si>
  <si>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</si>
  <si>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</si>
  <si>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</si>
  <si>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</si>
  <si>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</si>
  <si>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</si>
  <si>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</si>
  <si>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</si>
  <si>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</si>
  <si>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</si>
  <si>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</si>
  <si>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</si>
  <si>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</si>
  <si>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</si>
  <si>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</si>
  <si>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</si>
  <si>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</si>
  <si>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</si>
  <si>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</si>
  <si>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</si>
  <si>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</si>
  <si>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</si>
  <si>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</si>
  <si>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</si>
  <si>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</si>
  <si>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</si>
  <si>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</si>
  <si>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</si>
  <si>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</si>
  <si>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</si>
  <si>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</si>
  <si>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</si>
  <si>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</si>
  <si>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</si>
  <si>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</si>
  <si>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</si>
  <si>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</si>
  <si>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</si>
  <si>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</si>
  <si>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</si>
  <si>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</si>
  <si>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</si>
  <si>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</si>
  <si>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</si>
  <si>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</si>
  <si>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</si>
  <si>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</si>
  <si>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</si>
  <si>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</si>
  <si>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</si>
  <si>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</si>
  <si>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</si>
  <si>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</si>
  <si>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</si>
  <si>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</si>
  <si>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</si>
  <si>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</si>
  <si>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</si>
  <si>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</si>
  <si>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</si>
  <si>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</si>
  <si>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</si>
  <si>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</si>
  <si>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</si>
  <si>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</si>
  <si>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</si>
  <si>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</si>
  <si>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</si>
  <si>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</si>
  <si>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</si>
  <si>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</si>
  <si>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</si>
  <si>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</si>
  <si>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</si>
  <si>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</si>
  <si>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</si>
  <si>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</si>
  <si>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</si>
  <si>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</si>
  <si>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</si>
  <si>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</si>
  <si>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</si>
  <si>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</si>
  <si>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</si>
  <si>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</si>
  <si>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</si>
  <si>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</si>
  <si>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</si>
  <si>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</si>
  <si>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</si>
  <si>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</si>
  <si>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</si>
  <si>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</si>
  <si>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</si>
  <si>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</si>
  <si>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</si>
  <si>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</si>
  <si>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</si>
  <si>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</si>
  <si>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</si>
  <si>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</si>
  <si>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</si>
  <si>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</si>
  <si>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</si>
  <si>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</si>
  <si>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</si>
  <si>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</si>
  <si>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</si>
  <si>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</si>
  <si>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</si>
  <si>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</si>
  <si>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</si>
  <si>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</si>
  <si>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</si>
  <si>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</si>
  <si>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</si>
  <si>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</si>
  <si>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</si>
  <si>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</si>
  <si>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</si>
  <si>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</si>
  <si>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</si>
  <si>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</si>
  <si>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</si>
  <si>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</si>
  <si>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</si>
  <si>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</si>
  <si>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</si>
  <si>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</si>
  <si>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</si>
  <si>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</si>
  <si>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</si>
  <si>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</si>
  <si>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</si>
  <si>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</si>
  <si>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</si>
  <si>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</si>
  <si>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</si>
  <si>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</si>
  <si>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</si>
  <si>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</si>
  <si>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</si>
  <si>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</si>
  <si>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</si>
  <si>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</si>
  <si>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</si>
  <si>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</si>
  <si>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</si>
  <si>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</si>
  <si>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</si>
  <si>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</si>
  <si>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</si>
  <si>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</si>
  <si>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</si>
  <si>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</si>
  <si>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</si>
  <si>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</si>
  <si>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</si>
  <si>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</si>
  <si>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</si>
  <si>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</si>
  <si>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</si>
  <si>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</si>
  <si>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</si>
  <si>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</si>
  <si>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</si>
  <si>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</si>
  <si>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</si>
  <si>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</si>
  <si>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</si>
  <si>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</si>
  <si>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</si>
  <si>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</si>
  <si>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</si>
  <si>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</si>
  <si>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</si>
  <si>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</si>
  <si>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</si>
  <si>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</si>
  <si>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</si>
  <si>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</si>
  <si>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</si>
  <si>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</si>
  <si>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</si>
  <si>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</si>
  <si>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</si>
  <si>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</si>
  <si>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</si>
  <si>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</si>
  <si>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</si>
  <si>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</si>
  <si>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</si>
  <si>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</si>
  <si>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</si>
  <si>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</si>
  <si>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</si>
  <si>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</si>
  <si>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</si>
  <si>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</si>
  <si>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</si>
  <si>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</si>
  <si>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</si>
  <si>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</si>
  <si>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</si>
  <si>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</si>
  <si>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</si>
  <si>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</si>
  <si>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</si>
  <si>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</si>
  <si>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</si>
  <si>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</si>
  <si>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</si>
  <si>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</si>
  <si>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</si>
  <si>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</si>
  <si>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</si>
  <si>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</si>
  <si>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</si>
  <si>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</si>
  <si>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</si>
  <si>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</si>
  <si>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</si>
  <si>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</si>
  <si>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</si>
  <si>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</si>
  <si>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</si>
  <si>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</si>
  <si>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</si>
  <si>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</si>
  <si>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</si>
  <si>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</si>
  <si>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</si>
  <si>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</si>
  <si>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</si>
  <si>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</si>
  <si>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</si>
  <si>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</si>
  <si>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</si>
  <si>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</si>
  <si>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</si>
  <si>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</si>
  <si>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</si>
  <si>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</si>
  <si>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</si>
  <si>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</si>
  <si>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</si>
  <si>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</si>
  <si>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</si>
  <si>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</si>
  <si>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</si>
  <si>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</si>
  <si>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</si>
  <si>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</si>
  <si>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</si>
  <si>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</si>
  <si>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</si>
  <si>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</si>
  <si>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</si>
  <si>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</si>
  <si>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</si>
  <si>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</si>
  <si>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</si>
  <si>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</si>
  <si>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</si>
  <si>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</si>
  <si>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</si>
  <si>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</si>
  <si>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</si>
  <si>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</si>
  <si>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</si>
  <si>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</si>
  <si>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</si>
  <si>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</si>
  <si>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</si>
  <si>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</si>
  <si>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</si>
  <si>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</si>
  <si>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</si>
  <si>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</si>
  <si>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</si>
  <si>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</si>
  <si>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</si>
  <si>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</si>
  <si>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</si>
  <si>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</si>
  <si>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</si>
  <si>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</si>
  <si>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</si>
  <si>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</si>
  <si>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</si>
  <si>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</si>
  <si>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</si>
  <si>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</si>
  <si>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</si>
  <si>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</si>
  <si>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</si>
  <si>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</si>
  <si>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</si>
  <si>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</si>
  <si>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</si>
  <si>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</si>
  <si>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</si>
  <si>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</si>
  <si>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</si>
  <si>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</si>
  <si>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</si>
  <si>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</si>
  <si>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</si>
  <si>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</si>
  <si>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</si>
  <si>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</si>
  <si>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</si>
  <si>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</si>
  <si>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</si>
  <si>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</si>
  <si>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</si>
  <si>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</si>
  <si>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</si>
  <si>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</si>
  <si>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</si>
  <si>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</si>
  <si>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</si>
  <si>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</si>
  <si>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</si>
  <si>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</si>
  <si>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</si>
  <si>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</si>
  <si>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</si>
  <si>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</si>
  <si>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</si>
  <si>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</si>
  <si>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</si>
  <si>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</si>
  <si>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</si>
  <si>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</si>
  <si>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</si>
  <si>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</si>
  <si>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</si>
  <si>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</si>
  <si>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</si>
  <si>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</si>
  <si>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</si>
  <si>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</si>
  <si>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</si>
  <si>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</si>
  <si>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</si>
  <si>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</si>
  <si>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</si>
  <si>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</si>
  <si>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</si>
  <si>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</si>
  <si>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</si>
  <si>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</si>
  <si>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</si>
  <si>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</si>
  <si>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</si>
  <si>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</si>
  <si>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</si>
  <si>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</si>
  <si>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</si>
  <si>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</si>
  <si>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</si>
  <si>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</si>
  <si>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</si>
  <si>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</si>
  <si>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</si>
  <si>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</si>
  <si>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</si>
  <si>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</si>
  <si>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</si>
  <si>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</si>
  <si>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</si>
  <si>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</si>
  <si>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</si>
  <si>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</si>
  <si>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</si>
  <si>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</si>
  <si>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</si>
  <si>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</si>
  <si>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</si>
  <si>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</si>
  <si>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</si>
  <si>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</si>
  <si>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</si>
  <si>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</si>
  <si>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</si>
  <si>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</si>
  <si>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</si>
  <si>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</si>
  <si>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</si>
  <si>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</si>
  <si>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</si>
  <si>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</si>
  <si>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</si>
  <si>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</si>
  <si>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</si>
  <si>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</si>
  <si>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</si>
  <si>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</si>
  <si>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</si>
  <si>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</si>
  <si>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</si>
  <si>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</si>
  <si>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</si>
  <si>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</si>
  <si>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</si>
  <si>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</si>
  <si>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</si>
  <si>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</si>
  <si>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</si>
  <si>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</si>
  <si>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</si>
  <si>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</si>
  <si>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</si>
  <si>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</si>
  <si>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</si>
  <si>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</si>
  <si>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</si>
  <si>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</si>
  <si>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</si>
  <si>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</si>
  <si>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</si>
  <si>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</si>
  <si>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</si>
  <si>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</si>
  <si>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</si>
  <si>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</si>
  <si>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</si>
  <si>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</si>
  <si>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</si>
  <si>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</si>
  <si>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</si>
  <si>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</si>
  <si>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</si>
  <si>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</si>
  <si>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</si>
  <si>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</si>
  <si>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</si>
  <si>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</si>
  <si>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</si>
  <si>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</si>
  <si>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</si>
  <si>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</si>
  <si>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</si>
  <si>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</si>
  <si>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</si>
  <si>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</si>
  <si>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</si>
  <si>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</si>
  <si>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</si>
  <si>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</si>
  <si>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</si>
  <si>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</si>
  <si>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</si>
  <si>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</si>
  <si>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</si>
  <si>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</si>
  <si>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</si>
  <si>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</si>
  <si>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</si>
  <si>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</si>
  <si>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</si>
  <si>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</si>
  <si>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</si>
  <si>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</si>
  <si>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</si>
  <si>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</si>
  <si>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</si>
  <si>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</si>
  <si>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</si>
  <si>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</si>
  <si>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</si>
  <si>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</si>
  <si>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</si>
  <si>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</si>
  <si>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</si>
  <si>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</si>
  <si>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</si>
  <si>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</si>
  <si>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</si>
  <si>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</si>
  <si>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</si>
  <si>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</si>
  <si>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</si>
  <si>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</si>
  <si>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</si>
  <si>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</si>
  <si>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</si>
  <si>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</si>
  <si>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</si>
  <si>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</si>
  <si>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</si>
  <si>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</si>
  <si>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</si>
  <si>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</si>
  <si>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</si>
  <si>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</si>
  <si>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</si>
  <si>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</si>
  <si>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</si>
  <si>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</si>
  <si>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</si>
  <si>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</si>
  <si>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</si>
  <si>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</si>
  <si>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</si>
  <si>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</si>
  <si>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</si>
  <si>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</si>
  <si>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</si>
  <si>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</si>
  <si>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</si>
  <si>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</si>
  <si>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</si>
  <si>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</si>
  <si>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</si>
  <si>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</si>
  <si>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</si>
  <si>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</si>
  <si>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</si>
  <si>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</si>
  <si>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</si>
  <si>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</si>
  <si>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</si>
  <si>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</si>
  <si>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</si>
  <si>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</si>
  <si>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</si>
  <si>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</si>
  <si>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</si>
  <si>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</si>
  <si>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</si>
  <si>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</si>
  <si>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</si>
  <si>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</si>
  <si>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</si>
  <si>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</si>
  <si>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</si>
  <si>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</si>
  <si>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</si>
  <si>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</si>
  <si>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</si>
  <si>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</si>
  <si>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</si>
  <si>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</si>
  <si>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</si>
  <si>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</si>
  <si>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</si>
  <si>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</si>
  <si>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</si>
  <si>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</si>
  <si>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</si>
  <si>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</si>
  <si>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</si>
  <si>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</si>
  <si>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</si>
  <si>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</si>
  <si>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</si>
  <si>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</si>
  <si>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</si>
  <si>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</si>
  <si>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</si>
  <si>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</si>
  <si>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</si>
  <si>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</si>
  <si>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</si>
  <si>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</si>
  <si>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</si>
  <si>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</si>
  <si>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</si>
  <si>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</si>
  <si>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</si>
  <si>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</si>
  <si>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</si>
  <si>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</si>
  <si>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</si>
  <si>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</si>
  <si>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</si>
  <si>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</si>
  <si>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</si>
  <si>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</si>
  <si>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</si>
  <si>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</si>
  <si>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</si>
  <si>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</si>
  <si>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</si>
  <si>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</si>
  <si>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</si>
  <si>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</si>
  <si>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</si>
  <si>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</si>
  <si>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</si>
  <si>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</si>
  <si>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</si>
  <si>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</si>
  <si>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</si>
  <si>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</si>
  <si>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</si>
  <si>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</si>
  <si>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</si>
  <si>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</si>
  <si>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</si>
  <si>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</si>
  <si>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</si>
  <si>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</si>
  <si>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</si>
  <si>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</si>
  <si>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</si>
  <si>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</si>
  <si>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</si>
  <si>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</si>
  <si>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</si>
  <si>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</si>
  <si>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</si>
  <si>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</si>
  <si>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</si>
  <si>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</si>
  <si>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</si>
  <si>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</si>
  <si>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</si>
  <si>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</si>
  <si>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</si>
  <si>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</si>
  <si>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</si>
  <si>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</si>
  <si>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</si>
  <si>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</si>
  <si>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</si>
  <si>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</si>
  <si>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</si>
  <si>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</si>
  <si>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</si>
  <si>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</si>
  <si>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</si>
  <si>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</si>
  <si>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</si>
  <si>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</si>
  <si>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</si>
  <si>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</si>
  <si>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</si>
  <si>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</si>
  <si>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</si>
  <si>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</si>
  <si>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</si>
  <si>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</si>
  <si>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</si>
  <si>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</si>
  <si>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</si>
  <si>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</si>
  <si>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</si>
  <si>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</si>
  <si>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</si>
  <si>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</si>
  <si>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</si>
  <si>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</si>
  <si>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</si>
  <si>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</si>
  <si>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</si>
  <si>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</si>
  <si>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</si>
  <si>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</si>
  <si>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</si>
  <si>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</si>
  <si>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</si>
  <si>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</si>
  <si>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</si>
  <si>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</si>
  <si>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</si>
  <si>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</si>
  <si>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</si>
  <si>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</si>
  <si>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</si>
  <si>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</si>
  <si>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</si>
  <si>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</si>
  <si>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</si>
  <si>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</si>
  <si>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</si>
  <si>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</si>
  <si>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</si>
  <si>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</si>
  <si>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</si>
  <si>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</si>
  <si>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</si>
  <si>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</si>
  <si>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</si>
  <si>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</si>
  <si>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</si>
  <si>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</si>
  <si>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</si>
  <si>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</si>
  <si>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</si>
  <si>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</si>
  <si>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</si>
  <si>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</si>
  <si>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</si>
  <si>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</si>
  <si>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</si>
  <si>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</si>
  <si>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</si>
  <si>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</si>
  <si>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</si>
  <si>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</si>
  <si>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</si>
  <si>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</si>
  <si>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</si>
  <si>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</si>
  <si>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</si>
  <si>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</si>
  <si>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</si>
  <si>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</si>
  <si>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</si>
  <si>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</si>
  <si>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</si>
  <si>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</si>
  <si>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</si>
  <si>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</si>
  <si>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</si>
  <si>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</si>
  <si>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</si>
  <si>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</si>
  <si>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</si>
  <si>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</si>
  <si>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</si>
  <si>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</si>
  <si>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</si>
  <si>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</si>
  <si>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</si>
  <si>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</si>
  <si>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</si>
  <si>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</si>
  <si>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</si>
  <si>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</si>
  <si>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</si>
  <si>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</si>
  <si>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</si>
  <si>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</si>
  <si>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</si>
  <si>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</si>
  <si>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</si>
  <si>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</si>
  <si>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</si>
  <si>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</si>
  <si>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</si>
  <si>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</si>
  <si>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</si>
  <si>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</si>
  <si>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</si>
  <si>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</si>
  <si>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</si>
  <si>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</si>
  <si>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</si>
  <si>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</si>
  <si>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</si>
  <si>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</si>
  <si>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</si>
  <si>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</si>
  <si>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</si>
  <si>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</si>
  <si>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</si>
  <si>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</si>
  <si>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</si>
  <si>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</si>
  <si>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</si>
  <si>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</si>
  <si>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</si>
  <si>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</si>
  <si>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</si>
  <si>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</si>
  <si>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</si>
  <si>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</si>
  <si>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</si>
  <si>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</si>
  <si>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</si>
  <si>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</si>
  <si>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</si>
  <si>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</si>
  <si>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</si>
  <si>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</si>
  <si>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</si>
  <si>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</si>
  <si>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</si>
  <si>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</si>
  <si>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</si>
  <si>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</si>
  <si>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</si>
  <si>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</si>
  <si>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</si>
  <si>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</si>
  <si>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</si>
  <si>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</si>
  <si>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</si>
  <si>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</si>
  <si>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</si>
  <si>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</si>
  <si>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</si>
  <si>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</si>
  <si>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</si>
  <si>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</si>
  <si>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</si>
  <si>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</si>
  <si>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</si>
  <si>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</si>
  <si>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</si>
  <si>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</si>
  <si>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</si>
  <si>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</si>
  <si>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</si>
  <si>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</si>
  <si>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</si>
  <si>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</si>
  <si>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</si>
  <si>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</si>
  <si>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</si>
  <si>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</si>
  <si>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</si>
  <si>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</si>
  <si>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</si>
  <si>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</si>
  <si>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</si>
  <si>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</si>
  <si>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</si>
  <si>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</si>
  <si>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</si>
  <si>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</si>
  <si>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</si>
  <si>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</si>
  <si>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</si>
  <si>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</si>
  <si>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</si>
  <si>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</si>
  <si>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</si>
  <si>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</si>
  <si>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</si>
  <si>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</si>
  <si>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</si>
  <si>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</si>
  <si>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</si>
  <si>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</si>
  <si>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</si>
  <si>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</si>
  <si>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</si>
  <si>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</si>
  <si>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</si>
  <si>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</si>
  <si>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</si>
  <si>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</si>
  <si>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</si>
  <si>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</si>
  <si>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</si>
  <si>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</si>
  <si>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</si>
  <si>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</si>
  <si>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</si>
  <si>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</si>
  <si>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</si>
  <si>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</si>
  <si>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</si>
  <si>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</si>
  <si>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</si>
  <si>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</si>
  <si>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</si>
  <si>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</si>
  <si>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</si>
  <si>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</si>
  <si>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</si>
  <si>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</si>
  <si>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</si>
  <si>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</si>
  <si>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</si>
  <si>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</si>
  <si>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</si>
  <si>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</si>
  <si>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</si>
  <si>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</si>
  <si>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</si>
  <si>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</si>
  <si>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</si>
  <si>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</si>
  <si>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</si>
  <si>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</si>
  <si>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</si>
  <si>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</si>
  <si>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</si>
  <si>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</si>
  <si>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</si>
  <si>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</si>
  <si>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</si>
  <si>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</si>
  <si>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</si>
  <si>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</si>
  <si>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</si>
  <si>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</si>
  <si>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</si>
  <si>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</si>
  <si>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</si>
  <si>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</si>
  <si>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</si>
  <si>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</si>
  <si>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</si>
  <si>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</si>
  <si>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</si>
  <si>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</si>
  <si>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</si>
  <si>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</si>
  <si>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</si>
  <si>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</si>
  <si>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</si>
  <si>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</si>
  <si>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</si>
  <si>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</si>
  <si>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</si>
  <si>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</si>
  <si>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</si>
  <si>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</si>
  <si>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</si>
  <si>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</si>
  <si>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</si>
  <si>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</si>
  <si>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</si>
  <si>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</si>
  <si>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</si>
  <si>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</si>
  <si>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</si>
  <si>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</si>
  <si>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</si>
  <si>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</si>
  <si>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</si>
  <si>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</si>
  <si>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</si>
  <si>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</si>
  <si>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</si>
  <si>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</si>
  <si>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</si>
  <si>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</si>
  <si>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</si>
  <si>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</si>
  <si>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</si>
  <si>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</si>
  <si>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</si>
  <si>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</si>
  <si>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</si>
  <si>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</si>
  <si>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</si>
  <si>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</si>
  <si>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</si>
  <si>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</si>
  <si>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</si>
  <si>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</si>
  <si>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</si>
  <si>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</si>
  <si>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</si>
  <si>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</si>
  <si>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</si>
  <si>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</si>
  <si>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</si>
  <si>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</si>
  <si>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</si>
  <si>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</si>
  <si>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</si>
  <si>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</si>
  <si>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</si>
  <si>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</si>
  <si>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</si>
  <si>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</si>
  <si>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</si>
  <si>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</si>
  <si>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</si>
  <si>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</si>
  <si>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</si>
  <si>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</si>
  <si>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</si>
  <si>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</si>
  <si>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</si>
  <si>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</si>
  <si>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</si>
  <si>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</si>
  <si>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</si>
  <si>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</si>
  <si>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</si>
  <si>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</si>
  <si>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</si>
  <si>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</si>
  <si>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</si>
  <si>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</si>
  <si>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</si>
  <si>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</si>
  <si>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</si>
  <si>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</si>
  <si>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</si>
  <si>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</si>
  <si>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</si>
  <si>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</si>
  <si>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</si>
  <si>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</si>
  <si>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</si>
  <si>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</si>
  <si>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</si>
  <si>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</si>
  <si>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</si>
  <si>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</si>
  <si>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</si>
  <si>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</si>
  <si>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</si>
  <si>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</si>
  <si>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</si>
  <si>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</si>
  <si>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</si>
  <si>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</si>
  <si>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</si>
  <si>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</si>
  <si>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</si>
  <si>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</si>
  <si>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</si>
  <si>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</si>
  <si>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</si>
  <si>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</si>
  <si>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</si>
  <si>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</si>
  <si>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</si>
  <si>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</si>
  <si>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</si>
  <si>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</si>
  <si>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</si>
  <si>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</si>
  <si>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</si>
  <si>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</si>
  <si>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</si>
  <si>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</si>
  <si>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</si>
  <si>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</si>
  <si>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</si>
  <si>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</si>
  <si>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</si>
  <si>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</si>
  <si>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</si>
  <si>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</si>
  <si>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</si>
  <si>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</si>
  <si>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</si>
  <si>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</si>
  <si>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</si>
  <si>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</si>
  <si>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</si>
  <si>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</si>
  <si>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</si>
  <si>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</si>
  <si>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</si>
  <si>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</si>
  <si>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</si>
  <si>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</si>
  <si>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</si>
  <si>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</si>
  <si>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</si>
  <si>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</si>
  <si>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</si>
  <si>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</si>
  <si>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</si>
  <si>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</si>
  <si>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</si>
  <si>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</si>
  <si>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</si>
  <si>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</si>
  <si>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</si>
  <si>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</si>
  <si>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</si>
  <si>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</si>
  <si>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</si>
  <si>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</si>
  <si>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</si>
  <si>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</si>
  <si>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</si>
  <si>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</si>
  <si>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</si>
  <si>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</si>
  <si>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</si>
  <si>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</si>
  <si>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</si>
  <si>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</si>
  <si>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</si>
  <si>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</si>
  <si>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</si>
  <si>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</si>
  <si>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</si>
  <si>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</si>
  <si>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</si>
  <si>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</si>
  <si>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</si>
  <si>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</si>
  <si>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</si>
  <si>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</si>
  <si>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</si>
  <si>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</si>
  <si>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</si>
  <si>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</si>
  <si>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</si>
  <si>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</si>
  <si>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</si>
  <si>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</si>
  <si>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</si>
  <si>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</si>
  <si>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</si>
  <si>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</si>
  <si>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</si>
  <si>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</si>
  <si>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</si>
  <si>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</si>
  <si>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</si>
  <si>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</si>
  <si>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</si>
  <si>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</si>
  <si>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</si>
  <si>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</si>
  <si>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</si>
  <si>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</si>
  <si>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</si>
  <si>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</si>
  <si>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</si>
  <si>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</si>
  <si>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</si>
  <si>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</si>
  <si>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</si>
  <si>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</si>
  <si>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</si>
  <si>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</si>
  <si>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</si>
  <si>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</si>
  <si>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</si>
  <si>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</si>
  <si>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</si>
  <si>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</si>
  <si>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</si>
  <si>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</si>
  <si>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</si>
  <si>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</si>
  <si>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</si>
  <si>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</si>
  <si>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</si>
  <si>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</si>
  <si>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</si>
  <si>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</si>
  <si>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</si>
  <si>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</si>
  <si>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</si>
  <si>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</si>
  <si>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</si>
  <si>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</si>
  <si>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</si>
  <si>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</si>
  <si>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</si>
  <si>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</si>
  <si>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</si>
  <si>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</si>
  <si>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</si>
  <si>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</si>
  <si>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</si>
  <si>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</si>
  <si>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</si>
  <si>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</si>
  <si>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</si>
  <si>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</si>
  <si>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</si>
  <si>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</si>
  <si>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</si>
  <si>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</si>
  <si>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</si>
  <si>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</si>
  <si>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</si>
  <si>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</si>
  <si>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</si>
  <si>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</si>
  <si>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</si>
  <si>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</si>
  <si>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</si>
  <si>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</si>
  <si>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</si>
  <si>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</si>
  <si>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</si>
  <si>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</si>
  <si>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</si>
  <si>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</si>
  <si>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</si>
  <si>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</si>
  <si>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</si>
  <si>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</si>
  <si>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</si>
  <si>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</si>
  <si>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</si>
  <si>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</si>
  <si>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</si>
  <si>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</si>
  <si>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</si>
  <si>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</si>
  <si>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</si>
  <si>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</si>
  <si>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</si>
  <si>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</si>
  <si>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</si>
  <si>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</si>
  <si>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</si>
  <si>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</si>
  <si>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</si>
  <si>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</si>
  <si>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</si>
  <si>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</si>
  <si>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</si>
  <si>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</si>
  <si>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</si>
  <si>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</si>
  <si>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</si>
  <si>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</si>
  <si>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</si>
  <si>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</si>
  <si>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</si>
  <si>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</si>
  <si>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</si>
  <si>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</si>
  <si>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</si>
  <si>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</si>
  <si>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</si>
  <si>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</si>
  <si>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</si>
  <si>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</si>
  <si>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</si>
  <si>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</si>
  <si>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</si>
  <si>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</si>
  <si>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</si>
  <si>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</si>
  <si>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</si>
  <si>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</si>
  <si>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</si>
  <si>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</si>
  <si>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</si>
  <si>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</si>
  <si>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</si>
  <si>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</si>
  <si>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</si>
  <si>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</si>
  <si>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</si>
  <si>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</si>
  <si>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</si>
  <si>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</si>
  <si>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</si>
  <si>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</si>
  <si>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</si>
  <si>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</si>
  <si>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</si>
  <si>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</si>
  <si>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</si>
  <si>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</si>
  <si>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</si>
  <si>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</si>
  <si>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</si>
  <si>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</si>
  <si>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</si>
  <si>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</si>
  <si>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</si>
  <si>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</si>
  <si>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</si>
  <si>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</si>
  <si>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</si>
  <si>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</si>
  <si>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</si>
  <si>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</si>
  <si>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</si>
  <si>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</si>
  <si>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</si>
  <si>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</si>
  <si>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</si>
  <si>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</si>
  <si>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</si>
  <si>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</si>
  <si>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</si>
  <si>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</si>
  <si>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</si>
  <si>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</si>
  <si>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</si>
  <si>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</si>
  <si>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</si>
  <si>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</si>
  <si>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</si>
  <si>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</si>
  <si>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</si>
  <si>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</si>
  <si>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</si>
  <si>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</si>
  <si>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</si>
  <si>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</si>
  <si>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</si>
  <si>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</si>
  <si>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</si>
  <si>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</si>
  <si>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</si>
  <si>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</si>
  <si>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</si>
  <si>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</si>
  <si>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</si>
  <si>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</si>
  <si>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</si>
  <si>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</si>
  <si>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</si>
  <si>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</si>
  <si>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</si>
  <si>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</si>
  <si>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</si>
  <si>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</si>
  <si>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</si>
  <si>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</si>
  <si>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</si>
  <si>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</si>
  <si>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</si>
  <si>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</si>
  <si>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</si>
  <si>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</si>
  <si>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</si>
  <si>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</si>
  <si>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</si>
  <si>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</si>
  <si>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</si>
  <si>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</si>
  <si>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</si>
  <si>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</si>
  <si>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</si>
  <si>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</si>
  <si>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</si>
  <si>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</si>
  <si>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</si>
  <si>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</si>
  <si>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</si>
  <si>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</si>
  <si>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</si>
  <si>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</si>
  <si>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</si>
  <si>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</si>
  <si>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</si>
  <si>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</si>
  <si>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</si>
  <si>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</si>
  <si>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</si>
  <si>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</si>
  <si>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</si>
  <si>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</si>
  <si>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</si>
  <si>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</si>
  <si>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</si>
  <si>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</si>
  <si>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</si>
  <si>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</si>
  <si>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</si>
  <si>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</si>
  <si>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</si>
  <si>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</si>
  <si>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</si>
  <si>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</si>
  <si>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</si>
  <si>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</si>
  <si>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</si>
  <si>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</si>
  <si>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</si>
  <si>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</si>
  <si>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</si>
  <si>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</si>
  <si>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</si>
  <si>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</si>
  <si>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</si>
  <si>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</si>
  <si>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</si>
  <si>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</si>
  <si>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</si>
  <si>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</si>
  <si>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</si>
  <si>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</si>
  <si>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</si>
  <si>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</si>
  <si>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</si>
  <si>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</si>
  <si>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</si>
  <si>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</si>
  <si>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</si>
  <si>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</si>
  <si>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</si>
  <si>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</si>
  <si>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</si>
  <si>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</si>
  <si>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</si>
  <si>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</si>
  <si>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</si>
  <si>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</si>
  <si>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</si>
  <si>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</si>
  <si>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</si>
  <si>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</si>
  <si>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</si>
  <si>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</si>
  <si>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</si>
  <si>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</si>
  <si>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</si>
  <si>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</si>
  <si>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</si>
  <si>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</si>
  <si>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</si>
  <si>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</si>
  <si>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</si>
  <si>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</si>
  <si>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</si>
  <si>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</si>
  <si>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</si>
  <si>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</si>
  <si>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</si>
  <si>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</si>
  <si>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</si>
  <si>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</si>
  <si>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</si>
  <si>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</si>
  <si>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</si>
  <si>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</si>
  <si>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</si>
  <si>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</si>
  <si>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</si>
  <si>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</si>
  <si>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</si>
  <si>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</si>
  <si>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</si>
  <si>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</si>
  <si>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</si>
  <si>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</si>
  <si>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</si>
  <si>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</si>
  <si>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</si>
  <si>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</si>
  <si>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</si>
  <si>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</si>
  <si>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</si>
  <si>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</si>
  <si>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</si>
  <si>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</si>
  <si>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</si>
  <si>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</si>
  <si>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</si>
  <si>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</si>
  <si>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</si>
  <si>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</si>
  <si>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</si>
  <si>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</si>
  <si>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</si>
  <si>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</si>
  <si>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</si>
  <si>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</si>
  <si>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</si>
  <si>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</si>
  <si>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</si>
  <si>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</si>
  <si>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</si>
  <si>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</si>
  <si>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</si>
  <si>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</si>
  <si>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</si>
  <si>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</si>
  <si>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</si>
  <si>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</si>
  <si>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</si>
  <si>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</si>
  <si>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</si>
  <si>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</si>
  <si>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</si>
  <si>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</si>
  <si>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</si>
  <si>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</si>
  <si>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</si>
  <si>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</si>
  <si>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</si>
  <si>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</si>
  <si>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</si>
  <si>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</si>
  <si>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</si>
  <si>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</si>
  <si>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</si>
  <si>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</si>
  <si>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</si>
  <si>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</si>
  <si>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</si>
  <si>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</si>
  <si>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</si>
  <si>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</si>
  <si>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</si>
  <si>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</si>
  <si>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</si>
  <si>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</si>
  <si>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</si>
  <si>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</si>
  <si>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</si>
  <si>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</si>
  <si>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</si>
  <si>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</si>
  <si>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</si>
  <si>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</si>
  <si>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</si>
  <si>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</si>
  <si>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</si>
  <si>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</si>
  <si>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</si>
  <si>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</si>
  <si>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</si>
  <si>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</si>
  <si>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</si>
  <si>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</si>
  <si>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</si>
  <si>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</si>
  <si>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</si>
  <si>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</si>
  <si>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</si>
  <si>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</si>
  <si>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</si>
  <si>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</si>
  <si>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</si>
  <si>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</si>
  <si>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</si>
  <si>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</si>
  <si>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</si>
  <si>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</si>
  <si>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</si>
  <si>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</si>
  <si>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</si>
  <si>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</si>
  <si>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</si>
  <si>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</si>
  <si>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</si>
  <si>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</si>
  <si>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</si>
  <si>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</si>
  <si>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</si>
  <si>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</si>
  <si>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</si>
  <si>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</si>
  <si>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</si>
  <si>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</si>
  <si>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</si>
  <si>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</si>
  <si>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</si>
  <si>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</si>
  <si>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</si>
  <si>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</si>
  <si>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</si>
  <si>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</si>
  <si>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</si>
  <si>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</si>
  <si>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</si>
  <si>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</si>
  <si>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</si>
  <si>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</si>
  <si>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</si>
  <si>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</si>
  <si>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</si>
  <si>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</si>
  <si>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</si>
  <si>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</si>
  <si>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</si>
  <si>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</si>
  <si>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</si>
  <si>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</si>
  <si>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</si>
  <si>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</si>
  <si>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</si>
  <si>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</si>
  <si>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</si>
  <si>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</si>
  <si>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</si>
  <si>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</si>
  <si>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</si>
  <si>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</si>
  <si>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</si>
  <si>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</si>
  <si>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</si>
  <si>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</si>
  <si>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</si>
  <si>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</si>
  <si>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</si>
  <si>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</si>
  <si>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</si>
  <si>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</si>
  <si>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</si>
  <si>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</si>
  <si>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</si>
  <si>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</si>
  <si>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</si>
  <si>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</si>
  <si>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</si>
  <si>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</si>
  <si>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</si>
  <si>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</si>
  <si>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</si>
  <si>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</si>
  <si>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</si>
  <si>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</si>
  <si>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</si>
  <si>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</si>
  <si>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</si>
  <si>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</si>
  <si>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</si>
  <si>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</si>
  <si>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</si>
  <si>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</si>
  <si>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</si>
  <si>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</si>
  <si>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</si>
  <si>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</si>
  <si>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</si>
  <si>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</si>
  <si>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</si>
  <si>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</si>
  <si>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</si>
  <si>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</si>
  <si>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</si>
  <si>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</si>
  <si>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</si>
  <si>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</si>
  <si>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</si>
  <si>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</si>
  <si>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</si>
  <si>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</si>
  <si>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</si>
  <si>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</si>
  <si>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</si>
  <si>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</si>
  <si>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</si>
  <si>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</si>
  <si>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</si>
  <si>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</si>
  <si>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</si>
  <si>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</si>
  <si>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</si>
  <si>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</si>
  <si>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</si>
  <si>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</si>
  <si>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</si>
  <si>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</si>
  <si>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</si>
  <si>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</si>
  <si>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</si>
  <si>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</si>
  <si>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</si>
  <si>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</si>
  <si>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</si>
  <si>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</si>
  <si>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</si>
  <si>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</si>
  <si>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</si>
  <si>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</si>
  <si>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</si>
  <si>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</si>
  <si>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</si>
  <si>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</si>
  <si>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</si>
  <si>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</si>
  <si>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</si>
  <si>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</si>
  <si>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</si>
  <si>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</si>
  <si>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</si>
  <si>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</si>
  <si>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</si>
  <si>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</si>
  <si>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</si>
  <si>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</si>
  <si>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</si>
  <si>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</si>
  <si>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</si>
  <si>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</si>
  <si>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</si>
  <si>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</si>
  <si>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</si>
  <si>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</si>
  <si>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</si>
  <si>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</si>
  <si>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</si>
  <si>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</si>
  <si>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</si>
  <si>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</si>
  <si>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</si>
  <si>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</si>
  <si>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</si>
  <si>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</si>
  <si>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</si>
  <si>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</si>
  <si>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</si>
  <si>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</si>
  <si>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</si>
  <si>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</si>
  <si>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</si>
  <si>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</si>
  <si>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</si>
  <si>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</si>
  <si>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</si>
  <si>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</si>
  <si>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</si>
  <si>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</si>
  <si>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</si>
  <si>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</si>
  <si>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</si>
  <si>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</si>
  <si>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</si>
  <si>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</si>
  <si>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</si>
  <si>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</si>
  <si>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</si>
  <si>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</si>
  <si>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</si>
  <si>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</si>
  <si>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</si>
  <si>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</si>
  <si>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</si>
  <si>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</si>
  <si>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</si>
  <si>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</si>
  <si>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</si>
  <si>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</si>
  <si>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</si>
  <si>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</si>
  <si>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</si>
  <si>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</si>
  <si>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</si>
  <si>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</si>
  <si>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</si>
  <si>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</si>
  <si>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</si>
  <si>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</si>
  <si>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</si>
  <si>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</si>
  <si>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</si>
  <si>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</si>
  <si>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</si>
  <si>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</si>
  <si>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</si>
  <si>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</si>
  <si>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</si>
  <si>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</si>
  <si>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</si>
  <si>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</si>
  <si>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</si>
  <si>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</si>
  <si>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</si>
  <si>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</si>
  <si>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</si>
  <si>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</si>
  <si>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</si>
  <si>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</si>
  <si>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</si>
  <si>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</si>
  <si>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</si>
  <si>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</si>
  <si>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</si>
  <si>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</si>
  <si>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</si>
  <si>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</si>
  <si>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</si>
  <si>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</si>
  <si>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</si>
  <si>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</si>
  <si>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</si>
  <si>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</si>
  <si>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</si>
  <si>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</si>
  <si>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</si>
  <si>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</si>
  <si>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</si>
  <si>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</si>
  <si>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</si>
  <si>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</si>
  <si>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</si>
  <si>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</si>
  <si>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</si>
  <si>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</si>
  <si>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</si>
  <si>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</si>
  <si>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</si>
  <si>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</si>
  <si>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</si>
  <si>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</si>
  <si>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</si>
  <si>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</si>
  <si>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</si>
  <si>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</si>
  <si>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</si>
  <si>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</si>
  <si>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</si>
  <si>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</si>
  <si>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</si>
  <si>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</si>
  <si>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</si>
  <si>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</si>
  <si>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</si>
  <si>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</si>
  <si>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</si>
  <si>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</si>
  <si>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</si>
  <si>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</si>
  <si>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</si>
  <si>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</si>
  <si>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</si>
  <si>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</si>
  <si>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</si>
  <si>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</si>
  <si>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</si>
  <si>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</si>
  <si>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</si>
  <si>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</si>
  <si>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</si>
  <si>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</si>
  <si>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</si>
  <si>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</si>
  <si>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</si>
  <si>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</si>
  <si>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</si>
  <si>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</si>
  <si>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</si>
  <si>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</si>
  <si>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</si>
  <si>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</si>
  <si>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</si>
  <si>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</si>
  <si>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</si>
  <si>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</si>
  <si>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</si>
  <si>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</si>
  <si>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</si>
  <si>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</si>
  <si>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</si>
  <si>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</si>
  <si>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</si>
  <si>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</si>
  <si>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</si>
  <si>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</si>
  <si>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</si>
  <si>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</si>
  <si>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</si>
  <si>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</si>
  <si>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</si>
  <si>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</si>
  <si>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</si>
  <si>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</si>
  <si>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</si>
  <si>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</si>
  <si>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</si>
  <si>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</si>
  <si>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</si>
  <si>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</si>
  <si>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</si>
  <si>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</si>
  <si>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</si>
  <si>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</si>
  <si>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</si>
  <si>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</si>
  <si>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</si>
  <si>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</si>
  <si>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</si>
  <si>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</si>
  <si>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</si>
  <si>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</si>
  <si>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</si>
  <si>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</si>
  <si>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</si>
  <si>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</si>
  <si>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</si>
  <si>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</si>
  <si>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</si>
  <si>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</si>
  <si>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</si>
  <si>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</si>
  <si>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</si>
  <si>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</si>
  <si>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</si>
  <si>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</si>
  <si>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</si>
  <si>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</si>
  <si>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</si>
  <si>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</si>
  <si>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</si>
  <si>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</si>
  <si>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</si>
  <si>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</si>
  <si>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</si>
  <si>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</si>
  <si>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</si>
  <si>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</si>
  <si>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</si>
  <si>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</si>
  <si>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</si>
  <si>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</si>
  <si>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</si>
  <si>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</si>
  <si>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</si>
  <si>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</si>
  <si>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</si>
  <si>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</si>
  <si>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</si>
  <si>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</si>
  <si>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</si>
  <si>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</si>
  <si>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</si>
  <si>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</si>
  <si>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</si>
  <si>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</si>
  <si>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</si>
  <si>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</si>
  <si>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</si>
  <si>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</si>
  <si>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</si>
  <si>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</si>
  <si>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</si>
  <si>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</si>
  <si>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</si>
  <si>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</si>
  <si>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</si>
  <si>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</si>
  <si>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</si>
  <si>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</si>
  <si>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</si>
  <si>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</si>
  <si>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</si>
  <si>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</si>
  <si>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</si>
  <si>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</si>
  <si>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</si>
  <si>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</si>
  <si>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</si>
  <si>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</si>
  <si>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</si>
  <si>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</si>
  <si>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</si>
  <si>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</si>
  <si>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</si>
  <si>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</si>
  <si>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</si>
  <si>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</si>
  <si>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</si>
  <si>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</si>
  <si>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</si>
  <si>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</si>
  <si>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</si>
  <si>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</si>
  <si>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</si>
  <si>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</si>
  <si>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</si>
  <si>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</si>
  <si>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</si>
  <si>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</si>
  <si>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</si>
  <si>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</si>
  <si>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</si>
  <si>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</si>
  <si>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</si>
  <si>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</si>
  <si>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</si>
  <si>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</si>
  <si>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</si>
  <si>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</si>
  <si>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</si>
  <si>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</si>
  <si>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</si>
  <si>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</si>
  <si>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</si>
  <si>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</si>
  <si>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</si>
  <si>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</si>
  <si>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</si>
  <si>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</si>
  <si>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</si>
  <si>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</si>
  <si>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</si>
  <si>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</si>
  <si>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</si>
  <si>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</si>
  <si>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</si>
  <si>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</si>
  <si>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</si>
  <si>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</si>
  <si>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</si>
  <si>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</si>
  <si>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</si>
  <si>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</si>
  <si>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</si>
  <si>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</si>
  <si>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</si>
  <si>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</si>
  <si>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</si>
  <si>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</si>
  <si>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</si>
  <si>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</si>
  <si>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</si>
  <si>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</si>
  <si>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</si>
  <si>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</si>
  <si>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</si>
  <si>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</si>
  <si>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</si>
  <si>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</si>
  <si>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</si>
  <si>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</si>
  <si>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</si>
  <si>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</si>
  <si>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</si>
  <si>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</si>
  <si>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</si>
  <si>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</si>
  <si>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</si>
  <si>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</si>
  <si>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</si>
  <si>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</si>
  <si>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</si>
  <si>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</si>
  <si>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</si>
  <si>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</si>
  <si>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</si>
  <si>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</si>
  <si>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</si>
  <si>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</si>
  <si>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</si>
  <si>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</si>
  <si>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</si>
  <si>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</si>
  <si>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</si>
  <si>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</si>
  <si>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</si>
  <si>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</si>
  <si>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</si>
  <si>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</si>
  <si>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</si>
  <si>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</si>
  <si>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</si>
  <si>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</si>
  <si>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</si>
  <si>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</si>
  <si>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</si>
  <si>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</si>
  <si>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</si>
  <si>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</si>
  <si>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</si>
  <si>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</si>
  <si>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</si>
  <si>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</si>
  <si>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</si>
  <si>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</si>
  <si>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</si>
  <si>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</si>
  <si>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</si>
  <si>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</si>
  <si>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</si>
  <si>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</si>
  <si>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</si>
  <si>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</si>
  <si>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</si>
  <si>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</si>
  <si>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</si>
  <si>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</si>
  <si>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</si>
  <si>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</si>
  <si>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</si>
  <si>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</si>
  <si>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</si>
  <si>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</si>
  <si>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</si>
  <si>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</si>
  <si>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</si>
  <si>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</si>
  <si>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</si>
  <si>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</si>
  <si>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</si>
  <si>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</si>
  <si>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</si>
  <si>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</si>
  <si>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</si>
  <si>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</si>
  <si>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</si>
  <si>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</si>
  <si>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</si>
  <si>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</si>
  <si>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</si>
  <si>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</si>
  <si>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</si>
  <si>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</si>
  <si>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</si>
  <si>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</si>
  <si>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</si>
  <si>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</si>
  <si>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</si>
  <si>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</si>
  <si>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</si>
  <si>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</si>
  <si>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</si>
  <si>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</si>
  <si>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</si>
  <si>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</si>
  <si>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</si>
  <si>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</si>
  <si>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</si>
  <si>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</si>
  <si>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</si>
  <si>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</si>
  <si>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</si>
  <si>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</si>
  <si>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</si>
  <si>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</si>
  <si>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</si>
  <si>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</si>
  <si>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</si>
  <si>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</si>
  <si>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</si>
  <si>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</si>
  <si>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</si>
  <si>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</si>
  <si>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</si>
  <si>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</si>
  <si>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</si>
  <si>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</si>
  <si>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</si>
  <si>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</si>
  <si>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</si>
  <si>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</si>
  <si>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</si>
  <si>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</si>
  <si>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</si>
  <si>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</si>
  <si>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</si>
  <si>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</si>
  <si>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</si>
  <si>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</si>
  <si>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</si>
  <si>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</si>
  <si>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</si>
  <si>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</si>
  <si>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</si>
  <si>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</si>
  <si>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</si>
  <si>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</si>
  <si>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</si>
  <si>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</si>
  <si>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</si>
  <si>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</si>
  <si>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</si>
  <si>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</si>
  <si>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</si>
  <si>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</si>
  <si>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</si>
  <si>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</si>
  <si>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</si>
  <si>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</si>
  <si>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</si>
  <si>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</si>
  <si>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</si>
  <si>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</si>
  <si>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</si>
  <si>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</si>
  <si>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</si>
  <si>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</si>
  <si>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</si>
  <si>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</si>
  <si>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</si>
  <si>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</si>
  <si>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</si>
  <si>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</si>
  <si>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</si>
  <si>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</si>
  <si>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</si>
  <si>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</si>
  <si>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</si>
  <si>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</si>
  <si>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</si>
  <si>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</si>
  <si>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</si>
  <si>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</si>
  <si>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</si>
  <si>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</si>
  <si>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</si>
  <si>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</si>
  <si>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</si>
  <si>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</si>
  <si>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</si>
  <si>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</si>
  <si>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</si>
  <si>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</si>
  <si>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</si>
  <si>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</si>
  <si>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</si>
  <si>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</si>
  <si>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</si>
  <si>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</si>
  <si>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</si>
  <si>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</si>
  <si>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</si>
  <si>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</si>
  <si>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</si>
  <si>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</si>
  <si>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</si>
  <si>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</si>
  <si>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</si>
  <si>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</si>
  <si>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</si>
  <si>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</si>
  <si>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</si>
  <si>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</si>
  <si>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</si>
  <si>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</si>
  <si>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</si>
  <si>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</si>
  <si>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</si>
  <si>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</si>
  <si>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</si>
  <si>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</si>
  <si>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</si>
  <si>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</si>
  <si>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</si>
  <si>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</si>
  <si>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</si>
  <si>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</si>
  <si>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</si>
  <si>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</si>
  <si>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</si>
  <si>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</si>
  <si>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</si>
  <si>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</si>
  <si>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</si>
  <si>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</si>
  <si>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</si>
  <si>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</si>
  <si>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</si>
  <si>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</si>
  <si>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</si>
  <si>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</si>
  <si>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</si>
  <si>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</si>
  <si>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</si>
  <si>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</si>
  <si>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</si>
  <si>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</si>
  <si>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</si>
  <si>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</si>
  <si>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</si>
  <si>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</si>
  <si>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</si>
  <si>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</si>
  <si>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</si>
  <si>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</si>
  <si>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</si>
  <si>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</si>
  <si>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</si>
  <si>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</si>
  <si>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</si>
  <si>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</si>
  <si>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</si>
  <si>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</si>
  <si>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</si>
  <si>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</si>
  <si>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</si>
  <si>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</si>
  <si>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</si>
  <si>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</si>
  <si>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</si>
  <si>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</si>
  <si>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</si>
  <si>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</si>
  <si>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</si>
  <si>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</si>
  <si>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</si>
  <si>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</si>
  <si>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</si>
  <si>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</si>
  <si>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</si>
  <si>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</si>
  <si>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</si>
  <si>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</si>
  <si>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</si>
  <si>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</si>
  <si>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</si>
  <si>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</si>
  <si>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</si>
  <si>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</si>
  <si>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</si>
  <si>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</si>
  <si>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</si>
  <si>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</si>
  <si>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</si>
  <si>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</si>
  <si>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</si>
  <si>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</si>
  <si>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</si>
  <si>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</si>
  <si>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</si>
  <si>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</si>
  <si>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</si>
  <si>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</si>
  <si>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</si>
  <si>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</si>
  <si>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</si>
  <si>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</si>
  <si>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</si>
  <si>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</si>
  <si>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</si>
  <si>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</si>
  <si>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</si>
  <si>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</si>
  <si>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</si>
  <si>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</si>
  <si>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</si>
  <si>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</si>
  <si>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</si>
  <si>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</si>
  <si>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</si>
  <si>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</si>
  <si>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</si>
  <si>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</si>
  <si>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</si>
  <si>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</si>
  <si>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</si>
  <si>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</si>
  <si>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</si>
  <si>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</si>
  <si>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</si>
  <si>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</si>
  <si>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</si>
  <si>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</si>
  <si>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</si>
  <si>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</si>
  <si>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</si>
  <si>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</si>
  <si>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</si>
  <si>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</si>
  <si>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</si>
  <si>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</si>
  <si>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</si>
  <si>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</si>
  <si>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</si>
  <si>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</si>
  <si>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</si>
  <si>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</si>
  <si>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</si>
  <si>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</si>
  <si>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</si>
  <si>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</si>
  <si>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</si>
  <si>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</si>
  <si>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</si>
  <si>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</si>
  <si>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</si>
  <si>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</si>
  <si>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</si>
  <si>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</si>
  <si>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</si>
  <si>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</si>
  <si>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</si>
  <si>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</si>
  <si>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</si>
  <si>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</si>
  <si>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</si>
  <si>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</si>
  <si>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</si>
  <si>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</si>
  <si>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</si>
  <si>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</si>
  <si>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</si>
  <si>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</si>
  <si>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</si>
  <si>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</si>
  <si>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</si>
  <si>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</si>
  <si>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</si>
  <si>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</si>
  <si>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</si>
  <si>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</si>
  <si>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</si>
  <si>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</si>
  <si>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</si>
  <si>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</si>
  <si>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</si>
  <si>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</si>
  <si>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</si>
  <si>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</si>
  <si>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</si>
  <si>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</si>
  <si>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</si>
  <si>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</si>
  <si>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</si>
  <si>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</si>
  <si>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</si>
  <si>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</si>
  <si>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</si>
  <si>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</si>
  <si>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</si>
  <si>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</si>
  <si>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</si>
  <si>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</si>
  <si>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</si>
  <si>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</si>
  <si>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</si>
  <si>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</si>
  <si>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</si>
  <si>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</si>
  <si>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</si>
  <si>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</si>
  <si>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</si>
  <si>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</si>
  <si>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</si>
  <si>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</si>
  <si>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</si>
  <si>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</si>
  <si>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</si>
  <si>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</si>
  <si>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</si>
  <si>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</si>
  <si>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</si>
  <si>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</si>
  <si>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</si>
  <si>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</si>
  <si>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</si>
  <si>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</si>
  <si>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</si>
  <si>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</si>
  <si>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</si>
  <si>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</si>
  <si>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</si>
  <si>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</si>
  <si>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</si>
  <si>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</si>
  <si>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</si>
  <si>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</si>
  <si>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</si>
  <si>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</si>
  <si>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</si>
  <si>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</si>
  <si>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</si>
  <si>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</si>
  <si>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</si>
  <si>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</si>
  <si>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</si>
  <si>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</si>
  <si>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</si>
  <si>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</si>
  <si>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</si>
  <si>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</si>
  <si>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</si>
  <si>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</si>
  <si>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</si>
  <si>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</si>
  <si>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</si>
  <si>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</si>
  <si>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</si>
  <si>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</si>
  <si>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</si>
  <si>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</si>
  <si>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</si>
  <si>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</si>
  <si>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</si>
  <si>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</si>
  <si>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</si>
  <si>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</si>
  <si>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</si>
  <si>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</si>
  <si>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</si>
  <si>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</si>
  <si>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</si>
  <si>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</si>
  <si>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</si>
  <si>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</si>
  <si>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</si>
  <si>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</si>
  <si>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</si>
  <si>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</si>
  <si>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</si>
  <si>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</si>
  <si>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</si>
  <si>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</si>
  <si>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</si>
  <si>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</si>
  <si>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</si>
  <si>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</si>
  <si>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</si>
  <si>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</si>
  <si>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</si>
  <si>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</si>
  <si>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</si>
  <si>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</si>
  <si>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</si>
  <si>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</si>
  <si>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</si>
  <si>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</si>
  <si>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</si>
  <si>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</si>
  <si>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</si>
  <si>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</si>
  <si>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</si>
  <si>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</si>
  <si>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</si>
  <si>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</si>
  <si>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</si>
  <si>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</si>
  <si>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</si>
  <si>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</si>
  <si>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</si>
  <si>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</si>
  <si>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</si>
  <si>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</si>
  <si>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</si>
  <si>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</si>
  <si>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</si>
  <si>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</si>
  <si>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</si>
  <si>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</si>
  <si>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</si>
  <si>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</si>
  <si>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</si>
  <si>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</si>
  <si>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</si>
  <si>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</si>
  <si>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</si>
  <si>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</si>
  <si>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</si>
  <si>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</si>
  <si>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</si>
  <si>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</si>
  <si>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</si>
  <si>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</si>
  <si>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</si>
  <si>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</si>
  <si>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</si>
  <si>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</si>
  <si>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</si>
  <si>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</si>
  <si>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</si>
  <si>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</si>
  <si>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</si>
  <si>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</si>
  <si>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</si>
  <si>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</si>
  <si>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</si>
  <si>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</si>
  <si>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</si>
  <si>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</si>
  <si>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</si>
  <si>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</si>
  <si>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</si>
  <si>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</si>
  <si>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</si>
  <si>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</si>
  <si>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</si>
  <si>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</si>
  <si>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</si>
  <si>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</si>
  <si>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</si>
  <si>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</si>
  <si>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</si>
  <si>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</si>
  <si>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</si>
  <si>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</si>
  <si>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</si>
  <si>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</si>
  <si>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</si>
  <si>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</si>
  <si>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</si>
  <si>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</si>
  <si>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</si>
  <si>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</si>
  <si>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</si>
  <si>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</si>
  <si>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</si>
  <si>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</si>
  <si>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</si>
  <si>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</si>
  <si>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</si>
  <si>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</si>
  <si>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</si>
  <si>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</si>
  <si>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</si>
  <si>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</si>
  <si>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</si>
  <si>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</si>
  <si>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</si>
  <si>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</si>
  <si>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</si>
  <si>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</si>
  <si>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</si>
  <si>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</si>
  <si>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</si>
  <si>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</si>
  <si>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</si>
  <si>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</si>
  <si>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</si>
  <si>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</si>
  <si>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</si>
  <si>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</si>
  <si>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</si>
  <si>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</si>
  <si>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</si>
  <si>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</si>
  <si>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</si>
  <si>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</si>
  <si>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</si>
  <si>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</si>
  <si>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</si>
  <si>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</si>
  <si>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</si>
  <si>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</si>
  <si>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</si>
  <si>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</si>
  <si>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</si>
  <si>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</si>
  <si>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</si>
  <si>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</si>
  <si>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</si>
  <si>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</si>
  <si>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</si>
  <si>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</si>
  <si>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</si>
  <si>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</si>
  <si>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</si>
  <si>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</si>
  <si>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</si>
  <si>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</si>
  <si>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</si>
  <si>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</si>
  <si>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</si>
  <si>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</si>
  <si>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</si>
  <si>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</si>
  <si>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</si>
  <si>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</si>
  <si>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</si>
  <si>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</si>
  <si>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</si>
  <si>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</si>
  <si>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</si>
  <si>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</si>
  <si>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</si>
  <si>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</si>
  <si>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</si>
  <si>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</si>
  <si>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</si>
  <si>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</si>
  <si>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</si>
  <si>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</si>
  <si>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</si>
  <si>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</si>
  <si>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</si>
  <si>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</si>
  <si>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</si>
  <si>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</si>
  <si>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</si>
  <si>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</si>
  <si>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</si>
  <si>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</si>
  <si>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</si>
  <si>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</si>
  <si>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</si>
  <si>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</si>
  <si>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</si>
  <si>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</si>
  <si>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</si>
  <si>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</si>
  <si>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</si>
  <si>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</si>
  <si>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</si>
  <si>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</si>
  <si>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</si>
  <si>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</si>
  <si>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</si>
  <si>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</si>
  <si>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</si>
  <si>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</si>
  <si>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</si>
  <si>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</si>
  <si>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</si>
  <si>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</si>
  <si>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</si>
  <si>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</si>
  <si>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</si>
  <si>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</si>
  <si>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</si>
  <si>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</si>
  <si>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</si>
  <si>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</si>
  <si>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</si>
  <si>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</si>
  <si>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</si>
  <si>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</si>
  <si>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</si>
  <si>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</si>
  <si>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</si>
  <si>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</si>
  <si>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</si>
  <si>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</si>
  <si>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</si>
  <si>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</si>
  <si>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</si>
  <si>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</si>
  <si>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</si>
  <si>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</si>
  <si>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</si>
  <si>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</si>
  <si>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</si>
  <si>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</si>
  <si>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</si>
  <si>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</si>
  <si>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</si>
  <si>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</si>
  <si>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</si>
  <si>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</si>
  <si>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</si>
  <si>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</si>
  <si>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</si>
  <si>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</si>
  <si>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</si>
  <si>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</si>
  <si>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</si>
  <si>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</si>
  <si>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</si>
  <si>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</si>
  <si>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</si>
  <si>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</si>
  <si>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</si>
  <si>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</si>
  <si>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</si>
  <si>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</si>
  <si>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</si>
  <si>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</si>
  <si>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</si>
  <si>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</si>
  <si>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</si>
  <si>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</si>
  <si>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</si>
  <si>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</si>
  <si>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</si>
  <si>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</si>
  <si>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</si>
  <si>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</si>
  <si>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</si>
  <si>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</si>
  <si>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</si>
  <si>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</si>
  <si>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</si>
  <si>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</si>
  <si>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</si>
  <si>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</si>
  <si>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</si>
  <si>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</si>
  <si>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</si>
  <si>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</si>
  <si>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</si>
  <si>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</si>
  <si>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</si>
  <si>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</si>
  <si>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</si>
  <si>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</si>
  <si>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</si>
  <si>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</si>
  <si>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</si>
  <si>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</si>
  <si>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</si>
  <si>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</si>
  <si>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</si>
  <si>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</si>
  <si>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</si>
  <si>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</si>
  <si>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</si>
  <si>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</si>
  <si>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</si>
  <si>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</si>
  <si>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</si>
  <si>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</si>
  <si>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</si>
  <si>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</si>
  <si>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</si>
  <si>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</si>
  <si>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</si>
  <si>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</si>
  <si>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</si>
  <si>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</si>
  <si>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</si>
  <si>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</si>
  <si>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</si>
  <si>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</si>
  <si>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</si>
  <si>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</si>
  <si>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</si>
  <si>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</si>
  <si>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</si>
  <si>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</si>
  <si>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</si>
  <si>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</si>
  <si>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</si>
  <si>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</si>
  <si>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</si>
  <si>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</si>
  <si>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</si>
  <si>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</si>
  <si>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</si>
  <si>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</si>
  <si>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</si>
  <si>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</si>
  <si>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</si>
  <si>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</si>
  <si>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</si>
  <si>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</si>
  <si>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</si>
  <si>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</si>
  <si>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</si>
  <si>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</si>
  <si>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</si>
  <si>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</si>
  <si>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</si>
  <si>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</si>
  <si>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</si>
  <si>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</si>
  <si>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</si>
  <si>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</si>
  <si>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</si>
  <si>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</si>
  <si>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</si>
  <si>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</si>
  <si>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</si>
  <si>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</si>
  <si>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</si>
  <si>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</si>
  <si>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</si>
  <si>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</si>
  <si>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</si>
  <si>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</si>
  <si>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</si>
  <si>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</si>
  <si>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</si>
  <si>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</si>
  <si>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</si>
  <si>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</si>
  <si>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</si>
  <si>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</si>
  <si>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</si>
  <si>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</si>
  <si>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</si>
  <si>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</si>
  <si>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</si>
  <si>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</si>
  <si>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</si>
  <si>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</si>
  <si>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</si>
  <si>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</si>
  <si>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</si>
  <si>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</si>
  <si>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</si>
  <si>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</si>
  <si>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</si>
  <si>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</si>
  <si>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</si>
  <si>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</si>
  <si>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</si>
  <si>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</si>
  <si>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</si>
  <si>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</si>
  <si>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</si>
  <si>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</si>
  <si>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</si>
  <si>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</si>
  <si>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</si>
  <si>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</si>
  <si>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</si>
  <si>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</si>
  <si>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</si>
  <si>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</si>
  <si>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</si>
  <si>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</si>
  <si>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</si>
  <si>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</si>
  <si>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</si>
  <si>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</si>
  <si>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</si>
  <si>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</si>
  <si>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</si>
  <si>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</si>
  <si>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</si>
  <si>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</si>
  <si>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</si>
  <si>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</si>
  <si>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</si>
  <si>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</si>
  <si>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</si>
  <si>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</si>
  <si>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</si>
  <si>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</si>
  <si>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</si>
  <si>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</si>
  <si>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</si>
  <si>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</si>
  <si>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</si>
  <si>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</si>
  <si>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</si>
  <si>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</si>
  <si>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</si>
  <si>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</si>
  <si>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</si>
  <si>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</si>
  <si>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</si>
  <si>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</si>
  <si>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</si>
  <si>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</si>
  <si>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</si>
  <si>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</si>
  <si>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</si>
  <si>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</si>
  <si>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</si>
  <si>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</si>
  <si>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</si>
  <si>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</si>
  <si>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</si>
  <si>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</si>
  <si>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</si>
  <si>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</si>
  <si>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</si>
  <si>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</si>
  <si>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</si>
  <si>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</si>
  <si>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</si>
  <si>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</si>
  <si>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</si>
  <si>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</si>
  <si>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</si>
  <si>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</si>
  <si>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</si>
  <si>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</si>
  <si>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</si>
  <si>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</si>
  <si>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</si>
  <si>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</si>
  <si>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</si>
  <si>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</si>
  <si>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</si>
  <si>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</si>
  <si>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</si>
  <si>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</si>
  <si>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</si>
  <si>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</si>
  <si>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</si>
  <si>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</si>
  <si>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</si>
  <si>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</si>
  <si>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</si>
  <si>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</si>
  <si>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</si>
  <si>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</si>
  <si>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</si>
  <si>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</si>
  <si>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</si>
  <si>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</si>
  <si>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</si>
  <si>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</si>
  <si>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</si>
  <si>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</si>
  <si>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</si>
  <si>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</si>
  <si>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</si>
  <si>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</si>
  <si>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</si>
  <si>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</si>
  <si>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</si>
  <si>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</si>
  <si>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</si>
  <si>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</si>
  <si>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</si>
  <si>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</si>
  <si>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</si>
  <si>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</si>
  <si>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</si>
  <si>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</si>
  <si>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</si>
  <si>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</si>
  <si>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</si>
  <si>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</si>
  <si>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</si>
  <si>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</si>
  <si>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</si>
  <si>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</si>
  <si>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</si>
  <si>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</si>
  <si>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</si>
  <si>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</si>
  <si>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</si>
  <si>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</si>
  <si>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</si>
  <si>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</si>
  <si>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</si>
  <si>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</si>
  <si>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</si>
  <si>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</si>
  <si>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</si>
  <si>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</si>
  <si>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</si>
  <si>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</si>
  <si>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</si>
  <si>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</si>
  <si>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</si>
  <si>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</si>
  <si>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</si>
  <si>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</si>
  <si>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</si>
  <si>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</si>
  <si>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</si>
  <si>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</si>
  <si>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</si>
  <si>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</si>
  <si>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</si>
  <si>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</si>
  <si>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</si>
  <si>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</si>
  <si>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</si>
  <si>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</si>
  <si>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</si>
  <si>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</si>
  <si>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</si>
  <si>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</si>
  <si>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</si>
  <si>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</si>
  <si>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</si>
  <si>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</si>
  <si>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</si>
  <si>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</si>
  <si>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</si>
  <si>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</si>
  <si>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</si>
  <si>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</si>
  <si>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</si>
  <si>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</si>
  <si>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</si>
  <si>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</si>
  <si>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</si>
  <si>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</si>
  <si>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</si>
  <si>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</si>
  <si>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</si>
  <si>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</si>
  <si>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</si>
  <si>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</si>
  <si>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</si>
  <si>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</si>
  <si>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</si>
  <si>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</si>
  <si>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</si>
  <si>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</si>
  <si>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</si>
  <si>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</si>
  <si>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</si>
  <si>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</si>
  <si>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</si>
  <si>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</si>
  <si>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</si>
  <si>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</si>
  <si>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</si>
  <si>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</si>
  <si>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</si>
  <si>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</si>
  <si>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</si>
  <si>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</si>
  <si>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</si>
  <si>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</si>
  <si>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</si>
  <si>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</si>
  <si>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</si>
  <si>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</si>
  <si>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</si>
  <si>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</si>
  <si>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</si>
  <si>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</si>
  <si>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</si>
  <si>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</si>
  <si>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</si>
  <si>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</si>
  <si>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</si>
  <si>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</si>
  <si>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</si>
  <si>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</si>
  <si>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</si>
  <si>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</si>
  <si>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</si>
  <si>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</si>
  <si>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</si>
  <si>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</si>
  <si>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</si>
  <si>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</si>
  <si>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</si>
  <si>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</si>
  <si>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</si>
  <si>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</si>
  <si>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</si>
  <si>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</si>
  <si>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</si>
  <si>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</si>
  <si>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</si>
  <si>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</si>
  <si>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</si>
  <si>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</si>
  <si>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</si>
  <si>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</si>
  <si>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</si>
  <si>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</si>
  <si>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</si>
  <si>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</si>
  <si>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</si>
  <si>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</si>
  <si>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</si>
  <si>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</si>
  <si>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</si>
  <si>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</si>
  <si>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</si>
  <si>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</si>
  <si>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</si>
  <si>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</si>
  <si>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</si>
  <si>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</si>
  <si>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</si>
  <si>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</si>
  <si>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</si>
  <si>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</si>
  <si>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</si>
  <si>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</si>
  <si>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</si>
  <si>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</si>
  <si>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</si>
  <si>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</si>
  <si>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</si>
  <si>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</si>
  <si>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</si>
  <si>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</si>
  <si>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</si>
  <si>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</si>
  <si>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</si>
  <si>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</si>
  <si>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</si>
  <si>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</si>
  <si>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</si>
  <si>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</si>
  <si>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</si>
  <si>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</si>
  <si>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</si>
  <si>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</si>
  <si>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</si>
  <si>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</si>
  <si>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</si>
  <si>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</si>
  <si>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</si>
  <si>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</si>
  <si>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</si>
  <si>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</si>
  <si>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</si>
  <si>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</si>
  <si>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</si>
  <si>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</si>
  <si>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</si>
  <si>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</si>
  <si>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</si>
  <si>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</si>
  <si>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</si>
  <si>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</si>
  <si>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</si>
  <si>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</si>
  <si>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</si>
  <si>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</si>
  <si>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</si>
  <si>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</si>
  <si>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</si>
  <si>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</si>
  <si>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</si>
  <si>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</si>
  <si>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</si>
  <si>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</si>
  <si>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</si>
  <si>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</si>
  <si>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</si>
  <si>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</si>
  <si>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</si>
  <si>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</si>
  <si>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</si>
  <si>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</si>
  <si>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</si>
  <si>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</si>
  <si>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</si>
  <si>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</si>
  <si>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</si>
  <si>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</si>
  <si>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</si>
  <si>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</si>
  <si>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</si>
  <si>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</si>
  <si>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</si>
  <si>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</si>
  <si>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</si>
  <si>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</si>
  <si>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</si>
  <si>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</si>
  <si>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</si>
  <si>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</si>
  <si>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</si>
  <si>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</si>
  <si>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</si>
  <si>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</si>
  <si>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</si>
  <si>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</si>
  <si>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</si>
  <si>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</si>
  <si>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</si>
  <si>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</si>
  <si>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</si>
  <si>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</si>
  <si>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</si>
  <si>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</si>
  <si>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</si>
  <si>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</si>
  <si>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</si>
  <si>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</si>
  <si>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</si>
  <si>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</si>
  <si>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</si>
  <si>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</si>
  <si>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</si>
  <si>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</si>
  <si>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</si>
  <si>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</si>
  <si>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</si>
  <si>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</si>
  <si>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</si>
  <si>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</si>
  <si>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</si>
  <si>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</si>
  <si>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</si>
  <si>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</si>
  <si>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</si>
  <si>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</si>
  <si>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</si>
  <si>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</si>
  <si>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</si>
  <si>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</si>
  <si>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</si>
  <si>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</si>
  <si>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</si>
  <si>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</si>
  <si>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</si>
  <si>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</si>
  <si>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</si>
  <si>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</si>
  <si>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</si>
  <si>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</si>
  <si>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</si>
  <si>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</si>
  <si>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</si>
  <si>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</si>
  <si>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</si>
  <si>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</si>
  <si>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</si>
  <si>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</si>
  <si>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</si>
  <si>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</si>
  <si>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</si>
  <si>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</si>
  <si>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</si>
  <si>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</si>
  <si>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</si>
  <si>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</si>
  <si>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</si>
  <si>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</si>
  <si>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</si>
  <si>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</si>
  <si>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</si>
  <si>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</si>
  <si>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</si>
  <si>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</si>
  <si>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</si>
  <si>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</si>
  <si>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</si>
  <si>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</si>
  <si>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</si>
  <si>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</si>
  <si>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</si>
  <si>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</si>
  <si>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</si>
  <si>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</si>
  <si>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</si>
  <si>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</si>
  <si>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</si>
  <si>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</si>
  <si>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</si>
  <si>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</si>
  <si>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</si>
  <si>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</si>
  <si>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</si>
  <si>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</si>
  <si>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</si>
  <si>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</si>
  <si>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</si>
  <si>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</si>
  <si>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</si>
  <si>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</si>
  <si>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</si>
  <si>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</si>
  <si>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</si>
  <si>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</si>
  <si>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</si>
  <si>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</si>
  <si>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</si>
  <si>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</si>
  <si>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</si>
  <si>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</si>
  <si>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</si>
  <si>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</si>
  <si>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</si>
  <si>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</si>
  <si>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</si>
  <si>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</si>
  <si>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</si>
  <si>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</si>
  <si>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</si>
  <si>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</si>
  <si>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</si>
  <si>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</si>
  <si>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</si>
  <si>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</si>
  <si>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</si>
  <si>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</si>
  <si>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</si>
  <si>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</si>
  <si>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</si>
  <si>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</si>
  <si>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</si>
  <si>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</si>
  <si>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</si>
  <si>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</si>
  <si>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</si>
  <si>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</si>
  <si>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</si>
  <si>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</si>
  <si>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</si>
  <si>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</si>
  <si>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</si>
  <si>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</si>
  <si>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</si>
  <si>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</si>
  <si>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</si>
  <si>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</si>
  <si>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</si>
  <si>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</si>
  <si>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</si>
  <si>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</si>
  <si>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</si>
  <si>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</si>
  <si>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</si>
  <si>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</si>
  <si>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</si>
  <si>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</si>
  <si>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</si>
  <si>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</si>
  <si>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</si>
  <si>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</si>
  <si>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</si>
  <si>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</si>
  <si>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</si>
  <si>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</si>
  <si>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</si>
  <si>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</si>
  <si>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</si>
  <si>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</si>
  <si>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</si>
  <si>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</si>
  <si>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</si>
  <si>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</si>
  <si>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</si>
  <si>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</si>
  <si>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</si>
  <si>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</si>
  <si>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</si>
  <si>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</si>
  <si>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</si>
  <si>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</si>
  <si>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</si>
  <si>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</si>
  <si>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</si>
  <si>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</si>
  <si>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</si>
  <si>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</si>
  <si>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</si>
  <si>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</si>
  <si>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</si>
  <si>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</si>
  <si>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</si>
  <si>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</si>
  <si>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</si>
  <si>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</si>
  <si>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</si>
  <si>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</si>
  <si>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</si>
  <si>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</si>
  <si>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</si>
  <si>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</si>
  <si>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</si>
  <si>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</si>
  <si>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</si>
  <si>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</si>
  <si>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</si>
  <si>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</si>
  <si>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</si>
  <si>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</si>
  <si>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</si>
  <si>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</si>
  <si>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</si>
  <si>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</si>
  <si>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</si>
  <si>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</si>
  <si>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</si>
  <si>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</si>
  <si>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</si>
  <si>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</si>
  <si>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</si>
  <si>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</si>
  <si>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</si>
  <si>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</si>
  <si>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</si>
  <si>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</si>
  <si>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</si>
  <si>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</si>
  <si>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</si>
  <si>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</si>
  <si>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</si>
  <si>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</si>
  <si>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</si>
  <si>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</si>
  <si>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</si>
  <si>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</si>
  <si>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</si>
  <si>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</si>
  <si>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</si>
  <si>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</si>
  <si>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</si>
  <si>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</si>
  <si>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</si>
  <si>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</si>
  <si>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</si>
  <si>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</si>
  <si>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</si>
  <si>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</si>
  <si>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</si>
  <si>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</si>
  <si>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</si>
  <si>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</si>
  <si>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</si>
  <si>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</si>
  <si>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</si>
  <si>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</si>
  <si>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</si>
  <si>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</si>
  <si>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</si>
  <si>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</si>
  <si>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</si>
  <si>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</si>
  <si>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</si>
  <si>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</si>
  <si>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</si>
  <si>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</si>
  <si>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</si>
  <si>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</si>
  <si>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</si>
  <si>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</si>
  <si>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</si>
  <si>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</si>
  <si>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</si>
  <si>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</si>
  <si>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</si>
  <si>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</si>
  <si>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</si>
  <si>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</si>
  <si>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</si>
  <si>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</si>
  <si>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</si>
  <si>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</si>
  <si>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</si>
  <si>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</si>
  <si>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</si>
  <si>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</si>
  <si>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</si>
  <si>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</si>
  <si>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</si>
  <si>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</si>
  <si>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</si>
  <si>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</si>
  <si>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</si>
  <si>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</si>
  <si>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</si>
  <si>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</si>
  <si>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</si>
  <si>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</si>
  <si>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</si>
  <si>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</si>
  <si>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</si>
  <si>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</si>
  <si>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</si>
  <si>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</si>
  <si>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</si>
  <si>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</si>
  <si>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</si>
  <si>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</si>
  <si>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</si>
  <si>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</si>
  <si>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</si>
  <si>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</si>
  <si>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</si>
  <si>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</si>
  <si>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</si>
  <si>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</si>
  <si>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</si>
  <si>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</si>
  <si>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</si>
  <si>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</si>
  <si>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</si>
  <si>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</si>
  <si>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</si>
  <si>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</si>
  <si>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</si>
  <si>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</si>
  <si>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</si>
  <si>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</si>
  <si>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</si>
  <si>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</si>
  <si>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</si>
  <si>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</si>
  <si>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</si>
  <si>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</si>
  <si>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</si>
  <si>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</si>
  <si>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</si>
  <si>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</si>
  <si>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</si>
  <si>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</si>
  <si>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</si>
  <si>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</si>
  <si>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</si>
  <si>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</si>
  <si>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</si>
  <si>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</si>
  <si>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</si>
  <si>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</si>
  <si>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</si>
  <si>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</si>
  <si>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</si>
  <si>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</si>
  <si>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</si>
  <si>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</si>
  <si>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</si>
  <si>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</si>
  <si>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</si>
  <si>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</si>
  <si>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</si>
  <si>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</si>
  <si>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</si>
  <si>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</si>
  <si>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</si>
  <si>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</si>
  <si>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</si>
  <si>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</si>
  <si>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</si>
  <si>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</si>
  <si>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</si>
  <si>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</si>
  <si>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</si>
  <si>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</si>
  <si>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</si>
  <si>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</si>
  <si>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</si>
  <si>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</si>
  <si>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</si>
  <si>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</si>
  <si>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</si>
  <si>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</si>
  <si>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</si>
  <si>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</si>
  <si>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</si>
  <si>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</si>
  <si>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</si>
  <si>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</si>
  <si>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</si>
  <si>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</si>
  <si>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</si>
  <si>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</si>
  <si>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</si>
  <si>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</si>
  <si>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</si>
  <si>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</si>
  <si>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</si>
  <si>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</si>
  <si>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</si>
  <si>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</si>
  <si>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</si>
  <si>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</si>
  <si>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</si>
  <si>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</si>
  <si>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</si>
  <si>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</si>
  <si>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</si>
  <si>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</si>
  <si>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</si>
  <si>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</si>
  <si>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</si>
  <si>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</si>
  <si>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</si>
  <si>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</si>
  <si>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</si>
  <si>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</si>
  <si>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</si>
  <si>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</si>
  <si>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</si>
  <si>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</si>
  <si>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</si>
  <si>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</si>
  <si>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</si>
  <si>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</si>
  <si>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</si>
  <si>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</si>
  <si>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</si>
  <si>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</si>
  <si>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</si>
  <si>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</si>
  <si>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</si>
  <si>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</si>
  <si>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</si>
  <si>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</si>
  <si>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</si>
  <si>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</si>
  <si>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</si>
  <si>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</si>
  <si>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</si>
  <si>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</si>
  <si>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</si>
  <si>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</si>
  <si>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</si>
  <si>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</si>
  <si>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</si>
  <si>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</si>
  <si>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</si>
  <si>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</si>
  <si>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</si>
  <si>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</si>
  <si>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</si>
  <si>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</si>
  <si>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</si>
  <si>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</si>
  <si>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</si>
  <si>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</si>
  <si>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</si>
  <si>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</si>
  <si>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</si>
  <si>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</si>
  <si>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</si>
  <si>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</si>
  <si>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</si>
  <si>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</si>
  <si>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</si>
  <si>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</si>
  <si>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</si>
  <si>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</si>
  <si>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</si>
  <si>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</si>
  <si>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</si>
  <si>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</si>
  <si>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</si>
  <si>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</si>
  <si>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</si>
  <si>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</si>
  <si>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</si>
  <si>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</si>
  <si>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</si>
  <si>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</si>
  <si>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</si>
  <si>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</si>
  <si>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</si>
  <si>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</si>
  <si>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</si>
  <si>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</si>
  <si>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</si>
  <si>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</si>
  <si>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</si>
  <si>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</si>
  <si>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</si>
  <si>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</si>
  <si>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</si>
  <si>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</si>
  <si>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</si>
  <si>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</si>
  <si>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</si>
  <si>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</si>
  <si>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</si>
  <si>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</si>
  <si>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</si>
  <si>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</si>
  <si>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</si>
  <si>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</si>
  <si>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</si>
  <si>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</si>
  <si>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</si>
  <si>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</si>
  <si>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</si>
  <si>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</si>
  <si>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</si>
  <si>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</si>
  <si>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</si>
  <si>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</si>
  <si>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</si>
  <si>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</si>
  <si>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</si>
  <si>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</si>
  <si>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</si>
  <si>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</si>
  <si>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</si>
  <si>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</si>
  <si>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</si>
  <si>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</si>
  <si>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</si>
  <si>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</si>
  <si>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</si>
  <si>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</si>
  <si>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</si>
  <si>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</si>
  <si>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</si>
  <si>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</si>
  <si>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</si>
  <si>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</si>
  <si>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</si>
  <si>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</si>
  <si>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</si>
  <si>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</si>
  <si>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</si>
  <si>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</si>
  <si>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</si>
  <si>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</si>
  <si>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</si>
  <si>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</si>
  <si>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</si>
  <si>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</si>
  <si>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</si>
  <si>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</si>
  <si>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</si>
  <si>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</si>
  <si>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</si>
  <si>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</si>
  <si>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</si>
  <si>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</si>
  <si>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</si>
  <si>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</si>
  <si>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</si>
  <si>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</si>
  <si>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</si>
  <si>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</si>
  <si>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</si>
  <si>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</si>
  <si>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</si>
  <si>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</si>
  <si>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</si>
  <si>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</si>
  <si>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</si>
  <si>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</si>
  <si>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</si>
  <si>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</si>
  <si>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</si>
  <si>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</si>
  <si>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</si>
  <si>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</si>
  <si>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</si>
  <si>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</si>
  <si>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</si>
  <si>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</si>
  <si>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</si>
  <si>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</si>
  <si>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</si>
  <si>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</si>
  <si>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</si>
  <si>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</si>
  <si>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</si>
  <si>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</si>
  <si>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</si>
  <si>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</si>
  <si>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</si>
  <si>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</si>
  <si>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</si>
  <si>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</si>
  <si>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</si>
  <si>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</si>
  <si>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</si>
  <si>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</si>
  <si>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</si>
  <si>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</si>
  <si>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</si>
  <si>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</si>
  <si>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</si>
  <si>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</si>
  <si>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</si>
  <si>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</si>
  <si>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</si>
  <si>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</si>
  <si>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</si>
  <si>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</si>
  <si>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</si>
  <si>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</si>
  <si>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</si>
  <si>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</si>
  <si>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</si>
  <si>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</si>
  <si>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</si>
  <si>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</si>
  <si>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</si>
  <si>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</si>
  <si>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</si>
  <si>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</si>
  <si>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</si>
  <si>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</si>
  <si>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</si>
  <si>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</si>
  <si>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</si>
  <si>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</si>
  <si>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</si>
  <si>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</si>
  <si>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</si>
  <si>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</si>
  <si>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</si>
  <si>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</si>
  <si>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</si>
  <si>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</si>
  <si>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</si>
  <si>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</si>
  <si>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</si>
  <si>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</si>
  <si>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</si>
  <si>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</si>
  <si>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</si>
  <si>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</si>
  <si>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</si>
  <si>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</si>
  <si>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</si>
  <si>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</si>
  <si>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</si>
  <si>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</si>
  <si>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</si>
  <si>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</si>
  <si>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</si>
  <si>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</si>
  <si>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</si>
  <si>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</si>
  <si>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</si>
  <si>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</si>
  <si>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</si>
  <si>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</si>
  <si>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</si>
  <si>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</si>
  <si>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</si>
  <si>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</si>
  <si>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</si>
  <si>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</si>
  <si>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</si>
  <si>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</si>
  <si>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</si>
  <si>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</si>
  <si>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</si>
  <si>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</si>
  <si>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</si>
  <si>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</si>
  <si>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</si>
  <si>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</si>
  <si>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</si>
  <si>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</si>
  <si>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</si>
  <si>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</si>
  <si>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</si>
  <si>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</si>
  <si>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</si>
  <si>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</si>
  <si>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</si>
  <si>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</si>
  <si>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</si>
  <si>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</si>
  <si>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</si>
  <si>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</si>
  <si>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</si>
  <si>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</si>
  <si>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</si>
  <si>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</si>
  <si>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</si>
  <si>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</si>
  <si>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</si>
  <si>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</si>
  <si>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</si>
  <si>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</si>
  <si>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</si>
  <si>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</si>
  <si>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</si>
  <si>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</si>
  <si>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</si>
  <si>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</si>
  <si>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</si>
  <si>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</si>
  <si>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</si>
  <si>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</si>
  <si>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</si>
  <si>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</si>
  <si>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</si>
  <si>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</si>
  <si>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</si>
  <si>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</si>
  <si>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</si>
  <si>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</si>
  <si>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</si>
  <si>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</si>
  <si>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</si>
  <si>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</si>
  <si>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</si>
  <si>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</si>
  <si>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</si>
  <si>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</si>
  <si>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</si>
  <si>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</si>
  <si>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</si>
  <si>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</si>
  <si>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</si>
  <si>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</si>
  <si>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</si>
  <si>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</si>
  <si>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</si>
  <si>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</si>
  <si>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</si>
  <si>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</si>
  <si>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</si>
  <si>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</si>
  <si>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</si>
  <si>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</si>
  <si>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</si>
  <si>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</si>
  <si>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</si>
  <si>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</si>
  <si>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</si>
  <si>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</si>
  <si>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</si>
  <si>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</si>
  <si>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</si>
  <si>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</si>
  <si>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</si>
  <si>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</si>
  <si>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</si>
  <si>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</si>
  <si>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</si>
  <si>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</si>
  <si>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</si>
  <si>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</si>
  <si>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</si>
  <si>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</si>
  <si>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</si>
  <si>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</si>
  <si>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</si>
  <si>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</si>
  <si>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</si>
  <si>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</si>
  <si>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</si>
  <si>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</si>
  <si>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</si>
  <si>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</si>
  <si>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</si>
  <si>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</si>
  <si>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</si>
  <si>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</si>
  <si>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</si>
  <si>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</si>
  <si>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</si>
  <si>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</si>
  <si>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</si>
  <si>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</si>
  <si>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</si>
  <si>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</si>
  <si>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</si>
  <si>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</si>
  <si>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</si>
  <si>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</si>
  <si>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</si>
  <si>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</si>
  <si>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</si>
  <si>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</si>
  <si>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</si>
  <si>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</si>
  <si>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</si>
  <si>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</si>
  <si>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</si>
  <si>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</si>
  <si>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</si>
  <si>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</si>
  <si>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</si>
  <si>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</si>
  <si>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</si>
  <si>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</si>
  <si>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</si>
  <si>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</si>
  <si>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</si>
  <si>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</si>
  <si>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</si>
  <si>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</si>
  <si>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</si>
  <si>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</si>
  <si>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</si>
  <si>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</si>
  <si>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</si>
  <si>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</si>
  <si>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</si>
  <si>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</si>
  <si>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</si>
  <si>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</si>
  <si>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</si>
  <si>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</si>
  <si>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</si>
  <si>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</si>
  <si>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</si>
  <si>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</si>
  <si>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</si>
  <si>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</si>
  <si>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</si>
  <si>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</si>
  <si>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</si>
  <si>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</si>
  <si>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</si>
  <si>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</si>
  <si>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</si>
  <si>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</si>
  <si>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</si>
  <si>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</si>
  <si>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</si>
  <si>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</si>
  <si>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</si>
  <si>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</si>
  <si>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</si>
  <si>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</si>
  <si>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</si>
  <si>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</si>
  <si>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</si>
  <si>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</si>
  <si>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</si>
  <si>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</si>
  <si>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</si>
  <si>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</si>
  <si>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</si>
  <si>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</si>
  <si>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</si>
  <si>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</si>
  <si>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</si>
  <si>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</si>
  <si>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</si>
  <si>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</si>
  <si>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</si>
  <si>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</si>
  <si>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</si>
  <si>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</si>
  <si>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</si>
  <si>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</si>
  <si>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</si>
  <si>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</si>
  <si>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</si>
  <si>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</si>
  <si>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</si>
  <si>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</si>
  <si>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</si>
  <si>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</si>
  <si>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</si>
  <si>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</si>
  <si>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</si>
  <si>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</si>
  <si>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</si>
  <si>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</si>
  <si>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</si>
  <si>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</si>
  <si>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</si>
  <si>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</si>
  <si>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</si>
  <si>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</si>
  <si>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</si>
  <si>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</si>
  <si>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</si>
  <si>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</si>
  <si>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</si>
  <si>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</si>
  <si>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</si>
  <si>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</si>
  <si>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</si>
  <si>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</si>
  <si>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</si>
  <si>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</si>
  <si>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</si>
  <si>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</si>
  <si>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</si>
  <si>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</si>
  <si>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</si>
  <si>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</si>
  <si>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</si>
  <si>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</si>
  <si>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</si>
  <si>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</si>
  <si>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</si>
  <si>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</si>
  <si>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</si>
  <si>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</si>
  <si>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</si>
  <si>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</si>
  <si>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</si>
  <si>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</si>
  <si>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</si>
  <si>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</si>
  <si>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</si>
  <si>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</si>
  <si>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</si>
  <si>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</si>
  <si>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</si>
  <si>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</si>
  <si>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</si>
  <si>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</si>
  <si>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</si>
  <si>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</si>
  <si>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</si>
  <si>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</si>
  <si>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</si>
  <si>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</si>
  <si>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</si>
  <si>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</si>
  <si>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</si>
  <si>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</si>
  <si>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</si>
  <si>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</si>
  <si>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</si>
  <si>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</si>
  <si>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</si>
  <si>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</si>
  <si>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</si>
  <si>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</si>
  <si>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</si>
  <si>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</si>
  <si>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</si>
  <si>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</si>
  <si>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</si>
  <si>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</si>
  <si>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</si>
  <si>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</si>
  <si>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</si>
  <si>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</si>
  <si>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</si>
  <si>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</si>
  <si>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</si>
  <si>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</si>
  <si>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</si>
  <si>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</si>
  <si>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</si>
  <si>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</si>
  <si>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</si>
  <si>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</si>
  <si>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</si>
  <si>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</si>
  <si>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</si>
  <si>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</si>
  <si>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</si>
  <si>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</si>
  <si>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</si>
  <si>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</si>
  <si>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</si>
  <si>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</si>
  <si>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</si>
  <si>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</si>
  <si>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</si>
  <si>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</si>
  <si>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</si>
  <si>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</si>
  <si>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</si>
  <si>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</si>
  <si>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</si>
  <si>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</si>
  <si>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</si>
  <si>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</si>
  <si>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</si>
  <si>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</si>
  <si>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</si>
  <si>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</si>
  <si>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</si>
  <si>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</si>
  <si>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</si>
  <si>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</si>
  <si>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</si>
  <si>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</si>
  <si>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</si>
  <si>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</si>
  <si>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</si>
  <si>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</si>
  <si>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</si>
  <si>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</si>
  <si>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</si>
  <si>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</si>
  <si>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</si>
  <si>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</si>
  <si>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</si>
  <si>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</si>
  <si>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</si>
  <si>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</si>
  <si>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</si>
  <si>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</si>
  <si>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</si>
  <si>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</si>
  <si>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</si>
  <si>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</si>
  <si>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</si>
  <si>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</si>
  <si>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</si>
  <si>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</si>
  <si>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</si>
  <si>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</si>
  <si>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</si>
  <si>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</si>
  <si>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</si>
  <si>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</si>
  <si>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</si>
  <si>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</si>
  <si>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</si>
  <si>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</si>
  <si>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</si>
  <si>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</si>
  <si>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</si>
  <si>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</si>
  <si>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</si>
  <si>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</si>
  <si>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</si>
  <si>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</si>
  <si>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</si>
  <si>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</si>
  <si>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</si>
  <si>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</si>
  <si>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</si>
  <si>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</si>
  <si>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</si>
  <si>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</si>
  <si>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</si>
  <si>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</si>
  <si>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</si>
  <si>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</si>
  <si>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</si>
  <si>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</si>
  <si>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</si>
  <si>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</si>
  <si>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</si>
  <si>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</si>
  <si>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</si>
  <si>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</si>
  <si>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</si>
  <si>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</si>
  <si>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</si>
  <si>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</si>
  <si>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</si>
  <si>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</si>
  <si>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</si>
  <si>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</si>
  <si>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</si>
  <si>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</si>
  <si>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</si>
  <si>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</si>
  <si>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</si>
  <si>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</si>
  <si>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</si>
  <si>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</si>
  <si>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</si>
  <si>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</si>
  <si>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</si>
  <si>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</si>
  <si>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</si>
  <si>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</si>
  <si>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</si>
  <si>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</si>
  <si>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</si>
  <si>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</si>
  <si>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</si>
  <si>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</si>
  <si>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</si>
  <si>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</si>
  <si>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</si>
  <si>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</si>
  <si>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</si>
  <si>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</si>
  <si>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</si>
  <si>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</si>
  <si>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</si>
  <si>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</si>
  <si>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</si>
  <si>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</si>
  <si>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</si>
  <si>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</si>
  <si>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</si>
  <si>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</si>
  <si>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</si>
  <si>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</si>
  <si>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</si>
  <si>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</si>
  <si>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</si>
  <si>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</si>
  <si>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</si>
  <si>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</si>
  <si>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</si>
  <si>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</si>
  <si>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</si>
  <si>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</si>
  <si>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</si>
  <si>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</si>
  <si>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</si>
  <si>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</si>
  <si>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</si>
  <si>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</si>
  <si>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</si>
  <si>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</si>
  <si>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</si>
  <si>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</si>
  <si>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</si>
  <si>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</si>
  <si>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</si>
  <si>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</si>
  <si>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</si>
  <si>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</si>
  <si>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</si>
  <si>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</si>
  <si>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</si>
  <si>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</si>
  <si>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</si>
  <si>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</si>
  <si>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</si>
  <si>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</si>
  <si>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</si>
  <si>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</si>
  <si>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</si>
  <si>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</si>
  <si>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</si>
  <si>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</si>
  <si>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</si>
  <si>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</si>
  <si>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</si>
  <si>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</si>
  <si>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</si>
  <si>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</si>
  <si>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</si>
  <si>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</si>
  <si>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</si>
  <si>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</si>
  <si>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</si>
  <si>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</si>
  <si>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</si>
  <si>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</si>
  <si>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</si>
  <si>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</si>
  <si>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</si>
  <si>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</si>
  <si>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</si>
  <si>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</si>
  <si>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</si>
  <si>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</si>
  <si>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</si>
  <si>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</si>
  <si>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</si>
  <si>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</si>
  <si>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</si>
  <si>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</si>
  <si>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</si>
  <si>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</si>
  <si>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</si>
  <si>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</si>
  <si>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</si>
  <si>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</si>
  <si>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</si>
  <si>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</si>
  <si>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</si>
  <si>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</si>
  <si>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</si>
  <si>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</si>
  <si>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</si>
  <si>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</si>
  <si>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</si>
  <si>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</si>
  <si>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</si>
  <si>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</si>
  <si>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</si>
  <si>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</si>
  <si>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</si>
  <si>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</si>
  <si>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</si>
  <si>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</si>
  <si>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</si>
  <si>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</si>
  <si>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</si>
  <si>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</si>
  <si>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</si>
  <si>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</si>
  <si>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</si>
  <si>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</si>
  <si>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</si>
  <si>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</si>
  <si>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</si>
  <si>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</si>
  <si>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</si>
  <si>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</si>
  <si>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</si>
  <si>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</si>
  <si>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</si>
  <si>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</si>
  <si>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</si>
  <si>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</si>
  <si>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</si>
  <si>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</si>
  <si>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</si>
  <si>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</si>
  <si>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</si>
  <si>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</si>
  <si>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</si>
  <si>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</si>
  <si>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</si>
  <si>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</si>
  <si>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</si>
  <si>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</si>
  <si>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</si>
  <si>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</si>
  <si>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</si>
  <si>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</si>
  <si>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</si>
  <si>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</si>
  <si>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</si>
  <si>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</si>
  <si>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</si>
  <si>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</si>
  <si>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</si>
  <si>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</si>
  <si>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</si>
  <si>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</si>
  <si>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</si>
  <si>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</si>
  <si>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</si>
  <si>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</si>
  <si>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</si>
  <si>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</si>
  <si>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</si>
  <si>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</si>
  <si>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</si>
  <si>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</si>
  <si>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</si>
  <si>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</si>
  <si>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</si>
  <si>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</si>
  <si>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</si>
  <si>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</si>
  <si>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</si>
  <si>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</si>
  <si>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</si>
  <si>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</si>
  <si>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</si>
  <si>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</si>
  <si>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</si>
  <si>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</si>
  <si>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</si>
  <si>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</si>
  <si>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</si>
  <si>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</si>
  <si>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</si>
  <si>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</si>
  <si>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</si>
  <si>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</si>
  <si>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</si>
  <si>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</si>
  <si>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</si>
  <si>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</si>
  <si>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</si>
  <si>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</si>
  <si>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</si>
  <si>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</si>
  <si>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</si>
  <si>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</si>
  <si>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</si>
  <si>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</si>
  <si>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</si>
  <si>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</si>
  <si>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</si>
  <si>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</si>
  <si>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</si>
  <si>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</si>
  <si>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</si>
  <si>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</si>
  <si>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</si>
  <si>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</si>
  <si>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</si>
  <si>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</si>
  <si>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</si>
  <si>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</si>
  <si>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</si>
  <si>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</si>
  <si>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</si>
  <si>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</si>
  <si>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</si>
  <si>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</si>
  <si>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</si>
  <si>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</si>
  <si>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</si>
  <si>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</si>
  <si>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</si>
  <si>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</si>
  <si>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</si>
  <si>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</si>
  <si>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</si>
  <si>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</si>
  <si>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</si>
  <si>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</si>
  <si>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</si>
  <si>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</si>
  <si>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</si>
  <si>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</si>
  <si>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</si>
  <si>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</si>
  <si>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</si>
  <si>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</si>
  <si>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</si>
  <si>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</si>
  <si>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</si>
  <si>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</si>
  <si>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</si>
  <si>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</si>
  <si>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</si>
  <si>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</si>
  <si>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</si>
  <si>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</si>
  <si>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</si>
  <si>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</si>
  <si>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</si>
  <si>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</si>
  <si>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</si>
  <si>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</si>
  <si>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</si>
  <si>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</si>
  <si>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</si>
  <si>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</si>
  <si>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</si>
  <si>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</si>
  <si>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</si>
  <si>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</si>
  <si>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</si>
  <si>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</si>
  <si>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</si>
  <si>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</si>
  <si>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</si>
  <si>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</si>
  <si>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</si>
  <si>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</si>
  <si>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</si>
  <si>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</si>
  <si>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</si>
  <si>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</si>
  <si>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</si>
  <si>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</si>
  <si>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</si>
  <si>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</si>
  <si>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</si>
  <si>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</si>
  <si>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</si>
  <si>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</si>
  <si>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</si>
  <si>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</si>
  <si>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</si>
  <si>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</si>
  <si>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</si>
  <si>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</si>
  <si>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</si>
  <si>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</si>
  <si>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</si>
  <si>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</si>
  <si>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</si>
  <si>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</si>
  <si>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</si>
  <si>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</si>
  <si>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</si>
  <si>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</si>
  <si>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</si>
  <si>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</si>
  <si>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</si>
  <si>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</si>
  <si>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</si>
  <si>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</si>
  <si>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</si>
  <si>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</si>
  <si>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</si>
  <si>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</si>
  <si>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</si>
  <si>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</si>
  <si>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</si>
  <si>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</si>
  <si>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</si>
  <si>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</si>
  <si>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</si>
  <si>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</si>
  <si>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</si>
  <si>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</si>
  <si>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</si>
  <si>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</si>
  <si>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</si>
  <si>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</si>
  <si>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</si>
  <si>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</si>
  <si>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</si>
  <si>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</si>
  <si>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</si>
  <si>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</si>
  <si>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</si>
  <si>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</si>
  <si>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</si>
  <si>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</si>
  <si>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</si>
  <si>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</si>
  <si>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</si>
  <si>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</si>
  <si>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</si>
  <si>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</si>
  <si>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</si>
  <si>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</si>
  <si>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</si>
  <si>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</si>
  <si>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</si>
  <si>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</si>
  <si>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</si>
  <si>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</si>
  <si>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</si>
  <si>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</si>
  <si>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</si>
  <si>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</si>
  <si>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</si>
  <si>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</si>
  <si>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</si>
  <si>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</si>
  <si>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</si>
  <si>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</si>
  <si>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</si>
  <si>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</si>
  <si>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</si>
  <si>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</si>
  <si>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</si>
  <si>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</si>
  <si>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</si>
  <si>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</si>
  <si>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</si>
  <si>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</si>
  <si>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</si>
  <si>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</si>
  <si>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</si>
  <si>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</si>
  <si>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</si>
  <si>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</si>
  <si>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</si>
  <si>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</si>
  <si>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</si>
  <si>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</si>
  <si>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</si>
  <si>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</si>
  <si>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</si>
  <si>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</si>
  <si>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</si>
  <si>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</si>
  <si>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</si>
  <si>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</si>
  <si>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</si>
  <si>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</si>
  <si>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</si>
  <si>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</si>
  <si>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</si>
  <si>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</si>
  <si>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</si>
  <si>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</si>
  <si>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</si>
  <si>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</si>
  <si>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</si>
  <si>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</si>
  <si>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</si>
  <si>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</si>
  <si>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</si>
  <si>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</si>
  <si>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</si>
  <si>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</si>
  <si>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</si>
  <si>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</si>
  <si>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</si>
  <si>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</si>
  <si>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</si>
  <si>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</si>
  <si>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</si>
  <si>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</si>
  <si>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</si>
  <si>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</si>
  <si>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</si>
  <si>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</si>
  <si>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</si>
  <si>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</si>
  <si>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</si>
  <si>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</si>
  <si>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</si>
  <si>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</si>
  <si>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</si>
  <si>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</si>
  <si>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</si>
  <si>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</si>
  <si>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</si>
  <si>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</si>
  <si>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</si>
  <si>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</si>
  <si>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</si>
  <si>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</si>
  <si>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</si>
  <si>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</si>
  <si>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</si>
  <si>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</si>
  <si>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</si>
  <si>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</si>
  <si>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</si>
  <si>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</si>
  <si>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</si>
  <si>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</si>
  <si>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</si>
  <si>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</si>
  <si>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</si>
  <si>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</si>
  <si>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</si>
  <si>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</si>
  <si>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</si>
  <si>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</si>
  <si>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</si>
  <si>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</si>
  <si>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</si>
  <si>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</si>
  <si>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</si>
  <si>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</si>
  <si>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</si>
  <si>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</si>
  <si>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</si>
  <si>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</si>
  <si>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</si>
  <si>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</si>
  <si>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</si>
  <si>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</si>
  <si>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</si>
  <si>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</si>
  <si>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</si>
  <si>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</si>
  <si>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</si>
  <si>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</si>
  <si>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</si>
  <si>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</si>
  <si>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</si>
  <si>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</si>
  <si>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</si>
  <si>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</si>
  <si>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</si>
  <si>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</si>
  <si>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</si>
  <si>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</si>
  <si>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</si>
  <si>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</si>
  <si>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</si>
  <si>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</si>
  <si>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</si>
  <si>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</si>
  <si>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</si>
  <si>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</si>
  <si>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</si>
  <si>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</si>
  <si>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</si>
  <si>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</si>
  <si>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</si>
  <si>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</si>
  <si>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</si>
  <si>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</si>
  <si>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</si>
  <si>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</si>
  <si>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</si>
  <si>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</si>
  <si>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</si>
  <si>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</si>
  <si>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</si>
  <si>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</si>
  <si>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</si>
  <si>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</si>
  <si>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</si>
  <si>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</si>
  <si>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</si>
  <si>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</si>
  <si>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</si>
  <si>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</si>
  <si>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</si>
  <si>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</si>
  <si>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</si>
  <si>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</si>
  <si>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</si>
  <si>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</si>
  <si>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</si>
  <si>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</si>
  <si>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</si>
  <si>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</si>
  <si>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</si>
  <si>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</si>
  <si>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</si>
  <si>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</si>
  <si>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</si>
  <si>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</si>
  <si>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</si>
  <si>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</si>
  <si>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</si>
  <si>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</si>
  <si>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</si>
  <si>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</si>
  <si>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</si>
  <si>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</si>
  <si>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</si>
  <si>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</si>
  <si>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</si>
  <si>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</si>
  <si>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</si>
  <si>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</si>
  <si>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</si>
  <si>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</si>
  <si>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</si>
  <si>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</si>
  <si>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</si>
  <si>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</si>
  <si>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</si>
  <si>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</si>
  <si>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</si>
  <si>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</si>
  <si>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</si>
  <si>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</si>
  <si>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</si>
  <si>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</si>
  <si>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</si>
  <si>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</si>
  <si>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</si>
  <si>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</si>
  <si>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</si>
  <si>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</si>
  <si>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</si>
  <si>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</si>
  <si>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</si>
  <si>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</si>
  <si>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</si>
  <si>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</si>
  <si>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</si>
  <si>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</si>
  <si>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</si>
  <si>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</si>
  <si>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</si>
  <si>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</si>
  <si>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</si>
  <si>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</si>
  <si>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</si>
  <si>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</si>
  <si>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</si>
  <si>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</si>
  <si>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</si>
  <si>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</si>
  <si>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</si>
  <si>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</si>
  <si>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</si>
  <si>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</si>
  <si>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</si>
  <si>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</si>
  <si>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</si>
  <si>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</si>
  <si>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</si>
  <si>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</si>
  <si>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</si>
  <si>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</si>
  <si>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</si>
  <si>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</si>
  <si>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</si>
  <si>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</si>
  <si>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</si>
  <si>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</si>
  <si>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</si>
  <si>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</si>
  <si>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</si>
  <si>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</si>
  <si>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</si>
  <si>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</si>
  <si>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</si>
  <si>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</si>
  <si>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</si>
  <si>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</si>
  <si>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</si>
  <si>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</si>
  <si>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</si>
  <si>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</si>
  <si>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</si>
  <si>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</si>
  <si>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</si>
  <si>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</si>
  <si>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</si>
  <si>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</si>
  <si>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</si>
  <si>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</si>
  <si>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</si>
  <si>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</si>
  <si>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</si>
  <si>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</si>
  <si>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</si>
  <si>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</si>
  <si>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</si>
  <si>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</si>
  <si>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</si>
  <si>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</si>
  <si>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</si>
  <si>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</si>
  <si>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</si>
  <si>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</si>
  <si>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</si>
  <si>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</si>
  <si>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</si>
  <si>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</si>
  <si>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</si>
  <si>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</si>
  <si>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</si>
  <si>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</si>
  <si>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</si>
  <si>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</si>
  <si>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</si>
  <si>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</si>
  <si>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</si>
  <si>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</si>
  <si>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</si>
  <si>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</si>
  <si>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</si>
  <si>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</si>
  <si>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</si>
  <si>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</si>
  <si>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</si>
  <si>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</si>
  <si>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</si>
  <si>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</si>
  <si>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</si>
  <si>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</si>
  <si>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</si>
  <si>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</si>
  <si>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</si>
  <si>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</si>
  <si>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</si>
  <si>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</si>
  <si>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</si>
  <si>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</si>
  <si>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</si>
  <si>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</si>
  <si>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</si>
  <si>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</si>
  <si>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</si>
  <si>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</si>
  <si>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</si>
  <si>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</si>
  <si>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</si>
  <si>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</si>
  <si>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</si>
  <si>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</si>
  <si>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</si>
  <si>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</si>
  <si>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</si>
  <si>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</si>
  <si>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</si>
  <si>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</si>
  <si>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</si>
  <si>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</si>
  <si>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</si>
  <si>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</si>
  <si>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</si>
  <si>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</si>
  <si>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</si>
  <si>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</si>
  <si>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</si>
  <si>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</si>
  <si>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</si>
  <si>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</si>
  <si>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</si>
  <si>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</si>
  <si>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</si>
  <si>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</si>
  <si>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</si>
  <si>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</si>
  <si>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</si>
  <si>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</si>
  <si>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</si>
  <si>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</si>
  <si>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</si>
  <si>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</si>
  <si>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</si>
  <si>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</si>
  <si>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</si>
  <si>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</si>
  <si>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</si>
  <si>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</si>
  <si>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</si>
  <si>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</si>
  <si>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</si>
  <si>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</si>
  <si>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</si>
  <si>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</si>
  <si>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</si>
  <si>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</si>
  <si>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</si>
  <si>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</si>
  <si>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</si>
  <si>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</si>
  <si>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</si>
  <si>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</si>
  <si>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</si>
  <si>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</si>
  <si>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</si>
  <si>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</si>
  <si>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</si>
  <si>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</si>
  <si>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</si>
  <si>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</si>
  <si>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</si>
  <si>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</si>
  <si>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</si>
  <si>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</si>
  <si>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</si>
  <si>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</si>
  <si>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</si>
  <si>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</si>
  <si>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</si>
  <si>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</si>
  <si>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</si>
  <si>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</si>
  <si>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</si>
  <si>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</si>
  <si>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</si>
  <si>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</si>
  <si>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</si>
  <si>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</si>
  <si>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</si>
  <si>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</si>
  <si>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</si>
  <si>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</si>
  <si>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</si>
  <si>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</si>
  <si>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</si>
  <si>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</si>
  <si>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</si>
  <si>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</si>
  <si>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</si>
  <si>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</si>
  <si>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</si>
  <si>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</si>
  <si>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</si>
  <si>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</si>
  <si>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</si>
  <si>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</si>
  <si>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</si>
  <si>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</si>
  <si>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</si>
  <si>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</si>
  <si>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</si>
  <si>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</si>
  <si>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</si>
  <si>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</si>
  <si>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</si>
  <si>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</si>
  <si>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</si>
  <si>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</si>
  <si>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</si>
  <si>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</si>
  <si>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</si>
  <si>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</si>
  <si>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</si>
  <si>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</si>
  <si>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</si>
  <si>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</si>
  <si>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</si>
  <si>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</si>
  <si>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</si>
  <si>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</si>
  <si>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</si>
  <si>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</si>
  <si>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</si>
  <si>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</si>
  <si>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</si>
  <si>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</si>
  <si>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</si>
  <si>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</si>
  <si>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</si>
  <si>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</si>
  <si>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</si>
  <si>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</si>
  <si>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</si>
  <si>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</si>
  <si>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</si>
  <si>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</si>
  <si>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</si>
  <si>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</si>
  <si>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</si>
  <si>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</si>
  <si>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</si>
  <si>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</si>
  <si>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</si>
  <si>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</si>
  <si>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</si>
  <si>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</si>
  <si>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</si>
  <si>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</si>
  <si>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</si>
  <si>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</si>
  <si>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</si>
  <si>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</si>
  <si>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</si>
  <si>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</si>
  <si>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</si>
  <si>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</si>
  <si>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</si>
  <si>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</si>
  <si>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</si>
  <si>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</si>
  <si>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</si>
  <si>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</si>
  <si>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</si>
  <si>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</si>
  <si>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</si>
  <si>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</si>
  <si>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</si>
  <si>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</si>
  <si>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</si>
  <si>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</si>
  <si>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</si>
  <si>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</si>
  <si>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</si>
  <si>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</si>
  <si>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</si>
  <si>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</si>
  <si>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</si>
  <si>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</si>
  <si>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</si>
  <si>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</si>
  <si>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</si>
  <si>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</si>
  <si>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</si>
  <si>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</si>
  <si>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</si>
  <si>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</si>
  <si>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</si>
  <si>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</si>
  <si>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</si>
  <si>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</si>
  <si>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</si>
  <si>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</si>
  <si>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</si>
  <si>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</si>
  <si>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</si>
  <si>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</si>
  <si>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</si>
  <si>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</si>
  <si>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</si>
  <si>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</si>
  <si>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</si>
  <si>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</si>
  <si>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</si>
  <si>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</si>
  <si>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</si>
  <si>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</si>
  <si>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</si>
  <si>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</si>
  <si>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</si>
  <si>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</si>
  <si>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</si>
  <si>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</si>
  <si>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</si>
  <si>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</si>
  <si>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</si>
  <si>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</si>
  <si>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</si>
  <si>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</si>
  <si>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</si>
  <si>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</si>
  <si>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</si>
  <si>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</si>
  <si>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</si>
  <si>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</si>
  <si>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</si>
  <si>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</si>
  <si>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</si>
  <si>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</si>
  <si>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</si>
  <si>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</si>
  <si>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</si>
  <si>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</si>
  <si>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</si>
  <si>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</si>
  <si>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</si>
  <si>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</si>
  <si>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</si>
  <si>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</si>
  <si>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</si>
  <si>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</si>
  <si>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</si>
  <si>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</si>
  <si>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</si>
  <si>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</si>
  <si>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</si>
  <si>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</si>
  <si>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</si>
  <si>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</si>
  <si>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</si>
  <si>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</si>
  <si>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</si>
  <si>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</si>
  <si>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</si>
  <si>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</si>
  <si>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</si>
  <si>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</si>
  <si>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</si>
  <si>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</si>
  <si>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</si>
  <si>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</si>
  <si>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</si>
  <si>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</si>
  <si>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</si>
  <si>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</si>
  <si>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</si>
  <si>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</si>
  <si>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</si>
  <si>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</si>
  <si>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</si>
  <si>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</si>
  <si>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</si>
  <si>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</si>
  <si>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</si>
  <si>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</si>
  <si>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</si>
  <si>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</si>
  <si>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</si>
  <si>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</si>
  <si>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</si>
  <si>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</si>
  <si>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</si>
  <si>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</si>
  <si>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</si>
  <si>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</si>
  <si>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</si>
  <si>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</si>
  <si>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</si>
  <si>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</si>
  <si>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</si>
  <si>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</si>
  <si>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</si>
  <si>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</si>
  <si>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</si>
  <si>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</si>
  <si>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</si>
  <si>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</si>
  <si>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</si>
  <si>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</si>
  <si>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</si>
  <si>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</si>
  <si>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</si>
  <si>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</si>
  <si>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</si>
  <si>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</si>
  <si>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</si>
  <si>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</si>
  <si>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</si>
  <si>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</si>
  <si>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</si>
  <si>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</si>
  <si>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</si>
  <si>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</si>
  <si>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</si>
  <si>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</si>
  <si>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</si>
  <si>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</si>
  <si>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</si>
  <si>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</si>
  <si>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</si>
  <si>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</si>
  <si>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</si>
  <si>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</si>
  <si>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</si>
  <si>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</si>
  <si>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</si>
  <si>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</si>
  <si>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</si>
  <si>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</si>
  <si>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</si>
  <si>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</si>
  <si>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</si>
  <si>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</si>
  <si>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</si>
  <si>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</si>
  <si>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</si>
  <si>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</si>
  <si>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</si>
  <si>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</si>
  <si>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</si>
  <si>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</si>
  <si>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</si>
  <si>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</si>
  <si>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</si>
  <si>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</si>
  <si>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</si>
  <si>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</si>
  <si>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</si>
  <si>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</si>
  <si>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</si>
  <si>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</si>
  <si>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</si>
  <si>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</si>
  <si>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</si>
  <si>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</si>
  <si>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</si>
  <si>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</si>
  <si>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</si>
  <si>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</si>
  <si>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</si>
  <si>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</si>
  <si>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</si>
  <si>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</si>
  <si>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</si>
  <si>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</si>
  <si>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</si>
  <si>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</si>
  <si>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</si>
  <si>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</si>
  <si>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</si>
  <si>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</si>
  <si>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</si>
  <si>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</si>
  <si>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</si>
  <si>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</si>
  <si>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</si>
  <si>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</si>
  <si>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</si>
  <si>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</si>
  <si>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</si>
  <si>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</si>
  <si>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</si>
  <si>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</si>
  <si>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</si>
  <si>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</si>
  <si>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</si>
  <si>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</si>
  <si>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</si>
  <si>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</si>
  <si>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</si>
  <si>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</si>
  <si>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</si>
  <si>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</si>
  <si>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</si>
  <si>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</si>
  <si>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</si>
  <si>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</si>
  <si>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</si>
  <si>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</si>
  <si>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</si>
  <si>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</si>
  <si>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</si>
  <si>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</si>
  <si>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</si>
  <si>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</si>
  <si>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</si>
  <si>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</si>
  <si>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</si>
  <si>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</si>
  <si>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</si>
  <si>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</si>
  <si>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</si>
  <si>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</si>
  <si>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</si>
  <si>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</si>
  <si>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</si>
  <si>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</si>
  <si>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</si>
  <si>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</si>
  <si>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</si>
  <si>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</si>
  <si>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</si>
  <si>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</si>
  <si>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</si>
  <si>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</si>
  <si>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</si>
  <si>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</si>
  <si>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</si>
  <si>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</si>
  <si>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</si>
  <si>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</si>
  <si>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</si>
  <si>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</si>
  <si>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</si>
  <si>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</si>
  <si>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</si>
  <si>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</si>
  <si>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</si>
  <si>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</si>
  <si>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</si>
  <si>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</si>
  <si>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</si>
  <si>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</si>
  <si>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</si>
  <si>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</si>
  <si>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</si>
  <si>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</si>
  <si>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</si>
  <si>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</si>
  <si>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</si>
  <si>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</si>
  <si>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</si>
  <si>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</si>
  <si>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</si>
  <si>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</si>
  <si>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</si>
  <si>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</si>
  <si>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</si>
  <si>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</si>
  <si>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</si>
  <si>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</si>
  <si>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</si>
  <si>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</si>
  <si>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</si>
  <si>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</si>
  <si>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</si>
  <si>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</si>
  <si>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</si>
  <si>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</si>
  <si>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</si>
  <si>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</si>
  <si>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</si>
  <si>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</si>
  <si>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</si>
  <si>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</si>
  <si>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</si>
  <si>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</si>
  <si>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</si>
  <si>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</si>
  <si>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</si>
  <si>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</si>
  <si>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</si>
  <si>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</si>
  <si>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</si>
  <si>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</si>
  <si>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</si>
  <si>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</si>
  <si>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</si>
  <si>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</si>
  <si>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</si>
  <si>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</si>
  <si>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</si>
  <si>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</si>
  <si>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</si>
  <si>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</si>
  <si>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</si>
  <si>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</si>
  <si>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</si>
  <si>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</si>
  <si>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</si>
  <si>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</si>
  <si>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</si>
  <si>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</si>
  <si>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</si>
  <si>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</si>
  <si>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</si>
  <si>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</si>
  <si>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</si>
  <si>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</si>
  <si>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</si>
  <si>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</si>
  <si>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</si>
  <si>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</si>
  <si>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</si>
  <si>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</si>
  <si>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</si>
  <si>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</si>
  <si>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</si>
  <si>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</si>
  <si>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</si>
  <si>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</si>
  <si>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</si>
  <si>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</si>
  <si>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</si>
  <si>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</si>
  <si>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</si>
  <si>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</si>
  <si>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</si>
  <si>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</si>
  <si>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</si>
  <si>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</si>
  <si>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</si>
  <si>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</si>
  <si>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</si>
  <si>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</si>
  <si>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</si>
  <si>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</si>
  <si>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</si>
  <si>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</si>
  <si>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</si>
  <si>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</si>
  <si>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</si>
  <si>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</si>
  <si>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</si>
  <si>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</si>
  <si>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</si>
  <si>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</si>
  <si>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</si>
  <si>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</si>
  <si>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</si>
  <si>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</si>
  <si>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</si>
  <si>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</si>
  <si>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</si>
  <si>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</si>
  <si>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</si>
  <si>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</si>
  <si>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</si>
  <si>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</si>
  <si>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</si>
  <si>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</si>
  <si>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</si>
  <si>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</si>
  <si>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</si>
  <si>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</si>
  <si>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</si>
  <si>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</si>
  <si>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</si>
  <si>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</si>
  <si>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</si>
  <si>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</si>
  <si>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</si>
  <si>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</si>
  <si>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</si>
  <si>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</si>
  <si>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</si>
  <si>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</si>
  <si>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</si>
  <si>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</si>
  <si>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</si>
  <si>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</si>
  <si>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</si>
  <si>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</si>
  <si>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</si>
  <si>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</si>
  <si>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</si>
  <si>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</si>
  <si>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</si>
  <si>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</si>
  <si>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</si>
  <si>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</si>
  <si>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</si>
  <si>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</si>
  <si>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</si>
  <si>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</si>
  <si>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</si>
  <si>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</si>
  <si>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</si>
  <si>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</si>
  <si>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</si>
  <si>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</si>
  <si>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</si>
  <si>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</si>
  <si>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</si>
  <si>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</si>
  <si>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</si>
  <si>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</si>
  <si>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</si>
  <si>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</si>
  <si>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</si>
  <si>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</si>
  <si>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</si>
  <si>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</si>
  <si>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</si>
  <si>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</si>
  <si>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</si>
  <si>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</si>
  <si>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</si>
  <si>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</si>
  <si>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</si>
  <si>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</si>
  <si>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</si>
  <si>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</si>
  <si>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</si>
  <si>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</si>
  <si>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</si>
  <si>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</si>
  <si>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</si>
  <si>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</si>
  <si>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</si>
  <si>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</si>
  <si>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</si>
  <si>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</si>
  <si>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</si>
  <si>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</si>
  <si>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</si>
  <si>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</si>
  <si>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</si>
  <si>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</si>
  <si>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</si>
  <si>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</si>
  <si>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</si>
  <si>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</si>
  <si>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</si>
  <si>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</si>
  <si>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</si>
  <si>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</si>
  <si>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</si>
  <si>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</si>
  <si>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</si>
  <si>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</si>
  <si>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</si>
  <si>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</si>
  <si>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</si>
  <si>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</si>
  <si>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</si>
  <si>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</si>
  <si>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</si>
  <si>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</si>
  <si>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</si>
  <si>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</si>
  <si>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</si>
  <si>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</si>
  <si>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</si>
  <si>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</si>
  <si>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</si>
  <si>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</si>
  <si>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</si>
  <si>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</si>
  <si>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</si>
  <si>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</si>
  <si>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</si>
  <si>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</si>
  <si>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</si>
  <si>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</si>
  <si>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</si>
  <si>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</si>
  <si>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</si>
  <si>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</si>
  <si>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</si>
  <si>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</si>
  <si>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</si>
  <si>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</si>
  <si>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</si>
  <si>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</si>
  <si>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</si>
  <si>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</si>
  <si>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</si>
  <si>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</si>
  <si>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</si>
  <si>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</si>
  <si>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</si>
  <si>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</si>
  <si>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</si>
  <si>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</si>
  <si>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</si>
  <si>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</si>
  <si>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</si>
  <si>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</si>
  <si>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</si>
  <si>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</si>
  <si>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</si>
  <si>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</si>
  <si>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</si>
  <si>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</si>
  <si>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</si>
  <si>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</si>
  <si>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</si>
  <si>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</si>
  <si>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</si>
  <si>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</si>
  <si>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</si>
  <si>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</si>
  <si>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</si>
  <si>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</si>
  <si>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</si>
  <si>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</si>
  <si>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</si>
  <si>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</si>
  <si>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</si>
  <si>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</si>
  <si>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</si>
  <si>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</si>
  <si>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</si>
  <si>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</si>
  <si>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</si>
  <si>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</si>
  <si>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</si>
  <si>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</si>
  <si>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</si>
  <si>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</si>
  <si>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</si>
  <si>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</si>
  <si>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</si>
  <si>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</si>
  <si>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</si>
  <si>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</si>
  <si>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</si>
  <si>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</si>
  <si>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</si>
  <si>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</si>
  <si>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</si>
  <si>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</si>
  <si>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</si>
  <si>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</si>
  <si>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</si>
  <si>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</si>
  <si>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</si>
  <si>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</si>
  <si>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</si>
  <si>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</si>
  <si>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</si>
  <si>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</si>
  <si>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</si>
  <si>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</si>
  <si>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</si>
  <si>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</si>
  <si>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</si>
  <si>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</si>
  <si>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</si>
  <si>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</si>
  <si>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</si>
  <si>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</si>
  <si>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</si>
  <si>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</si>
  <si>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</si>
  <si>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</si>
  <si>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</si>
  <si>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</si>
  <si>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</si>
  <si>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</si>
  <si>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</si>
  <si>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</si>
  <si>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</si>
  <si>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</si>
  <si>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</si>
  <si>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</si>
  <si>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</si>
  <si>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</si>
  <si>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</si>
  <si>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</si>
  <si>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</si>
  <si>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</si>
  <si>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</si>
  <si>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</si>
  <si>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</si>
  <si>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</si>
  <si>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</si>
  <si>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</si>
  <si>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</si>
  <si>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</si>
  <si>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</si>
  <si>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</si>
  <si>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</si>
  <si>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</si>
  <si>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</si>
  <si>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</si>
  <si>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</si>
  <si>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</si>
  <si>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</si>
  <si>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</si>
  <si>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</si>
  <si>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</si>
  <si>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</si>
  <si>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</si>
  <si>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</si>
  <si>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</si>
  <si>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</si>
  <si>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</si>
  <si>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</si>
  <si>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</si>
  <si>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</si>
  <si>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</si>
  <si>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</si>
  <si>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</si>
  <si>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</si>
  <si>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</si>
  <si>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</si>
  <si>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</si>
  <si>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</si>
  <si>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</si>
  <si>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</si>
  <si>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</si>
  <si>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</si>
  <si>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</si>
  <si>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</si>
  <si>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</si>
  <si>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</si>
  <si>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</si>
  <si>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</si>
  <si>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</si>
  <si>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</si>
  <si>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</si>
  <si>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</si>
  <si>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</si>
  <si>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</si>
  <si>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</si>
  <si>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</si>
  <si>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</si>
  <si>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</si>
  <si>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</si>
  <si>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</si>
  <si>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</si>
  <si>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</si>
  <si>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</si>
  <si>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</si>
  <si>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</si>
  <si>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</si>
  <si>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</si>
  <si>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</si>
  <si>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</si>
  <si>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</si>
  <si>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</si>
  <si>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</si>
  <si>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</si>
  <si>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</si>
  <si>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</si>
  <si>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</si>
  <si>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</si>
  <si>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</si>
  <si>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</si>
  <si>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</si>
  <si>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</si>
  <si>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</si>
  <si>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</si>
  <si>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</si>
  <si>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</si>
  <si>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</si>
  <si>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</si>
  <si>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</si>
  <si>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</si>
  <si>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</si>
  <si>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</si>
  <si>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</si>
  <si>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</si>
  <si>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</si>
  <si>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</si>
  <si>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</si>
  <si>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</si>
  <si>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</si>
  <si>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</si>
  <si>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</si>
  <si>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</si>
  <si>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</si>
  <si>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</si>
  <si>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</si>
  <si>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</si>
  <si>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</si>
  <si>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</si>
  <si>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</si>
  <si>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</si>
  <si>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</si>
  <si>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</si>
  <si>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</si>
  <si>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</si>
  <si>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</si>
  <si>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</si>
  <si>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</si>
  <si>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</si>
  <si>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</si>
  <si>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</si>
  <si>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</si>
  <si>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</si>
  <si>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</si>
  <si>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</si>
  <si>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</si>
  <si>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</si>
  <si>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</si>
  <si>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</si>
  <si>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</si>
  <si>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</si>
  <si>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</si>
  <si>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</si>
  <si>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</si>
  <si>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</si>
  <si>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</si>
  <si>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</si>
  <si>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</si>
  <si>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</si>
  <si>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</si>
  <si>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</si>
  <si>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</si>
  <si>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</si>
  <si>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</si>
  <si>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</si>
  <si>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</si>
  <si>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</si>
  <si>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</si>
  <si>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</si>
  <si>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</si>
  <si>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</si>
  <si>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</si>
  <si>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</si>
  <si>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</si>
  <si>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</si>
  <si>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</si>
  <si>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</si>
  <si>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</si>
  <si>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</si>
  <si>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</si>
  <si>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</si>
  <si>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</si>
  <si>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</si>
  <si>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</si>
  <si>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</si>
  <si>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</si>
  <si>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</si>
  <si>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</si>
  <si>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</si>
  <si>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</si>
  <si>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</si>
  <si>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</si>
  <si>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</si>
  <si>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</si>
  <si>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</si>
  <si>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</si>
  <si>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</si>
  <si>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</si>
  <si>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</si>
  <si>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</si>
  <si>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</si>
  <si>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</si>
  <si>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</si>
  <si>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</si>
  <si>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</si>
  <si>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</si>
  <si>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</si>
  <si>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</si>
  <si>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</si>
  <si>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</si>
  <si>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</si>
  <si>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</si>
  <si>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</si>
  <si>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</si>
  <si>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</si>
  <si>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</si>
  <si>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</si>
  <si>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</si>
  <si>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</si>
  <si>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</si>
  <si>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</si>
  <si>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</si>
  <si>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</si>
  <si>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</si>
  <si>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</si>
  <si>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</si>
  <si>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</si>
  <si>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</si>
  <si>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</si>
  <si>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</si>
  <si>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</si>
  <si>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</si>
  <si>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</si>
  <si>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</si>
  <si>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</si>
  <si>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</si>
  <si>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</si>
  <si>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</si>
  <si>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</si>
  <si>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</si>
  <si>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</si>
  <si>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</si>
  <si>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</si>
  <si>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</si>
  <si>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</si>
  <si>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</si>
  <si>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</si>
  <si>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</si>
  <si>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</si>
  <si>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</si>
  <si>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</si>
  <si>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</si>
  <si>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</si>
  <si>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</si>
  <si>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</si>
  <si>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</si>
  <si>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</si>
  <si>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</si>
  <si>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</si>
  <si>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</si>
  <si>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</si>
  <si>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</si>
  <si>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</si>
  <si>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</si>
  <si>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</si>
  <si>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</si>
  <si>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</si>
  <si>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</si>
  <si>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</si>
  <si>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</si>
  <si>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</si>
  <si>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</si>
  <si>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</si>
  <si>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</si>
  <si>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</si>
  <si>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</si>
  <si>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</si>
  <si>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</si>
  <si>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</si>
  <si>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</si>
  <si>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</si>
  <si>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</si>
  <si>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</si>
  <si>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</si>
  <si>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</si>
  <si>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</si>
  <si>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</si>
  <si>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</si>
  <si>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</si>
  <si>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</si>
  <si>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</si>
  <si>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</si>
  <si>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</si>
  <si>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</si>
  <si>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</si>
  <si>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</si>
  <si>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</si>
  <si>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</si>
  <si>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</si>
  <si>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</si>
  <si>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</si>
  <si>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</si>
  <si>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</si>
  <si>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</si>
  <si>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</si>
  <si>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</si>
  <si>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</si>
  <si>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</si>
  <si>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</si>
  <si>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</si>
  <si>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</si>
  <si>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</si>
  <si>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</si>
  <si>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</si>
  <si>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</si>
  <si>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</si>
  <si>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</si>
  <si>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</si>
  <si>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</si>
  <si>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</si>
  <si>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</si>
  <si>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</si>
  <si>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</si>
  <si>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</si>
  <si>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</si>
  <si>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</si>
  <si>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</si>
  <si>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</si>
  <si>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</si>
  <si>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</si>
  <si>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</si>
  <si>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</si>
  <si>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</si>
  <si>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</si>
  <si>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</si>
  <si>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</si>
  <si>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</si>
  <si>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</si>
  <si>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</si>
  <si>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</si>
  <si>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</si>
  <si>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</si>
  <si>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</si>
  <si>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</si>
  <si>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</si>
  <si>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</si>
  <si>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</si>
  <si>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</si>
  <si>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</si>
  <si>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</si>
  <si>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</si>
  <si>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</si>
  <si>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</si>
  <si>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</si>
  <si>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</si>
  <si>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</si>
  <si>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</si>
  <si>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</si>
  <si>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</si>
  <si>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</si>
  <si>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</si>
  <si>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</si>
  <si>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</si>
  <si>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</si>
  <si>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</si>
  <si>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</si>
  <si>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</si>
  <si>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</si>
  <si>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</si>
  <si>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</si>
  <si>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</si>
  <si>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</si>
  <si>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</si>
  <si>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</si>
  <si>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</si>
  <si>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</si>
  <si>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</si>
  <si>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</si>
  <si>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</si>
  <si>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</si>
  <si>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</si>
  <si>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</si>
  <si>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</si>
  <si>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</si>
  <si>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</si>
  <si>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</si>
  <si>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</si>
  <si>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</si>
  <si>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</si>
  <si>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</si>
  <si>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</si>
  <si>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</si>
  <si>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</si>
  <si>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</si>
  <si>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</si>
  <si>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</si>
  <si>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</si>
  <si>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</si>
  <si>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</si>
  <si>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</si>
  <si>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</si>
  <si>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</si>
  <si>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</si>
  <si>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</si>
  <si>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</si>
  <si>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</si>
  <si>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</si>
  <si>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</si>
  <si>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</si>
  <si>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</si>
  <si>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</si>
  <si>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</si>
  <si>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</si>
  <si>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</si>
  <si>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</si>
  <si>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</si>
  <si>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</si>
  <si>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</si>
  <si>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</si>
  <si>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</si>
  <si>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</si>
  <si>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</si>
  <si>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</si>
  <si>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</si>
  <si>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</si>
  <si>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</si>
  <si>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</si>
  <si>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</si>
  <si>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</si>
  <si>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</si>
  <si>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</si>
  <si>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</si>
  <si>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</si>
  <si>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</si>
  <si>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</si>
  <si>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</si>
  <si>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</si>
  <si>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</si>
  <si>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</si>
  <si>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</si>
  <si>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</si>
  <si>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</si>
  <si>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</si>
  <si>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</si>
  <si>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</si>
  <si>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</si>
  <si>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</si>
  <si>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</si>
  <si>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</si>
  <si>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</si>
  <si>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</si>
  <si>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</si>
  <si>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</si>
  <si>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</si>
  <si>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</si>
  <si>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</si>
  <si>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</si>
  <si>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</si>
  <si>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</si>
  <si>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</si>
  <si>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</si>
  <si>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</si>
  <si>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</si>
  <si>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</si>
  <si>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</si>
  <si>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</si>
  <si>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</si>
  <si>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</si>
  <si>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</si>
  <si>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</si>
  <si>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</si>
  <si>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</si>
  <si>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</si>
  <si>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</si>
  <si>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</si>
  <si>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</si>
  <si>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</si>
  <si>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</si>
  <si>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</si>
  <si>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</si>
  <si>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</si>
  <si>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</si>
  <si>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</si>
  <si>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</si>
  <si>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</si>
  <si>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</si>
  <si>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</si>
  <si>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</si>
  <si>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</si>
  <si>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</si>
  <si>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</si>
  <si>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</si>
  <si>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</si>
  <si>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</si>
  <si>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</si>
  <si>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</si>
  <si>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</si>
  <si>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</si>
  <si>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</si>
  <si>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</si>
  <si>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</si>
  <si>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</si>
  <si>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</si>
  <si>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</si>
  <si>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</si>
  <si>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</si>
  <si>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</si>
  <si>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</si>
  <si>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</si>
  <si>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</si>
  <si>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</si>
  <si>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</si>
  <si>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</si>
  <si>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</si>
  <si>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</si>
  <si>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</si>
  <si>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</si>
  <si>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</si>
  <si>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</si>
  <si>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</si>
  <si>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</si>
  <si>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</si>
  <si>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</si>
  <si>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</si>
  <si>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</si>
  <si>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</si>
  <si>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</si>
  <si>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</si>
  <si>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</si>
  <si>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</si>
  <si>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</si>
  <si>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</si>
  <si>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</si>
  <si>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</si>
  <si>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</si>
  <si>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</si>
  <si>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</si>
  <si>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</si>
  <si>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</si>
  <si>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</si>
  <si>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</si>
  <si>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</si>
  <si>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</si>
  <si>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</si>
  <si>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</si>
  <si>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</si>
  <si>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</si>
  <si>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</si>
  <si>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</si>
  <si>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</si>
  <si>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</si>
  <si>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</si>
  <si>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</si>
  <si>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</si>
  <si>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</si>
  <si>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</si>
  <si>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</si>
  <si>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</si>
  <si>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</si>
  <si>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</si>
  <si>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</si>
  <si>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</si>
  <si>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</si>
  <si>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</si>
  <si>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</si>
  <si>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</si>
  <si>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</si>
  <si>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</si>
  <si>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</si>
  <si>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</si>
  <si>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</si>
  <si>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</si>
  <si>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</si>
  <si>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</si>
  <si>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</si>
  <si>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</si>
  <si>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</si>
  <si>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</si>
  <si>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</si>
  <si>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</si>
  <si>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</si>
  <si>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</si>
  <si>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</si>
  <si>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</si>
  <si>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</si>
  <si>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</si>
  <si>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</si>
  <si>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</si>
  <si>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</si>
  <si>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</si>
  <si>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</si>
  <si>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</si>
  <si>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</si>
  <si>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</si>
  <si>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</si>
  <si>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</si>
  <si>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</si>
  <si>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</si>
  <si>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</si>
  <si>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</si>
  <si>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</si>
  <si>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</si>
  <si>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</si>
  <si>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</si>
  <si>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</si>
  <si>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</si>
  <si>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</si>
  <si>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</si>
  <si>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</si>
  <si>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</si>
  <si>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</si>
  <si>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</si>
  <si>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</si>
  <si>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</si>
  <si>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</si>
  <si>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</si>
  <si>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</si>
  <si>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</si>
  <si>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</si>
  <si>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</si>
  <si>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</si>
  <si>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</si>
  <si>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</si>
  <si>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</si>
  <si>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</si>
  <si>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</si>
  <si>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</si>
  <si>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</si>
  <si>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</si>
  <si>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</si>
  <si>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</si>
  <si>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</si>
  <si>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</si>
  <si>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</si>
  <si>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</si>
  <si>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</si>
  <si>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</si>
  <si>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</si>
  <si>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</si>
  <si>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</si>
  <si>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</si>
  <si>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</si>
  <si>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</si>
  <si>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</si>
  <si>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</si>
  <si>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</si>
  <si>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</si>
  <si>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</si>
  <si>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</si>
  <si>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</si>
  <si>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</si>
  <si>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</si>
  <si>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</si>
  <si>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</si>
  <si>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</si>
  <si>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</si>
  <si>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</si>
  <si>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</si>
  <si>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</si>
  <si>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</si>
  <si>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</si>
  <si>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</si>
  <si>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</si>
  <si>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</si>
  <si>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</si>
  <si>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</si>
  <si>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</si>
  <si>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</si>
  <si>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</si>
  <si>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</si>
  <si>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</si>
  <si>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</si>
  <si>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</si>
  <si>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</si>
  <si>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</si>
  <si>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</si>
  <si>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</si>
  <si>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</si>
  <si>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</si>
  <si>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</si>
  <si>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</si>
  <si>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</si>
  <si>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</si>
  <si>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</si>
  <si>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</si>
  <si>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</si>
  <si>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</si>
  <si>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</si>
  <si>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</si>
  <si>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</si>
  <si>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</si>
  <si>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</si>
  <si>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</si>
  <si>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</si>
  <si>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</si>
  <si>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</si>
  <si>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</si>
  <si>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</si>
  <si>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</si>
  <si>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</si>
  <si>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</si>
  <si>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</si>
  <si>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</si>
  <si>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</si>
  <si>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</si>
  <si>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</si>
  <si>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</si>
  <si>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</si>
  <si>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</si>
  <si>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</si>
  <si>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</si>
  <si>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</si>
  <si>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</si>
  <si>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</si>
  <si>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</si>
  <si>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</si>
  <si>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</si>
  <si>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</si>
  <si>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</si>
  <si>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</si>
  <si>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</si>
  <si>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</si>
  <si>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</si>
  <si>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</si>
  <si>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</si>
  <si>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</si>
  <si>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</si>
  <si>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</si>
  <si>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</si>
  <si>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</si>
  <si>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</si>
  <si>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</si>
  <si>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</si>
  <si>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</si>
  <si>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</si>
  <si>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</si>
  <si>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</si>
  <si>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</si>
  <si>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</si>
  <si>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</si>
  <si>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</si>
  <si>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</si>
  <si>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</si>
  <si>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</si>
  <si>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</si>
  <si>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</si>
  <si>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</si>
  <si>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</si>
  <si>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</si>
  <si>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</si>
  <si>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</si>
  <si>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</si>
  <si>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</si>
  <si>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</si>
  <si>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</si>
  <si>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</si>
  <si>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</si>
  <si>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</si>
  <si>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</si>
  <si>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</si>
  <si>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</si>
  <si>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</si>
  <si>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</si>
  <si>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</si>
  <si>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</si>
  <si>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</si>
  <si>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</si>
  <si>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</si>
  <si>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</si>
  <si>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</si>
  <si>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</si>
  <si>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</si>
  <si>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</si>
  <si>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</si>
  <si>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</si>
  <si>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</si>
  <si>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</si>
  <si>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</si>
  <si>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</si>
  <si>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</si>
  <si>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</si>
  <si>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</si>
  <si>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</si>
  <si>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</si>
  <si>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</si>
  <si>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</si>
  <si>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</si>
  <si>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</si>
  <si>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</si>
  <si>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</si>
  <si>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</si>
  <si>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</si>
  <si>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</si>
  <si>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</si>
  <si>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</si>
  <si>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</si>
  <si>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</si>
  <si>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</si>
  <si>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</si>
  <si>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</si>
  <si>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</si>
  <si>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</si>
  <si>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</si>
  <si>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</si>
  <si>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</si>
  <si>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</si>
  <si>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</si>
  <si>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</si>
  <si>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</si>
  <si>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</si>
  <si>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</si>
  <si>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</si>
  <si>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</si>
  <si>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</si>
  <si>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</si>
  <si>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</si>
  <si>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</si>
  <si>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</si>
  <si>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</si>
  <si>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</si>
  <si>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</si>
  <si>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</si>
  <si>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</si>
  <si>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</si>
  <si>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</si>
  <si>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</si>
  <si>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</si>
  <si>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</si>
  <si>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</si>
  <si>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</si>
  <si>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</si>
  <si>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</si>
  <si>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</si>
  <si>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</si>
  <si>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</si>
  <si>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</si>
  <si>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</si>
  <si>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</si>
  <si>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</si>
  <si>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</si>
  <si>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</si>
  <si>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</si>
  <si>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</si>
  <si>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</si>
  <si>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</si>
  <si>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</si>
  <si>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</si>
  <si>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</si>
  <si>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</si>
  <si>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</si>
  <si>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</si>
  <si>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</si>
  <si>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</si>
  <si>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</si>
  <si>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</si>
  <si>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</si>
  <si>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</si>
  <si>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</si>
  <si>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</si>
  <si>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</si>
  <si>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</si>
  <si>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</si>
  <si>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</si>
  <si>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</si>
  <si>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</si>
  <si>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</si>
  <si>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</si>
  <si>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</si>
  <si>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</si>
  <si>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</si>
  <si>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</si>
  <si>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</si>
  <si>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</si>
  <si>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</si>
  <si>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</si>
  <si>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</si>
  <si>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</si>
  <si>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</si>
  <si>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</si>
  <si>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</si>
  <si>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</si>
  <si>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</si>
  <si>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</si>
  <si>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</si>
  <si>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</si>
  <si>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</si>
  <si>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</si>
  <si>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</si>
  <si>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</si>
  <si>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</si>
  <si>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</si>
  <si>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</si>
  <si>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</si>
  <si>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</si>
  <si>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</si>
  <si>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</si>
  <si>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</si>
  <si>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</si>
  <si>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</si>
  <si>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</si>
  <si>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</si>
  <si>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</si>
  <si>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</si>
  <si>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</si>
  <si>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</si>
  <si>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</si>
  <si>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</si>
  <si>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</si>
  <si>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</si>
  <si>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</si>
  <si>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</si>
  <si>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</si>
  <si>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</si>
  <si>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</si>
  <si>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</si>
  <si>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</si>
  <si>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</si>
  <si>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</si>
  <si>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</si>
  <si>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</si>
  <si>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</si>
  <si>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</si>
  <si>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</si>
  <si>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</si>
  <si>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</si>
  <si>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</si>
  <si>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</si>
  <si>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</si>
  <si>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</si>
  <si>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</si>
  <si>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</si>
  <si>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</si>
  <si>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</si>
  <si>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</si>
  <si>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</si>
  <si>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</si>
  <si>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</si>
  <si>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</si>
  <si>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</si>
  <si>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</si>
  <si>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</si>
  <si>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</si>
  <si>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</si>
  <si>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</si>
  <si>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</si>
  <si>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</si>
  <si>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</si>
  <si>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</si>
  <si>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</si>
  <si>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</si>
  <si>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</si>
  <si>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</si>
  <si>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</si>
  <si>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</si>
  <si>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</si>
  <si>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</si>
  <si>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</si>
  <si>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</si>
  <si>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</si>
  <si>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</si>
  <si>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</si>
  <si>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</si>
  <si>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</si>
  <si>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</si>
  <si>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</si>
  <si>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</si>
  <si>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</si>
  <si>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</si>
  <si>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</si>
  <si>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</si>
  <si>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</si>
  <si>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</si>
  <si>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</si>
  <si>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</si>
  <si>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</si>
  <si>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</si>
  <si>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</si>
  <si>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</si>
  <si>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</si>
  <si>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</si>
  <si>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</si>
  <si>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</si>
  <si>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</si>
  <si>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</si>
  <si>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</si>
  <si>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</si>
  <si>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</si>
  <si>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</si>
  <si>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</si>
  <si>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</si>
  <si>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</si>
  <si>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</si>
  <si>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</si>
  <si>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</si>
  <si>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</si>
  <si>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</si>
  <si>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</si>
  <si>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</si>
  <si>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</si>
  <si>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</si>
  <si>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</si>
  <si>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</si>
  <si>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</si>
  <si>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</si>
  <si>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</si>
  <si>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</si>
  <si>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</si>
  <si>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</si>
  <si>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</si>
  <si>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</si>
  <si>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</si>
  <si>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</si>
  <si>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</si>
  <si>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</si>
  <si>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</si>
  <si>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</si>
  <si>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</si>
  <si>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</si>
  <si>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</si>
  <si>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</si>
  <si>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</si>
  <si>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</si>
  <si>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</si>
  <si>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</si>
  <si>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</si>
  <si>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</si>
  <si>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</si>
  <si>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</si>
  <si>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</si>
  <si>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</si>
  <si>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</si>
  <si>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</si>
  <si>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</si>
  <si>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</si>
  <si>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</si>
  <si>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</si>
  <si>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</si>
  <si>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</si>
  <si>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</si>
  <si>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</si>
  <si>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</si>
  <si>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</si>
  <si>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</si>
  <si>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</si>
  <si>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</si>
  <si>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</si>
  <si>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</si>
  <si>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</si>
  <si>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</si>
  <si>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</si>
  <si>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</si>
  <si>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</si>
  <si>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</si>
  <si>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</si>
  <si>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</si>
  <si>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</si>
  <si>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</si>
  <si>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</si>
  <si>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</si>
  <si>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</si>
  <si>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</si>
  <si>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</si>
  <si>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</si>
  <si>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</si>
  <si>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</si>
  <si>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</si>
  <si>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</si>
  <si>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</si>
  <si>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</si>
  <si>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</si>
  <si>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</si>
  <si>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</si>
  <si>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</si>
  <si>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</si>
  <si>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</si>
  <si>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</si>
  <si>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</si>
  <si>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</si>
  <si>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</si>
  <si>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</si>
  <si>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</si>
  <si>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</si>
  <si>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</si>
  <si>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</si>
  <si>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</si>
  <si>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</si>
  <si>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</si>
  <si>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</si>
  <si>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</si>
  <si>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</si>
  <si>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</si>
  <si>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</si>
  <si>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</si>
  <si>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</si>
  <si>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</si>
  <si>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</si>
  <si>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</si>
  <si>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</si>
  <si>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</si>
  <si>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</si>
  <si>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</si>
  <si>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</si>
  <si>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</si>
  <si>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</si>
  <si>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</si>
  <si>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</si>
  <si>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</si>
  <si>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</si>
  <si>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</si>
  <si>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</si>
  <si>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</si>
  <si>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</si>
  <si>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</si>
  <si>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</si>
  <si>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</si>
  <si>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</si>
  <si>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</si>
  <si>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</si>
  <si>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</si>
  <si>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</si>
  <si>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</si>
  <si>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</si>
  <si>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</si>
  <si>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</si>
  <si>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</si>
  <si>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</si>
  <si>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</si>
  <si>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</si>
  <si>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</si>
  <si>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</si>
  <si>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</si>
  <si>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</si>
  <si>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</si>
  <si>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</si>
  <si>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</si>
  <si>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</si>
  <si>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</si>
  <si>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</si>
  <si>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</si>
  <si>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</si>
  <si>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</si>
  <si>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</si>
  <si>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</si>
  <si>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</si>
  <si>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</si>
  <si>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</si>
  <si>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</si>
  <si>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</si>
  <si>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</si>
  <si>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</si>
  <si>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</si>
  <si>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</si>
  <si>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</si>
  <si>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</si>
  <si>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</si>
  <si>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</si>
  <si>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</si>
  <si>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</si>
  <si>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</si>
  <si>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</si>
  <si>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</si>
  <si>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</si>
  <si>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</si>
  <si>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</si>
  <si>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</si>
  <si>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</si>
  <si>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</si>
  <si>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</si>
  <si>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</si>
  <si>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</si>
  <si>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</si>
  <si>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</si>
  <si>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</si>
  <si>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</si>
  <si>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</si>
  <si>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</si>
  <si>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</si>
  <si>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</si>
  <si>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</si>
  <si>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</si>
  <si>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</si>
  <si>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</si>
  <si>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</si>
  <si>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</si>
  <si>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</si>
  <si>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</si>
  <si>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</si>
  <si>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</si>
  <si>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</si>
  <si>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</si>
  <si>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</si>
  <si>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</si>
  <si>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</si>
  <si>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</si>
  <si>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</si>
  <si>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</si>
  <si>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</si>
  <si>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</si>
  <si>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</si>
  <si>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</si>
  <si>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</si>
  <si>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</si>
  <si>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</si>
  <si>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</si>
  <si>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</si>
  <si>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</si>
  <si>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</si>
  <si>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</si>
  <si>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</si>
  <si>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</si>
  <si>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</si>
  <si>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</si>
  <si>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</si>
  <si>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</si>
  <si>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</si>
  <si>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</si>
  <si>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</si>
  <si>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</si>
  <si>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</si>
  <si>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</si>
  <si>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</si>
  <si>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</si>
  <si>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</si>
  <si>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</si>
  <si>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</si>
  <si>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</si>
  <si>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</si>
  <si>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</si>
  <si>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</si>
  <si>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</si>
  <si>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</si>
  <si>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</si>
  <si>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</si>
  <si>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</si>
  <si>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</si>
  <si>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</si>
  <si>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</si>
  <si>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</si>
  <si>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</si>
  <si>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</si>
  <si>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</si>
  <si>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</si>
  <si>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</si>
  <si>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</si>
  <si>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</si>
  <si>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</si>
  <si>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</si>
  <si>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</si>
  <si>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</si>
  <si>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</si>
  <si>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</si>
  <si>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</si>
  <si>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</si>
  <si>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</si>
  <si>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</si>
  <si>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</si>
  <si>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</si>
  <si>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</si>
  <si>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</si>
  <si>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</si>
  <si>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</si>
  <si>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</si>
  <si>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</si>
  <si>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</si>
  <si>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</si>
  <si>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</si>
  <si>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</si>
  <si>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</si>
  <si>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</si>
  <si>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</si>
  <si>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</si>
  <si>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</si>
  <si>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</si>
  <si>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</si>
  <si>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</si>
  <si>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</si>
  <si>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</si>
  <si>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</si>
  <si>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</si>
  <si>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</si>
  <si>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</si>
  <si>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</si>
  <si>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</si>
  <si>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</si>
  <si>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</si>
  <si>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</si>
  <si>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</si>
  <si>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</si>
  <si>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</si>
  <si>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</si>
  <si>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</si>
  <si>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</si>
  <si>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</si>
  <si>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</si>
  <si>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</si>
  <si>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</si>
  <si>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</si>
  <si>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</si>
  <si>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</si>
  <si>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</si>
  <si>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</si>
  <si>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</si>
  <si>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</si>
  <si>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</si>
  <si>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</si>
  <si>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</si>
  <si>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</si>
  <si>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</si>
  <si>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</si>
  <si>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</si>
  <si>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</si>
  <si>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</si>
  <si>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</si>
  <si>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</si>
  <si>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</si>
  <si>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</si>
  <si>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</si>
  <si>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</si>
  <si>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</si>
  <si>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</si>
  <si>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</si>
  <si>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</si>
  <si>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</si>
  <si>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</si>
  <si>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</si>
  <si>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</si>
  <si>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</si>
  <si>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</si>
  <si>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</si>
  <si>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</si>
  <si>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</si>
  <si>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</si>
  <si>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</si>
  <si>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</si>
  <si>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</si>
  <si>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</si>
  <si>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</si>
  <si>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</si>
  <si>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</si>
  <si>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</si>
  <si>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</si>
  <si>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</si>
  <si>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</si>
  <si>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</si>
  <si>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</si>
  <si>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</si>
  <si>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</si>
  <si>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</si>
  <si>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</si>
  <si>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</si>
  <si>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</si>
  <si>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</si>
  <si>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</si>
  <si>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</si>
  <si>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</si>
  <si>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</si>
  <si>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</si>
  <si>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</si>
  <si>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</si>
  <si>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</si>
  <si>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</si>
  <si>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</si>
  <si>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</si>
  <si>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</si>
  <si>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</si>
  <si>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</si>
  <si>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</si>
  <si>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</si>
  <si>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</si>
  <si>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</si>
  <si>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</si>
  <si>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</si>
  <si>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</si>
  <si>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</si>
  <si>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</si>
  <si>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</si>
  <si>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</si>
  <si>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</si>
  <si>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</si>
  <si>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</si>
  <si>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</si>
  <si>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</si>
  <si>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</si>
  <si>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</si>
  <si>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</si>
  <si>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</si>
  <si>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</si>
  <si>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</si>
  <si>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</si>
  <si>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</si>
  <si>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</si>
  <si>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</si>
  <si>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</si>
  <si>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</si>
  <si>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</si>
  <si>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</si>
  <si>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</si>
  <si>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</si>
  <si>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</si>
  <si>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</si>
  <si>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</si>
  <si>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</si>
  <si>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</si>
  <si>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</si>
  <si>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</si>
  <si>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</si>
  <si>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</si>
  <si>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</si>
  <si>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</si>
  <si>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</si>
  <si>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</si>
  <si>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</si>
  <si>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</si>
  <si>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</si>
  <si>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</si>
  <si>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</si>
  <si>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</si>
  <si>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</si>
  <si>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</si>
  <si>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</si>
  <si>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</si>
  <si>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</si>
  <si>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</si>
  <si>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</si>
  <si>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</si>
  <si>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</si>
  <si>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</si>
  <si>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</si>
  <si>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</si>
  <si>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</si>
  <si>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</si>
  <si>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</si>
  <si>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</si>
  <si>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</si>
  <si>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</si>
  <si>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</si>
  <si>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</si>
  <si>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</si>
  <si>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</si>
  <si>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</si>
  <si>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</si>
  <si>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</si>
  <si>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</si>
  <si>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</si>
  <si>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</si>
  <si>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</si>
  <si>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</si>
  <si>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</si>
  <si>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</si>
  <si>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</si>
  <si>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</si>
  <si>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</si>
  <si>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</si>
  <si>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</si>
  <si>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</si>
  <si>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</si>
  <si>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</si>
  <si>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</si>
  <si>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</si>
  <si>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</si>
  <si>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</si>
  <si>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</si>
  <si>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</si>
  <si>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</si>
  <si>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</si>
  <si>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</si>
  <si>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</si>
  <si>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</si>
  <si>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</si>
  <si>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</si>
  <si>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</si>
  <si>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</si>
  <si>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</si>
  <si>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</si>
  <si>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</si>
  <si>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</si>
  <si>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</si>
  <si>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</si>
  <si>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</si>
  <si>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</si>
  <si>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</si>
  <si>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</si>
  <si>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</si>
  <si>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</si>
  <si>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</si>
  <si>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</si>
  <si>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</si>
  <si>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</si>
  <si>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</si>
  <si>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</si>
  <si>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</si>
  <si>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</si>
  <si>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</si>
  <si>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</si>
  <si>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</si>
  <si>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</si>
  <si>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</si>
  <si>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</si>
  <si>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</si>
  <si>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</si>
  <si>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</si>
  <si>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</si>
  <si>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</si>
  <si>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</si>
  <si>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</si>
  <si>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</si>
  <si>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</si>
  <si>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</si>
  <si>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</si>
  <si>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</si>
  <si>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</si>
  <si>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</si>
  <si>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</si>
  <si>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</si>
  <si>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</si>
  <si>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</si>
  <si>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</si>
  <si>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</si>
  <si>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</si>
  <si>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</si>
  <si>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</si>
  <si>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</si>
  <si>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</si>
  <si>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</si>
  <si>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</si>
  <si>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</si>
  <si>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</si>
  <si>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</si>
  <si>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</si>
  <si>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</si>
  <si>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</si>
  <si>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</si>
  <si>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</si>
  <si>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</si>
  <si>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</si>
  <si>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</si>
  <si>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</si>
  <si>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</si>
  <si>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</si>
  <si>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</si>
  <si>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</si>
  <si>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</si>
  <si>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</si>
  <si>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</si>
  <si>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</si>
  <si>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</si>
  <si>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</si>
  <si>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</si>
  <si>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</si>
  <si>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</si>
  <si>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</si>
  <si>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</si>
  <si>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</si>
  <si>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</si>
  <si>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</si>
  <si>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</si>
  <si>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</si>
  <si>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</si>
  <si>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</si>
  <si>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</si>
  <si>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</si>
  <si>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</si>
  <si>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</si>
  <si>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</si>
  <si>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</si>
  <si>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</si>
  <si>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</si>
  <si>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</si>
  <si>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</si>
  <si>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</si>
  <si>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</si>
  <si>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</si>
  <si>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</si>
  <si>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</si>
  <si>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</si>
  <si>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</si>
  <si>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</si>
  <si>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</si>
  <si>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</si>
  <si>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</si>
  <si>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</si>
  <si>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</si>
  <si>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</si>
  <si>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</si>
  <si>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</si>
  <si>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</si>
  <si>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</si>
  <si>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</si>
  <si>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</si>
  <si>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</si>
  <si>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</si>
  <si>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</si>
  <si>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</si>
  <si>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</si>
  <si>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</si>
  <si>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</si>
  <si>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</si>
  <si>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</si>
  <si>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</si>
  <si>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</si>
  <si>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</si>
  <si>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</si>
  <si>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</si>
  <si>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</si>
  <si>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</si>
  <si>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</si>
  <si>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</si>
  <si>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</si>
  <si>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</si>
  <si>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</si>
  <si>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</si>
  <si>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</si>
  <si>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</si>
  <si>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</si>
  <si>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</si>
  <si>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</si>
  <si>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</si>
  <si>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</si>
  <si>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</si>
  <si>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</si>
  <si>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</si>
  <si>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</si>
  <si>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</si>
  <si>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</si>
  <si>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</si>
  <si>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</si>
  <si>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</si>
  <si>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</si>
  <si>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</si>
  <si>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</si>
  <si>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</si>
  <si>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</si>
  <si>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</si>
  <si>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</si>
  <si>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</si>
  <si>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</si>
  <si>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</si>
  <si>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</si>
  <si>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</si>
  <si>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</si>
  <si>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</si>
  <si>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</si>
  <si>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</si>
  <si>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</si>
  <si>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</si>
  <si>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</si>
  <si>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</si>
  <si>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</si>
  <si>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</si>
  <si>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</si>
  <si>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</si>
  <si>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</si>
  <si>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</si>
  <si>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</si>
  <si>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</si>
  <si>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</si>
  <si>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</si>
  <si>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</si>
  <si>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</si>
  <si>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</si>
  <si>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</si>
  <si>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</si>
  <si>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</si>
  <si>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</si>
  <si>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</si>
  <si>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</si>
  <si>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</si>
  <si>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</si>
  <si>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</si>
  <si>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</si>
  <si>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</si>
  <si>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</si>
  <si>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</si>
  <si>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</si>
  <si>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</si>
  <si>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</si>
  <si>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</si>
  <si>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</si>
  <si>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</si>
  <si>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</si>
  <si>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</si>
  <si>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</si>
  <si>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</si>
  <si>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</si>
  <si>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</si>
  <si>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</si>
  <si>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</si>
  <si>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</si>
  <si>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</si>
  <si>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</si>
  <si>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</si>
  <si>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</si>
  <si>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</si>
  <si>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</si>
  <si>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</si>
  <si>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</si>
  <si>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</si>
  <si>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</si>
  <si>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</si>
  <si>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</si>
  <si>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</si>
  <si>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</si>
  <si>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</si>
  <si>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</si>
  <si>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</si>
  <si>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</si>
  <si>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</si>
  <si>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</si>
  <si>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</si>
  <si>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</si>
  <si>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</si>
  <si>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</si>
  <si>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</si>
  <si>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</si>
  <si>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</si>
  <si>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</si>
  <si>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</si>
  <si>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</si>
  <si>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</si>
  <si>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</si>
  <si>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</si>
  <si>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</si>
  <si>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</si>
  <si>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</si>
  <si>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</si>
  <si>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</si>
  <si>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</si>
  <si>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</si>
  <si>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</si>
  <si>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</si>
  <si>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</si>
  <si>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</si>
  <si>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</si>
  <si>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</si>
  <si>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</si>
  <si>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</si>
  <si>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</si>
  <si>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</si>
  <si>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</si>
  <si>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</si>
  <si>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</si>
  <si>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</si>
  <si>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</si>
  <si>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</si>
  <si>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</si>
  <si>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</si>
  <si>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</si>
  <si>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</si>
  <si>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</si>
  <si>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</si>
  <si>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</si>
  <si>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</si>
  <si>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</si>
  <si>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</si>
  <si>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</si>
  <si>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</si>
  <si>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</si>
  <si>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</si>
  <si>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</si>
  <si>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</si>
  <si>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</si>
  <si>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</si>
  <si>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</si>
  <si>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</si>
  <si>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</si>
  <si>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</si>
  <si>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</si>
  <si>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</si>
  <si>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</si>
  <si>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</si>
  <si>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</si>
  <si>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</si>
  <si>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</si>
  <si>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</si>
  <si>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</si>
  <si>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</si>
  <si>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</si>
  <si>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</si>
  <si>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</si>
  <si>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</si>
  <si>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</si>
  <si>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</si>
  <si>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</si>
  <si>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</si>
  <si>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</si>
  <si>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</si>
  <si>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</si>
  <si>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</si>
  <si>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</si>
  <si>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</si>
  <si>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</si>
  <si>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</si>
  <si>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</si>
  <si>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</si>
  <si>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</si>
  <si>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</si>
  <si>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</si>
  <si>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</si>
  <si>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</si>
  <si>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</si>
  <si>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</si>
  <si>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</si>
  <si>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</si>
  <si>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</si>
  <si>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</si>
  <si>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</si>
  <si>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</si>
  <si>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</si>
  <si>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</si>
  <si>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</si>
  <si>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</si>
  <si>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</si>
  <si>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</si>
  <si>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</si>
  <si>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</si>
  <si>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</si>
  <si>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</si>
  <si>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</si>
  <si>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</si>
  <si>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</si>
  <si>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</si>
  <si>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</si>
  <si>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</si>
  <si>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</si>
  <si>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</si>
  <si>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</si>
  <si>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</si>
  <si>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</si>
  <si>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</si>
  <si>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</si>
  <si>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</si>
  <si>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</si>
  <si>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</si>
  <si>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</si>
  <si>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</si>
  <si>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</si>
  <si>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</si>
  <si>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</si>
  <si>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</si>
  <si>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</si>
  <si>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</si>
  <si>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</si>
  <si>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</si>
  <si>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</si>
  <si>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</si>
  <si>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</si>
  <si>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</si>
  <si>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</si>
  <si>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</si>
  <si>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</si>
  <si>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</si>
  <si>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</si>
  <si>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</si>
  <si>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</si>
  <si>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</si>
  <si>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</si>
  <si>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</si>
  <si>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</si>
  <si>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</si>
  <si>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</si>
  <si>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</si>
  <si>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</si>
  <si>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</si>
  <si>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</si>
  <si>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</si>
  <si>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</si>
  <si>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</si>
  <si>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</si>
  <si>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</si>
  <si>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</si>
  <si>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</si>
  <si>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</si>
  <si>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</si>
  <si>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</si>
  <si>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</si>
  <si>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</si>
  <si>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</si>
  <si>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</si>
  <si>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</si>
  <si>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</si>
  <si>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</si>
  <si>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</si>
  <si>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</si>
  <si>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</si>
  <si>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</si>
  <si>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</si>
  <si>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</si>
  <si>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</si>
  <si>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</si>
  <si>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</si>
  <si>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</si>
  <si>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</si>
  <si>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</si>
  <si>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</si>
  <si>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</si>
  <si>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</si>
  <si>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</si>
  <si>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</si>
  <si>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</si>
  <si>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</si>
  <si>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</si>
  <si>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</si>
  <si>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</si>
  <si>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</si>
  <si>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</si>
  <si>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</si>
  <si>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</si>
  <si>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</si>
  <si>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</si>
  <si>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</si>
  <si>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</si>
  <si>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</si>
  <si>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</si>
  <si>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</si>
  <si>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</si>
  <si>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</si>
  <si>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</si>
  <si>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</si>
  <si>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</si>
  <si>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</si>
  <si>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</si>
  <si>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</si>
  <si>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</si>
  <si>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</si>
  <si>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</si>
  <si>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</si>
  <si>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</si>
  <si>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</si>
  <si>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</si>
  <si>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</si>
  <si>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</si>
  <si>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</si>
  <si>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</si>
  <si>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</si>
  <si>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</si>
  <si>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</si>
  <si>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</si>
  <si>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</si>
  <si>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</si>
  <si>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</si>
  <si>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</si>
  <si>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</si>
  <si>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</si>
  <si>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</si>
  <si>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</si>
  <si>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</si>
  <si>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</si>
  <si>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</si>
  <si>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</si>
  <si>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</si>
  <si>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</si>
  <si>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</si>
  <si>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</si>
  <si>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</si>
  <si>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</si>
  <si>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</si>
  <si>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</si>
  <si>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</si>
  <si>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</si>
  <si>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</si>
  <si>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</si>
  <si>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</si>
  <si>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</si>
  <si>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</si>
  <si>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</si>
  <si>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</si>
  <si>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</si>
  <si>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</si>
  <si>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</si>
  <si>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</si>
  <si>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</si>
  <si>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</si>
  <si>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</si>
  <si>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</si>
  <si>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</si>
  <si>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</si>
  <si>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</si>
  <si>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</si>
  <si>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</si>
  <si>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</si>
  <si>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</si>
  <si>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</si>
  <si>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</si>
  <si>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</si>
  <si>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</si>
  <si>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</si>
  <si>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</si>
  <si>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</si>
  <si>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</si>
  <si>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</si>
  <si>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</si>
  <si>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</si>
  <si>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</si>
  <si>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</si>
  <si>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</si>
  <si>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</si>
  <si>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</si>
  <si>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</si>
  <si>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</si>
  <si>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</si>
  <si>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</si>
  <si>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</si>
  <si>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</si>
  <si>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</si>
  <si>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</si>
  <si>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</si>
  <si>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</si>
  <si>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</si>
  <si>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</si>
  <si>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</si>
  <si>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</si>
  <si>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</si>
  <si>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</si>
  <si>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</si>
  <si>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</si>
  <si>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</si>
  <si>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</si>
  <si>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</si>
  <si>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</si>
  <si>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</si>
  <si>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</si>
  <si>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</si>
  <si>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</si>
  <si>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</si>
  <si>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</si>
  <si>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</si>
  <si>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</si>
  <si>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</si>
  <si>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</si>
  <si>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</si>
  <si>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</si>
  <si>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</si>
  <si>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</si>
  <si>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</si>
  <si>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</si>
  <si>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</si>
  <si>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</si>
  <si>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</si>
  <si>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</si>
  <si>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</si>
  <si>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</si>
  <si>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</si>
  <si>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</si>
  <si>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</si>
  <si>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</si>
  <si>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</si>
  <si>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</si>
  <si>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</si>
  <si>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</si>
  <si>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</si>
  <si>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</si>
  <si>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</si>
  <si>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</si>
  <si>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</si>
  <si>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</si>
  <si>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</si>
  <si>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</si>
  <si>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</si>
  <si>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</si>
  <si>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</si>
  <si>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</si>
  <si>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</si>
  <si>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</si>
  <si>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</si>
  <si>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</si>
  <si>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</si>
  <si>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</si>
  <si>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</si>
  <si>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</si>
  <si>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</si>
  <si>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</si>
  <si>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</si>
  <si>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</si>
  <si>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</si>
  <si>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</si>
  <si>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</si>
  <si>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</si>
  <si>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</si>
  <si>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</si>
  <si>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</si>
  <si>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</si>
  <si>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</si>
  <si>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</si>
  <si>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</si>
  <si>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</si>
  <si>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</si>
  <si>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</si>
  <si>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</si>
  <si>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</si>
  <si>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</si>
  <si>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</si>
  <si>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</si>
  <si>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</si>
  <si>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</si>
  <si>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</si>
  <si>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</si>
  <si>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</si>
  <si>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</si>
  <si>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</si>
  <si>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</si>
  <si>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</si>
  <si>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</si>
  <si>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</si>
  <si>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</si>
  <si>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</si>
  <si>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</si>
  <si>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</si>
  <si>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</si>
  <si>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</si>
  <si>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</si>
  <si>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</si>
  <si>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</si>
  <si>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</si>
  <si>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</si>
  <si>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</si>
  <si>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</si>
  <si>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</si>
  <si>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</si>
  <si>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</si>
  <si>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</si>
  <si>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</si>
  <si>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</si>
  <si>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</si>
  <si>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</si>
  <si>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</si>
  <si>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</si>
  <si>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</si>
  <si>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</si>
  <si>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</si>
  <si>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</si>
  <si>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</si>
  <si>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</si>
  <si>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</si>
  <si>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</si>
  <si>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</si>
  <si>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</si>
  <si>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</si>
  <si>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</si>
  <si>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</si>
  <si>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</si>
  <si>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</si>
  <si>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</si>
  <si>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</si>
  <si>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</si>
  <si>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</si>
  <si>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</si>
  <si>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</si>
  <si>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</si>
  <si>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</si>
  <si>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</si>
  <si>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</si>
  <si>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</si>
  <si>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</si>
  <si>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</si>
  <si>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</si>
  <si>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</si>
  <si>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</si>
  <si>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</si>
  <si>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</si>
  <si>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</si>
  <si>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</si>
  <si>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</si>
  <si>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</si>
  <si>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</si>
  <si>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</si>
  <si>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</si>
  <si>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</si>
  <si>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</si>
  <si>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</si>
  <si>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</si>
  <si>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</si>
  <si>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</si>
  <si>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</si>
  <si>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</si>
  <si>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</si>
  <si>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</si>
  <si>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</si>
  <si>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</si>
  <si>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</si>
  <si>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</si>
  <si>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</si>
  <si>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</si>
  <si>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</si>
  <si>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</si>
  <si>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</si>
  <si>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</si>
  <si>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</si>
  <si>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</si>
  <si>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</si>
  <si>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</si>
  <si>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</si>
  <si>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</si>
  <si>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</si>
  <si>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</si>
  <si>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</si>
  <si>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</si>
  <si>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</si>
  <si>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</si>
  <si>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</si>
  <si>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</si>
  <si>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</si>
  <si>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</si>
  <si>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</si>
  <si>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</si>
  <si>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</si>
  <si>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</si>
  <si>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</si>
  <si>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</si>
  <si>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</si>
  <si>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</si>
  <si>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</si>
  <si>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</si>
  <si>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</si>
  <si>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</si>
  <si>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</si>
  <si>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</si>
  <si>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</si>
  <si>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</si>
  <si>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</si>
  <si>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</si>
  <si>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</si>
  <si>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</si>
  <si>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</si>
  <si>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</si>
  <si>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</si>
  <si>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</si>
  <si>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</si>
  <si>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</si>
  <si>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</si>
  <si>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</si>
  <si>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</si>
  <si>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</si>
  <si>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</si>
  <si>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</si>
  <si>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</si>
  <si>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</si>
  <si>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</si>
  <si>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</si>
  <si>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</si>
  <si>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</si>
  <si>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</si>
  <si>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</si>
  <si>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</si>
  <si>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</si>
  <si>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</si>
  <si>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</si>
  <si>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</si>
  <si>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</si>
  <si>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</si>
  <si>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</si>
  <si>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</si>
  <si>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</si>
  <si>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</si>
  <si>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</si>
  <si>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</si>
  <si>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</si>
  <si>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</si>
  <si>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</si>
  <si>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</si>
  <si>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</si>
  <si>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</si>
  <si>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</si>
  <si>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</si>
  <si>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</si>
  <si>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</si>
  <si>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</si>
  <si>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</si>
  <si>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</si>
  <si>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</si>
  <si>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</si>
  <si>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</si>
  <si>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</si>
  <si>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</si>
  <si>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</si>
  <si>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</si>
  <si>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</si>
  <si>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</si>
  <si>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</si>
  <si>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</si>
  <si>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</si>
  <si>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</si>
  <si>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</si>
  <si>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</si>
  <si>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</si>
  <si>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</si>
  <si>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</si>
  <si>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</si>
  <si>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</si>
  <si>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</si>
  <si>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</si>
  <si>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</si>
  <si>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</si>
  <si>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</si>
  <si>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</si>
  <si>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</si>
  <si>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</si>
  <si>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</si>
  <si>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</si>
  <si>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</si>
  <si>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</si>
  <si>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</si>
  <si>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</si>
  <si>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</si>
  <si>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</si>
  <si>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</si>
  <si>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</si>
  <si>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</si>
  <si>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</si>
  <si>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</si>
  <si>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</si>
  <si>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</si>
  <si>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</si>
  <si>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</si>
  <si>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</si>
  <si>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</si>
  <si>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</si>
  <si>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</si>
  <si>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</si>
  <si>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</si>
  <si>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</si>
  <si>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</si>
  <si>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</si>
  <si>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</si>
  <si>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</si>
  <si>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</si>
  <si>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</si>
  <si>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</si>
  <si>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</si>
  <si>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</si>
  <si>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</si>
  <si>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</si>
  <si>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</si>
  <si>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</si>
  <si>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</si>
  <si>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</si>
  <si>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</si>
  <si>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</si>
  <si>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</si>
  <si>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</si>
  <si>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</si>
  <si>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</si>
  <si>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</si>
  <si>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</si>
  <si>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</si>
  <si>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</si>
  <si>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</si>
  <si>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</si>
  <si>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</si>
  <si>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</si>
  <si>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</si>
  <si>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</si>
  <si>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</si>
  <si>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</si>
  <si>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</si>
  <si>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</si>
  <si>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</si>
  <si>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</si>
  <si>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</si>
  <si>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</si>
  <si>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</si>
  <si>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</si>
  <si>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</si>
  <si>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</si>
  <si>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</si>
  <si>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</si>
  <si>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</si>
  <si>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</si>
  <si>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</si>
  <si>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</si>
  <si>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</si>
  <si>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</si>
  <si>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</si>
  <si>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</si>
  <si>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</si>
  <si>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</si>
  <si>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</si>
  <si>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</si>
  <si>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</si>
  <si>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</si>
  <si>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</si>
  <si>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</si>
  <si>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</si>
  <si>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</si>
  <si>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</si>
  <si>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</si>
  <si>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</si>
  <si>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</si>
  <si>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</si>
  <si>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</si>
  <si>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</si>
  <si>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</si>
  <si>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</si>
  <si>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</si>
  <si>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</si>
  <si>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</si>
  <si>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</si>
  <si>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</si>
  <si>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</si>
  <si>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</si>
  <si>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</si>
  <si>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</si>
  <si>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</si>
  <si>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</si>
  <si>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</si>
  <si>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</si>
  <si>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</si>
  <si>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</si>
  <si>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</si>
  <si>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</si>
  <si>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</si>
  <si>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</si>
  <si>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</si>
  <si>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</si>
  <si>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</si>
  <si>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</si>
  <si>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</si>
  <si>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</si>
  <si>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</si>
  <si>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</si>
  <si>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</si>
  <si>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</si>
  <si>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</si>
  <si>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</si>
  <si>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</si>
  <si>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</si>
  <si>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</si>
  <si>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</si>
  <si>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</si>
  <si>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</si>
  <si>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</si>
  <si>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</si>
  <si>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</si>
  <si>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</si>
  <si>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</si>
  <si>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</si>
  <si>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</si>
  <si>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</si>
  <si>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</si>
  <si>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</si>
  <si>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</si>
  <si>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</si>
  <si>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</si>
  <si>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</si>
  <si>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</si>
  <si>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</si>
  <si>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</si>
  <si>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</si>
  <si>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</si>
  <si>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</si>
  <si>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</si>
  <si>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</si>
  <si>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</si>
  <si>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</si>
  <si>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</si>
  <si>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</si>
  <si>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</si>
  <si>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</si>
  <si>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</si>
  <si>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</si>
  <si>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</si>
  <si>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</si>
  <si>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</si>
  <si>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</si>
  <si>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</si>
  <si>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</si>
  <si>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</si>
  <si>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</si>
  <si>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</si>
  <si>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</si>
  <si>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</si>
  <si>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</si>
  <si>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</si>
  <si>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</si>
  <si>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</si>
  <si>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</si>
  <si>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</si>
  <si>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</si>
  <si>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</si>
  <si>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</si>
  <si>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</si>
  <si>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</si>
  <si>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</si>
  <si>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</si>
  <si>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</si>
  <si>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</si>
  <si>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</si>
  <si>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</si>
  <si>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</si>
  <si>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</si>
  <si>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</si>
  <si>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</si>
  <si>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</si>
  <si>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</si>
  <si>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</si>
  <si>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</si>
  <si>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</si>
  <si>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</si>
  <si>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</si>
  <si>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</si>
  <si>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</si>
  <si>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</si>
  <si>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</si>
  <si>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</si>
  <si>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</si>
  <si>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</si>
  <si>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</si>
  <si>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</si>
  <si>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</si>
  <si>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</si>
  <si>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</si>
  <si>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</si>
  <si>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</si>
  <si>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</si>
  <si>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</si>
  <si>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</si>
  <si>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</si>
  <si>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</si>
  <si>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</si>
  <si>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</si>
  <si>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</si>
  <si>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</si>
  <si>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</si>
  <si>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</si>
  <si>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</si>
  <si>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</si>
  <si>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</si>
  <si>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</si>
  <si>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</si>
  <si>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</si>
  <si>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</si>
  <si>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</si>
  <si>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</si>
  <si>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</si>
  <si>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</si>
  <si>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</si>
  <si>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</si>
  <si>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</si>
  <si>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</si>
  <si>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</si>
  <si>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</si>
  <si>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</si>
  <si>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</si>
  <si>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</si>
  <si>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</si>
  <si>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</si>
  <si>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</si>
  <si>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</si>
  <si>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</si>
  <si>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</si>
  <si>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</si>
  <si>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</si>
  <si>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</si>
  <si>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</si>
  <si>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</si>
  <si>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</si>
  <si>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</si>
  <si>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</si>
  <si>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</si>
  <si>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</si>
  <si>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</si>
  <si>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</si>
  <si>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</si>
  <si>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</si>
  <si>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</si>
  <si>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</si>
  <si>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</si>
  <si>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</si>
  <si>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</si>
  <si>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</si>
  <si>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</si>
  <si>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</si>
  <si>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</si>
  <si>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</si>
  <si>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</si>
  <si>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</si>
  <si>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</si>
  <si>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</si>
  <si>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</si>
  <si>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</si>
  <si>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</si>
  <si>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</si>
  <si>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</si>
  <si>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</si>
  <si>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</si>
  <si>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</si>
  <si>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</si>
  <si>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</si>
  <si>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</si>
  <si>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</si>
  <si>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</si>
  <si>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</si>
  <si>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</si>
  <si>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</si>
  <si>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</si>
  <si>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</si>
  <si>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</si>
  <si>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</si>
  <si>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</si>
  <si>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</si>
  <si>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</si>
  <si>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</si>
  <si>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</si>
  <si>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</si>
  <si>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</si>
  <si>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</si>
  <si>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</si>
  <si>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</si>
  <si>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</si>
  <si>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</si>
  <si>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</si>
  <si>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</si>
  <si>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</si>
  <si>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</si>
  <si>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</si>
  <si>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</si>
  <si>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</si>
  <si>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</si>
  <si>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</si>
  <si>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</si>
  <si>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</si>
  <si>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</si>
  <si>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</si>
  <si>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</si>
  <si>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</si>
  <si>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</si>
  <si>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</si>
  <si>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</si>
  <si>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</si>
  <si>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</si>
  <si>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</si>
  <si>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</si>
  <si>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</si>
  <si>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</si>
  <si>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</si>
  <si>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</si>
  <si>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</si>
  <si>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</si>
  <si>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</si>
  <si>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</si>
  <si>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</si>
  <si>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</si>
  <si>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</si>
  <si>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</si>
  <si>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</si>
  <si>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</si>
  <si>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</si>
  <si>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</si>
  <si>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</si>
  <si>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</si>
  <si>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</si>
  <si>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</si>
  <si>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</si>
  <si>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</si>
  <si>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</si>
  <si>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</si>
  <si>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</si>
  <si>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</si>
  <si>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</si>
  <si>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</si>
  <si>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</si>
  <si>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</si>
  <si>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</si>
  <si>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</si>
  <si>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</si>
  <si>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</si>
  <si>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</si>
  <si>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</si>
  <si>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</si>
  <si>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</si>
  <si>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</si>
  <si>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</si>
  <si>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</si>
  <si>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</si>
  <si>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</si>
  <si>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</si>
  <si>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</si>
  <si>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</si>
  <si>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</si>
  <si>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</si>
  <si>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</si>
  <si>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</si>
  <si>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</si>
  <si>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</si>
  <si>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</si>
  <si>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</si>
  <si>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</si>
  <si>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</si>
  <si>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</si>
  <si>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</si>
  <si>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</si>
  <si>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</si>
  <si>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</si>
  <si>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</si>
  <si>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</si>
  <si>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</si>
  <si>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</si>
  <si>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</si>
  <si>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</si>
  <si>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</si>
  <si>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</si>
  <si>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</si>
  <si>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</si>
  <si>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</si>
  <si>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</si>
  <si>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</si>
  <si>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</si>
  <si>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</si>
  <si>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</si>
  <si>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</si>
  <si>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</si>
  <si>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</si>
  <si>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</si>
  <si>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</si>
  <si>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</si>
  <si>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</si>
  <si>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</si>
  <si>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</si>
  <si>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</si>
  <si>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</si>
  <si>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</si>
  <si>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</si>
  <si>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</si>
  <si>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</si>
  <si>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</si>
  <si>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</si>
  <si>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</si>
  <si>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</si>
  <si>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</si>
  <si>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</si>
  <si>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</si>
  <si>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</si>
  <si>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</si>
  <si>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</si>
  <si>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</si>
  <si>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</si>
  <si>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</si>
  <si>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</si>
  <si>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</si>
  <si>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</si>
  <si>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</si>
  <si>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</si>
  <si>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</si>
  <si>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</si>
  <si>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</si>
  <si>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</si>
  <si>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</si>
  <si>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</si>
  <si>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</si>
  <si>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</si>
  <si>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</si>
  <si>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</si>
  <si>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</si>
  <si>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</si>
  <si>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</si>
  <si>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</si>
  <si>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</si>
  <si>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</si>
  <si>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</si>
  <si>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</si>
  <si>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</si>
  <si>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</si>
  <si>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</si>
  <si>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</si>
  <si>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</si>
  <si>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</si>
  <si>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</si>
  <si>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</si>
  <si>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</si>
  <si>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</si>
  <si>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</si>
  <si>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</si>
  <si>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</si>
  <si>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</si>
  <si>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</si>
  <si>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</si>
  <si>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</si>
  <si>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</si>
  <si>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</si>
  <si>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</si>
  <si>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</si>
  <si>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</si>
  <si>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</si>
  <si>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</si>
  <si>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</si>
  <si>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</si>
  <si>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</si>
  <si>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</si>
  <si>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</si>
  <si>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</si>
  <si>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</si>
  <si>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</si>
  <si>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</si>
  <si>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</si>
  <si>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</si>
  <si>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</si>
  <si>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</si>
  <si>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</si>
  <si>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</si>
  <si>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</si>
  <si>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</si>
  <si>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</si>
  <si>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</si>
  <si>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</si>
  <si>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</si>
  <si>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</si>
  <si>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</si>
  <si>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</si>
  <si>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</si>
  <si>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</si>
  <si>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</si>
  <si>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</si>
  <si>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</si>
  <si>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</si>
  <si>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</si>
  <si>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</si>
  <si>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</si>
  <si>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</si>
  <si>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</si>
  <si>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</si>
  <si>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</si>
  <si>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</si>
  <si>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</si>
  <si>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</si>
  <si>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</si>
  <si>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</si>
  <si>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</si>
  <si>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</si>
  <si>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</si>
  <si>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</si>
  <si>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</si>
  <si>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</si>
  <si>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</si>
  <si>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</si>
  <si>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</si>
  <si>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</si>
  <si>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</si>
  <si>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</si>
  <si>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</si>
  <si>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</si>
  <si>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</si>
  <si>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</si>
  <si>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</si>
  <si>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</si>
  <si>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</si>
  <si>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</si>
  <si>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</si>
  <si>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</si>
  <si>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</si>
  <si>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</si>
  <si>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</si>
  <si>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</si>
  <si>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</si>
  <si>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</si>
  <si>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</si>
  <si>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</si>
  <si>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</si>
  <si>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</si>
  <si>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</si>
  <si>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</si>
  <si>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</si>
  <si>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</si>
  <si>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</si>
  <si>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</si>
  <si>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</si>
  <si>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</si>
  <si>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</si>
  <si>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</si>
  <si>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</si>
  <si>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</si>
  <si>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</si>
  <si>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</si>
  <si>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</si>
  <si>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</si>
  <si>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</si>
  <si>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</si>
  <si>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</si>
  <si>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</si>
  <si>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</si>
  <si>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</si>
  <si>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</si>
  <si>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</si>
  <si>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</si>
  <si>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</si>
  <si>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</si>
  <si>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</si>
  <si>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</si>
  <si>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</si>
  <si>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</si>
  <si>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</si>
  <si>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</si>
  <si>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</si>
  <si>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</si>
  <si>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</si>
  <si>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</si>
  <si>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</si>
  <si>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</si>
  <si>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</si>
  <si>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</si>
  <si>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</si>
  <si>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</si>
  <si>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</si>
  <si>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</si>
  <si>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</si>
  <si>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</si>
  <si>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</si>
  <si>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</si>
  <si>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</si>
  <si>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</si>
  <si>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</si>
  <si>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</si>
  <si>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</si>
  <si>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</si>
  <si>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</si>
  <si>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</si>
  <si>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</si>
  <si>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</si>
  <si>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</si>
  <si>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</si>
  <si>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</si>
  <si>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</si>
  <si>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</si>
  <si>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</si>
  <si>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</si>
  <si>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</si>
  <si>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</si>
  <si>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</si>
  <si>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</si>
  <si>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</si>
  <si>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</si>
  <si>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</si>
  <si>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</si>
  <si>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</si>
  <si>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</si>
  <si>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</si>
  <si>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</si>
  <si>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</si>
  <si>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</si>
  <si>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</si>
  <si>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</si>
  <si>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</si>
  <si>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</si>
  <si>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</si>
  <si>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</si>
  <si>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</si>
  <si>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</si>
  <si>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</si>
  <si>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</si>
  <si>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</si>
  <si>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</si>
  <si>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</si>
  <si>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</si>
  <si>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</si>
  <si>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</si>
  <si>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</si>
  <si>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</si>
  <si>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</si>
  <si>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</si>
  <si>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</si>
  <si>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</si>
  <si>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</si>
  <si>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</si>
  <si>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</si>
  <si>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</si>
  <si>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</si>
  <si>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</si>
  <si>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</si>
  <si>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</si>
  <si>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</si>
  <si>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</si>
  <si>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</si>
  <si>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</si>
  <si>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</si>
  <si>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</si>
  <si>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</si>
  <si>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</si>
  <si>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</si>
  <si>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</si>
  <si>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</si>
  <si>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</si>
  <si>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</si>
  <si>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</si>
  <si>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</si>
  <si>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</si>
  <si>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</si>
  <si>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</si>
  <si>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</si>
  <si>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</si>
  <si>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</si>
  <si>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</si>
  <si>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</si>
  <si>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</si>
  <si>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</si>
  <si>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</si>
  <si>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</si>
  <si>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</si>
  <si>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</si>
  <si>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</si>
  <si>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</si>
  <si>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</si>
  <si>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</si>
  <si>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</si>
  <si>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</si>
  <si>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</si>
  <si>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</si>
  <si>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</si>
  <si>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</si>
  <si>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</si>
  <si>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</si>
  <si>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</si>
  <si>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</si>
  <si>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</si>
  <si>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</si>
  <si>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</si>
  <si>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</si>
  <si>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</si>
  <si>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</si>
  <si>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</si>
  <si>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</si>
  <si>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</si>
  <si>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</si>
  <si>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</si>
  <si>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</si>
  <si>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</si>
  <si>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</si>
  <si>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</si>
  <si>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</si>
  <si>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</si>
  <si>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</si>
  <si>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</si>
  <si>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</si>
  <si>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</si>
  <si>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</si>
  <si>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</si>
  <si>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</si>
  <si>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</si>
  <si>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</si>
  <si>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</si>
  <si>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</si>
  <si>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</si>
  <si>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</si>
  <si>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</si>
  <si>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</si>
  <si>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</si>
  <si>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</si>
  <si>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</si>
  <si>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</si>
  <si>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</si>
  <si>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</si>
  <si>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</si>
  <si>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</si>
  <si>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</si>
  <si>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</si>
  <si>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</si>
  <si>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</si>
  <si>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</si>
  <si>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</si>
  <si>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</si>
  <si>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</si>
  <si>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</si>
  <si>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</si>
  <si>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</si>
  <si>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</si>
  <si>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</si>
  <si>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</si>
  <si>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</si>
  <si>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</si>
  <si>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</si>
  <si>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</si>
  <si>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</si>
  <si>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</si>
  <si>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</si>
  <si>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</si>
  <si>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</si>
  <si>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</si>
  <si>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</si>
  <si>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</si>
  <si>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</si>
  <si>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</si>
  <si>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</si>
  <si>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</si>
  <si>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</si>
  <si>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</si>
  <si>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</si>
  <si>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</si>
  <si>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</si>
  <si>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</si>
  <si>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</si>
  <si>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</si>
  <si>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</si>
  <si>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</si>
  <si>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</si>
  <si>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</si>
  <si>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</si>
  <si>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</si>
  <si>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</si>
  <si>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</si>
  <si>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</si>
  <si>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</si>
  <si>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</si>
  <si>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</si>
  <si>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</si>
  <si>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</si>
  <si>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</si>
  <si>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</si>
  <si>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</si>
  <si>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</si>
  <si>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</si>
  <si>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</si>
  <si>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</si>
  <si>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</si>
  <si>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</si>
  <si>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</si>
  <si>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</si>
  <si>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</si>
  <si>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</si>
  <si>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</si>
  <si>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</si>
  <si>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</si>
  <si>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</si>
  <si>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</si>
  <si>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</si>
  <si>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</si>
  <si>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</si>
  <si>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</si>
  <si>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</si>
  <si>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</si>
  <si>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</si>
  <si>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</si>
  <si>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</si>
  <si>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</si>
  <si>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</si>
  <si>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</si>
  <si>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</si>
  <si>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</si>
  <si>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</si>
  <si>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</si>
  <si>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</si>
  <si>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</si>
  <si>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</si>
  <si>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</si>
  <si>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</si>
  <si>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</si>
  <si>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</si>
  <si>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</si>
  <si>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</si>
  <si>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</si>
  <si>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</si>
  <si>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</si>
  <si>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</si>
  <si>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</si>
  <si>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</si>
  <si>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</si>
  <si>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</si>
  <si>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</si>
  <si>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</si>
  <si>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</si>
  <si>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</si>
  <si>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</si>
  <si>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</si>
  <si>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</si>
  <si>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</si>
  <si>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</si>
  <si>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</si>
  <si>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</si>
  <si>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</si>
  <si>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</si>
  <si>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</si>
  <si>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</si>
  <si>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</si>
  <si>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</si>
  <si>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</si>
  <si>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</si>
  <si>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</si>
  <si>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</si>
  <si>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</si>
  <si>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</si>
  <si>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</si>
  <si>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</si>
  <si>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</si>
  <si>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</si>
  <si>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</si>
  <si>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</si>
  <si>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</si>
  <si>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</si>
  <si>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</si>
  <si>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</si>
  <si>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</si>
  <si>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</si>
  <si>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</si>
  <si>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</si>
  <si>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</si>
  <si>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</si>
  <si>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</si>
  <si>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</si>
  <si>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</si>
  <si>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</si>
  <si>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</si>
  <si>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</si>
  <si>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</si>
  <si>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</si>
  <si>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</si>
  <si>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</si>
  <si>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</si>
  <si>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</si>
  <si>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</si>
  <si>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</si>
  <si>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</si>
  <si>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</si>
  <si>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</si>
  <si>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</si>
  <si>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</si>
  <si>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</si>
  <si>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</si>
  <si>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</si>
  <si>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</si>
  <si>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</si>
  <si>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</si>
  <si>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</si>
  <si>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</si>
  <si>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</si>
  <si>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</si>
  <si>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</si>
  <si>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</si>
  <si>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</si>
  <si>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</si>
  <si>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</si>
  <si>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</si>
  <si>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</si>
  <si>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</si>
  <si>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</si>
  <si>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</si>
  <si>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</si>
  <si>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</si>
  <si>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</si>
  <si>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</si>
  <si>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</si>
  <si>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</si>
  <si>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</si>
  <si>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</si>
  <si>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</si>
  <si>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</si>
  <si>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</si>
  <si>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</si>
  <si>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</si>
  <si>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</si>
  <si>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</si>
  <si>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</si>
  <si>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</si>
  <si>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</si>
  <si>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</si>
  <si>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</si>
  <si>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</si>
  <si>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</si>
  <si>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</si>
  <si>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</si>
  <si>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</si>
  <si>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</si>
  <si>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</si>
  <si>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</si>
  <si>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</si>
  <si>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</si>
  <si>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</si>
  <si>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</si>
  <si>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</si>
  <si>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</si>
  <si>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</si>
  <si>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</si>
  <si>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</si>
  <si>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</si>
  <si>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</si>
  <si>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</si>
  <si>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</si>
  <si>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</si>
  <si>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</si>
  <si>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</si>
  <si>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</si>
  <si>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</si>
  <si>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</si>
  <si>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</si>
  <si>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</si>
  <si>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</si>
  <si>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</si>
  <si>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</si>
  <si>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</si>
  <si>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</si>
  <si>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</si>
  <si>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</si>
  <si>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</si>
  <si>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</si>
  <si>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</si>
  <si>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</si>
  <si>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</si>
  <si>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</si>
  <si>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</si>
  <si>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</si>
  <si>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</si>
  <si>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</si>
  <si>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</si>
  <si>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</si>
  <si>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</si>
  <si>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</si>
  <si>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</si>
  <si>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</si>
  <si>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</si>
  <si>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</si>
  <si>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</si>
  <si>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</si>
  <si>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</si>
  <si>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</si>
  <si>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</si>
  <si>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</si>
  <si>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</si>
  <si>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</si>
  <si>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</si>
  <si>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</si>
  <si>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</si>
  <si>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</si>
  <si>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</si>
  <si>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</si>
  <si>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</si>
  <si>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</si>
  <si>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</si>
  <si>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</si>
  <si>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</si>
  <si>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</si>
  <si>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</si>
  <si>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</si>
  <si>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</si>
  <si>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</si>
  <si>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</si>
  <si>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</si>
  <si>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</si>
  <si>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</si>
  <si>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</si>
  <si>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</si>
  <si>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</si>
  <si>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</si>
  <si>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</si>
  <si>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</si>
  <si>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</si>
  <si>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</si>
  <si>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</si>
  <si>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</si>
  <si>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</si>
  <si>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</si>
  <si>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</si>
  <si>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</si>
  <si>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</si>
  <si>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</si>
  <si>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</si>
  <si>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</si>
  <si>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</si>
  <si>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</si>
  <si>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</si>
  <si>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</si>
  <si>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</si>
  <si>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</si>
  <si>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</si>
  <si>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</si>
  <si>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</si>
  <si>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</si>
  <si>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</si>
  <si>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</si>
  <si>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</si>
  <si>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</si>
  <si>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</si>
  <si>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</si>
  <si>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</si>
  <si>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</si>
  <si>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</si>
  <si>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</si>
  <si>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</si>
  <si>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</si>
  <si>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</si>
  <si>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</si>
  <si>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</si>
  <si>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</si>
  <si>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</si>
  <si>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</si>
  <si>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</si>
  <si>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</si>
  <si>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</si>
  <si>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</si>
  <si>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</si>
  <si>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</si>
  <si>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</si>
  <si>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</si>
  <si>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</si>
  <si>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</si>
  <si>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</si>
  <si>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</si>
  <si>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</si>
  <si>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</si>
  <si>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</si>
  <si>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</si>
  <si>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</si>
  <si>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</si>
  <si>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</si>
  <si>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</si>
  <si>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</si>
  <si>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</si>
  <si>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</si>
  <si>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</si>
  <si>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</si>
  <si>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</si>
  <si>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</si>
  <si>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</si>
  <si>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</si>
  <si>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</si>
  <si>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</si>
  <si>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</si>
  <si>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</si>
  <si>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</si>
  <si>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</si>
  <si>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</si>
  <si>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</si>
  <si>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</si>
  <si>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</si>
  <si>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</si>
  <si>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</si>
  <si>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</si>
  <si>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</si>
  <si>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</si>
  <si>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</si>
  <si>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</si>
  <si>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</si>
  <si>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</si>
  <si>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</si>
  <si>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</si>
  <si>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</si>
  <si>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</si>
  <si>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</si>
  <si>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</si>
  <si>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</si>
  <si>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</si>
  <si>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</si>
  <si>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</si>
  <si>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</si>
  <si>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</si>
  <si>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</si>
  <si>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</si>
  <si>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</si>
  <si>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</si>
  <si>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</si>
  <si>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</si>
  <si>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</si>
  <si>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</si>
  <si>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</si>
  <si>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</si>
  <si>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</si>
  <si>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</si>
  <si>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</si>
  <si>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</si>
  <si>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</si>
  <si>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</si>
  <si>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</si>
  <si>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</si>
  <si>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</si>
  <si>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</si>
  <si>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</si>
  <si>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</si>
  <si>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</si>
  <si>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</si>
  <si>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</si>
  <si>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</si>
  <si>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</si>
  <si>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</si>
  <si>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</si>
  <si>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</si>
  <si>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</si>
  <si>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</si>
  <si>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</si>
  <si>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</si>
  <si>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</si>
  <si>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</si>
  <si>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</si>
  <si>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</si>
  <si>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</si>
  <si>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</si>
  <si>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</si>
  <si>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</si>
  <si>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</si>
  <si>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</si>
  <si>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</si>
  <si>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</si>
  <si>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</si>
  <si>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</si>
  <si>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</si>
  <si>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</si>
  <si>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</si>
  <si>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</si>
  <si>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</si>
  <si>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</si>
  <si>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</si>
  <si>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</si>
  <si>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</si>
  <si>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</si>
  <si>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</si>
  <si>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</si>
  <si>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</si>
  <si>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</si>
  <si>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</si>
  <si>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</si>
  <si>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</si>
  <si>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</si>
  <si>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</si>
  <si>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</si>
  <si>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</si>
  <si>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</si>
  <si>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</si>
  <si>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</si>
  <si>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</si>
  <si>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</si>
  <si>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</si>
  <si>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</si>
  <si>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</si>
  <si>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</si>
  <si>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</si>
  <si>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</si>
  <si>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</si>
  <si>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</si>
  <si>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</si>
  <si>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</si>
  <si>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</si>
  <si>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</si>
  <si>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</si>
  <si>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</si>
  <si>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</si>
  <si>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</si>
  <si>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</si>
  <si>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</si>
  <si>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</si>
  <si>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</si>
  <si>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</si>
  <si>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</si>
  <si>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</si>
  <si>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</si>
  <si>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</si>
  <si>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</si>
  <si>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</si>
  <si>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</si>
  <si>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</si>
  <si>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</si>
  <si>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</si>
  <si>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</si>
  <si>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</si>
  <si>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</si>
  <si>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</si>
  <si>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</si>
  <si>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</si>
  <si>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</si>
  <si>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</si>
  <si>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</si>
  <si>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</si>
  <si>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</si>
  <si>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</si>
  <si>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</si>
  <si>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</si>
  <si>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</si>
  <si>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</si>
  <si>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</si>
  <si>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</si>
  <si>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</si>
  <si>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</si>
  <si>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</si>
  <si>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</si>
  <si>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</si>
  <si>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</si>
  <si>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</si>
  <si>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</si>
  <si>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</si>
  <si>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</si>
  <si>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</si>
  <si>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</si>
  <si>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</si>
  <si>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</si>
  <si>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</si>
  <si>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</si>
  <si>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</si>
  <si>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</si>
  <si>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</si>
  <si>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</si>
  <si>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</si>
  <si>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</si>
  <si>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</si>
  <si>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</si>
  <si>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</si>
  <si>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</si>
  <si>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</si>
  <si>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</si>
  <si>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</si>
  <si>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</si>
  <si>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</si>
  <si>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</si>
  <si>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</si>
  <si>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</si>
  <si>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</si>
  <si>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</si>
  <si>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</si>
  <si>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</si>
  <si>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</si>
  <si>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</si>
  <si>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</si>
  <si>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</si>
  <si>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</si>
  <si>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</si>
  <si>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</si>
  <si>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</si>
  <si>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</si>
  <si>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</si>
  <si>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</si>
  <si>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</si>
  <si>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</si>
  <si>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</si>
  <si>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</si>
  <si>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</si>
  <si>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</si>
  <si>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</si>
  <si>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</si>
  <si>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</si>
  <si>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</si>
  <si>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</si>
  <si>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</si>
  <si>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</si>
  <si>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</si>
  <si>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</si>
  <si>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</si>
  <si>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</si>
  <si>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</si>
  <si>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</si>
  <si>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</si>
  <si>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</si>
  <si>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</si>
  <si>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</si>
  <si>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</si>
  <si>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</si>
  <si>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</si>
  <si>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</si>
  <si>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</si>
  <si>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</si>
  <si>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</si>
  <si>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</si>
  <si>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</si>
  <si>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</si>
  <si>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</si>
  <si>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</si>
  <si>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</si>
  <si>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</si>
  <si>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</si>
  <si>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</si>
  <si>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</si>
  <si>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</si>
  <si>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</si>
  <si>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</si>
  <si>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</si>
  <si>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</si>
  <si>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</si>
  <si>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</si>
  <si>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</si>
  <si>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</si>
  <si>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</si>
  <si>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</si>
  <si>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</si>
  <si>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</si>
  <si>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</si>
  <si>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</si>
  <si>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</si>
  <si>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</si>
  <si>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</si>
  <si>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</si>
  <si>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</si>
  <si>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</si>
  <si>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</si>
  <si>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</si>
  <si>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</si>
  <si>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</si>
  <si>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</si>
  <si>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</si>
  <si>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</si>
  <si>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</si>
  <si>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</si>
  <si>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</si>
  <si>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</si>
  <si>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</si>
  <si>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</si>
  <si>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</si>
  <si>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</si>
  <si>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</si>
  <si>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</si>
  <si>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</si>
  <si>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</si>
  <si>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</si>
  <si>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</si>
  <si>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</si>
  <si>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</si>
  <si>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</si>
  <si>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</si>
  <si>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</si>
  <si>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</si>
  <si>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</si>
  <si>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</si>
  <si>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</si>
  <si>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</si>
  <si>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</si>
  <si>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</si>
  <si>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</si>
  <si>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</si>
  <si>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</si>
  <si>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</si>
  <si>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</si>
  <si>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</si>
  <si>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</si>
  <si>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</si>
  <si>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</si>
  <si>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</si>
  <si>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</si>
  <si>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</si>
  <si>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</si>
  <si>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</si>
  <si>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</si>
  <si>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</si>
  <si>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</si>
  <si>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</si>
  <si>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</si>
  <si>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</si>
  <si>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</si>
  <si>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</si>
  <si>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</si>
  <si>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</si>
  <si>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</si>
  <si>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</si>
  <si>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</si>
  <si>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</si>
  <si>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</si>
  <si>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</si>
  <si>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</si>
  <si>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</si>
  <si>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</si>
  <si>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</si>
  <si>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</si>
  <si>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</si>
  <si>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</si>
  <si>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</si>
  <si>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</si>
  <si>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</si>
  <si>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</si>
  <si>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</si>
  <si>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</si>
  <si>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</si>
  <si>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</si>
  <si>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</si>
  <si>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</si>
  <si>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</si>
  <si>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</si>
  <si>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</si>
  <si>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</si>
  <si>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</si>
  <si>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</si>
  <si>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</si>
  <si>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</si>
  <si>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</si>
  <si>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</si>
  <si>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</si>
  <si>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</si>
  <si>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</si>
  <si>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</si>
  <si>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</si>
  <si>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</si>
  <si>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</si>
  <si>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</si>
  <si>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</si>
  <si>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</si>
  <si>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</si>
  <si>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</si>
  <si>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</si>
  <si>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</si>
  <si>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</si>
  <si>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</si>
  <si>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</si>
  <si>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</si>
  <si>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</si>
  <si>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</si>
  <si>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</si>
  <si>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</si>
  <si>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</si>
  <si>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</si>
  <si>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</si>
  <si>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</si>
  <si>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</si>
  <si>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</si>
  <si>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</si>
  <si>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</si>
  <si>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</si>
  <si>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</si>
  <si>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</si>
  <si>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</si>
  <si>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</si>
  <si>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</si>
  <si>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</si>
  <si>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</si>
  <si>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</si>
  <si>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</si>
  <si>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</si>
  <si>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</si>
  <si>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</si>
  <si>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</si>
  <si>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</si>
  <si>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</si>
  <si>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</si>
  <si>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</si>
  <si>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</si>
  <si>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</si>
  <si>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</si>
  <si>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</si>
  <si>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</si>
  <si>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</si>
  <si>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</si>
  <si>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</si>
  <si>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</si>
  <si>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</si>
  <si>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</si>
  <si>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</si>
  <si>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</si>
  <si>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</si>
  <si>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</si>
  <si>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</si>
  <si>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</si>
  <si>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</si>
  <si>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</si>
  <si>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</si>
  <si>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</si>
  <si>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</si>
  <si>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</si>
  <si>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</si>
  <si>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</si>
  <si>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</si>
  <si>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</si>
  <si>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</si>
  <si>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</si>
  <si>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</si>
  <si>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</si>
  <si>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</si>
  <si>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</si>
  <si>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</si>
  <si>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</si>
  <si>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</si>
  <si>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</si>
  <si>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</si>
  <si>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</si>
  <si>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</si>
  <si>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</si>
  <si>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</si>
  <si>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</si>
  <si>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</si>
  <si>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</si>
  <si>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</si>
  <si>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</si>
  <si>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</si>
  <si>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</si>
  <si>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</si>
  <si>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</si>
  <si>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</si>
  <si>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</si>
  <si>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</si>
  <si>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</si>
  <si>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</si>
  <si>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</si>
  <si>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</si>
  <si>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</si>
  <si>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</si>
  <si>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</si>
  <si>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</si>
  <si>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</si>
  <si>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</si>
  <si>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</si>
  <si>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</si>
  <si>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</si>
  <si>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</si>
  <si>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</si>
  <si>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</si>
  <si>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</si>
  <si>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</si>
  <si>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</si>
  <si>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</si>
  <si>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</si>
  <si>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</si>
  <si>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</si>
  <si>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</si>
  <si>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</si>
  <si>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</si>
  <si>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</si>
  <si>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</si>
  <si>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</si>
  <si>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</si>
  <si>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</si>
  <si>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</si>
  <si>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</si>
  <si>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</si>
  <si>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</si>
  <si>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</si>
  <si>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</si>
  <si>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</si>
  <si>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</si>
  <si>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</si>
  <si>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</si>
  <si>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</si>
  <si>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</si>
  <si>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</si>
  <si>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</si>
  <si>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</si>
  <si>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</si>
  <si>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</si>
  <si>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</si>
  <si>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</si>
  <si>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</si>
  <si>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</si>
  <si>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</si>
  <si>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</si>
  <si>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</si>
  <si>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</si>
  <si>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</si>
  <si>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</si>
  <si>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</si>
  <si>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</si>
  <si>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</si>
  <si>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</si>
  <si>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</si>
  <si>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</si>
  <si>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</si>
  <si>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</si>
  <si>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</si>
  <si>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</si>
  <si>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</si>
  <si>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</si>
  <si>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</si>
  <si>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</si>
  <si>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</si>
  <si>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</si>
  <si>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</si>
  <si>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</si>
  <si>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</si>
  <si>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</si>
  <si>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</si>
  <si>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</si>
  <si>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</si>
  <si>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</si>
  <si>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</si>
  <si>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</si>
  <si>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</si>
  <si>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</si>
  <si>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</si>
  <si>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</si>
  <si>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</si>
  <si>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</si>
  <si>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</si>
  <si>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</si>
  <si>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</si>
  <si>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</si>
  <si>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</si>
  <si>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</si>
  <si>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</si>
  <si>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</si>
  <si>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</si>
  <si>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</si>
  <si>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</si>
  <si>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</si>
  <si>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</si>
  <si>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</si>
  <si>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</si>
  <si>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</si>
  <si>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</si>
  <si>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</si>
  <si>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</si>
  <si>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</si>
  <si>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</si>
  <si>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</si>
  <si>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</si>
  <si>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</si>
  <si>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</si>
  <si>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</si>
  <si>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</si>
  <si>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</si>
  <si>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</si>
  <si>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</si>
  <si>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</si>
  <si>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</si>
  <si>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</si>
  <si>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</si>
  <si>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</si>
  <si>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</si>
  <si>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</si>
  <si>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</si>
  <si>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</si>
  <si>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</si>
  <si>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</si>
  <si>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</si>
  <si>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</si>
  <si>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</si>
  <si>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</si>
  <si>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</si>
  <si>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</si>
  <si>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</si>
  <si>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</si>
  <si>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</si>
  <si>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</si>
  <si>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</si>
  <si>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</si>
  <si>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</si>
  <si>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</si>
  <si>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</si>
  <si>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</si>
  <si>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</si>
  <si>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</si>
  <si>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</si>
  <si>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</si>
  <si>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</si>
  <si>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</si>
  <si>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</si>
  <si>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</si>
  <si>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</si>
  <si>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</si>
  <si>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</si>
  <si>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</si>
  <si>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</si>
  <si>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</si>
  <si>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</si>
  <si>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</si>
  <si>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</si>
  <si>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</si>
  <si>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</si>
  <si>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</si>
  <si>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</si>
  <si>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</si>
  <si>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</si>
  <si>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</si>
  <si>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</si>
  <si>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</si>
  <si>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</si>
  <si>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</si>
  <si>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</si>
  <si>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</si>
  <si>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</si>
  <si>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</si>
  <si>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</si>
  <si>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</si>
  <si>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</si>
  <si>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</si>
  <si>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</si>
  <si>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</si>
  <si>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</si>
  <si>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</si>
  <si>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</si>
  <si>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</si>
  <si>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</si>
  <si>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</si>
  <si>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</si>
  <si>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</si>
  <si>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</si>
  <si>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</si>
  <si>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</si>
  <si>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</si>
  <si>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</si>
  <si>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</si>
  <si>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</si>
  <si>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</si>
  <si>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</si>
  <si>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</si>
  <si>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</si>
  <si>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</si>
  <si>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</si>
  <si>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</si>
  <si>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</si>
  <si>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</si>
  <si>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</si>
  <si>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</si>
  <si>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</si>
  <si>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</si>
  <si>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</si>
  <si>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</si>
  <si>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</si>
  <si>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</si>
  <si>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</si>
  <si>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</si>
  <si>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</si>
  <si>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</si>
  <si>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</si>
  <si>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</si>
  <si>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</si>
  <si>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</si>
  <si>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</si>
  <si>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</si>
  <si>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</si>
  <si>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</si>
  <si>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</si>
  <si>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</si>
  <si>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</si>
  <si>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</si>
  <si>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</si>
  <si>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</si>
  <si>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</si>
  <si>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</si>
  <si>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</si>
  <si>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</si>
  <si>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</si>
  <si>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</si>
  <si>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</si>
  <si>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</si>
  <si>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</si>
  <si>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</si>
  <si>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</si>
  <si>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</si>
  <si>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</si>
  <si>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</si>
  <si>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</si>
  <si>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</si>
  <si>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</si>
  <si>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</si>
  <si>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</si>
  <si>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</si>
  <si>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</si>
  <si>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</si>
  <si>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</si>
  <si>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</si>
  <si>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</si>
  <si>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</si>
  <si>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</si>
  <si>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</si>
  <si>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</si>
  <si>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</si>
  <si>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</si>
  <si>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</si>
  <si>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</si>
  <si>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</si>
  <si>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</si>
  <si>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</si>
  <si>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</si>
  <si>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</si>
  <si>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</si>
  <si>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</si>
  <si>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</si>
  <si>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</si>
  <si>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</si>
  <si>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</si>
  <si>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</si>
  <si>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</si>
  <si>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</si>
  <si>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</si>
  <si>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</si>
  <si>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</si>
  <si>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</si>
  <si>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</si>
  <si>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</si>
  <si>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</si>
  <si>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</si>
  <si>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</si>
  <si>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</si>
  <si>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</si>
  <si>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</si>
  <si>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</si>
  <si>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</si>
  <si>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</si>
  <si>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</si>
  <si>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</si>
  <si>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</si>
  <si>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</si>
  <si>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</si>
  <si>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</si>
  <si>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</si>
  <si>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</si>
  <si>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</si>
  <si>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</si>
  <si>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</si>
  <si>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</si>
  <si>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</si>
  <si>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</si>
  <si>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</si>
  <si>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</si>
  <si>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</si>
  <si>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</si>
  <si>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</si>
  <si>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</si>
  <si>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</si>
  <si>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</si>
  <si>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</si>
  <si>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</si>
  <si>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</si>
  <si>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</si>
  <si>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</si>
  <si>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</si>
  <si>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</si>
  <si>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</si>
  <si>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</si>
  <si>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</si>
  <si>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</si>
  <si>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</si>
  <si>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</si>
  <si>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</si>
  <si>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</si>
  <si>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</si>
  <si>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</si>
  <si>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</si>
  <si>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</si>
  <si>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</si>
  <si>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</si>
  <si>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</si>
  <si>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</si>
  <si>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</si>
  <si>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</si>
  <si>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</si>
  <si>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</si>
  <si>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</si>
  <si>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</si>
  <si>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</si>
  <si>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</si>
  <si>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</si>
  <si>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</si>
  <si>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</si>
  <si>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</si>
  <si>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</si>
  <si>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</si>
  <si>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</si>
  <si>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</si>
  <si>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</si>
  <si>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</si>
  <si>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</si>
  <si>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</si>
  <si>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</si>
  <si>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</si>
  <si>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</si>
  <si>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</si>
  <si>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</si>
  <si>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</si>
  <si>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</si>
  <si>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</si>
  <si>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</si>
  <si>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</si>
  <si>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</si>
  <si>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</si>
  <si>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</si>
  <si>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</si>
  <si>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</si>
  <si>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</si>
  <si>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</si>
  <si>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</si>
  <si>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</si>
  <si>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</si>
  <si>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</si>
  <si>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</si>
  <si>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</si>
  <si>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</si>
  <si>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</si>
  <si>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</si>
  <si>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</si>
  <si>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</si>
  <si>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</si>
  <si>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</si>
  <si>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</si>
  <si>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</si>
  <si>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</si>
  <si>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</si>
  <si>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</si>
  <si>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</si>
  <si>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</si>
  <si>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</si>
  <si>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</si>
  <si>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</si>
  <si>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</si>
  <si>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</si>
  <si>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</si>
  <si>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</si>
  <si>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</si>
  <si>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</si>
  <si>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</si>
  <si>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</si>
  <si>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</si>
  <si>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</si>
  <si>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</si>
  <si>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</si>
  <si>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</si>
  <si>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</si>
  <si>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</si>
  <si>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</si>
  <si>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</si>
  <si>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</si>
  <si>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</si>
  <si>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</si>
  <si>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</si>
  <si>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</si>
  <si>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</si>
  <si>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</si>
  <si>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</si>
  <si>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</si>
  <si>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</si>
  <si>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</si>
  <si>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</si>
  <si>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</si>
  <si>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</si>
  <si>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</si>
  <si>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</si>
  <si>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</si>
  <si>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</si>
  <si>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</si>
  <si>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</si>
  <si>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</si>
  <si>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</si>
  <si>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</si>
  <si>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</si>
  <si>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</si>
  <si>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</si>
  <si>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</si>
  <si>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</si>
  <si>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</si>
  <si>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</si>
  <si>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</si>
  <si>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</si>
  <si>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</si>
  <si>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</si>
  <si>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</si>
  <si>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</si>
  <si>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</si>
  <si>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</si>
  <si>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</si>
  <si>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</si>
  <si>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</si>
  <si>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</si>
  <si>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</si>
  <si>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</si>
  <si>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</si>
  <si>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</si>
  <si>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</si>
  <si>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</si>
  <si>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</si>
  <si>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</si>
  <si>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</si>
  <si>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</si>
  <si>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</si>
  <si>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</si>
  <si>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</si>
  <si>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</si>
  <si>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</si>
  <si>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</si>
  <si>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</si>
  <si>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</si>
  <si>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</si>
  <si>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</si>
  <si>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</si>
  <si>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</si>
  <si>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</si>
  <si>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</si>
  <si>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</si>
  <si>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</si>
  <si>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</si>
  <si>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</si>
  <si>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</si>
  <si>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</si>
  <si>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</si>
  <si>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</si>
  <si>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</si>
  <si>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</si>
  <si>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</si>
  <si>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</si>
  <si>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</si>
  <si>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</si>
  <si>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</si>
  <si>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</si>
  <si>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</si>
  <si>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</si>
  <si>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</si>
  <si>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</si>
  <si>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</si>
  <si>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</si>
  <si>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</si>
  <si>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</si>
  <si>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</si>
  <si>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</si>
  <si>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</si>
  <si>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</si>
  <si>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</si>
  <si>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</si>
  <si>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</si>
  <si>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</si>
  <si>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</si>
  <si>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</si>
  <si>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</si>
  <si>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</si>
  <si>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</si>
  <si>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</si>
  <si>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</si>
  <si>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</si>
  <si>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</si>
  <si>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</si>
  <si>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</si>
  <si>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</si>
  <si>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</si>
  <si>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</si>
  <si>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</si>
  <si>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</si>
  <si>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</si>
  <si>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</si>
  <si>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</si>
  <si>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</si>
  <si>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</si>
  <si>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</si>
  <si>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</si>
  <si>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</si>
  <si>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</si>
  <si>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</si>
  <si>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</si>
  <si>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</si>
  <si>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</si>
  <si>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</si>
  <si>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</si>
  <si>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</si>
  <si>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</si>
  <si>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</si>
  <si>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</si>
  <si>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</si>
  <si>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</si>
  <si>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</si>
  <si>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</si>
  <si>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</si>
  <si>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</si>
  <si>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</si>
  <si>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</si>
  <si>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</si>
  <si>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</si>
  <si>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</si>
  <si>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</si>
  <si>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</si>
  <si>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</si>
  <si>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</si>
  <si>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</si>
  <si>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</si>
  <si>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</si>
  <si>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</si>
  <si>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</si>
  <si>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</si>
  <si>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</si>
  <si>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</si>
  <si>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</si>
  <si>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</si>
  <si>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</si>
  <si>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</si>
  <si>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</si>
  <si>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</si>
  <si>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</si>
  <si>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</si>
  <si>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</si>
  <si>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</si>
  <si>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</si>
  <si>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</si>
  <si>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</si>
  <si>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</si>
  <si>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</si>
  <si>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</si>
  <si>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</si>
  <si>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</si>
  <si>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</si>
  <si>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</si>
  <si>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</si>
  <si>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</si>
  <si>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</si>
  <si>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</si>
  <si>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</si>
  <si>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</si>
  <si>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</si>
  <si>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</si>
  <si>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</si>
  <si>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</si>
  <si>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</si>
  <si>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</si>
  <si>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</si>
  <si>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</si>
  <si>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</si>
  <si>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</si>
  <si>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</si>
  <si>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</si>
  <si>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</si>
  <si>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</si>
  <si>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</si>
  <si>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</si>
  <si>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</si>
  <si>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</si>
  <si>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</si>
  <si>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</si>
  <si>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</si>
  <si>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</si>
  <si>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</si>
  <si>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</si>
  <si>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</si>
  <si>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</si>
  <si>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</si>
  <si>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</si>
  <si>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</si>
  <si>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</si>
  <si>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</si>
  <si>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</si>
  <si>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</si>
  <si>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</si>
  <si>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</si>
  <si>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</si>
  <si>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</si>
  <si>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</si>
  <si>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</si>
  <si>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</si>
  <si>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</si>
  <si>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</si>
  <si>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</si>
  <si>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</si>
  <si>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</si>
  <si>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</si>
  <si>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</si>
  <si>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</si>
  <si>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</si>
  <si>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</si>
  <si>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</si>
  <si>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</si>
  <si>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</si>
  <si>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</si>
  <si>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</si>
  <si>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</si>
  <si>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</si>
  <si>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</si>
  <si>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</si>
  <si>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</si>
  <si>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</si>
  <si>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</si>
  <si>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</si>
  <si>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</si>
  <si>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</si>
  <si>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</si>
  <si>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</si>
  <si>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</si>
  <si>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</si>
  <si>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</si>
  <si>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</si>
  <si>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</si>
  <si>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</si>
  <si>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</si>
  <si>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</si>
  <si>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</si>
  <si>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</si>
  <si>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</si>
  <si>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</si>
  <si>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</si>
  <si>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</si>
  <si>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</si>
  <si>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</si>
  <si>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</si>
  <si>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</si>
  <si>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</si>
  <si>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</si>
  <si>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</si>
  <si>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</si>
  <si>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</si>
  <si>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</si>
  <si>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</si>
  <si>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</si>
  <si>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</si>
  <si>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</si>
  <si>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</si>
  <si>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</si>
  <si>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</si>
  <si>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</si>
  <si>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</si>
  <si>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</si>
  <si>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</si>
  <si>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</si>
  <si>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</si>
  <si>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</si>
  <si>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</si>
  <si>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</si>
  <si>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</si>
  <si>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</si>
  <si>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</si>
  <si>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</si>
  <si>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</si>
  <si>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</si>
  <si>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</si>
  <si>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</si>
  <si>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</si>
  <si>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</si>
  <si>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</si>
  <si>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</si>
  <si>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</si>
  <si>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</si>
  <si>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</si>
  <si>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</si>
  <si>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</si>
  <si>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</si>
  <si>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</si>
  <si>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</si>
  <si>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</si>
  <si>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</si>
  <si>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</si>
  <si>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</si>
  <si>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</si>
  <si>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</si>
  <si>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</si>
  <si>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</si>
  <si>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</si>
  <si>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</si>
  <si>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</si>
  <si>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</si>
  <si>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</si>
  <si>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</si>
  <si>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</si>
  <si>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</si>
  <si>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</si>
  <si>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</si>
  <si>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</si>
  <si>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</si>
  <si>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</si>
  <si>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</si>
  <si>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</si>
  <si>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</si>
  <si>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</si>
  <si>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</si>
  <si>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</si>
  <si>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</si>
  <si>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</si>
  <si>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</si>
  <si>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</si>
  <si>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</si>
  <si>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</si>
  <si>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</si>
  <si>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</si>
  <si>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</si>
  <si>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</si>
  <si>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</si>
  <si>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</si>
  <si>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</si>
  <si>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</si>
  <si>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</si>
  <si>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</si>
  <si>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</si>
  <si>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</si>
  <si>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</si>
  <si>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</si>
  <si>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</si>
  <si>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</si>
  <si>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</si>
  <si>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</si>
  <si>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</si>
  <si>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</si>
  <si>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</si>
  <si>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</si>
  <si>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</si>
  <si>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</si>
  <si>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</si>
  <si>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</si>
  <si>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</si>
  <si>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</si>
  <si>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</si>
  <si>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</si>
  <si>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</si>
  <si>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</si>
  <si>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</si>
  <si>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</si>
  <si>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</si>
  <si>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</si>
  <si>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</si>
  <si>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</si>
  <si>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</si>
  <si>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</si>
  <si>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</si>
  <si>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</si>
  <si>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</si>
  <si>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</si>
  <si>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</si>
  <si>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</si>
  <si>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</si>
  <si>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</si>
  <si>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</si>
  <si>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</si>
  <si>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</si>
  <si>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</si>
  <si>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</si>
  <si>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</si>
  <si>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</si>
  <si>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</si>
  <si>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</si>
  <si>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</si>
  <si>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</si>
  <si>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</si>
  <si>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</si>
  <si>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</si>
  <si>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</si>
  <si>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</si>
  <si>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</si>
  <si>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</si>
  <si>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</si>
  <si>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</si>
  <si>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</si>
  <si>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</si>
  <si>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</si>
  <si>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</si>
  <si>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</si>
  <si>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</si>
  <si>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</si>
  <si>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</si>
  <si>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</si>
  <si>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</si>
  <si>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</si>
  <si>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</si>
  <si>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</si>
  <si>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</si>
  <si>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</si>
  <si>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</si>
  <si>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</si>
  <si>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</si>
  <si>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</si>
  <si>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</si>
  <si>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</si>
  <si>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</si>
  <si>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</si>
  <si>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</si>
  <si>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</si>
  <si>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</si>
  <si>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</si>
  <si>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</si>
  <si>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</si>
  <si>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</si>
  <si>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</si>
  <si>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</si>
  <si>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</si>
  <si>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</si>
  <si>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</si>
  <si>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</si>
  <si>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</si>
  <si>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</si>
  <si>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</si>
  <si>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</si>
  <si>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</si>
  <si>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</si>
  <si>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</si>
  <si>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</si>
  <si>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</si>
  <si>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</si>
  <si>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</si>
  <si>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</si>
  <si>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</si>
  <si>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</si>
  <si>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</si>
  <si>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</si>
  <si>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</si>
  <si>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</si>
  <si>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</si>
  <si>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</si>
  <si>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</si>
  <si>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</si>
  <si>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</si>
  <si>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</si>
  <si>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</si>
  <si>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</si>
  <si>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</si>
  <si>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</si>
  <si>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</si>
  <si>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</si>
  <si>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</si>
  <si>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</si>
  <si>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</si>
  <si>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</si>
  <si>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</si>
  <si>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</si>
  <si>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</si>
  <si>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</si>
  <si>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</si>
  <si>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</si>
  <si>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</si>
  <si>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</si>
  <si>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</si>
  <si>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</si>
  <si>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</si>
  <si>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</si>
  <si>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</si>
  <si>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</si>
  <si>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</si>
  <si>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</si>
  <si>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</si>
  <si>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</si>
  <si>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</si>
  <si>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</si>
  <si>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</si>
  <si>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</si>
  <si>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</si>
  <si>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</si>
  <si>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</si>
  <si>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</si>
  <si>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</si>
  <si>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</si>
  <si>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</si>
  <si>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</si>
  <si>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</si>
  <si>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</si>
  <si>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</si>
  <si>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</si>
  <si>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</si>
  <si>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</si>
  <si>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</si>
  <si>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</si>
  <si>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</si>
  <si>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</si>
  <si>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</si>
  <si>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</si>
  <si>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</si>
  <si>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</si>
  <si>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</si>
  <si>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</si>
  <si>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</si>
  <si>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</si>
  <si>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</si>
  <si>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</si>
  <si>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</si>
  <si>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</si>
  <si>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</si>
  <si>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</si>
  <si>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</si>
  <si>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</si>
  <si>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</si>
  <si>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</si>
  <si>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</si>
  <si>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</si>
  <si>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</si>
  <si>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</si>
  <si>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</si>
  <si>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</si>
  <si>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</si>
  <si>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</si>
  <si>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</si>
  <si>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</si>
  <si>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</si>
  <si>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</si>
  <si>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</si>
  <si>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</si>
  <si>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</si>
  <si>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</si>
  <si>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</si>
  <si>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</si>
  <si>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</si>
  <si>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</si>
  <si>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</si>
  <si>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</si>
  <si>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</si>
  <si>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</si>
  <si>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</si>
  <si>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</si>
  <si>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</si>
  <si>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</si>
  <si>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</si>
  <si>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</si>
  <si>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</si>
  <si>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</si>
  <si>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</si>
  <si>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</si>
  <si>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</si>
  <si>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</si>
  <si>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</si>
  <si>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</si>
  <si>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</si>
  <si>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</si>
  <si>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</si>
  <si>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</si>
  <si>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</si>
  <si>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</si>
  <si>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</si>
  <si>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</si>
  <si>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</si>
  <si>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</si>
  <si>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</si>
  <si>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</si>
  <si>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</si>
  <si>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</si>
  <si>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</si>
  <si>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</si>
  <si>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</si>
  <si>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</si>
  <si>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</si>
  <si>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</si>
  <si>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</si>
  <si>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</si>
  <si>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</si>
  <si>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</si>
  <si>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</si>
  <si>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</si>
  <si>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</si>
  <si>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</si>
  <si>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</si>
  <si>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</si>
  <si>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</si>
  <si>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</si>
  <si>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</si>
  <si>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</si>
  <si>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</si>
  <si>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</si>
  <si>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</si>
  <si>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</si>
  <si>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</si>
  <si>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</si>
  <si>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</si>
  <si>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</si>
  <si>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</si>
  <si>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</si>
  <si>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</si>
  <si>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</si>
  <si>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</si>
  <si>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</si>
  <si>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</si>
  <si>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</si>
  <si>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</si>
  <si>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</si>
  <si>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</si>
  <si>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</si>
  <si>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</si>
  <si>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</si>
  <si>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</si>
  <si>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</si>
  <si>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</si>
  <si>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</si>
  <si>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</si>
  <si>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</si>
  <si>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</si>
  <si>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</si>
  <si>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</si>
  <si>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</si>
  <si>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</si>
  <si>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</si>
  <si>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</si>
  <si>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</si>
  <si>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</si>
  <si>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</si>
  <si>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</si>
  <si>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</si>
  <si>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</si>
  <si>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</si>
  <si>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</si>
  <si>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</si>
  <si>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</si>
  <si>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</si>
  <si>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</si>
  <si>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</si>
  <si>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</si>
  <si>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</si>
  <si>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</si>
  <si>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</si>
  <si>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</si>
  <si>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</si>
  <si>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</si>
  <si>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</si>
  <si>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</si>
  <si>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</si>
  <si>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</si>
  <si>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</si>
  <si>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</si>
  <si>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</si>
  <si>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</si>
  <si>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</si>
  <si>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</si>
  <si>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</si>
  <si>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</si>
  <si>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</si>
  <si>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</si>
  <si>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</si>
  <si>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</si>
  <si>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</si>
  <si>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</si>
  <si>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</si>
  <si>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</si>
  <si>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</si>
  <si>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</si>
  <si>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</si>
  <si>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</si>
  <si>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</si>
  <si>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</si>
  <si>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</si>
  <si>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</si>
  <si>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</si>
  <si>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</si>
  <si>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</si>
  <si>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</si>
  <si>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</si>
  <si>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</si>
  <si>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</si>
  <si>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</si>
  <si>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</si>
  <si>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</si>
  <si>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</si>
  <si>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</si>
  <si>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</si>
  <si>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</si>
  <si>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</si>
  <si>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</si>
  <si>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</si>
  <si>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</si>
  <si>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</si>
  <si>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</si>
  <si>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</si>
  <si>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</si>
  <si>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</si>
  <si>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</si>
  <si>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</si>
  <si>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</si>
  <si>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</si>
  <si>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</si>
  <si>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</si>
  <si>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</si>
  <si>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</si>
  <si>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</si>
  <si>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</si>
  <si>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</si>
  <si>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</si>
  <si>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</si>
  <si>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</si>
  <si>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</si>
  <si>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</si>
  <si>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</si>
  <si>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</si>
  <si>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</si>
  <si>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</si>
  <si>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</si>
  <si>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</si>
  <si>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</si>
  <si>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</si>
  <si>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</si>
  <si>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</si>
  <si>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</si>
  <si>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</si>
  <si>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</si>
  <si>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</si>
  <si>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</si>
  <si>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</si>
  <si>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</si>
  <si>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</si>
  <si>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</si>
  <si>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</si>
  <si>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</si>
  <si>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</si>
  <si>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</si>
  <si>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</si>
  <si>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</si>
  <si>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</si>
  <si>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</si>
  <si>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</si>
  <si>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</si>
  <si>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</si>
  <si>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</si>
  <si>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</si>
  <si>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</si>
  <si>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</si>
  <si>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</si>
  <si>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</si>
  <si>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</si>
  <si>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</si>
  <si>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</si>
  <si>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</si>
  <si>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</si>
  <si>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</si>
  <si>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</si>
  <si>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</si>
  <si>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</si>
  <si>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</si>
  <si>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</si>
  <si>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</si>
  <si>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</si>
  <si>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</si>
  <si>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</si>
  <si>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</si>
  <si>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</si>
  <si>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</si>
  <si>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</si>
  <si>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</si>
  <si>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</si>
  <si>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</si>
  <si>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</si>
  <si>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</si>
  <si>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</si>
  <si>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</si>
  <si>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</si>
  <si>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</si>
  <si>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</si>
  <si>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</si>
  <si>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</si>
  <si>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</si>
  <si>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</si>
  <si>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</si>
  <si>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</si>
  <si>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</si>
  <si>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</si>
  <si>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</si>
  <si>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</si>
  <si>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</si>
  <si>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</si>
  <si>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</si>
  <si>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</si>
  <si>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</si>
  <si>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</si>
  <si>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</si>
  <si>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</si>
  <si>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</si>
  <si>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</si>
  <si>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</si>
  <si>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</si>
  <si>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</si>
  <si>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</si>
  <si>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</si>
  <si>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</si>
  <si>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</si>
  <si>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</si>
  <si>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</si>
  <si>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</si>
  <si>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</si>
  <si>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</si>
  <si>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</si>
  <si>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</si>
  <si>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</si>
  <si>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</si>
  <si>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</si>
  <si>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</si>
  <si>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</si>
  <si>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</si>
  <si>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</si>
  <si>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</si>
  <si>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</si>
  <si>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</si>
  <si>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</si>
  <si>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</si>
  <si>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</si>
  <si>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</si>
  <si>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</si>
  <si>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</si>
  <si>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</si>
  <si>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</si>
  <si>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</si>
  <si>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</si>
  <si>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</si>
  <si>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</si>
  <si>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</si>
  <si>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</si>
  <si>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</si>
  <si>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</si>
  <si>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</si>
  <si>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</si>
  <si>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</si>
  <si>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</si>
  <si>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</si>
  <si>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</si>
  <si>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</si>
  <si>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</si>
  <si>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</si>
  <si>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</si>
  <si>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</si>
  <si>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</si>
  <si>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</si>
  <si>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</si>
  <si>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</si>
  <si>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</si>
  <si>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</si>
  <si>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</si>
  <si>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</si>
  <si>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</si>
  <si>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</si>
  <si>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</si>
  <si>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</si>
  <si>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</si>
  <si>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</si>
  <si>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</si>
  <si>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</si>
  <si>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</si>
  <si>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</si>
  <si>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</si>
  <si>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</si>
  <si>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</si>
  <si>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</si>
  <si>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</si>
  <si>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</si>
  <si>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</si>
  <si>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</si>
  <si>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</si>
  <si>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</si>
  <si>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</si>
  <si>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</si>
  <si>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</si>
  <si>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</si>
  <si>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</si>
  <si>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</si>
  <si>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</si>
  <si>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</si>
  <si>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</si>
  <si>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</si>
  <si>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</si>
  <si>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</si>
  <si>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</si>
  <si>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</si>
  <si>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</si>
  <si>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</si>
  <si>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</si>
  <si>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</si>
  <si>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</si>
  <si>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</si>
  <si>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</si>
  <si>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</si>
  <si>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</si>
  <si>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</si>
  <si>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</si>
  <si>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</si>
  <si>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</si>
  <si>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</si>
  <si>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</si>
  <si>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</si>
  <si>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</si>
  <si>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</si>
  <si>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</si>
  <si>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</si>
  <si>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</si>
  <si>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</si>
  <si>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</si>
  <si>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</si>
  <si>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</si>
  <si>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</si>
  <si>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</si>
  <si>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</si>
  <si>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</si>
  <si>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</si>
  <si>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</si>
  <si>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</si>
  <si>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</si>
  <si>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</si>
  <si>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</si>
  <si>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</si>
  <si>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</si>
  <si>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</si>
  <si>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</si>
  <si>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</si>
  <si>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</si>
  <si>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</si>
  <si>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</si>
  <si>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</si>
  <si>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</si>
  <si>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</si>
  <si>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</si>
  <si>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</si>
  <si>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</si>
  <si>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</si>
  <si>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</si>
  <si>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</si>
  <si>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</si>
  <si>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</si>
  <si>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</si>
  <si>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</si>
  <si>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</si>
  <si>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</si>
  <si>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</si>
  <si>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</si>
  <si>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</si>
  <si>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</si>
  <si>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</si>
  <si>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</si>
  <si>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</si>
  <si>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</si>
  <si>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</si>
  <si>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</si>
  <si>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</si>
  <si>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</si>
  <si>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</si>
  <si>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</si>
  <si>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</si>
  <si>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</si>
  <si>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</si>
  <si>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</si>
  <si>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</si>
  <si>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</si>
  <si>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</si>
  <si>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</si>
  <si>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</si>
  <si>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</si>
  <si>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</si>
  <si>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</si>
  <si>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</si>
  <si>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</si>
  <si>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</si>
  <si>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</si>
  <si>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</si>
  <si>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</si>
  <si>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</si>
  <si>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</si>
  <si>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</si>
  <si>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</si>
  <si>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</si>
  <si>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</si>
  <si>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</si>
  <si>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</si>
  <si>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</si>
  <si>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</si>
  <si>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</si>
  <si>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</si>
  <si>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</si>
  <si>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</si>
  <si>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</si>
  <si>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</si>
  <si>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</si>
  <si>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</si>
  <si>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</si>
  <si>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</si>
  <si>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</si>
  <si>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</si>
  <si>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</si>
  <si>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</si>
  <si>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</si>
  <si>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</si>
  <si>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</si>
  <si>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</si>
  <si>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</si>
  <si>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</si>
  <si>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</si>
  <si>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</si>
  <si>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</si>
  <si>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</si>
  <si>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</si>
  <si>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</si>
  <si>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</si>
  <si>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</si>
  <si>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</si>
  <si>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</si>
  <si>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</si>
  <si>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</si>
  <si>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</si>
  <si>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</si>
  <si>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</si>
  <si>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</si>
  <si>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</si>
  <si>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</si>
  <si>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</si>
  <si>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</si>
  <si>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</si>
  <si>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</si>
  <si>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</si>
  <si>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</si>
  <si>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</si>
  <si>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</si>
  <si>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</si>
  <si>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</si>
  <si>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</si>
  <si>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</si>
  <si>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</si>
  <si>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</si>
  <si>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</si>
  <si>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</si>
  <si>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</si>
  <si>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</si>
  <si>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</si>
  <si>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</si>
  <si>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</si>
  <si>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</si>
  <si>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</si>
  <si>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</si>
  <si>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</si>
  <si>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</si>
  <si>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</si>
  <si>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</si>
  <si>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</si>
  <si>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</si>
  <si>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</si>
  <si>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</si>
  <si>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</si>
  <si>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</si>
  <si>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</si>
  <si>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</si>
  <si>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</si>
  <si>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</si>
  <si>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</si>
  <si>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</si>
  <si>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</si>
  <si>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</si>
  <si>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</si>
  <si>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</si>
  <si>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</si>
  <si>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</si>
  <si>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</si>
  <si>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</si>
  <si>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</si>
  <si>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</si>
  <si>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</si>
  <si>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</si>
  <si>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</si>
  <si>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</si>
  <si>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</si>
  <si>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</si>
  <si>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</si>
  <si>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</si>
  <si>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</si>
  <si>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</si>
  <si>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</si>
  <si>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</si>
  <si>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</si>
  <si>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</si>
  <si>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</si>
  <si>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</si>
  <si>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</si>
  <si>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</si>
  <si>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</si>
  <si>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</si>
  <si>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</si>
  <si>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</si>
  <si>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</si>
  <si>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</si>
  <si>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</si>
  <si>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</si>
  <si>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</si>
  <si>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</si>
  <si>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</si>
  <si>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</si>
  <si>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</si>
  <si>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</si>
  <si>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</si>
  <si>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</si>
  <si>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</si>
  <si>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</si>
  <si>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</si>
  <si>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</si>
  <si>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</si>
  <si>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</si>
  <si>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</si>
  <si>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</si>
  <si>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</si>
  <si>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</si>
  <si>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</si>
  <si>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</si>
  <si>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</si>
  <si>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</si>
  <si>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</si>
  <si>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</si>
  <si>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</si>
  <si>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</si>
  <si>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</si>
  <si>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</si>
  <si>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</si>
  <si>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</si>
  <si>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</si>
  <si>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</si>
  <si>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</si>
  <si>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</si>
  <si>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</si>
  <si>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</si>
  <si>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</si>
  <si>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</si>
  <si>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</si>
  <si>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</si>
  <si>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</si>
  <si>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</si>
  <si>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</si>
  <si>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</si>
  <si>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</si>
  <si>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</si>
  <si>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</si>
  <si>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</si>
  <si>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</si>
  <si>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</si>
  <si>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</si>
  <si>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</si>
  <si>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</si>
  <si>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</si>
  <si>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</si>
  <si>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</si>
  <si>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</si>
  <si>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</si>
  <si>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</si>
  <si>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</si>
  <si>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</si>
  <si>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</si>
  <si>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</si>
  <si>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</si>
  <si>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</si>
  <si>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</si>
  <si>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</si>
  <si>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</si>
  <si>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</si>
  <si>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</si>
  <si>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</si>
  <si>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</si>
  <si>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</si>
  <si>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</si>
  <si>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</si>
  <si>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</si>
  <si>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</si>
  <si>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</si>
  <si>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</si>
  <si>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</si>
  <si>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</si>
  <si>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</si>
  <si>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</si>
  <si>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</si>
  <si>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</si>
  <si>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</si>
  <si>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</si>
  <si>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</si>
  <si>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</si>
  <si>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</si>
  <si>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</si>
  <si>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</si>
  <si>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</si>
  <si>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</si>
  <si>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</si>
  <si>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</si>
  <si>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</si>
  <si>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</si>
  <si>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</si>
  <si>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</si>
  <si>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</si>
  <si>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</si>
  <si>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</si>
  <si>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</si>
  <si>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</si>
  <si>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</si>
  <si>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</si>
  <si>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</si>
  <si>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</si>
  <si>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</si>
  <si>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</si>
  <si>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</si>
  <si>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</si>
  <si>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</si>
  <si>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</si>
  <si>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</si>
  <si>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</si>
  <si>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</si>
  <si>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</si>
  <si>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</si>
  <si>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</si>
  <si>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</si>
  <si>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</si>
  <si>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</si>
  <si>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</si>
  <si>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</si>
  <si>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</si>
  <si>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</si>
  <si>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</si>
  <si>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</si>
  <si>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</si>
  <si>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</si>
  <si>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</si>
  <si>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</si>
  <si>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</si>
  <si>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</si>
  <si>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</si>
  <si>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</si>
  <si>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</si>
  <si>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</si>
  <si>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</si>
  <si>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</si>
  <si>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</si>
  <si>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</si>
  <si>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</si>
  <si>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</si>
  <si>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</si>
  <si>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</si>
  <si>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</si>
  <si>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</si>
  <si>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</si>
  <si>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</si>
  <si>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</si>
  <si>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</si>
  <si>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</si>
  <si>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</si>
  <si>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</si>
  <si>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</si>
  <si>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</si>
  <si>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</si>
  <si>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</si>
  <si>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</si>
  <si>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</si>
  <si>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</si>
  <si>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</si>
  <si>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</si>
  <si>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</si>
  <si>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</si>
  <si>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</si>
  <si>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</si>
  <si>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</si>
  <si>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</si>
  <si>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</si>
  <si>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</si>
  <si>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</si>
  <si>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</si>
  <si>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</si>
  <si>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</si>
  <si>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</si>
  <si>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</si>
  <si>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</si>
  <si>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</si>
  <si>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</si>
  <si>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</si>
  <si>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</si>
  <si>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</si>
  <si>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</si>
  <si>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</si>
  <si>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</si>
  <si>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</si>
  <si>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</si>
  <si>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</si>
  <si>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</si>
  <si>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</si>
  <si>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</si>
  <si>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</si>
  <si>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</si>
  <si>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</si>
  <si>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</si>
  <si>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</si>
  <si>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</si>
  <si>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</si>
  <si>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</si>
  <si>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</si>
  <si>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</si>
  <si>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</si>
  <si>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</si>
  <si>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</si>
  <si>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</si>
  <si>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</si>
  <si>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</si>
  <si>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</si>
  <si>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</si>
  <si>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</si>
  <si>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</si>
  <si>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</si>
  <si>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</si>
  <si>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</si>
  <si>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</si>
  <si>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</si>
  <si>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</si>
  <si>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</si>
  <si>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</si>
  <si>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</si>
  <si>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</si>
  <si>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</si>
  <si>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</si>
  <si>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</si>
  <si>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</si>
  <si>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</si>
  <si>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</si>
  <si>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</si>
  <si>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</si>
  <si>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</si>
  <si>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</si>
  <si>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</si>
  <si>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</si>
  <si>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</si>
  <si>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</si>
  <si>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</si>
  <si>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</si>
  <si>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</si>
  <si>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</si>
  <si>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</si>
  <si>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</si>
  <si>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</si>
  <si>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</si>
  <si>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</si>
  <si>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</si>
  <si>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</si>
  <si>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</si>
  <si>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</si>
  <si>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</si>
  <si>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</si>
  <si>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</si>
  <si>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</si>
  <si>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</si>
  <si>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</si>
  <si>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</si>
  <si>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</si>
  <si>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</si>
  <si>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</si>
  <si>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</si>
  <si>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</si>
  <si>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</si>
  <si>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</si>
  <si>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</si>
  <si>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</si>
  <si>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</si>
  <si>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</si>
  <si>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</si>
  <si>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</si>
  <si>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</si>
  <si>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</si>
  <si>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</si>
  <si>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</si>
  <si>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</si>
  <si>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</si>
  <si>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</si>
  <si>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</si>
  <si>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</si>
  <si>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</si>
  <si>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</si>
  <si>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</si>
  <si>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</si>
  <si>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</si>
  <si>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</si>
  <si>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</si>
  <si>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</si>
  <si>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</si>
  <si>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</si>
  <si>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</si>
  <si>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</si>
  <si>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</si>
  <si>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</si>
  <si>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</si>
  <si>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</si>
  <si>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</si>
  <si>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</si>
  <si>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</si>
  <si>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</si>
  <si>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</si>
  <si>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</si>
  <si>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</si>
  <si>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</si>
  <si>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</si>
  <si>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</si>
  <si>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</si>
  <si>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</si>
  <si>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</si>
  <si>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</si>
  <si>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</si>
  <si>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</si>
  <si>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</si>
  <si>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</si>
  <si>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</si>
  <si>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</si>
  <si>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</si>
  <si>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</si>
  <si>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</si>
  <si>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</si>
  <si>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</si>
  <si>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</si>
  <si>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</si>
  <si>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</si>
  <si>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</si>
  <si>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</si>
  <si>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</si>
  <si>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</si>
  <si>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</si>
  <si>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</si>
  <si>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</si>
  <si>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</si>
  <si>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</si>
  <si>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</si>
  <si>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</si>
  <si>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</si>
  <si>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</si>
  <si>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</si>
  <si>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</si>
  <si>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</si>
  <si>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</si>
  <si>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</si>
  <si>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</si>
  <si>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</si>
  <si>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</si>
  <si>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</si>
  <si>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</si>
  <si>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</si>
  <si>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</si>
  <si>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</si>
  <si>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</si>
  <si>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</si>
  <si>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</si>
  <si>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</si>
  <si>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</si>
  <si>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</si>
  <si>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</si>
  <si>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</si>
  <si>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</si>
  <si>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</si>
  <si>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</si>
  <si>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</si>
  <si>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</si>
  <si>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</si>
  <si>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</si>
  <si>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</si>
  <si>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</si>
  <si>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</si>
  <si>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</si>
  <si>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</si>
  <si>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</si>
  <si>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</si>
  <si>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</si>
  <si>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</si>
  <si>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</si>
  <si>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</si>
  <si>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</si>
  <si>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</si>
  <si>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</si>
  <si>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</si>
  <si>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</si>
  <si>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</si>
  <si>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</si>
  <si>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</si>
  <si>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</si>
  <si>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</si>
  <si>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</si>
  <si>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</si>
  <si>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</si>
  <si>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</si>
  <si>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</si>
  <si>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</si>
  <si>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</si>
  <si>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</si>
  <si>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</si>
  <si>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</si>
  <si>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</si>
  <si>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</si>
  <si>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</si>
  <si>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</si>
  <si>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</si>
  <si>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</si>
  <si>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</si>
  <si>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</si>
  <si>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</si>
  <si>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</si>
  <si>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</si>
  <si>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</si>
  <si>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</si>
  <si>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</si>
  <si>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</si>
  <si>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</si>
  <si>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</si>
  <si>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</si>
  <si>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</si>
  <si>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</si>
  <si>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</si>
  <si>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</si>
  <si>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</si>
  <si>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</si>
  <si>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</si>
  <si>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</si>
  <si>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</si>
  <si>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</si>
  <si>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</si>
  <si>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</si>
  <si>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</si>
  <si>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</si>
  <si>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</si>
  <si>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</si>
  <si>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</si>
  <si>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</si>
  <si>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</si>
  <si>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</si>
  <si>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</si>
  <si>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</si>
  <si>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</si>
  <si>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</si>
  <si>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</si>
  <si>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</si>
  <si>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</si>
  <si>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</si>
  <si>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</si>
  <si>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</si>
  <si>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</si>
  <si>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</si>
  <si>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</si>
  <si>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</si>
  <si>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</si>
  <si>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</si>
  <si>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</si>
  <si>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</si>
  <si>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</si>
  <si>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</si>
  <si>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</si>
  <si>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</si>
  <si>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</si>
  <si>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</si>
  <si>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</si>
  <si>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</si>
  <si>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</si>
  <si>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</si>
  <si>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</si>
  <si>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</si>
  <si>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</si>
  <si>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</si>
  <si>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</si>
  <si>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</si>
  <si>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</si>
  <si>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</si>
  <si>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</si>
  <si>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</si>
  <si>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</si>
  <si>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</si>
  <si>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</si>
  <si>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</si>
  <si>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</si>
  <si>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</si>
  <si>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</si>
  <si>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</si>
  <si>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</si>
  <si>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</si>
  <si>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</si>
  <si>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</si>
  <si>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</si>
  <si>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</si>
  <si>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</si>
  <si>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</si>
  <si>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</si>
  <si>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</si>
  <si>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</si>
  <si>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</si>
  <si>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</si>
  <si>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</si>
  <si>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</si>
  <si>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</si>
  <si>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</si>
  <si>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</si>
  <si>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</si>
  <si>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</si>
  <si>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</si>
  <si>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</si>
  <si>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</si>
  <si>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</si>
  <si>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</si>
  <si>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</si>
  <si>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</si>
  <si>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</si>
  <si>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</si>
  <si>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</si>
  <si>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</si>
  <si>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</si>
  <si>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</si>
  <si>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</si>
  <si>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</si>
  <si>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</si>
  <si>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</si>
  <si>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</si>
  <si>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</si>
  <si>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</si>
  <si>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</si>
  <si>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</si>
  <si>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</si>
  <si>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</si>
  <si>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</si>
  <si>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</si>
  <si>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</si>
  <si>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</si>
  <si>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</si>
  <si>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</si>
  <si>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</si>
  <si>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</si>
  <si>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</si>
  <si>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</si>
  <si>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</si>
  <si>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</si>
  <si>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</si>
  <si>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</si>
  <si>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</si>
  <si>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</si>
  <si>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</si>
  <si>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</si>
  <si>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</si>
  <si>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</si>
  <si>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</si>
  <si>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</si>
  <si>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</si>
  <si>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</si>
  <si>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</si>
  <si>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</si>
  <si>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</si>
  <si>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</si>
  <si>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</si>
  <si>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</si>
  <si>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</si>
  <si>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</si>
  <si>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</si>
  <si>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</si>
  <si>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</si>
  <si>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</si>
  <si>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</si>
  <si>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</si>
  <si>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</si>
  <si>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</si>
  <si>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</si>
  <si>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</si>
  <si>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</si>
  <si>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</si>
  <si>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</si>
  <si>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</si>
  <si>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</si>
  <si>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</si>
  <si>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</si>
  <si>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</si>
  <si>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</si>
  <si>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</si>
  <si>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</si>
  <si>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</si>
  <si>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</si>
  <si>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</si>
  <si>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</si>
  <si>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</si>
  <si>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</si>
  <si>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</si>
  <si>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</si>
  <si>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</si>
  <si>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</si>
  <si>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</si>
  <si>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</si>
  <si>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</si>
  <si>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</si>
  <si>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</si>
  <si>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</si>
  <si>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</si>
  <si>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</si>
  <si>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</si>
  <si>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</si>
  <si>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</si>
  <si>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</si>
  <si>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</si>
  <si>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</si>
  <si>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</si>
  <si>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</si>
  <si>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</si>
  <si>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</si>
  <si>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</si>
  <si>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</si>
  <si>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</si>
  <si>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</si>
  <si>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</si>
  <si>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</si>
  <si>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</si>
  <si>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</si>
  <si>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</si>
  <si>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</si>
  <si>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</si>
  <si>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</si>
  <si>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</si>
  <si>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</si>
  <si>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</si>
  <si>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</si>
  <si>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</si>
  <si>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</si>
  <si>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</si>
  <si>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</si>
  <si>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</si>
  <si>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</si>
  <si>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</si>
  <si>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</si>
  <si>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</si>
  <si>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</si>
  <si>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</si>
  <si>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</si>
  <si>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</si>
  <si>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</si>
  <si>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</si>
  <si>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</si>
  <si>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</si>
  <si>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</si>
  <si>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</si>
  <si>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</si>
  <si>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</si>
  <si>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</si>
  <si>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</si>
  <si>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</si>
  <si>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</si>
  <si>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</si>
  <si>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</si>
  <si>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</si>
  <si>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</si>
  <si>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</si>
  <si>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</si>
  <si>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</si>
  <si>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</si>
  <si>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</si>
  <si>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</si>
  <si>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</si>
  <si>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</si>
  <si>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</si>
  <si>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</si>
  <si>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</si>
  <si>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</si>
  <si>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</si>
  <si>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</si>
  <si>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</si>
  <si>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</si>
  <si>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</si>
  <si>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</si>
  <si>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</si>
  <si>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</si>
  <si>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</si>
  <si>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</si>
  <si>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</si>
  <si>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</si>
  <si>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</si>
  <si>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</si>
  <si>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</si>
  <si>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</si>
  <si>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</si>
  <si>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</si>
  <si>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</si>
  <si>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</si>
  <si>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</si>
  <si>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</si>
  <si>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</si>
  <si>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</si>
  <si>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</si>
  <si>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</si>
  <si>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</si>
  <si>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</si>
  <si>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</si>
  <si>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</si>
  <si>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</si>
  <si>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</si>
  <si>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</si>
  <si>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</si>
  <si>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</si>
  <si>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</si>
  <si>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</si>
  <si>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</si>
  <si>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</si>
  <si>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</si>
  <si>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</si>
  <si>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</si>
  <si>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</si>
  <si>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</si>
  <si>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</si>
  <si>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</si>
  <si>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</si>
  <si>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</si>
  <si>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</si>
  <si>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</si>
  <si>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</si>
  <si>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</si>
  <si>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</si>
  <si>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</si>
  <si>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</si>
  <si>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</si>
  <si>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</si>
  <si>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</si>
  <si>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</si>
  <si>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</si>
  <si>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</si>
  <si>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</si>
  <si>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</si>
  <si>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</si>
  <si>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</si>
  <si>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</si>
  <si>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</si>
  <si>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</si>
  <si>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</si>
  <si>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</si>
  <si>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</si>
  <si>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</si>
  <si>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</si>
  <si>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</si>
  <si>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</si>
  <si>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</si>
  <si>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</si>
  <si>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</si>
  <si>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</si>
  <si>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</si>
  <si>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</si>
  <si>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</si>
  <si>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</si>
  <si>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</si>
  <si>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</si>
  <si>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</si>
  <si>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</si>
  <si>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</si>
  <si>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</si>
  <si>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</si>
  <si>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</si>
  <si>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</si>
  <si>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</si>
  <si>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</si>
  <si>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</si>
  <si>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</si>
  <si>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</si>
  <si>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</si>
  <si>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</si>
  <si>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</si>
  <si>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</si>
  <si>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</si>
  <si>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</si>
  <si>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</si>
  <si>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</si>
  <si>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</si>
  <si>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</si>
  <si>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</si>
  <si>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</si>
  <si>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</si>
  <si>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</si>
  <si>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</si>
  <si>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</si>
  <si>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</si>
  <si>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</si>
  <si>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</si>
  <si>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</si>
  <si>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</si>
  <si>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</si>
  <si>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</si>
  <si>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</si>
  <si>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</si>
  <si>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</si>
  <si>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</si>
  <si>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</si>
  <si>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</si>
  <si>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</si>
  <si>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</si>
  <si>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</si>
  <si>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</si>
  <si>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</si>
  <si>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</si>
  <si>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</si>
  <si>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</si>
  <si>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</si>
  <si>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</si>
  <si>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</si>
  <si>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</si>
  <si>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</si>
  <si>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</si>
  <si>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</si>
  <si>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</si>
  <si>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</si>
  <si>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</si>
  <si>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</si>
  <si>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</si>
  <si>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</si>
  <si>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</si>
  <si>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</si>
  <si>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</si>
  <si>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</si>
  <si>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</si>
  <si>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</si>
  <si>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</si>
  <si>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</si>
  <si>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</si>
  <si>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</si>
  <si>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</si>
  <si>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</si>
  <si>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</si>
  <si>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</si>
  <si>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</si>
  <si>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</si>
  <si>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</si>
  <si>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</si>
  <si>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</si>
  <si>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</si>
  <si>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</si>
  <si>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</si>
  <si>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</si>
  <si>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</si>
  <si>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</si>
  <si>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</si>
  <si>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</si>
  <si>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</si>
  <si>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</si>
  <si>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</si>
  <si>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</si>
  <si>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</si>
  <si>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</si>
  <si>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</si>
  <si>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</si>
  <si>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</si>
  <si>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</si>
  <si>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</si>
  <si>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</si>
  <si>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</si>
  <si>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</si>
  <si>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</si>
  <si>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</si>
  <si>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</si>
  <si>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</si>
  <si>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</si>
  <si>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</si>
  <si>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</si>
  <si>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</si>
  <si>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</si>
  <si>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</si>
  <si>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</si>
  <si>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</si>
  <si>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</si>
  <si>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</si>
  <si>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</si>
  <si>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</si>
  <si>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</si>
  <si>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</si>
  <si>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</si>
  <si>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</si>
  <si>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</si>
  <si>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</si>
  <si>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</si>
  <si>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</si>
  <si>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</si>
  <si>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</si>
  <si>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</si>
  <si>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</si>
  <si>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</si>
  <si>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</si>
  <si>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</si>
  <si>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</si>
  <si>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</si>
  <si>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</si>
  <si>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</si>
  <si>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</si>
  <si>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</si>
  <si>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</si>
  <si>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</si>
  <si>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</si>
  <si>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</si>
  <si>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</si>
  <si>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</si>
  <si>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</si>
  <si>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</si>
  <si>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</si>
  <si>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</si>
  <si>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</si>
  <si>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</si>
  <si>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</si>
  <si>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</si>
  <si>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</si>
  <si>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</si>
  <si>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</si>
  <si>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</si>
  <si>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</si>
  <si>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</si>
  <si>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</si>
  <si>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</si>
  <si>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</si>
  <si>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</si>
  <si>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</si>
  <si>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</si>
  <si>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</si>
  <si>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</si>
  <si>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</si>
  <si>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</si>
  <si>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</si>
  <si>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</si>
  <si>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</si>
  <si>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</si>
  <si>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</si>
  <si>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</si>
  <si>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</si>
  <si>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</si>
  <si>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</si>
  <si>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</si>
  <si>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</si>
  <si>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</si>
  <si>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</si>
  <si>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</si>
  <si>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</si>
  <si>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</si>
  <si>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</si>
  <si>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</si>
  <si>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</si>
  <si>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</si>
  <si>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</si>
  <si>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</si>
  <si>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</si>
  <si>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</si>
  <si>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</si>
  <si>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</si>
  <si>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</si>
  <si>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</si>
  <si>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</si>
  <si>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</si>
  <si>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</si>
  <si>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</si>
  <si>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</si>
  <si>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</si>
  <si>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</si>
  <si>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</si>
  <si>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</si>
  <si>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</si>
  <si>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</si>
  <si>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</si>
  <si>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</si>
  <si>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</si>
  <si>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</si>
  <si>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</si>
  <si>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</si>
  <si>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</si>
  <si>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</si>
  <si>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</si>
  <si>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</si>
  <si>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</si>
  <si>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</si>
  <si>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</si>
  <si>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</si>
  <si>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</si>
  <si>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</si>
  <si>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</si>
  <si>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</si>
  <si>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</si>
  <si>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</si>
  <si>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</si>
  <si>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</si>
  <si>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</si>
  <si>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</si>
  <si>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</si>
  <si>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</si>
  <si>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</si>
  <si>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</si>
  <si>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</si>
  <si>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</si>
  <si>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</si>
  <si>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</si>
  <si>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</si>
  <si>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</si>
  <si>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</si>
  <si>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</si>
  <si>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</si>
  <si>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</si>
  <si>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</si>
  <si>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</si>
  <si>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</si>
  <si>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</si>
  <si>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</si>
  <si>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</si>
  <si>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</si>
  <si>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</si>
  <si>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</si>
  <si>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</si>
  <si>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</si>
  <si>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</si>
  <si>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</si>
  <si>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</si>
  <si>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</si>
  <si>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</si>
  <si>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</si>
  <si>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</si>
  <si>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</si>
  <si>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</si>
  <si>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</si>
  <si>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</si>
  <si>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</si>
  <si>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</si>
  <si>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</si>
  <si>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</si>
  <si>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</si>
  <si>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</si>
  <si>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</si>
  <si>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</si>
  <si>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</si>
  <si>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</si>
  <si>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</si>
  <si>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</si>
  <si>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</si>
  <si>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</si>
  <si>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</si>
  <si>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</si>
  <si>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</si>
  <si>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</si>
  <si>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</si>
  <si>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</si>
  <si>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</si>
  <si>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</si>
  <si>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</si>
  <si>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</si>
  <si>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</si>
  <si>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</si>
  <si>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</si>
  <si>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</si>
  <si>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</si>
  <si>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</si>
  <si>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</si>
  <si>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</si>
  <si>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</si>
  <si>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</si>
  <si>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</si>
  <si>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</si>
  <si>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</si>
  <si>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</si>
  <si>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</si>
  <si>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</si>
  <si>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</si>
  <si>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</si>
  <si>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</si>
  <si>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</si>
  <si>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</si>
  <si>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</si>
  <si>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</si>
  <si>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</si>
  <si>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</si>
  <si>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</si>
  <si>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</si>
  <si>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</si>
  <si>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</si>
  <si>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</si>
  <si>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</si>
  <si>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</si>
  <si>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</si>
  <si>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</si>
  <si>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</si>
  <si>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</si>
  <si>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</si>
  <si>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</si>
  <si>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</si>
  <si>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</si>
  <si>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</si>
  <si>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</si>
  <si>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</si>
  <si>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</si>
  <si>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</si>
  <si>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</si>
  <si>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</si>
  <si>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</si>
  <si>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</si>
  <si>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</si>
  <si>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</si>
  <si>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</si>
  <si>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</si>
  <si>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</si>
  <si>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</si>
  <si>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</si>
  <si>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</si>
  <si>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</si>
  <si>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</si>
  <si>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</si>
  <si>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</si>
  <si>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</si>
  <si>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</si>
  <si>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</si>
  <si>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</si>
  <si>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</si>
  <si>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</si>
  <si>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</si>
  <si>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</si>
  <si>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</si>
  <si>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</si>
  <si>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</si>
  <si>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</si>
  <si>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</si>
  <si>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</si>
  <si>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</si>
  <si>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</si>
  <si>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</si>
  <si>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</si>
  <si>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</si>
  <si>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</si>
  <si>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</si>
  <si>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</si>
  <si>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</si>
  <si>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</si>
  <si>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</si>
  <si>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</si>
  <si>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</si>
  <si>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</si>
  <si>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</si>
  <si>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</si>
  <si>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</si>
  <si>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</si>
  <si>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</si>
  <si>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</si>
  <si>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</si>
  <si>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</si>
  <si>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</si>
  <si>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</si>
  <si>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</si>
  <si>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</si>
  <si>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</si>
  <si>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</si>
  <si>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</si>
  <si>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</si>
  <si>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</si>
  <si>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</si>
  <si>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</si>
  <si>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</si>
  <si>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</si>
  <si>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</si>
  <si>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</si>
  <si>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</si>
  <si>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</si>
  <si>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</si>
  <si>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</si>
  <si>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</si>
  <si>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</si>
  <si>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</si>
  <si>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</si>
  <si>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</si>
  <si>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</si>
  <si>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</si>
  <si>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</si>
  <si>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</si>
  <si>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</si>
  <si>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</si>
  <si>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</si>
  <si>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</si>
  <si>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</si>
  <si>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</si>
  <si>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</si>
  <si>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</si>
  <si>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</si>
  <si>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</si>
  <si>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</si>
  <si>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</si>
  <si>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</si>
  <si>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</si>
  <si>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</si>
  <si>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</si>
  <si>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</si>
  <si>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</si>
  <si>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</si>
  <si>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</si>
  <si>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</si>
  <si>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</si>
  <si>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</si>
  <si>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</si>
  <si>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</si>
  <si>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</si>
  <si>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</si>
  <si>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</si>
  <si>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</si>
  <si>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</si>
  <si>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</si>
  <si>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</si>
  <si>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</si>
  <si>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</si>
  <si>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</si>
  <si>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</si>
  <si>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</si>
  <si>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</si>
  <si>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</si>
  <si>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</si>
  <si>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</si>
  <si>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</si>
  <si>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</si>
  <si>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</si>
  <si>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</si>
  <si>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</si>
  <si>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</si>
  <si>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</si>
  <si>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</si>
  <si>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</si>
  <si>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</si>
  <si>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</si>
  <si>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</si>
  <si>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</si>
  <si>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</si>
  <si>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</si>
  <si>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</si>
  <si>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</si>
  <si>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</si>
  <si>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</si>
  <si>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</si>
  <si>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</si>
  <si>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</si>
  <si>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</si>
  <si>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</si>
  <si>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</si>
  <si>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</si>
  <si>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</si>
  <si>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</si>
  <si>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</si>
  <si>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</si>
  <si>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</si>
  <si>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</si>
  <si>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</si>
  <si>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</si>
  <si>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</si>
  <si>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</si>
  <si>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</si>
  <si>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</si>
  <si>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</si>
  <si>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</si>
  <si>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</si>
  <si>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</si>
  <si>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</si>
  <si>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</si>
  <si>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</si>
  <si>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</si>
  <si>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</si>
  <si>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</si>
  <si>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</si>
  <si>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</si>
  <si>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</si>
  <si>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</si>
  <si>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</si>
  <si>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</si>
  <si>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</si>
  <si>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</si>
  <si>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</si>
  <si>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</si>
  <si>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</si>
  <si>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</si>
  <si>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</si>
  <si>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</si>
  <si>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</si>
  <si>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</si>
  <si>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</si>
  <si>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</si>
  <si>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</si>
  <si>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</si>
  <si>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</si>
  <si>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</si>
  <si>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</si>
  <si>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</si>
  <si>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</si>
  <si>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</si>
  <si>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</si>
  <si>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</si>
  <si>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</si>
  <si>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</si>
  <si>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</si>
  <si>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</si>
  <si>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</si>
  <si>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</si>
  <si>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</si>
  <si>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</si>
  <si>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</si>
  <si>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</si>
  <si>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</si>
  <si>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</si>
  <si>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</si>
  <si>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</si>
  <si>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</si>
  <si>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</si>
  <si>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</si>
  <si>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</si>
  <si>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</si>
  <si>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</si>
  <si>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</si>
  <si>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</si>
  <si>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</si>
  <si>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</si>
  <si>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</si>
  <si>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</si>
  <si>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</si>
  <si>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</si>
  <si>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</si>
  <si>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</si>
  <si>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</si>
  <si>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</si>
  <si>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</si>
  <si>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</si>
  <si>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</si>
  <si>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</si>
  <si>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</si>
  <si>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</si>
  <si>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</si>
  <si>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</si>
  <si>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</si>
  <si>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</si>
  <si>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</si>
  <si>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</si>
  <si>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</si>
  <si>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</si>
  <si>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</si>
  <si>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</si>
  <si>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</si>
  <si>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</si>
  <si>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</si>
  <si>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</si>
  <si>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</si>
  <si>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</si>
  <si>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</si>
  <si>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</si>
  <si>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</si>
  <si>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</si>
  <si>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</si>
  <si>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</si>
  <si>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</si>
  <si>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</si>
  <si>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</si>
  <si>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</si>
  <si>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</si>
  <si>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</si>
  <si>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</si>
  <si>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</si>
  <si>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</si>
  <si>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</si>
  <si>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</si>
  <si>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</si>
  <si>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</si>
  <si>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</si>
  <si>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</si>
  <si>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</si>
  <si>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</si>
  <si>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</si>
  <si>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</si>
  <si>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</si>
  <si>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</si>
  <si>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</si>
  <si>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</si>
  <si>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</si>
  <si>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</si>
  <si>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</si>
  <si>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</si>
  <si>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</si>
  <si>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</si>
  <si>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</si>
  <si>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</si>
  <si>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</si>
  <si>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</si>
  <si>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</si>
  <si>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</si>
  <si>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</si>
  <si>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</si>
  <si>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</si>
  <si>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</si>
  <si>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</si>
  <si>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</si>
  <si>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</si>
  <si>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</si>
  <si>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</si>
  <si>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</si>
  <si>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</si>
  <si>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</si>
  <si>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</si>
  <si>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</si>
  <si>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</si>
  <si>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</si>
  <si>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</si>
  <si>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</si>
  <si>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</si>
  <si>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</si>
  <si>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</si>
  <si>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</si>
  <si>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</si>
  <si>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</si>
  <si>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</si>
  <si>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</si>
  <si>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</si>
  <si>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</si>
  <si>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</si>
  <si>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</si>
  <si>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</si>
  <si>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</si>
  <si>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</si>
  <si>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</si>
  <si>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</si>
  <si>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</si>
  <si>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</si>
  <si>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</si>
  <si>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</si>
  <si>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</si>
  <si>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</si>
  <si>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</si>
  <si>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</si>
  <si>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</si>
  <si>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</si>
  <si>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</si>
  <si>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</si>
  <si>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</si>
  <si>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</si>
  <si>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</si>
  <si>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</si>
  <si>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</si>
  <si>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</si>
  <si>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</si>
  <si>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</si>
  <si>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</si>
  <si>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</si>
  <si>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</si>
  <si>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</si>
  <si>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</si>
  <si>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</si>
  <si>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</si>
  <si>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</si>
  <si>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</si>
  <si>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</si>
  <si>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</si>
  <si>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</si>
  <si>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</si>
  <si>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</si>
  <si>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</si>
  <si>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</si>
  <si>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</si>
  <si>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</si>
  <si>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</si>
  <si>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</si>
  <si>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</si>
  <si>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</si>
  <si>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</si>
  <si>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</si>
  <si>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</si>
  <si>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</si>
  <si>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</si>
  <si>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</si>
  <si>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</si>
  <si>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</si>
  <si>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</si>
  <si>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</si>
  <si>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</si>
  <si>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</si>
  <si>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</si>
  <si>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</si>
  <si>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</si>
  <si>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</si>
  <si>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</si>
  <si>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</si>
  <si>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</si>
  <si>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</si>
  <si>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</si>
  <si>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</si>
  <si>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</si>
  <si>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</si>
  <si>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</si>
  <si>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</si>
  <si>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</si>
  <si>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</si>
  <si>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</si>
  <si>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</si>
  <si>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</si>
  <si>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</si>
  <si>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</si>
  <si>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</si>
  <si>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</si>
  <si>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</si>
  <si>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</si>
  <si>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</si>
  <si>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</si>
  <si>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</si>
  <si>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</si>
  <si>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</si>
  <si>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</si>
  <si>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</si>
  <si>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</si>
  <si>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</si>
  <si>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</si>
  <si>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</si>
  <si>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</si>
  <si>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</si>
  <si>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</si>
  <si>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</si>
  <si>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</si>
  <si>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</si>
  <si>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</si>
  <si>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</si>
  <si>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</si>
  <si>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</si>
  <si>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</si>
  <si>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</si>
  <si>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</si>
  <si>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</si>
  <si>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</si>
  <si>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</si>
  <si>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</si>
  <si>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</si>
  <si>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</si>
  <si>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</si>
  <si>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</si>
  <si>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</si>
  <si>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</si>
  <si>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</si>
  <si>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</si>
  <si>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</si>
  <si>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</si>
  <si>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</si>
  <si>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</si>
  <si>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</si>
  <si>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</si>
  <si>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</si>
  <si>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</si>
  <si>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</si>
  <si>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</si>
  <si>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</si>
  <si>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</si>
  <si>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</si>
  <si>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</si>
  <si>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</si>
  <si>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</si>
  <si>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</si>
  <si>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</si>
  <si>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</si>
  <si>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</si>
  <si>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</si>
  <si>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</si>
  <si>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</si>
  <si>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</si>
  <si>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</si>
  <si>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</si>
  <si>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</si>
  <si>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</si>
  <si>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</si>
  <si>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</si>
  <si>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</si>
  <si>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</si>
  <si>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</si>
  <si>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</si>
  <si>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</si>
  <si>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</si>
  <si>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</si>
  <si>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</si>
  <si>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</si>
  <si>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</si>
  <si>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</si>
  <si>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</si>
  <si>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</si>
  <si>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</si>
  <si>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</si>
  <si>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</si>
  <si>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</si>
  <si>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</si>
  <si>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</si>
  <si>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</si>
  <si>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</si>
  <si>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</si>
  <si>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</si>
  <si>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</si>
  <si>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</si>
  <si>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</si>
  <si>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</si>
  <si>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</si>
  <si>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</si>
  <si>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</si>
  <si>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</si>
  <si>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</si>
  <si>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</si>
  <si>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</si>
  <si>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</si>
  <si>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</si>
  <si>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</si>
  <si>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</si>
  <si>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</si>
  <si>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</si>
  <si>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</si>
  <si>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</si>
  <si>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</si>
  <si>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</si>
  <si>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</si>
  <si>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</si>
  <si>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</si>
  <si>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</si>
  <si>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</si>
  <si>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</si>
  <si>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</si>
  <si>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</si>
  <si>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</si>
  <si>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</si>
  <si>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</si>
  <si>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</si>
  <si>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</si>
  <si>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</si>
  <si>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</si>
  <si>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</si>
  <si>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</si>
  <si>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</si>
  <si>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</si>
  <si>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</si>
  <si>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</si>
  <si>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</si>
  <si>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</si>
  <si>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</si>
  <si>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</si>
  <si>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</si>
  <si>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</si>
  <si>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</si>
  <si>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</si>
  <si>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</si>
  <si>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</si>
  <si>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</si>
  <si>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</si>
  <si>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</si>
  <si>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</si>
  <si>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</si>
  <si>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</si>
  <si>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</si>
  <si>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</si>
  <si>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</si>
  <si>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</si>
  <si>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</si>
  <si>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</si>
  <si>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</si>
  <si>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</si>
  <si>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</si>
  <si>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</si>
  <si>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</si>
  <si>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</si>
  <si>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</si>
  <si>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</si>
  <si>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</si>
  <si>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</si>
  <si>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</si>
  <si>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</si>
  <si>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</si>
  <si>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</si>
  <si>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</si>
  <si>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</si>
  <si>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</si>
  <si>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</si>
  <si>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</si>
  <si>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</si>
  <si>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</si>
  <si>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</si>
  <si>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</si>
  <si>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</si>
  <si>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</si>
  <si>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</si>
  <si>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</si>
  <si>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</si>
  <si>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</si>
  <si>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</si>
  <si>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</si>
  <si>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</si>
  <si>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</si>
  <si>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</si>
  <si>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</si>
  <si>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</si>
  <si>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</si>
  <si>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</si>
  <si>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</si>
  <si>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</si>
  <si>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</si>
  <si>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</si>
  <si>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</si>
  <si>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</si>
  <si>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</si>
  <si>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</si>
  <si>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</si>
  <si>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</si>
  <si>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</si>
  <si>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</si>
  <si>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</si>
  <si>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</si>
  <si>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</si>
  <si>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</si>
  <si>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</si>
  <si>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</si>
  <si>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</si>
  <si>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</si>
  <si>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</si>
  <si>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</si>
  <si>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</si>
  <si>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</si>
  <si>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</si>
  <si>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</si>
  <si>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</si>
  <si>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</si>
  <si>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</si>
  <si>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</si>
  <si>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</si>
  <si>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</si>
  <si>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</si>
  <si>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</si>
  <si>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</si>
  <si>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</si>
  <si>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</si>
  <si>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</si>
  <si>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</si>
  <si>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</si>
  <si>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</si>
  <si>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</si>
  <si>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</si>
  <si>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</si>
  <si>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</si>
  <si>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</si>
  <si>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</si>
  <si>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</si>
  <si>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</si>
  <si>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</si>
  <si>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</si>
  <si>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</si>
  <si>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</si>
  <si>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</si>
  <si>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</si>
  <si>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</si>
  <si>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</si>
  <si>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</si>
  <si>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</si>
  <si>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</si>
  <si>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</si>
  <si>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</si>
  <si>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</si>
  <si>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</si>
  <si>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</si>
  <si>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</si>
  <si>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</si>
  <si>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</si>
  <si>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</si>
  <si>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</si>
  <si>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</si>
  <si>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</si>
  <si>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</si>
  <si>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</si>
  <si>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</si>
  <si>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</si>
  <si>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</si>
  <si>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</si>
  <si>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</si>
  <si>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</si>
  <si>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</si>
  <si>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</si>
  <si>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</si>
  <si>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</si>
  <si>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</si>
  <si>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</si>
  <si>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</si>
  <si>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</si>
  <si>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</si>
  <si>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</si>
  <si>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</si>
  <si>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</si>
  <si>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</si>
  <si>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</si>
  <si>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</si>
  <si>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</si>
  <si>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</si>
  <si>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</si>
  <si>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</si>
  <si>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</si>
  <si>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</si>
  <si>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</si>
  <si>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</si>
  <si>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</si>
  <si>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</si>
  <si>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</si>
  <si>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</si>
  <si>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</si>
  <si>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</si>
  <si>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</si>
  <si>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</si>
  <si>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</si>
  <si>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</si>
  <si>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</si>
  <si>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</si>
  <si>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</si>
  <si>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</si>
  <si>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</si>
  <si>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</si>
  <si>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</si>
  <si>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</si>
  <si>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</si>
  <si>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</si>
  <si>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</si>
  <si>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</si>
  <si>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</si>
  <si>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</si>
  <si>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</si>
  <si>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</si>
  <si>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</si>
  <si>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</si>
  <si>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</si>
  <si>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</si>
  <si>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</si>
  <si>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</si>
  <si>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</si>
  <si>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</si>
  <si>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</si>
  <si>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</si>
  <si>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</si>
  <si>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</si>
  <si>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</si>
  <si>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</si>
  <si>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</si>
  <si>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</si>
  <si>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</si>
  <si>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</si>
  <si>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</si>
  <si>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</si>
  <si>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</si>
  <si>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</si>
  <si>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</si>
  <si>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</si>
  <si>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</si>
  <si>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</si>
  <si>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</si>
  <si>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</si>
  <si>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</si>
  <si>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</si>
  <si>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</si>
  <si>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</si>
  <si>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</si>
  <si>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</si>
  <si>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</si>
  <si>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</si>
  <si>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</si>
  <si>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</si>
  <si>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</si>
  <si>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</si>
  <si>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</si>
  <si>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</si>
  <si>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</si>
  <si>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</si>
  <si>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</si>
  <si>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</si>
  <si>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</si>
  <si>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</si>
  <si>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</si>
  <si>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</si>
  <si>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</si>
  <si>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</si>
  <si>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</si>
  <si>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</si>
  <si>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</si>
  <si>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</si>
  <si>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</si>
  <si>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</si>
  <si>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</si>
  <si>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</si>
  <si>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</si>
  <si>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</si>
  <si>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</si>
  <si>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</si>
  <si>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</si>
  <si>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</si>
  <si>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</si>
  <si>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</si>
  <si>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</si>
  <si>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</si>
  <si>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</si>
  <si>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</si>
  <si>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</si>
  <si>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</si>
  <si>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</si>
  <si>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</si>
  <si>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</si>
  <si>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</si>
  <si>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</si>
  <si>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</si>
  <si>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</si>
  <si>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</si>
  <si>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</si>
  <si>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</si>
  <si>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</si>
  <si>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</si>
  <si>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</si>
  <si>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</si>
  <si>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</si>
  <si>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</si>
  <si>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</si>
  <si>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</si>
  <si>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</si>
  <si>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</si>
  <si>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</si>
  <si>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</si>
  <si>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</si>
  <si>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</si>
  <si>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</si>
  <si>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</si>
  <si>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</si>
  <si>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</si>
  <si>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</si>
  <si>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</si>
  <si>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</si>
  <si>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</si>
  <si>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</si>
  <si>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</si>
  <si>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</si>
  <si>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</si>
  <si>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</si>
  <si>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</si>
  <si>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</si>
  <si>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</si>
  <si>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</si>
  <si>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</si>
  <si>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</si>
  <si>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</si>
  <si>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</si>
  <si>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</si>
  <si>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</si>
  <si>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</si>
  <si>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</si>
  <si>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</si>
  <si>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</si>
  <si>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</si>
  <si>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</si>
  <si>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</si>
  <si>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</si>
  <si>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</si>
  <si>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</si>
  <si>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</si>
  <si>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</si>
  <si>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</si>
  <si>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</si>
  <si>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</si>
  <si>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</si>
  <si>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</si>
  <si>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</si>
  <si>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</si>
  <si>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</si>
  <si>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</si>
  <si>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</si>
  <si>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</si>
  <si>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</si>
  <si>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</si>
  <si>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</si>
  <si>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</si>
  <si>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</si>
  <si>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</si>
  <si>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</si>
  <si>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</si>
  <si>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</si>
  <si>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</si>
  <si>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</si>
  <si>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</si>
  <si>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</si>
  <si>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</si>
  <si>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</si>
  <si>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</si>
  <si>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</si>
  <si>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</si>
  <si>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</si>
  <si>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</si>
  <si>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</si>
  <si>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</si>
  <si>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</si>
  <si>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</si>
  <si>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</si>
  <si>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</si>
  <si>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</si>
  <si>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</si>
  <si>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</si>
  <si>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</si>
  <si>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</si>
  <si>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</si>
  <si>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</si>
  <si>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</si>
  <si>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</si>
  <si>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</si>
  <si>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</si>
  <si>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</si>
  <si>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</si>
  <si>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</si>
  <si>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</si>
  <si>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</si>
  <si>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</si>
  <si>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</si>
  <si>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</si>
  <si>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</si>
  <si>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</si>
  <si>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</si>
  <si>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</si>
  <si>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</si>
  <si>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</si>
  <si>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</si>
  <si>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</si>
  <si>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</si>
  <si>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</si>
  <si>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</si>
  <si>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</si>
  <si>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</si>
  <si>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</si>
  <si>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</si>
  <si>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</si>
  <si>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</si>
  <si>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</si>
  <si>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</si>
  <si>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</si>
  <si>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</si>
  <si>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</si>
  <si>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</si>
  <si>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</si>
  <si>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</si>
  <si>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</si>
  <si>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</si>
  <si>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</si>
  <si>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</si>
  <si>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</si>
  <si>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</si>
  <si>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</si>
  <si>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</si>
  <si>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</si>
  <si>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</si>
  <si>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</si>
  <si>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</si>
  <si>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</si>
  <si>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</si>
  <si>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</si>
  <si>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</si>
  <si>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</si>
  <si>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</si>
  <si>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</si>
  <si>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</si>
  <si>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</si>
  <si>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</si>
  <si>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</si>
  <si>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</si>
  <si>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</si>
  <si>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</si>
  <si>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</si>
  <si>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</si>
  <si>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</si>
  <si>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</si>
  <si>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</si>
  <si>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</si>
  <si>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</si>
  <si>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</si>
  <si>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</si>
  <si>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</si>
  <si>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</si>
  <si>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</si>
  <si>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</si>
  <si>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</si>
  <si>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</si>
  <si>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</si>
  <si>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</si>
  <si>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</si>
  <si>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</si>
  <si>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</si>
  <si>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</si>
  <si>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</si>
  <si>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</si>
  <si>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</si>
  <si>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</si>
  <si>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</si>
  <si>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</si>
  <si>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</si>
  <si>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</si>
  <si>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</si>
  <si>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</si>
  <si>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</si>
  <si>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</si>
  <si>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</si>
  <si>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</si>
  <si>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</si>
  <si>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</si>
  <si>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</si>
  <si>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</si>
  <si>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</si>
  <si>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</si>
  <si>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</si>
  <si>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</si>
  <si>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</si>
  <si>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</si>
  <si>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</si>
  <si>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</si>
  <si>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</si>
  <si>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</si>
  <si>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</si>
  <si>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</si>
  <si>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</si>
  <si>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</si>
  <si>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</si>
  <si>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</si>
  <si>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</si>
  <si>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</si>
  <si>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</si>
  <si>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</si>
  <si>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</si>
  <si>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</si>
  <si>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</si>
  <si>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</si>
  <si>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</si>
  <si>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</si>
  <si>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</si>
  <si>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</si>
  <si>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</si>
  <si>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</si>
  <si>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</si>
  <si>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</si>
  <si>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</si>
  <si>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</si>
  <si>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Бейсболка с прямым козырьком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</si>
  <si>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</si>
  <si>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</si>
  <si>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</si>
  <si>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</si>
  <si>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</si>
  <si>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</si>
  <si>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60% хлопок - 40% полиэстер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</si>
  <si>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</si>
  <si>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</si>
  <si>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</si>
  <si>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</si>
  <si>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</si>
  <si>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</si>
  <si>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</si>
  <si>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</si>
  <si>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</si>
  <si>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</si>
  <si>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</si>
  <si>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</si>
  <si>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</si>
  <si>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</si>
  <si>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</si>
  <si>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</si>
  <si>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</si>
  <si>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</si>
  <si>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</si>
  <si>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</si>
  <si>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</si>
  <si>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</si>
  <si>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</si>
  <si>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</si>
  <si>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</si>
  <si>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</si>
  <si>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</si>
  <si>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</si>
  <si>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</si>
  <si>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</si>
  <si>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</si>
  <si>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</si>
  <si>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</si>
  <si>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</si>
  <si>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</si>
  <si>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</si>
  <si>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</si>
  <si>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</si>
  <si>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</si>
  <si>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</si>
  <si>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</si>
  <si>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</si>
  <si>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</si>
  <si>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</si>
  <si>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</si>
  <si>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</si>
  <si>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</si>
  <si>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</si>
  <si>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</si>
  <si>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</si>
  <si>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</si>
  <si>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</si>
  <si>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</si>
  <si>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</si>
  <si>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</si>
  <si>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</si>
  <si>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</si>
  <si>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</si>
  <si>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</si>
  <si>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</si>
  <si>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</si>
  <si>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</si>
  <si>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</si>
  <si>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</si>
  <si>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</si>
  <si>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</si>
  <si>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</si>
  <si>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</si>
  <si>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</si>
  <si>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</si>
  <si>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</si>
  <si>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</si>
  <si>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</si>
  <si>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</si>
  <si>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</si>
  <si>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</si>
  <si>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</si>
  <si>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</si>
  <si>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</si>
  <si>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</si>
  <si>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</si>
  <si>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</si>
  <si>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</si>
  <si>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</si>
  <si>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</si>
  <si>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</si>
  <si>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</si>
  <si>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</si>
  <si>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</si>
  <si>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</si>
  <si>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</si>
  <si>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</si>
  <si>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</si>
  <si>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</si>
  <si>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</si>
  <si>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</si>
  <si>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</si>
  <si>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</si>
  <si>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</si>
  <si>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</si>
  <si>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</si>
  <si>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</si>
  <si>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</si>
  <si>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</si>
  <si>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</si>
  <si>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</si>
  <si>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</si>
  <si>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</si>
  <si>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</si>
  <si>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</si>
  <si>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</si>
  <si>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</si>
  <si>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</si>
  <si>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</si>
  <si>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</si>
  <si>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</si>
  <si>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</si>
  <si>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</si>
  <si>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</si>
  <si>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</si>
  <si>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</si>
  <si>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</si>
  <si>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</si>
  <si>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</si>
  <si>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</si>
  <si>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</si>
  <si>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</si>
  <si>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</si>
  <si>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</si>
  <si>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</si>
  <si>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</si>
  <si>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</si>
  <si>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</si>
  <si>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</si>
  <si>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</si>
  <si>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</si>
  <si>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</si>
  <si>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</si>
  <si>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</si>
  <si>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</si>
  <si>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</si>
  <si>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</si>
  <si>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</si>
  <si>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</si>
  <si>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</si>
  <si>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</si>
  <si>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</si>
  <si>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</si>
  <si>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</si>
  <si>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</si>
  <si>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</si>
  <si>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</si>
  <si>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</si>
  <si>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</si>
  <si>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</si>
  <si>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</si>
  <si>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</si>
  <si>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</si>
  <si>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</si>
  <si>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</si>
  <si>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</si>
  <si>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</si>
  <si>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</si>
  <si>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</si>
  <si>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</si>
  <si>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</si>
  <si>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</si>
  <si>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</si>
  <si>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</si>
  <si>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</si>
  <si>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</si>
  <si>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</si>
  <si>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</si>
  <si>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</si>
  <si>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</si>
  <si>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</si>
  <si>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</si>
  <si>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</si>
  <si>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</si>
  <si>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</si>
  <si>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</si>
  <si>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</si>
  <si>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</si>
  <si>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</si>
  <si>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</si>
  <si>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</si>
  <si>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</si>
  <si>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</si>
  <si>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</si>
  <si>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</si>
  <si>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</si>
  <si>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</si>
  <si>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</si>
  <si>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</si>
  <si>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</si>
  <si>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</si>
  <si>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</si>
  <si>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</si>
  <si>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</si>
  <si>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</si>
  <si>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</si>
  <si>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</si>
  <si>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</si>
  <si>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</si>
  <si>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</si>
  <si>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</si>
  <si>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</si>
  <si>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</si>
  <si>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</si>
  <si>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</si>
  <si>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</si>
  <si>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</si>
  <si>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</si>
  <si>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</si>
  <si>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</si>
  <si>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</si>
  <si>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</si>
  <si>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</si>
  <si>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</si>
  <si>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</si>
  <si>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</si>
  <si>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</si>
  <si>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</si>
  <si>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</si>
  <si>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</si>
  <si>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</si>
  <si>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</si>
  <si>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</si>
  <si>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</si>
  <si>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</si>
  <si>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</si>
  <si>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</si>
  <si>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</si>
  <si>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</si>
  <si>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</si>
  <si>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</si>
  <si>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</si>
  <si>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</si>
  <si>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</si>
  <si>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</si>
  <si>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</si>
  <si>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</si>
  <si>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</si>
  <si>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</si>
  <si>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</si>
  <si>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</si>
  <si>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</si>
  <si>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</si>
  <si>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</si>
  <si>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</si>
  <si>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</si>
  <si>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</si>
  <si>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</si>
  <si>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</si>
  <si>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</si>
  <si>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</si>
  <si>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</si>
  <si>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</si>
  <si>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</si>
  <si>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</si>
  <si>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</si>
  <si>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</si>
  <si>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</si>
  <si>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</si>
  <si>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</si>
  <si>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</si>
  <si>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</si>
  <si>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</si>
  <si>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</si>
  <si>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</si>
  <si>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</si>
  <si>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</si>
  <si>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</si>
  <si>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</si>
  <si>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</si>
  <si>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</si>
  <si>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</si>
  <si>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</si>
  <si>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</si>
  <si>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</si>
  <si>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</si>
  <si>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</si>
  <si>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</si>
  <si>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</si>
  <si>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</si>
  <si>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</si>
  <si>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</si>
  <si>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</si>
  <si>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</si>
  <si>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</si>
  <si>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</si>
  <si>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</si>
  <si>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</si>
  <si>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</si>
  <si>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</si>
  <si>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</si>
  <si>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</si>
  <si>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</si>
  <si>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</si>
  <si>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</si>
  <si>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</si>
  <si>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</si>
  <si>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</si>
  <si>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</si>
  <si>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</si>
  <si>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</si>
  <si>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</si>
  <si>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</si>
  <si>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</si>
  <si>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</si>
  <si>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</si>
  <si>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</si>
  <si>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</si>
  <si>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</si>
  <si>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</si>
  <si>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</si>
  <si>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</si>
  <si>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</si>
  <si>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</si>
  <si>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</si>
  <si>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</si>
  <si>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</si>
  <si>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</si>
  <si>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</si>
  <si>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</si>
  <si>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</si>
  <si>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</si>
  <si>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</si>
  <si>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</si>
  <si>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</si>
  <si>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</si>
  <si>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</si>
  <si>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</si>
  <si>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</si>
  <si>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</si>
  <si>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</si>
  <si>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</si>
  <si>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</si>
  <si>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</si>
  <si>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</si>
  <si>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</si>
  <si>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</si>
  <si>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</si>
  <si>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</si>
  <si>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</si>
  <si>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</si>
  <si>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</si>
  <si>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</si>
  <si>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</si>
  <si>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</si>
  <si>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</si>
  <si>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</si>
  <si>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</si>
  <si>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</si>
  <si>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</si>
  <si>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</si>
  <si>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</si>
  <si>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</si>
  <si>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</si>
  <si>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</si>
  <si>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</si>
  <si>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</si>
  <si>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</si>
  <si>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</si>
  <si>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</si>
  <si>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</si>
  <si>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</si>
  <si>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</si>
  <si>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</si>
  <si>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</si>
  <si>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</si>
  <si>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</si>
  <si>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</si>
  <si>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</si>
  <si>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</si>
  <si>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</si>
  <si>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</si>
  <si>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</si>
  <si>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</si>
  <si>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</si>
  <si>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</si>
  <si>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</si>
  <si>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</si>
  <si>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</si>
  <si>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</si>
  <si>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</si>
  <si>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</si>
  <si>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</si>
  <si>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</si>
  <si>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</si>
  <si>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</si>
  <si>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</si>
  <si>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</si>
  <si>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</si>
  <si>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</si>
  <si>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</si>
  <si>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</si>
  <si>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</si>
  <si>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</si>
  <si>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</si>
  <si>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</si>
  <si>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</si>
  <si>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</si>
  <si>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</si>
  <si>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</si>
  <si>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</si>
  <si>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</si>
  <si>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</si>
  <si>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</si>
  <si>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</si>
  <si>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</si>
  <si>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</si>
  <si>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</si>
  <si>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</si>
  <si>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</si>
  <si>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</si>
  <si>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</si>
  <si>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</si>
  <si>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</si>
  <si>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</si>
  <si>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</si>
  <si>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</si>
  <si>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</si>
  <si>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</si>
  <si>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</si>
  <si>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</si>
  <si>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</si>
  <si>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</si>
  <si>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</si>
  <si>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</si>
  <si>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</si>
  <si>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</si>
  <si>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</si>
  <si>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</si>
  <si>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</si>
  <si>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</si>
  <si>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</si>
  <si>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</si>
  <si>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</si>
  <si>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</si>
  <si>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</si>
  <si>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</si>
  <si>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</si>
  <si>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</si>
  <si>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</si>
  <si>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</si>
  <si>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</si>
  <si>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</si>
  <si>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</si>
  <si>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</si>
  <si>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</si>
  <si>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</si>
  <si>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</si>
  <si>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</si>
  <si>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</si>
  <si>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</si>
  <si>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</si>
  <si>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</si>
  <si>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</si>
  <si>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</si>
  <si>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</si>
  <si>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</si>
  <si>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</si>
  <si>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</si>
  <si>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</si>
  <si>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</si>
  <si>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</si>
  <si>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</si>
  <si>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</si>
  <si>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</si>
  <si>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</si>
  <si>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</si>
  <si>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</si>
  <si>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</si>
  <si>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</si>
  <si>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</si>
  <si>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</si>
  <si>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</si>
  <si>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</si>
  <si>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</si>
  <si>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</si>
  <si>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</si>
  <si>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</si>
  <si>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</si>
  <si>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</si>
  <si>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</si>
  <si>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</si>
  <si>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</si>
  <si>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</si>
  <si>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</si>
  <si>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</si>
  <si>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</si>
  <si>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</si>
  <si>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</si>
  <si>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</si>
  <si>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</si>
  <si>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</si>
  <si>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</si>
  <si>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</si>
  <si>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</si>
  <si>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</si>
  <si>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</si>
  <si>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</si>
  <si>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</si>
  <si>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</si>
  <si>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</si>
  <si>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</si>
  <si>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</si>
  <si>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</si>
  <si>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</si>
  <si>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</si>
  <si>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</si>
  <si>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</si>
  <si>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</si>
  <si>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</si>
  <si>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</si>
  <si>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</si>
  <si>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</si>
  <si>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</si>
  <si>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</si>
  <si>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</si>
  <si>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</si>
  <si>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</si>
  <si>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</si>
  <si>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</si>
  <si>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</si>
  <si>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</si>
  <si>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</si>
  <si>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</si>
  <si>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</si>
  <si>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</si>
  <si>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</si>
  <si>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</si>
  <si>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</si>
  <si>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</si>
  <si>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</si>
  <si>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</si>
  <si>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</si>
  <si>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</si>
  <si>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</si>
  <si>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</si>
  <si>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</si>
  <si>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</si>
  <si>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</si>
  <si>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</si>
  <si>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</si>
  <si>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</si>
  <si>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</si>
  <si>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</si>
  <si>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</si>
  <si>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</si>
  <si>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</si>
  <si>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</si>
  <si>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</si>
  <si>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</si>
  <si>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</si>
  <si>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</si>
  <si>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</si>
  <si>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</si>
  <si>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</si>
  <si>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</si>
  <si>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</si>
  <si>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</si>
  <si>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</si>
  <si>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</si>
  <si>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</si>
  <si>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</si>
  <si>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</si>
  <si>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</si>
  <si>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</si>
  <si>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</si>
  <si>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</si>
  <si>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</si>
  <si>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</si>
  <si>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</si>
  <si>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</si>
  <si>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</si>
  <si>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</si>
  <si>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</si>
  <si>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</si>
  <si>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</si>
  <si>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</si>
  <si>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</si>
  <si>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</si>
  <si>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</si>
  <si>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</si>
  <si>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</si>
  <si>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</si>
  <si>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</si>
  <si>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</si>
  <si>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</si>
  <si>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</si>
  <si>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</si>
  <si>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</si>
  <si>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</si>
  <si>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</si>
  <si>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</si>
  <si>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</si>
  <si>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</si>
  <si>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</si>
  <si>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</si>
  <si>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</si>
  <si>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</si>
  <si>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</si>
  <si>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</si>
  <si>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</si>
  <si>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</si>
  <si>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</si>
  <si>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</si>
  <si>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</si>
  <si>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</si>
  <si>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</si>
  <si>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</si>
  <si>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</si>
  <si>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</si>
  <si>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</si>
  <si>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</si>
  <si>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</si>
  <si>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</si>
  <si>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</si>
  <si>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</si>
  <si>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</si>
  <si>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</si>
  <si>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</si>
  <si>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</si>
  <si>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</si>
  <si>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</si>
  <si>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</si>
  <si>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</si>
  <si>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</si>
  <si>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</si>
  <si>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</si>
  <si>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</si>
  <si>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</si>
  <si>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</si>
  <si>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</si>
  <si>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</si>
  <si>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</si>
  <si>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</si>
  <si>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</si>
  <si>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</si>
  <si>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</si>
  <si>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</si>
  <si>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</si>
  <si>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</si>
  <si>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</si>
  <si>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</si>
  <si>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</si>
  <si>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</si>
  <si>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</si>
  <si>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</si>
  <si>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</si>
  <si>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</si>
  <si>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</si>
  <si>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</si>
  <si>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</si>
  <si>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</si>
  <si>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</si>
  <si>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</si>
  <si>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</si>
  <si>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</si>
  <si>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</si>
  <si>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</si>
  <si>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</si>
  <si>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</si>
  <si>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</si>
  <si>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</si>
  <si>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</si>
  <si>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</si>
  <si>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</si>
  <si>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</si>
  <si>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</si>
  <si>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</si>
  <si>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</si>
  <si>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</si>
  <si>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</si>
  <si>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</si>
  <si>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</si>
  <si>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</si>
  <si>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</si>
  <si>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</si>
  <si>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</si>
  <si>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</si>
  <si>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</si>
  <si>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</si>
  <si>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</si>
  <si>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</si>
  <si>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</si>
  <si>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</si>
  <si>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</si>
  <si>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</si>
  <si>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</si>
  <si>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</si>
  <si>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</si>
  <si>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</si>
  <si>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</si>
  <si>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</si>
  <si>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</si>
  <si>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</si>
  <si>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</si>
  <si>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</si>
  <si>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</si>
  <si>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</si>
  <si>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</si>
  <si>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</si>
  <si>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</si>
  <si>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</si>
  <si>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</si>
  <si>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</si>
  <si>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</si>
  <si>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</si>
  <si>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</si>
  <si>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</si>
  <si>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</si>
  <si>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</si>
  <si>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</si>
  <si>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</si>
  <si>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</si>
  <si>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</si>
  <si>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</si>
  <si>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</si>
  <si>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</si>
  <si>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</si>
  <si>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</si>
  <si>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</si>
  <si>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</si>
  <si>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</si>
  <si>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</si>
  <si>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</si>
  <si>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</si>
  <si>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</si>
  <si>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</si>
  <si>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</si>
  <si>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</si>
  <si>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</si>
  <si>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</si>
  <si>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</si>
  <si>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</si>
  <si>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</si>
  <si>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</si>
  <si>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</si>
  <si>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</si>
  <si>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</si>
  <si>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</si>
  <si>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</si>
  <si>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</si>
  <si>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</si>
  <si>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</si>
  <si>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</si>
  <si>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</si>
  <si>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</si>
  <si>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</si>
  <si>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</si>
  <si>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</si>
  <si>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</si>
  <si>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</si>
  <si>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</si>
  <si>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</si>
  <si>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</si>
  <si>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</si>
  <si>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</si>
  <si>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</si>
  <si>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</si>
  <si>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</si>
  <si>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</si>
  <si>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</si>
  <si>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</si>
  <si>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</si>
  <si>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</si>
  <si>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</si>
  <si>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</si>
  <si>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</si>
  <si>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</si>
  <si>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</si>
  <si>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</si>
  <si>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</si>
  <si>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</si>
  <si>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</si>
  <si>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</si>
  <si>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</si>
  <si>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</si>
  <si>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</si>
  <si>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</si>
  <si>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</si>
  <si>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</si>
  <si>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</si>
  <si>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</si>
  <si>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</si>
  <si>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</si>
  <si>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</si>
  <si>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</si>
  <si>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</si>
  <si>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</si>
  <si>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</si>
  <si>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</si>
  <si>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</si>
  <si>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</si>
  <si>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</si>
  <si>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</si>
  <si>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</si>
  <si>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</si>
  <si>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</si>
  <si>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</si>
  <si>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</si>
  <si>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</si>
  <si>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</si>
  <si>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</si>
  <si>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</si>
  <si>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</si>
  <si>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</si>
  <si>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</si>
  <si>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</si>
  <si>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</si>
  <si>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</si>
  <si>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</si>
  <si>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</si>
  <si>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</si>
  <si>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</si>
  <si>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</si>
  <si>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</si>
  <si>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</si>
  <si>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</si>
  <si>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</si>
  <si>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</si>
  <si>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</si>
  <si>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</si>
  <si>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</si>
  <si>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</si>
  <si>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</si>
  <si>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</si>
  <si>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</si>
  <si>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</si>
  <si>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</si>
  <si>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</si>
  <si>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</si>
  <si>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</si>
  <si>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</si>
  <si>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</si>
  <si>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</si>
  <si>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</si>
  <si>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</si>
  <si>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</si>
  <si>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</si>
  <si>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</si>
  <si>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</si>
  <si>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</si>
  <si>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</si>
  <si>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</si>
  <si>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</si>
  <si>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</si>
  <si>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</si>
  <si>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</si>
  <si>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</si>
  <si>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</si>
  <si>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</si>
  <si>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</si>
  <si>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</si>
  <si>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</si>
  <si>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</si>
  <si>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</si>
  <si>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</si>
  <si>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</si>
  <si>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</si>
  <si>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</si>
  <si>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</si>
  <si>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</si>
  <si>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</si>
  <si>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</si>
  <si>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</si>
  <si>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</si>
  <si>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</si>
  <si>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</si>
  <si>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</si>
  <si>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</si>
  <si>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</si>
  <si>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</si>
  <si>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</si>
  <si>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</si>
  <si>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</si>
  <si>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</si>
  <si>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</si>
  <si>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</si>
  <si>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</si>
  <si>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</si>
  <si>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</si>
  <si>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</si>
  <si>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</si>
  <si>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</si>
  <si>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</si>
  <si>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</si>
  <si>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</si>
  <si>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</si>
  <si>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</si>
  <si>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</si>
  <si>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</si>
  <si>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</si>
  <si>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</si>
  <si>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</si>
  <si>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</si>
  <si>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</si>
  <si>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</si>
  <si>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</si>
  <si>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</si>
  <si>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</si>
  <si>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</si>
  <si>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</si>
  <si>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</si>
  <si>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</si>
  <si>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</si>
  <si>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</si>
  <si>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</si>
  <si>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</si>
  <si>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</si>
  <si>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</si>
  <si>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</si>
  <si>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</si>
  <si>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</si>
  <si>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</si>
  <si>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</si>
  <si>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</si>
  <si>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</si>
  <si>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</si>
  <si>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</si>
  <si>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</si>
  <si>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</si>
  <si>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</si>
  <si>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</si>
  <si>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</si>
  <si>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</si>
  <si>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</si>
  <si>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</si>
  <si>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</si>
  <si>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</si>
  <si>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</si>
  <si>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</si>
  <si>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</si>
  <si>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</si>
  <si>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</si>
  <si>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</si>
  <si>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</si>
  <si>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</si>
  <si>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</si>
  <si>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</si>
  <si>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</si>
  <si>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</si>
  <si>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</si>
  <si>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</si>
  <si>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</si>
  <si>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</si>
  <si>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</si>
  <si>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</si>
  <si>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</si>
  <si>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</si>
  <si>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</si>
  <si>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</si>
  <si>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</si>
  <si>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</si>
  <si>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</si>
  <si>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</si>
  <si>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</si>
  <si>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</si>
  <si>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</si>
  <si>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</si>
  <si>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</si>
  <si>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</si>
  <si>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</si>
  <si>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</si>
  <si>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</si>
  <si>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</si>
  <si>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</si>
  <si>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</si>
  <si>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</si>
  <si>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</si>
  <si>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</si>
  <si>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</si>
  <si>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</si>
  <si>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</si>
  <si>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</si>
  <si>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</si>
  <si>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</si>
  <si>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</si>
  <si>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</si>
  <si>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</si>
  <si>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</si>
  <si>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</si>
  <si>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</si>
  <si>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</si>
  <si>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</si>
  <si>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</si>
  <si>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</si>
  <si>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</si>
  <si>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</si>
  <si>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</si>
  <si>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</si>
  <si>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</si>
  <si>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</si>
  <si>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</si>
  <si>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</si>
  <si>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</si>
  <si>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</si>
  <si>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</si>
  <si>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</si>
  <si>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</si>
  <si>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</si>
  <si>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</si>
  <si>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</si>
  <si>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</si>
  <si>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</si>
  <si>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</si>
  <si>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</si>
  <si>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</si>
  <si>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</si>
  <si>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</si>
  <si>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</si>
  <si>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</si>
  <si>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</si>
  <si>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</si>
  <si>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</si>
  <si>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</si>
  <si>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</si>
  <si>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</si>
  <si>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</si>
  <si>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</si>
  <si>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</si>
  <si>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</si>
  <si>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</si>
  <si>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</si>
  <si>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</si>
  <si>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</si>
  <si>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</si>
  <si>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</si>
  <si>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</si>
  <si>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</si>
  <si>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</si>
  <si>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</si>
  <si>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</si>
  <si>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</si>
  <si>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</si>
  <si>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</si>
  <si>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</si>
  <si>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</si>
  <si>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</si>
  <si>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</si>
  <si>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</si>
  <si>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</si>
  <si>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</si>
  <si>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</si>
  <si>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</si>
  <si>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</si>
  <si>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</si>
  <si>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</si>
  <si>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</si>
  <si>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</si>
  <si>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</si>
  <si>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</si>
  <si>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</si>
  <si>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</si>
  <si>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</si>
  <si>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</si>
  <si>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</si>
  <si>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</si>
  <si>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</si>
  <si>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</si>
  <si>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</si>
  <si>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</si>
  <si>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</si>
  <si>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</si>
  <si>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</si>
  <si>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</si>
  <si>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</si>
  <si>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</si>
  <si>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</si>
  <si>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</si>
  <si>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</si>
  <si>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</si>
  <si>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</si>
  <si>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</si>
  <si>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</si>
  <si>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</si>
  <si>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</si>
  <si>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</si>
  <si>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</si>
  <si>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</si>
  <si>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</si>
  <si>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</si>
  <si>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</si>
  <si>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</si>
  <si>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</si>
  <si>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</si>
  <si>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</si>
  <si>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</si>
  <si>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</si>
  <si>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</si>
  <si>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</si>
  <si>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</si>
  <si>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</si>
  <si>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</si>
  <si>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</si>
  <si>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</si>
  <si>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</si>
  <si>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</si>
  <si>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</si>
  <si>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</si>
  <si>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</si>
  <si>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</si>
  <si>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</si>
  <si>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</si>
  <si>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</si>
  <si>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</si>
  <si>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</si>
  <si>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</si>
  <si>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</si>
  <si>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</si>
  <si>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</si>
  <si>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</si>
  <si>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</si>
  <si>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</si>
  <si>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</si>
  <si>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</si>
  <si>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</si>
  <si>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</si>
  <si>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</si>
  <si>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</si>
  <si>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</si>
  <si>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</si>
  <si>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</si>
  <si>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</si>
  <si>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</si>
  <si>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</si>
  <si>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</si>
  <si>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</si>
  <si>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</si>
  <si>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</si>
  <si>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</si>
  <si>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</si>
  <si>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</si>
  <si>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</si>
  <si>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</si>
  <si>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</si>
  <si>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</si>
  <si>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</si>
  <si>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</si>
  <si>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</si>
  <si>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</si>
  <si>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</si>
  <si>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</si>
  <si>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</si>
  <si>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</si>
  <si>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</si>
  <si>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</si>
  <si>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</si>
  <si>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</si>
  <si>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</si>
  <si>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</si>
  <si>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</si>
  <si>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</si>
  <si>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</si>
  <si>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</si>
  <si>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</si>
  <si>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</si>
  <si>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</si>
  <si>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</si>
  <si>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</si>
  <si>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</si>
  <si>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</si>
  <si>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</si>
  <si>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</si>
  <si>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</si>
  <si>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6089M</t>
  </si>
  <si>
    <t>6089MT</t>
  </si>
  <si>
    <t>6277</t>
  </si>
  <si>
    <t>94-011-07</t>
  </si>
  <si>
    <t>94-015-02</t>
  </si>
  <si>
    <t>6606</t>
  </si>
  <si>
    <t>6245CM</t>
  </si>
  <si>
    <t>Flexfit</t>
  </si>
  <si>
    <t>BLACK</t>
  </si>
  <si>
    <t>SPRUCE</t>
  </si>
  <si>
    <t>BLACK/RED</t>
  </si>
  <si>
    <t>ROYAL/ORANGE</t>
  </si>
  <si>
    <t>HEATHER/PURPLE</t>
  </si>
  <si>
    <t>KHAKI</t>
  </si>
  <si>
    <t>NAVY</t>
  </si>
  <si>
    <t>80% акрил - 20% шерсть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</si>
  <si>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</si>
  <si>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</si>
  <si>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</si>
  <si>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</si>
  <si>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</si>
  <si>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</si>
  <si>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</si>
  <si>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</si>
  <si>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</si>
  <si>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</si>
  <si>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</si>
  <si>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</si>
  <si>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</si>
  <si>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</si>
  <si>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</si>
  <si>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</si>
  <si>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</si>
  <si>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</si>
  <si>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</si>
  <si>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</si>
  <si>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</si>
  <si>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</si>
  <si>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</si>
  <si>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</si>
  <si>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</si>
  <si>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</si>
  <si>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</si>
  <si>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</si>
  <si>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</si>
  <si>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</si>
  <si>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</si>
  <si>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</si>
  <si>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</si>
  <si>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</si>
  <si>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</si>
  <si>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</si>
  <si>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</si>
  <si>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</si>
  <si>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</si>
  <si>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</si>
  <si>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</si>
  <si>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</si>
  <si>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</si>
  <si>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</si>
  <si>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</si>
  <si>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</si>
  <si>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</si>
  <si>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</si>
  <si>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</si>
  <si>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</si>
  <si>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</si>
  <si>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</si>
  <si>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</si>
  <si>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</si>
  <si>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</si>
  <si>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</si>
  <si>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</si>
  <si>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</si>
  <si>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</si>
  <si>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</si>
  <si>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</si>
  <si>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</si>
  <si>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</si>
  <si>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</si>
  <si>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</si>
  <si>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</si>
  <si>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</si>
  <si>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</si>
  <si>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</si>
  <si>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</si>
  <si>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</si>
  <si>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</si>
  <si>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</si>
  <si>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</si>
  <si>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</si>
  <si>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</si>
  <si>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</si>
  <si>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</si>
  <si>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</si>
  <si>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</si>
  <si>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</si>
  <si>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</si>
  <si>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</si>
  <si>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</si>
  <si>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</si>
  <si>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</si>
  <si>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</si>
  <si>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</si>
  <si>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</si>
  <si>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</si>
  <si>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</si>
  <si>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</si>
  <si>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</si>
  <si>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</si>
  <si>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</si>
  <si>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</si>
  <si>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</si>
  <si>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</si>
  <si>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</si>
  <si>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</si>
  <si>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</si>
  <si>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</si>
  <si>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</si>
  <si>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</si>
  <si>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</si>
  <si>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</si>
  <si>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</si>
  <si>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</si>
  <si>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</si>
  <si>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</si>
  <si>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</si>
  <si>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</si>
  <si>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</si>
  <si>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</si>
  <si>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</si>
  <si>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</si>
  <si>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</si>
  <si>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</si>
  <si>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</si>
  <si>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</si>
  <si>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</si>
  <si>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</si>
  <si>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</si>
  <si>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</si>
  <si>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</si>
  <si>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</si>
  <si>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</si>
  <si>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</si>
  <si>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</si>
  <si>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</si>
  <si>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</si>
  <si>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</si>
  <si>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</si>
  <si>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</si>
  <si>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</si>
  <si>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</si>
  <si>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</si>
  <si>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</si>
  <si>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</si>
  <si>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</si>
  <si>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</si>
  <si>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</si>
  <si>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</si>
  <si>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</si>
  <si>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</si>
  <si>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</si>
  <si>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</si>
  <si>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</si>
  <si>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</si>
  <si>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</si>
  <si>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</si>
  <si>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</si>
  <si>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</si>
  <si>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</si>
  <si>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</si>
  <si>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</si>
  <si>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</si>
  <si>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</si>
  <si>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</si>
  <si>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</si>
  <si>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</si>
  <si>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</si>
  <si>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</si>
  <si>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</si>
  <si>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</si>
  <si>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</si>
  <si>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</si>
  <si>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</si>
  <si>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</si>
  <si>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</si>
  <si>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</si>
  <si>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</si>
  <si>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</si>
  <si>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</si>
  <si>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</si>
  <si>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</si>
  <si>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</si>
  <si>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</si>
  <si>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</si>
  <si>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</si>
  <si>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</si>
  <si>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</si>
  <si>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</si>
  <si>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</si>
  <si>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</si>
  <si>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</si>
  <si>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</si>
  <si>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</si>
  <si>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</si>
  <si>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</si>
  <si>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</si>
  <si>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</si>
  <si>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</si>
  <si>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</si>
  <si>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</si>
  <si>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6606MC</t>
  </si>
  <si>
    <t>94-029-00</t>
  </si>
  <si>
    <t>94-030-09</t>
  </si>
  <si>
    <t>7005</t>
  </si>
  <si>
    <t>94-030-16</t>
  </si>
  <si>
    <t>94-019-00</t>
  </si>
  <si>
    <t>6005FF</t>
  </si>
  <si>
    <t>MULTICAM BLACK</t>
  </si>
  <si>
    <t>KHAKI MULTICAM</t>
  </si>
  <si>
    <t>GREEN CAMO</t>
  </si>
  <si>
    <t>MAROON</t>
  </si>
  <si>
    <t>WHITE</t>
  </si>
  <si>
    <t>DARK GREY</t>
  </si>
  <si>
    <t>HEATHER/RED</t>
  </si>
  <si>
    <t>NATURAL/BLACK</t>
  </si>
  <si>
    <t>BLACK/SILVER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</si>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</sst>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6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29055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29056</v>
      </c>
      <c r="B53" s="28" t="s">
        <v>29057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29058</v>
      </c>
      <c r="B58" s="28" t="s">
        <v>29059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29060</v>
      </c>
      <c r="B61" s="28" t="s">
        <v>29061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29062</v>
      </c>
      <c r="B77" s="28" t="s">
        <v>29063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29064</v>
      </c>
      <c r="B83" s="28" t="s">
        <v>29065</v>
      </c>
    </row>
    <row r="84" spans="1:2" x14ac:dyDescent="0.25">
      <c r="A84" s="28" t="s">
        <v>29066</v>
      </c>
      <c r="B84" s="28" t="s">
        <v>29067</v>
      </c>
    </row>
    <row r="85" spans="1:2" x14ac:dyDescent="0.25">
      <c r="A85" s="28" t="s">
        <v>29068</v>
      </c>
      <c r="B85" s="28" t="s">
        <v>29069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29070</v>
      </c>
      <c r="B92" s="28" t="s">
        <v>29071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29072</v>
      </c>
      <c r="B103" s="28" t="s">
        <v>29073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29074</v>
      </c>
      <c r="B109" s="28" t="s">
        <v>29075</v>
      </c>
    </row>
    <row r="110" spans="1:2" x14ac:dyDescent="0.25">
      <c r="A110" s="28" t="s">
        <v>29076</v>
      </c>
      <c r="B110" s="28" t="s">
        <v>29077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29078</v>
      </c>
      <c r="B121" s="28" t="s">
        <v>29079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29080</v>
      </c>
      <c r="B129" s="28" t="s">
        <v>29081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29082</v>
      </c>
      <c r="B135" s="28" t="s">
        <v>29083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29084</v>
      </c>
      <c r="B151" s="28" t="s">
        <v>29085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29086</v>
      </c>
      <c r="B157" s="28" t="s">
        <v>29087</v>
      </c>
    </row>
    <row r="158" spans="1:2" x14ac:dyDescent="0.25">
      <c r="A158" s="28" t="s">
        <v>29088</v>
      </c>
      <c r="B158" s="28" t="s">
        <v>29089</v>
      </c>
    </row>
    <row r="159" spans="1:2" x14ac:dyDescent="0.25">
      <c r="A159" s="28" t="s">
        <v>29090</v>
      </c>
      <c r="B159" s="28" t="s">
        <v>29091</v>
      </c>
    </row>
    <row r="160" spans="1:2" x14ac:dyDescent="0.25">
      <c r="A160" s="28" t="s">
        <v>29092</v>
      </c>
      <c r="B160" s="28" t="s">
        <v>29093</v>
      </c>
    </row>
    <row r="161" spans="1:2" x14ac:dyDescent="0.25">
      <c r="A161" s="28" t="s">
        <v>29094</v>
      </c>
      <c r="B161" s="28" t="s">
        <v>29095</v>
      </c>
    </row>
    <row r="162" spans="1:2" x14ac:dyDescent="0.25">
      <c r="A162" s="28" t="s">
        <v>29096</v>
      </c>
      <c r="B162" s="28" t="s">
        <v>29097</v>
      </c>
    </row>
    <row r="163" spans="1:2" x14ac:dyDescent="0.25">
      <c r="A163" s="28" t="s">
        <v>29098</v>
      </c>
      <c r="B163" s="28" t="s">
        <v>29099</v>
      </c>
    </row>
    <row r="164" spans="1:2" x14ac:dyDescent="0.25">
      <c r="A164" s="28" t="s">
        <v>29100</v>
      </c>
      <c r="B164" s="28" t="s">
        <v>29101</v>
      </c>
    </row>
    <row r="165" spans="1:2" x14ac:dyDescent="0.25">
      <c r="A165" s="28" t="s">
        <v>29102</v>
      </c>
      <c r="B165" s="28" t="s">
        <v>29103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29104</v>
      </c>
      <c r="B175" s="28" t="s">
        <v>29105</v>
      </c>
    </row>
    <row r="176" spans="1:2" x14ac:dyDescent="0.25">
      <c r="A176" s="28" t="s">
        <v>29106</v>
      </c>
      <c r="B176" s="28" t="s">
        <v>29107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29108</v>
      </c>
      <c r="B179" s="28" t="s">
        <v>29109</v>
      </c>
    </row>
    <row r="180" spans="1:2" x14ac:dyDescent="0.25">
      <c r="A180" s="28" t="s">
        <v>29110</v>
      </c>
      <c r="B180" s="28" t="s">
        <v>29111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29112</v>
      </c>
      <c r="B183" s="28" t="s">
        <v>29113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29114</v>
      </c>
      <c r="B187" s="28" t="s">
        <v>29115</v>
      </c>
    </row>
    <row r="188" spans="1:2" x14ac:dyDescent="0.25">
      <c r="A188" s="28" t="s">
        <v>29116</v>
      </c>
      <c r="B188" s="28" t="s">
        <v>29117</v>
      </c>
    </row>
    <row r="189" spans="1:2" x14ac:dyDescent="0.25">
      <c r="A189" s="28" t="s">
        <v>29118</v>
      </c>
      <c r="B189" s="28" t="s">
        <v>29119</v>
      </c>
    </row>
    <row r="190" spans="1:2" x14ac:dyDescent="0.25">
      <c r="A190" s="28" t="s">
        <v>29120</v>
      </c>
      <c r="B190" s="28" t="s">
        <v>29121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29122</v>
      </c>
      <c r="B194" s="28" t="s">
        <v>29123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29124</v>
      </c>
      <c r="B196" s="28" t="s">
        <v>29125</v>
      </c>
    </row>
    <row r="197" spans="1:2" x14ac:dyDescent="0.25">
      <c r="A197" s="28" t="s">
        <v>29126</v>
      </c>
      <c r="B197" s="28" t="s">
        <v>29127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29128</v>
      </c>
      <c r="B202" s="28" t="s">
        <v>29129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29130</v>
      </c>
      <c r="B205" s="28" t="s">
        <v>29131</v>
      </c>
    </row>
    <row r="206" spans="1:2" x14ac:dyDescent="0.25">
      <c r="A206" s="28" t="s">
        <v>29132</v>
      </c>
      <c r="B206" s="28" t="s">
        <v>29133</v>
      </c>
    </row>
    <row r="207" spans="1:2" x14ac:dyDescent="0.25">
      <c r="A207" s="28" t="s">
        <v>29134</v>
      </c>
      <c r="B207" s="28" t="s">
        <v>29135</v>
      </c>
    </row>
    <row r="208" spans="1:2" x14ac:dyDescent="0.25">
      <c r="A208" s="28" t="s">
        <v>29136</v>
      </c>
      <c r="B208" s="28" t="s">
        <v>29137</v>
      </c>
    </row>
    <row r="209" spans="1:2" x14ac:dyDescent="0.25">
      <c r="A209" s="28" t="s">
        <v>29138</v>
      </c>
      <c r="B209" s="28" t="s">
        <v>29139</v>
      </c>
    </row>
    <row r="210" spans="1:2" x14ac:dyDescent="0.25">
      <c r="A210" s="28" t="s">
        <v>29140</v>
      </c>
      <c r="B210" s="28" t="s">
        <v>27006</v>
      </c>
    </row>
    <row r="211" spans="1:2" x14ac:dyDescent="0.25">
      <c r="A211" s="28" t="s">
        <v>29141</v>
      </c>
      <c r="B211" s="28" t="s">
        <v>27007</v>
      </c>
    </row>
    <row r="212" spans="1:2" x14ac:dyDescent="0.25">
      <c r="A212" s="28" t="s">
        <v>29142</v>
      </c>
      <c r="B212" s="28" t="s">
        <v>27008</v>
      </c>
    </row>
    <row r="213" spans="1:2" x14ac:dyDescent="0.25">
      <c r="A213" s="28" t="s">
        <v>29143</v>
      </c>
      <c r="B213" s="28" t="s">
        <v>27009</v>
      </c>
    </row>
    <row r="214" spans="1:2" x14ac:dyDescent="0.25">
      <c r="A214" s="28" t="s">
        <v>29144</v>
      </c>
      <c r="B214" s="28" t="s">
        <v>29145</v>
      </c>
    </row>
    <row r="215" spans="1:2" x14ac:dyDescent="0.25">
      <c r="A215" s="28" t="s">
        <v>29146</v>
      </c>
      <c r="B215" s="28" t="s">
        <v>29147</v>
      </c>
    </row>
    <row r="216" spans="1:2" x14ac:dyDescent="0.25">
      <c r="A216" s="28" t="s">
        <v>29148</v>
      </c>
      <c r="B216" s="28" t="s">
        <v>29149</v>
      </c>
    </row>
    <row r="217" spans="1:2" x14ac:dyDescent="0.25">
      <c r="A217" s="28" t="s">
        <v>29150</v>
      </c>
      <c r="B217" s="28" t="s">
        <v>29151</v>
      </c>
    </row>
    <row r="218" spans="1:2" x14ac:dyDescent="0.25">
      <c r="A218" s="28" t="s">
        <v>29152</v>
      </c>
      <c r="B218" s="28" t="s">
        <v>27010</v>
      </c>
    </row>
    <row r="219" spans="1:2" x14ac:dyDescent="0.25">
      <c r="A219" s="28" t="s">
        <v>29153</v>
      </c>
      <c r="B219" s="28" t="s">
        <v>29154</v>
      </c>
    </row>
    <row r="220" spans="1:2" x14ac:dyDescent="0.25">
      <c r="A220" s="28" t="s">
        <v>29155</v>
      </c>
      <c r="B220" s="28" t="s">
        <v>29156</v>
      </c>
    </row>
    <row r="221" spans="1:2" x14ac:dyDescent="0.25">
      <c r="A221" s="28" t="s">
        <v>29157</v>
      </c>
      <c r="B221" s="28" t="s">
        <v>29158</v>
      </c>
    </row>
    <row r="222" spans="1:2" x14ac:dyDescent="0.25">
      <c r="A222" s="28" t="s">
        <v>29159</v>
      </c>
      <c r="B222" s="28" t="s">
        <v>29160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29161</v>
      </c>
      <c r="B224" s="28" t="s">
        <v>29162</v>
      </c>
    </row>
    <row r="225" spans="1:2" x14ac:dyDescent="0.25">
      <c r="A225" s="28" t="s">
        <v>29163</v>
      </c>
      <c r="B225" s="28" t="s">
        <v>29164</v>
      </c>
    </row>
    <row r="226" spans="1:2" x14ac:dyDescent="0.25">
      <c r="A226" s="28" t="s">
        <v>29165</v>
      </c>
      <c r="B226" s="28" t="s">
        <v>29166</v>
      </c>
    </row>
    <row r="227" spans="1:2" x14ac:dyDescent="0.25">
      <c r="A227" s="28" t="s">
        <v>29167</v>
      </c>
      <c r="B227" s="28" t="s">
        <v>29168</v>
      </c>
    </row>
    <row r="228" spans="1:2" x14ac:dyDescent="0.25">
      <c r="A228" s="28" t="s">
        <v>29169</v>
      </c>
      <c r="B228" s="28" t="s">
        <v>29170</v>
      </c>
    </row>
    <row r="229" spans="1:2" x14ac:dyDescent="0.25">
      <c r="A229" s="28" t="s">
        <v>29171</v>
      </c>
      <c r="B229" s="28" t="s">
        <v>29172</v>
      </c>
    </row>
    <row r="230" spans="1:2" x14ac:dyDescent="0.25">
      <c r="A230" s="28" t="s">
        <v>29173</v>
      </c>
      <c r="B230" s="28" t="s">
        <v>29174</v>
      </c>
    </row>
    <row r="231" spans="1:2" x14ac:dyDescent="0.25">
      <c r="A231" s="28" t="s">
        <v>29175</v>
      </c>
      <c r="B231" s="28" t="s">
        <v>29176</v>
      </c>
    </row>
    <row r="232" spans="1:2" x14ac:dyDescent="0.25">
      <c r="A232" s="28" t="s">
        <v>29177</v>
      </c>
      <c r="B232" s="28" t="s">
        <v>29178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29179</v>
      </c>
      <c r="B234" s="28" t="s">
        <v>29180</v>
      </c>
    </row>
    <row r="235" spans="1:2" x14ac:dyDescent="0.25">
      <c r="A235" s="28" t="s">
        <v>29181</v>
      </c>
      <c r="B235" s="28" t="s">
        <v>29182</v>
      </c>
    </row>
    <row r="236" spans="1:2" x14ac:dyDescent="0.25">
      <c r="A236" s="28" t="s">
        <v>29183</v>
      </c>
      <c r="B236" s="28" t="s">
        <v>29184</v>
      </c>
    </row>
    <row r="237" spans="1:2" x14ac:dyDescent="0.25">
      <c r="A237" s="28" t="s">
        <v>29185</v>
      </c>
      <c r="B237" s="28" t="s">
        <v>29186</v>
      </c>
    </row>
    <row r="238" spans="1:2" x14ac:dyDescent="0.25">
      <c r="A238" s="28" t="s">
        <v>29187</v>
      </c>
      <c r="B238" s="28" t="s">
        <v>29188</v>
      </c>
    </row>
    <row r="239" spans="1:2" x14ac:dyDescent="0.25">
      <c r="A239" s="28" t="s">
        <v>29189</v>
      </c>
      <c r="B239" s="28" t="s">
        <v>29190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29191</v>
      </c>
      <c r="B241" s="28" t="s">
        <v>29192</v>
      </c>
    </row>
    <row r="242" spans="1:2" x14ac:dyDescent="0.25">
      <c r="A242" s="28" t="s">
        <v>29193</v>
      </c>
      <c r="B242" s="28" t="s">
        <v>29194</v>
      </c>
    </row>
    <row r="243" spans="1:2" x14ac:dyDescent="0.25">
      <c r="A243" s="28" t="s">
        <v>29195</v>
      </c>
      <c r="B243" s="28" t="s">
        <v>29196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29197</v>
      </c>
      <c r="B245" s="28" t="s">
        <v>29198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29199</v>
      </c>
      <c r="B259" s="28" t="s">
        <v>29200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29201</v>
      </c>
      <c r="B279" s="28" t="s">
        <v>29202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29203</v>
      </c>
      <c r="B282" s="28" t="s">
        <v>29204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29205</v>
      </c>
      <c r="B284" s="28" t="s">
        <v>29206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29207</v>
      </c>
      <c r="B286" s="28" t="s">
        <v>29208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29209</v>
      </c>
      <c r="B288" s="28" t="s">
        <v>29210</v>
      </c>
    </row>
    <row r="289" spans="1:2" x14ac:dyDescent="0.25">
      <c r="A289" s="28" t="s">
        <v>29211</v>
      </c>
      <c r="B289" s="28" t="s">
        <v>29212</v>
      </c>
    </row>
    <row r="290" spans="1:2" x14ac:dyDescent="0.25">
      <c r="A290" s="28" t="s">
        <v>29213</v>
      </c>
      <c r="B290" s="28" t="s">
        <v>29214</v>
      </c>
    </row>
    <row r="291" spans="1:2" x14ac:dyDescent="0.25">
      <c r="A291" s="28" t="s">
        <v>29215</v>
      </c>
      <c r="B291" s="28" t="s">
        <v>29216</v>
      </c>
    </row>
    <row r="292" spans="1:2" x14ac:dyDescent="0.25">
      <c r="A292" s="28" t="s">
        <v>29217</v>
      </c>
      <c r="B292" s="28" t="s">
        <v>29218</v>
      </c>
    </row>
    <row r="293" spans="1:2" x14ac:dyDescent="0.25">
      <c r="A293" s="28" t="s">
        <v>29219</v>
      </c>
      <c r="B293" s="28" t="s">
        <v>29220</v>
      </c>
    </row>
    <row r="294" spans="1:2" x14ac:dyDescent="0.25">
      <c r="A294" s="28" t="s">
        <v>29221</v>
      </c>
      <c r="B294" s="28" t="s">
        <v>29222</v>
      </c>
    </row>
    <row r="295" spans="1:2" x14ac:dyDescent="0.25">
      <c r="A295" s="28" t="s">
        <v>29223</v>
      </c>
      <c r="B295" s="28" t="s">
        <v>29224</v>
      </c>
    </row>
    <row r="296" spans="1:2" x14ac:dyDescent="0.25">
      <c r="A296" s="28" t="s">
        <v>29225</v>
      </c>
      <c r="B296" s="28" t="s">
        <v>29226</v>
      </c>
    </row>
    <row r="297" spans="1:2" x14ac:dyDescent="0.25">
      <c r="A297" s="28" t="s">
        <v>29227</v>
      </c>
      <c r="B297" s="28" t="s">
        <v>29228</v>
      </c>
    </row>
    <row r="298" spans="1:2" x14ac:dyDescent="0.25">
      <c r="A298" s="28" t="s">
        <v>29229</v>
      </c>
      <c r="B298" s="28" t="s">
        <v>29230</v>
      </c>
    </row>
    <row r="299" spans="1:2" x14ac:dyDescent="0.25">
      <c r="A299" s="28" t="s">
        <v>29231</v>
      </c>
      <c r="B299" s="28" t="s">
        <v>29232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29233</v>
      </c>
      <c r="B303" s="28" t="s">
        <v>29234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29235</v>
      </c>
      <c r="B306" s="28" t="s">
        <v>29236</v>
      </c>
    </row>
    <row r="307" spans="1:2" x14ac:dyDescent="0.25">
      <c r="A307" s="28" t="s">
        <v>29237</v>
      </c>
      <c r="B307" s="28" t="s">
        <v>29238</v>
      </c>
    </row>
    <row r="308" spans="1:2" x14ac:dyDescent="0.25">
      <c r="A308" s="28" t="s">
        <v>29239</v>
      </c>
      <c r="B308" s="28" t="s">
        <v>29240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29241</v>
      </c>
      <c r="B836" s="28" t="s">
        <v>29242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29243</v>
      </c>
      <c r="B840" s="28" t="s">
        <v>29244</v>
      </c>
    </row>
    <row r="841" spans="1:2" x14ac:dyDescent="0.25">
      <c r="A841" s="28" t="s">
        <v>29245</v>
      </c>
      <c r="B841" s="28" t="s">
        <v>29246</v>
      </c>
    </row>
    <row r="842" spans="1:2" x14ac:dyDescent="0.25">
      <c r="A842" s="28" t="s">
        <v>29247</v>
      </c>
      <c r="B842" s="28" t="s">
        <v>29248</v>
      </c>
    </row>
    <row r="843" spans="1:2" x14ac:dyDescent="0.25">
      <c r="A843" s="28" t="s">
        <v>29249</v>
      </c>
      <c r="B843" s="28" t="s">
        <v>29250</v>
      </c>
    </row>
    <row r="844" spans="1:2" x14ac:dyDescent="0.25">
      <c r="A844" s="28" t="s">
        <v>29251</v>
      </c>
      <c r="B844" s="28" t="s">
        <v>29252</v>
      </c>
    </row>
    <row r="845" spans="1:2" x14ac:dyDescent="0.25">
      <c r="A845" s="28" t="s">
        <v>29253</v>
      </c>
      <c r="B845" s="28" t="s">
        <v>29254</v>
      </c>
    </row>
    <row r="846" spans="1:2" x14ac:dyDescent="0.25">
      <c r="A846" s="28" t="s">
        <v>29255</v>
      </c>
      <c r="B846" s="28" t="s">
        <v>29256</v>
      </c>
    </row>
    <row r="847" spans="1:2" x14ac:dyDescent="0.25">
      <c r="A847" s="28" t="s">
        <v>29257</v>
      </c>
      <c r="B847" s="28" t="s">
        <v>29258</v>
      </c>
    </row>
    <row r="848" spans="1:2" x14ac:dyDescent="0.25">
      <c r="A848" s="28" t="s">
        <v>29259</v>
      </c>
      <c r="B848" s="28" t="s">
        <v>29260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29261</v>
      </c>
      <c r="B864" s="28" t="s">
        <v>29262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29263</v>
      </c>
      <c r="B888" s="28" t="s">
        <v>29264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29265</v>
      </c>
      <c r="B917" s="28" t="s">
        <v>29266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29267</v>
      </c>
      <c r="B930" s="28" t="s">
        <v>29268</v>
      </c>
    </row>
    <row r="931" spans="1:2" x14ac:dyDescent="0.25">
      <c r="A931" s="28" t="s">
        <v>29269</v>
      </c>
      <c r="B931" s="28" t="s">
        <v>29270</v>
      </c>
    </row>
    <row r="932" spans="1:2" x14ac:dyDescent="0.25">
      <c r="A932" s="28" t="s">
        <v>29271</v>
      </c>
      <c r="B932" s="28" t="s">
        <v>29272</v>
      </c>
    </row>
    <row r="933" spans="1:2" x14ac:dyDescent="0.25">
      <c r="A933" s="28" t="s">
        <v>29273</v>
      </c>
      <c r="B933" s="28" t="s">
        <v>29274</v>
      </c>
    </row>
    <row r="934" spans="1:2" x14ac:dyDescent="0.25">
      <c r="A934" s="28" t="s">
        <v>29275</v>
      </c>
      <c r="B934" s="28" t="s">
        <v>29276</v>
      </c>
    </row>
    <row r="935" spans="1:2" x14ac:dyDescent="0.25">
      <c r="A935" s="28" t="s">
        <v>29277</v>
      </c>
      <c r="B935" s="28" t="s">
        <v>29278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29279</v>
      </c>
      <c r="B938" s="28" t="s">
        <v>29280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29281</v>
      </c>
      <c r="B940" s="28" t="s">
        <v>29282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29283</v>
      </c>
      <c r="B944" s="28" t="s">
        <v>29284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29285</v>
      </c>
      <c r="B949" s="28" t="s">
        <v>29286</v>
      </c>
    </row>
    <row r="950" spans="1:2" x14ac:dyDescent="0.25">
      <c r="A950" s="28" t="s">
        <v>29287</v>
      </c>
      <c r="B950" s="28" t="s">
        <v>29288</v>
      </c>
    </row>
    <row r="951" spans="1:2" x14ac:dyDescent="0.25">
      <c r="A951" s="28" t="s">
        <v>29289</v>
      </c>
      <c r="B951" s="28" t="s">
        <v>29290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29291</v>
      </c>
      <c r="B970" s="28" t="s">
        <v>29292</v>
      </c>
    </row>
    <row r="971" spans="1:2" x14ac:dyDescent="0.25">
      <c r="A971" s="28" t="s">
        <v>29293</v>
      </c>
      <c r="B971" s="28" t="s">
        <v>29294</v>
      </c>
    </row>
    <row r="972" spans="1:2" x14ac:dyDescent="0.25">
      <c r="A972" s="28" t="s">
        <v>29295</v>
      </c>
      <c r="B972" s="28" t="s">
        <v>29296</v>
      </c>
    </row>
    <row r="973" spans="1:2" x14ac:dyDescent="0.25">
      <c r="A973" s="28" t="s">
        <v>29297</v>
      </c>
      <c r="B973" s="28" t="s">
        <v>29298</v>
      </c>
    </row>
    <row r="974" spans="1:2" x14ac:dyDescent="0.25">
      <c r="A974" s="28" t="s">
        <v>29299</v>
      </c>
      <c r="B974" s="28" t="s">
        <v>29300</v>
      </c>
    </row>
    <row r="975" spans="1:2" x14ac:dyDescent="0.25">
      <c r="A975" s="28" t="s">
        <v>29301</v>
      </c>
      <c r="B975" s="28" t="s">
        <v>29302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29303</v>
      </c>
      <c r="B995" s="28" t="s">
        <v>29304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29305</v>
      </c>
      <c r="B1010" s="28" t="s">
        <v>29306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29307</v>
      </c>
      <c r="B1019" s="28" t="s">
        <v>29308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29309</v>
      </c>
      <c r="B1036" s="28" t="s">
        <v>29310</v>
      </c>
    </row>
    <row r="1037" spans="1:2" x14ac:dyDescent="0.25">
      <c r="A1037" s="28" t="s">
        <v>29311</v>
      </c>
      <c r="B1037" s="28" t="s">
        <v>29312</v>
      </c>
    </row>
    <row r="1038" spans="1:2" x14ac:dyDescent="0.25">
      <c r="A1038" s="28" t="s">
        <v>29313</v>
      </c>
      <c r="B1038" s="28" t="s">
        <v>29314</v>
      </c>
    </row>
    <row r="1039" spans="1:2" x14ac:dyDescent="0.25">
      <c r="A1039" s="28" t="s">
        <v>29315</v>
      </c>
      <c r="B1039" s="28" t="s">
        <v>29316</v>
      </c>
    </row>
    <row r="1040" spans="1:2" x14ac:dyDescent="0.25">
      <c r="A1040" s="28" t="s">
        <v>29317</v>
      </c>
      <c r="B1040" s="28" t="s">
        <v>29318</v>
      </c>
    </row>
    <row r="1041" spans="1:2" x14ac:dyDescent="0.25">
      <c r="A1041" s="28" t="s">
        <v>29319</v>
      </c>
      <c r="B1041" s="28" t="s">
        <v>29320</v>
      </c>
    </row>
    <row r="1042" spans="1:2" x14ac:dyDescent="0.25">
      <c r="A1042" s="28" t="s">
        <v>29321</v>
      </c>
      <c r="B1042" s="28" t="s">
        <v>29322</v>
      </c>
    </row>
    <row r="1043" spans="1:2" x14ac:dyDescent="0.25">
      <c r="A1043" s="28" t="s">
        <v>29323</v>
      </c>
      <c r="B1043" s="28" t="s">
        <v>29324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29325</v>
      </c>
      <c r="B1063" s="28" t="s">
        <v>29326</v>
      </c>
    </row>
    <row r="1064" spans="1:2" x14ac:dyDescent="0.25">
      <c r="A1064" s="28" t="s">
        <v>29327</v>
      </c>
      <c r="B1064" s="28" t="s">
        <v>29328</v>
      </c>
    </row>
    <row r="1065" spans="1:2" x14ac:dyDescent="0.25">
      <c r="A1065" s="28" t="s">
        <v>29329</v>
      </c>
      <c r="B1065" s="28" t="s">
        <v>29330</v>
      </c>
    </row>
    <row r="1066" spans="1:2" x14ac:dyDescent="0.25">
      <c r="A1066" s="28" t="s">
        <v>29331</v>
      </c>
      <c r="B1066" s="28" t="s">
        <v>29332</v>
      </c>
    </row>
    <row r="1067" spans="1:2" x14ac:dyDescent="0.25">
      <c r="A1067" s="28" t="s">
        <v>29333</v>
      </c>
      <c r="B1067" s="28" t="s">
        <v>29334</v>
      </c>
    </row>
    <row r="1068" spans="1:2" x14ac:dyDescent="0.25">
      <c r="A1068" s="28" t="s">
        <v>29335</v>
      </c>
      <c r="B1068" s="28" t="s">
        <v>29336</v>
      </c>
    </row>
    <row r="1069" spans="1:2" x14ac:dyDescent="0.25">
      <c r="A1069" s="28" t="s">
        <v>29337</v>
      </c>
      <c r="B1069" s="28" t="s">
        <v>29338</v>
      </c>
    </row>
    <row r="1070" spans="1:2" x14ac:dyDescent="0.25">
      <c r="A1070" s="28" t="s">
        <v>29339</v>
      </c>
      <c r="B1070" s="28" t="s">
        <v>29340</v>
      </c>
    </row>
    <row r="1071" spans="1:2" x14ac:dyDescent="0.25">
      <c r="A1071" s="28" t="s">
        <v>29341</v>
      </c>
      <c r="B1071" s="28" t="s">
        <v>29342</v>
      </c>
    </row>
    <row r="1072" spans="1:2" x14ac:dyDescent="0.25">
      <c r="A1072" s="28" t="s">
        <v>29343</v>
      </c>
      <c r="B1072" s="28" t="s">
        <v>29344</v>
      </c>
    </row>
    <row r="1073" spans="1:2" x14ac:dyDescent="0.25">
      <c r="A1073" s="28" t="s">
        <v>29345</v>
      </c>
      <c r="B1073" s="28" t="s">
        <v>29346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29347</v>
      </c>
      <c r="B1075" s="28" t="s">
        <v>29348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29349</v>
      </c>
      <c r="B1079" s="28" t="s">
        <v>29350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29351</v>
      </c>
      <c r="B1081" s="28" t="s">
        <v>29352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29353</v>
      </c>
      <c r="B1083" s="28" t="s">
        <v>29354</v>
      </c>
    </row>
    <row r="1084" spans="1:2" x14ac:dyDescent="0.25">
      <c r="A1084" s="28" t="s">
        <v>29355</v>
      </c>
      <c r="B1084" s="28" t="s">
        <v>29356</v>
      </c>
    </row>
    <row r="1085" spans="1:2" x14ac:dyDescent="0.25">
      <c r="A1085" s="28" t="s">
        <v>29357</v>
      </c>
      <c r="B1085" s="28" t="s">
        <v>29358</v>
      </c>
    </row>
    <row r="1086" spans="1:2" x14ac:dyDescent="0.25">
      <c r="A1086" s="28" t="s">
        <v>29359</v>
      </c>
      <c r="B1086" s="28" t="s">
        <v>29360</v>
      </c>
    </row>
    <row r="1087" spans="1:2" x14ac:dyDescent="0.25">
      <c r="A1087" s="28" t="s">
        <v>29361</v>
      </c>
      <c r="B1087" s="28" t="s">
        <v>29362</v>
      </c>
    </row>
    <row r="1088" spans="1:2" x14ac:dyDescent="0.25">
      <c r="A1088" s="28" t="s">
        <v>29363</v>
      </c>
      <c r="B1088" s="28" t="s">
        <v>29364</v>
      </c>
    </row>
    <row r="1089" spans="1:2" x14ac:dyDescent="0.25">
      <c r="A1089" s="28" t="s">
        <v>29365</v>
      </c>
      <c r="B1089" s="28" t="s">
        <v>29366</v>
      </c>
    </row>
    <row r="1090" spans="1:2" x14ac:dyDescent="0.25">
      <c r="A1090" s="28" t="s">
        <v>29367</v>
      </c>
      <c r="B1090" s="28" t="s">
        <v>29368</v>
      </c>
    </row>
    <row r="1091" spans="1:2" x14ac:dyDescent="0.25">
      <c r="A1091" s="28" t="s">
        <v>29369</v>
      </c>
      <c r="B1091" s="28" t="s">
        <v>29370</v>
      </c>
    </row>
    <row r="1092" spans="1:2" x14ac:dyDescent="0.25">
      <c r="A1092" s="28" t="s">
        <v>29371</v>
      </c>
      <c r="B1092" s="28" t="s">
        <v>29372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29373</v>
      </c>
      <c r="B1094" s="28" t="s">
        <v>29374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29375</v>
      </c>
      <c r="B1103" s="28" t="s">
        <v>29376</v>
      </c>
    </row>
    <row r="1104" spans="1:2" x14ac:dyDescent="0.25">
      <c r="A1104" s="28" t="s">
        <v>29377</v>
      </c>
      <c r="B1104" s="28" t="s">
        <v>29378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29379</v>
      </c>
      <c r="B1113" s="28" t="s">
        <v>29380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29381</v>
      </c>
      <c r="B1141" s="28" t="s">
        <v>29382</v>
      </c>
    </row>
    <row r="1142" spans="1:2" x14ac:dyDescent="0.25">
      <c r="A1142" s="28" t="s">
        <v>29383</v>
      </c>
      <c r="B1142" s="28" t="s">
        <v>29384</v>
      </c>
    </row>
    <row r="1143" spans="1:2" x14ac:dyDescent="0.25">
      <c r="A1143" s="28" t="s">
        <v>29385</v>
      </c>
      <c r="B1143" s="28" t="s">
        <v>29386</v>
      </c>
    </row>
    <row r="1144" spans="1:2" x14ac:dyDescent="0.25">
      <c r="A1144" s="28" t="s">
        <v>29387</v>
      </c>
      <c r="B1144" s="28" t="s">
        <v>29388</v>
      </c>
    </row>
    <row r="1145" spans="1:2" x14ac:dyDescent="0.25">
      <c r="A1145" s="28" t="s">
        <v>29389</v>
      </c>
      <c r="B1145" s="28" t="s">
        <v>29390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30237</v>
      </c>
      <c r="B1209" s="28" t="s">
        <v>29029</v>
      </c>
    </row>
    <row r="1210" spans="1:2" x14ac:dyDescent="0.25">
      <c r="A1210" s="28" t="s">
        <v>30238</v>
      </c>
      <c r="B1210" s="28" t="s">
        <v>29030</v>
      </c>
    </row>
    <row r="1211" spans="1:2" x14ac:dyDescent="0.25">
      <c r="A1211" s="28" t="s">
        <v>30239</v>
      </c>
      <c r="B1211" s="28" t="s">
        <v>29036</v>
      </c>
    </row>
    <row r="1212" spans="1:2" x14ac:dyDescent="0.25">
      <c r="A1212" s="28" t="s">
        <v>30240</v>
      </c>
      <c r="B1212" s="28" t="s">
        <v>29035</v>
      </c>
    </row>
    <row r="1213" spans="1:2" x14ac:dyDescent="0.25">
      <c r="A1213" s="28" t="s">
        <v>30241</v>
      </c>
      <c r="B1213" s="28" t="s">
        <v>29034</v>
      </c>
    </row>
    <row r="1214" spans="1:2" x14ac:dyDescent="0.25">
      <c r="A1214" s="28" t="s">
        <v>30242</v>
      </c>
      <c r="B1214" s="28" t="s">
        <v>29033</v>
      </c>
    </row>
    <row r="1215" spans="1:2" x14ac:dyDescent="0.25">
      <c r="A1215" s="28" t="s">
        <v>30243</v>
      </c>
      <c r="B1215" s="28" t="s">
        <v>29031</v>
      </c>
    </row>
    <row r="1216" spans="1:2" x14ac:dyDescent="0.25">
      <c r="A1216" s="28" t="s">
        <v>30244</v>
      </c>
      <c r="B1216" s="28" t="s">
        <v>29038</v>
      </c>
    </row>
    <row r="1217" spans="1:2" x14ac:dyDescent="0.25">
      <c r="A1217" s="28" t="s">
        <v>30245</v>
      </c>
      <c r="B1217" s="28" t="s">
        <v>29039</v>
      </c>
    </row>
    <row r="1218" spans="1:2" x14ac:dyDescent="0.25">
      <c r="A1218" s="28" t="s">
        <v>30246</v>
      </c>
      <c r="B1218" s="28" t="s">
        <v>29040</v>
      </c>
    </row>
    <row r="1219" spans="1:2" x14ac:dyDescent="0.25">
      <c r="A1219" s="28" t="s">
        <v>30247</v>
      </c>
      <c r="B1219" s="28" t="s">
        <v>29043</v>
      </c>
    </row>
    <row r="1220" spans="1:2" x14ac:dyDescent="0.25">
      <c r="A1220" s="28" t="s">
        <v>30248</v>
      </c>
      <c r="B1220" s="28" t="s">
        <v>29041</v>
      </c>
    </row>
    <row r="1221" spans="1:2" x14ac:dyDescent="0.25">
      <c r="A1221" s="28" t="s">
        <v>30249</v>
      </c>
      <c r="B1221" s="28" t="s">
        <v>29042</v>
      </c>
    </row>
    <row r="1222" spans="1:2" x14ac:dyDescent="0.25">
      <c r="A1222" s="28" t="s">
        <v>30250</v>
      </c>
      <c r="B1222" s="28" t="s">
        <v>29032</v>
      </c>
    </row>
    <row r="1223" spans="1:2" x14ac:dyDescent="0.25">
      <c r="A1223" s="28" t="s">
        <v>30251</v>
      </c>
      <c r="B1223" s="28" t="s">
        <v>29037</v>
      </c>
    </row>
    <row r="1224" spans="1:2" x14ac:dyDescent="0.25">
      <c r="A1224" s="28" t="s">
        <v>30252</v>
      </c>
      <c r="B1224" s="28" t="s">
        <v>28964</v>
      </c>
    </row>
    <row r="1225" spans="1:2" x14ac:dyDescent="0.25">
      <c r="A1225" s="28" t="s">
        <v>30253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30254</v>
      </c>
      <c r="B1229" s="28" t="s">
        <v>29006</v>
      </c>
    </row>
    <row r="1230" spans="1:2" x14ac:dyDescent="0.25">
      <c r="A1230" s="28" t="s">
        <v>30255</v>
      </c>
      <c r="B1230" s="28" t="s">
        <v>29007</v>
      </c>
    </row>
    <row r="1231" spans="1:2" x14ac:dyDescent="0.25">
      <c r="A1231" s="28" t="s">
        <v>30256</v>
      </c>
      <c r="B1231" s="28" t="s">
        <v>29005</v>
      </c>
    </row>
    <row r="1232" spans="1:2" x14ac:dyDescent="0.25">
      <c r="A1232" s="28" t="s">
        <v>30257</v>
      </c>
      <c r="B1232" s="28" t="s">
        <v>29004</v>
      </c>
    </row>
    <row r="1233" spans="1:2" x14ac:dyDescent="0.25">
      <c r="A1233" s="28" t="s">
        <v>30258</v>
      </c>
      <c r="B1233" s="28" t="s">
        <v>29027</v>
      </c>
    </row>
    <row r="1234" spans="1:2" x14ac:dyDescent="0.25">
      <c r="A1234" s="28" t="s">
        <v>30259</v>
      </c>
      <c r="B1234" s="28" t="s">
        <v>29025</v>
      </c>
    </row>
    <row r="1235" spans="1:2" x14ac:dyDescent="0.25">
      <c r="A1235" s="28" t="s">
        <v>30260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30261</v>
      </c>
      <c r="B1237" s="28" t="s">
        <v>29013</v>
      </c>
    </row>
    <row r="1238" spans="1:2" x14ac:dyDescent="0.25">
      <c r="A1238" s="28" t="s">
        <v>30262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30263</v>
      </c>
      <c r="B1243" s="28" t="s">
        <v>28966</v>
      </c>
    </row>
    <row r="1244" spans="1:2" x14ac:dyDescent="0.25">
      <c r="A1244" s="28" t="s">
        <v>30264</v>
      </c>
      <c r="B1244" s="28" t="s">
        <v>28967</v>
      </c>
    </row>
    <row r="1245" spans="1:2" x14ac:dyDescent="0.25">
      <c r="A1245" s="28" t="s">
        <v>30265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30266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30267</v>
      </c>
      <c r="B1251" s="28" t="s">
        <v>29001</v>
      </c>
    </row>
    <row r="1252" spans="1:2" x14ac:dyDescent="0.25">
      <c r="A1252" s="28" t="s">
        <v>30268</v>
      </c>
      <c r="B1252" s="28" t="s">
        <v>29002</v>
      </c>
    </row>
    <row r="1253" spans="1:2" x14ac:dyDescent="0.25">
      <c r="A1253" s="28" t="s">
        <v>30269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30270</v>
      </c>
      <c r="B1264" s="28" t="s">
        <v>28973</v>
      </c>
    </row>
    <row r="1265" spans="1:2" x14ac:dyDescent="0.25">
      <c r="A1265" s="28" t="s">
        <v>30271</v>
      </c>
      <c r="B1265" s="28" t="s">
        <v>28974</v>
      </c>
    </row>
    <row r="1266" spans="1:2" x14ac:dyDescent="0.25">
      <c r="A1266" s="28" t="s">
        <v>30272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30273</v>
      </c>
      <c r="B1272" s="28" t="s">
        <v>29011</v>
      </c>
    </row>
    <row r="1273" spans="1:2" x14ac:dyDescent="0.25">
      <c r="A1273" s="28" t="s">
        <v>30274</v>
      </c>
      <c r="B1273" s="28" t="s">
        <v>29012</v>
      </c>
    </row>
    <row r="1274" spans="1:2" x14ac:dyDescent="0.25">
      <c r="A1274" s="28" t="s">
        <v>30275</v>
      </c>
      <c r="B1274" s="28" t="s">
        <v>29008</v>
      </c>
    </row>
    <row r="1275" spans="1:2" x14ac:dyDescent="0.25">
      <c r="A1275" s="28" t="s">
        <v>30276</v>
      </c>
      <c r="B1275" s="28" t="s">
        <v>29010</v>
      </c>
    </row>
    <row r="1276" spans="1:2" x14ac:dyDescent="0.25">
      <c r="A1276" s="28" t="s">
        <v>30277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30278</v>
      </c>
      <c r="B1295" s="28" t="s">
        <v>28979</v>
      </c>
    </row>
    <row r="1296" spans="1:2" x14ac:dyDescent="0.25">
      <c r="A1296" s="28" t="s">
        <v>30279</v>
      </c>
      <c r="B1296" s="28" t="s">
        <v>28980</v>
      </c>
    </row>
    <row r="1297" spans="1:2" x14ac:dyDescent="0.25">
      <c r="A1297" s="28" t="s">
        <v>30280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29391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30281</v>
      </c>
      <c r="B1305" s="28" t="s">
        <v>28991</v>
      </c>
    </row>
    <row r="1306" spans="1:2" x14ac:dyDescent="0.25">
      <c r="A1306" s="28" t="s">
        <v>30282</v>
      </c>
      <c r="B1306" s="28" t="s">
        <v>28988</v>
      </c>
    </row>
    <row r="1307" spans="1:2" x14ac:dyDescent="0.25">
      <c r="A1307" s="28" t="s">
        <v>30283</v>
      </c>
      <c r="B1307" s="28" t="s">
        <v>28993</v>
      </c>
    </row>
    <row r="1308" spans="1:2" x14ac:dyDescent="0.25">
      <c r="A1308" s="28" t="s">
        <v>30284</v>
      </c>
      <c r="B1308" s="28" t="s">
        <v>28987</v>
      </c>
    </row>
    <row r="1309" spans="1:2" x14ac:dyDescent="0.25">
      <c r="A1309" s="28" t="s">
        <v>30285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30286</v>
      </c>
      <c r="B1311" s="28" t="s">
        <v>28994</v>
      </c>
    </row>
    <row r="1312" spans="1:2" x14ac:dyDescent="0.25">
      <c r="A1312" s="28" t="s">
        <v>30287</v>
      </c>
      <c r="B1312" s="28" t="s">
        <v>28995</v>
      </c>
    </row>
    <row r="1313" spans="1:2" x14ac:dyDescent="0.25">
      <c r="A1313" s="28" t="s">
        <v>30288</v>
      </c>
      <c r="B1313" s="28" t="s">
        <v>28969</v>
      </c>
    </row>
    <row r="1314" spans="1:2" x14ac:dyDescent="0.25">
      <c r="A1314" s="28" t="s">
        <v>30289</v>
      </c>
      <c r="B1314" s="28" t="s">
        <v>28968</v>
      </c>
    </row>
    <row r="1315" spans="1:2" x14ac:dyDescent="0.25">
      <c r="A1315" s="28" t="s">
        <v>30290</v>
      </c>
      <c r="B1315" s="28" t="s">
        <v>28998</v>
      </c>
    </row>
    <row r="1316" spans="1:2" x14ac:dyDescent="0.25">
      <c r="A1316" s="28" t="s">
        <v>30291</v>
      </c>
      <c r="B1316" s="28" t="s">
        <v>28996</v>
      </c>
    </row>
    <row r="1317" spans="1:2" x14ac:dyDescent="0.25">
      <c r="A1317" s="28" t="s">
        <v>30292</v>
      </c>
      <c r="B1317" s="28" t="s">
        <v>28999</v>
      </c>
    </row>
    <row r="1318" spans="1:2" x14ac:dyDescent="0.25">
      <c r="A1318" s="28" t="s">
        <v>30293</v>
      </c>
      <c r="B1318" s="28" t="s">
        <v>29000</v>
      </c>
    </row>
    <row r="1319" spans="1:2" x14ac:dyDescent="0.25">
      <c r="A1319" s="28" t="s">
        <v>30294</v>
      </c>
      <c r="B1319" s="28" t="s">
        <v>28997</v>
      </c>
    </row>
    <row r="1320" spans="1:2" x14ac:dyDescent="0.25">
      <c r="A1320" s="28" t="s">
        <v>30295</v>
      </c>
      <c r="B1320" s="28" t="s">
        <v>28961</v>
      </c>
    </row>
    <row r="1321" spans="1:2" x14ac:dyDescent="0.25">
      <c r="A1321" s="28" t="s">
        <v>30296</v>
      </c>
      <c r="B1321" s="28" t="s">
        <v>28982</v>
      </c>
    </row>
    <row r="1322" spans="1:2" x14ac:dyDescent="0.25">
      <c r="A1322" s="28" t="s">
        <v>30297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30298</v>
      </c>
      <c r="B1332" s="28" t="s">
        <v>28972</v>
      </c>
    </row>
    <row r="1333" spans="1:2" x14ac:dyDescent="0.25">
      <c r="A1333" s="28" t="s">
        <v>30299</v>
      </c>
      <c r="B1333" s="28" t="s">
        <v>28971</v>
      </c>
    </row>
    <row r="1334" spans="1:2" x14ac:dyDescent="0.25">
      <c r="A1334" s="28" t="s">
        <v>30300</v>
      </c>
      <c r="B1334" s="28" t="s">
        <v>28970</v>
      </c>
    </row>
    <row r="1335" spans="1:2" x14ac:dyDescent="0.25">
      <c r="A1335" s="28" t="s">
        <v>30301</v>
      </c>
      <c r="B1335" s="28" t="s">
        <v>28975</v>
      </c>
    </row>
    <row r="1336" spans="1:2" x14ac:dyDescent="0.25">
      <c r="A1336" s="28" t="s">
        <v>30302</v>
      </c>
      <c r="B1336" s="28" t="s">
        <v>28976</v>
      </c>
    </row>
    <row r="1337" spans="1:2" x14ac:dyDescent="0.25">
      <c r="A1337" s="28" t="s">
        <v>30303</v>
      </c>
      <c r="B1337" s="28" t="s">
        <v>28977</v>
      </c>
    </row>
    <row r="1338" spans="1:2" x14ac:dyDescent="0.25">
      <c r="A1338" s="28" t="s">
        <v>30304</v>
      </c>
      <c r="B1338" s="28" t="s">
        <v>28984</v>
      </c>
    </row>
    <row r="1339" spans="1:2" x14ac:dyDescent="0.25">
      <c r="A1339" s="28" t="s">
        <v>30305</v>
      </c>
      <c r="B1339" s="28" t="s">
        <v>28985</v>
      </c>
    </row>
    <row r="1340" spans="1:2" x14ac:dyDescent="0.25">
      <c r="A1340" s="28" t="s">
        <v>30306</v>
      </c>
      <c r="B1340" s="28" t="s">
        <v>28986</v>
      </c>
    </row>
    <row r="1341" spans="1:2" x14ac:dyDescent="0.25">
      <c r="A1341" s="28" t="s">
        <v>30307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30308</v>
      </c>
      <c r="B1351" s="28" t="s">
        <v>28959</v>
      </c>
    </row>
    <row r="1352" spans="1:2" x14ac:dyDescent="0.25">
      <c r="A1352" s="28" t="s">
        <v>30309</v>
      </c>
      <c r="B1352" s="28" t="s">
        <v>28958</v>
      </c>
    </row>
    <row r="1353" spans="1:2" x14ac:dyDescent="0.25">
      <c r="A1353" s="28" t="s">
        <v>30310</v>
      </c>
      <c r="B1353" s="28" t="s">
        <v>28960</v>
      </c>
    </row>
    <row r="1354" spans="1:2" x14ac:dyDescent="0.25">
      <c r="A1354" s="28" t="s">
        <v>30311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30312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30313</v>
      </c>
      <c r="B1363" s="28" t="s">
        <v>29020</v>
      </c>
    </row>
    <row r="1364" spans="1:2" x14ac:dyDescent="0.25">
      <c r="A1364" s="28" t="s">
        <v>30314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29392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30315</v>
      </c>
      <c r="B1377" s="28" t="s">
        <v>29015</v>
      </c>
    </row>
    <row r="1378" spans="1:2" x14ac:dyDescent="0.25">
      <c r="A1378" s="28" t="s">
        <v>30316</v>
      </c>
      <c r="B1378" s="28" t="s">
        <v>29019</v>
      </c>
    </row>
    <row r="1379" spans="1:2" x14ac:dyDescent="0.25">
      <c r="A1379" s="28" t="s">
        <v>30317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30318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30319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30320</v>
      </c>
      <c r="B1389" s="28" t="s">
        <v>29022</v>
      </c>
    </row>
    <row r="1390" spans="1:2" x14ac:dyDescent="0.25">
      <c r="A1390" s="28" t="s">
        <v>30218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29393</v>
      </c>
      <c r="B1427" s="28" t="s">
        <v>29394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29395</v>
      </c>
      <c r="B1437" s="28" t="s">
        <v>29396</v>
      </c>
    </row>
    <row r="1438" spans="1:2" x14ac:dyDescent="0.25">
      <c r="A1438" s="28" t="s">
        <v>29397</v>
      </c>
      <c r="B1438" s="28" t="s">
        <v>29398</v>
      </c>
    </row>
    <row r="1439" spans="1:2" x14ac:dyDescent="0.25">
      <c r="A1439" s="28" t="s">
        <v>29399</v>
      </c>
      <c r="B1439" s="28" t="s">
        <v>29400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29401</v>
      </c>
      <c r="B1451" s="28" t="s">
        <v>29402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29403</v>
      </c>
      <c r="B1453" s="28" t="s">
        <v>29404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29405</v>
      </c>
      <c r="B1456" s="28" t="s">
        <v>29406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30321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29407</v>
      </c>
      <c r="B1471" s="28" t="s">
        <v>29408</v>
      </c>
    </row>
    <row r="1472" spans="1:2" x14ac:dyDescent="0.25">
      <c r="A1472" s="28" t="s">
        <v>29409</v>
      </c>
      <c r="B1472" s="28" t="s">
        <v>29410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29411</v>
      </c>
      <c r="B1474" s="28" t="s">
        <v>29412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29413</v>
      </c>
      <c r="B1476" s="28" t="s">
        <v>29414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29415</v>
      </c>
      <c r="B1480" s="28" t="s">
        <v>29416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29417</v>
      </c>
      <c r="B1488" s="28" t="s">
        <v>29418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29419</v>
      </c>
      <c r="B1491" s="28" t="s">
        <v>29420</v>
      </c>
    </row>
    <row r="1492" spans="1:2" x14ac:dyDescent="0.25">
      <c r="A1492" s="28" t="s">
        <v>29421</v>
      </c>
      <c r="B1492" s="28" t="s">
        <v>29422</v>
      </c>
    </row>
    <row r="1493" spans="1:2" x14ac:dyDescent="0.25">
      <c r="A1493" s="28" t="s">
        <v>29423</v>
      </c>
      <c r="B1493" s="28" t="s">
        <v>29424</v>
      </c>
    </row>
    <row r="1494" spans="1:2" x14ac:dyDescent="0.25">
      <c r="A1494" s="28" t="s">
        <v>29425</v>
      </c>
      <c r="B1494" s="28" t="s">
        <v>29426</v>
      </c>
    </row>
    <row r="1495" spans="1:2" x14ac:dyDescent="0.25">
      <c r="A1495" s="28" t="s">
        <v>29427</v>
      </c>
      <c r="B1495" s="28" t="s">
        <v>29428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29429</v>
      </c>
      <c r="B1497" s="28" t="s">
        <v>29430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29431</v>
      </c>
      <c r="B1499" s="28" t="s">
        <v>29432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29433</v>
      </c>
      <c r="B1504" s="28" t="s">
        <v>29434</v>
      </c>
    </row>
    <row r="1505" spans="1:2" x14ac:dyDescent="0.25">
      <c r="A1505" s="28" t="s">
        <v>29435</v>
      </c>
      <c r="B1505" s="28" t="s">
        <v>29436</v>
      </c>
    </row>
    <row r="1506" spans="1:2" x14ac:dyDescent="0.25">
      <c r="A1506" s="28" t="s">
        <v>29437</v>
      </c>
      <c r="B1506" s="28" t="s">
        <v>29438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29439</v>
      </c>
      <c r="B1512" s="28" t="s">
        <v>29440</v>
      </c>
    </row>
    <row r="1513" spans="1:2" x14ac:dyDescent="0.25">
      <c r="A1513" s="28" t="s">
        <v>29441</v>
      </c>
      <c r="B1513" s="28" t="s">
        <v>29442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29443</v>
      </c>
      <c r="B1520" s="28" t="s">
        <v>29444</v>
      </c>
    </row>
    <row r="1521" spans="1:2" x14ac:dyDescent="0.25">
      <c r="A1521" s="28" t="s">
        <v>29445</v>
      </c>
      <c r="B1521" s="28" t="s">
        <v>29446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29447</v>
      </c>
      <c r="B1523" s="28" t="s">
        <v>29448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29449</v>
      </c>
      <c r="B1528" s="28" t="s">
        <v>29450</v>
      </c>
    </row>
    <row r="1529" spans="1:2" x14ac:dyDescent="0.25">
      <c r="A1529" s="28" t="s">
        <v>29451</v>
      </c>
      <c r="B1529" s="28" t="s">
        <v>29452</v>
      </c>
    </row>
    <row r="1530" spans="1:2" x14ac:dyDescent="0.25">
      <c r="A1530" s="28" t="s">
        <v>29453</v>
      </c>
      <c r="B1530" s="28" t="s">
        <v>29454</v>
      </c>
    </row>
    <row r="1531" spans="1:2" x14ac:dyDescent="0.25">
      <c r="A1531" s="28" t="s">
        <v>29455</v>
      </c>
      <c r="B1531" s="28" t="s">
        <v>29456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29457</v>
      </c>
      <c r="B1535" s="28" t="s">
        <v>29458</v>
      </c>
    </row>
    <row r="1536" spans="1:2" x14ac:dyDescent="0.25">
      <c r="A1536" s="28" t="s">
        <v>29459</v>
      </c>
      <c r="B1536" s="28" t="s">
        <v>29460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30322</v>
      </c>
      <c r="B1652" s="28" t="s">
        <v>30323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30324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29461</v>
      </c>
      <c r="B1802" s="28" t="s">
        <v>29462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30325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29463</v>
      </c>
      <c r="B2597" s="28" t="s">
        <v>29464</v>
      </c>
    </row>
    <row r="2598" spans="1:2" x14ac:dyDescent="0.25">
      <c r="A2598" s="28" t="s">
        <v>29465</v>
      </c>
      <c r="B2598" s="28" t="s">
        <v>29466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29467</v>
      </c>
      <c r="B2601" s="28" t="s">
        <v>29468</v>
      </c>
    </row>
    <row r="2602" spans="1:2" x14ac:dyDescent="0.25">
      <c r="A2602" s="28" t="s">
        <v>29469</v>
      </c>
      <c r="B2602" s="28" t="s">
        <v>29470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29471</v>
      </c>
      <c r="B2604" s="28" t="s">
        <v>29472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29473</v>
      </c>
      <c r="B2636" s="28" t="s">
        <v>29474</v>
      </c>
    </row>
    <row r="2637" spans="1:2" x14ac:dyDescent="0.25">
      <c r="A2637" s="28" t="s">
        <v>29475</v>
      </c>
      <c r="B2637" s="28" t="s">
        <v>29476</v>
      </c>
    </row>
    <row r="2638" spans="1:2" x14ac:dyDescent="0.25">
      <c r="A2638" s="28" t="s">
        <v>29477</v>
      </c>
      <c r="B2638" s="28" t="s">
        <v>29478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29479</v>
      </c>
      <c r="B2706" s="28" t="s">
        <v>29480</v>
      </c>
    </row>
    <row r="2707" spans="1:2" x14ac:dyDescent="0.25">
      <c r="A2707" s="28" t="s">
        <v>29481</v>
      </c>
      <c r="B2707" s="28" t="s">
        <v>29482</v>
      </c>
    </row>
    <row r="2708" spans="1:2" x14ac:dyDescent="0.25">
      <c r="A2708" s="28" t="s">
        <v>29483</v>
      </c>
      <c r="B2708" s="28" t="s">
        <v>29484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29485</v>
      </c>
      <c r="B2721" s="28" t="s">
        <v>29486</v>
      </c>
    </row>
    <row r="2722" spans="1:2" x14ac:dyDescent="0.25">
      <c r="A2722" s="28" t="s">
        <v>21495</v>
      </c>
      <c r="B2722" s="28" t="s">
        <v>29487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29488</v>
      </c>
      <c r="B2731" s="28" t="s">
        <v>29489</v>
      </c>
    </row>
    <row r="2732" spans="1:2" x14ac:dyDescent="0.25">
      <c r="A2732" s="28" t="s">
        <v>29490</v>
      </c>
      <c r="B2732" s="28" t="s">
        <v>29491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29492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30326</v>
      </c>
      <c r="B2776" s="28" t="s">
        <v>30327</v>
      </c>
      <c r="C2776" s="14" t="s">
        <v>28100</v>
      </c>
    </row>
    <row r="2777" spans="1:3" x14ac:dyDescent="0.25">
      <c r="A2777" s="28" t="s">
        <v>30328</v>
      </c>
      <c r="B2777" s="28" t="s">
        <v>30329</v>
      </c>
      <c r="C2777" s="14" t="s">
        <v>28101</v>
      </c>
    </row>
    <row r="2778" spans="1:3" x14ac:dyDescent="0.25">
      <c r="A2778" s="28" t="s">
        <v>29493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29494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29495</v>
      </c>
      <c r="B2864" s="28" t="s">
        <v>29496</v>
      </c>
    </row>
    <row r="2865" spans="1:2" x14ac:dyDescent="0.25">
      <c r="A2865" s="28" t="s">
        <v>29497</v>
      </c>
      <c r="B2865" s="28" t="s">
        <v>29498</v>
      </c>
    </row>
    <row r="2866" spans="1:2" x14ac:dyDescent="0.25">
      <c r="A2866" s="28" t="s">
        <v>29499</v>
      </c>
      <c r="B2866" s="28" t="s">
        <v>29500</v>
      </c>
    </row>
    <row r="2867" spans="1:2" x14ac:dyDescent="0.25">
      <c r="A2867" s="28" t="s">
        <v>29501</v>
      </c>
      <c r="B2867" s="28" t="s">
        <v>29502</v>
      </c>
    </row>
    <row r="2868" spans="1:2" x14ac:dyDescent="0.25">
      <c r="A2868" s="28" t="s">
        <v>29503</v>
      </c>
      <c r="B2868" s="28" t="s">
        <v>29504</v>
      </c>
    </row>
    <row r="2869" spans="1:2" x14ac:dyDescent="0.25">
      <c r="A2869" s="28" t="s">
        <v>29505</v>
      </c>
      <c r="B2869" s="28" t="s">
        <v>29506</v>
      </c>
    </row>
    <row r="2870" spans="1:2" x14ac:dyDescent="0.25">
      <c r="A2870" s="28" t="s">
        <v>29507</v>
      </c>
      <c r="B2870" s="28" t="s">
        <v>29508</v>
      </c>
    </row>
    <row r="2871" spans="1:2" x14ac:dyDescent="0.25">
      <c r="A2871" s="28" t="s">
        <v>29509</v>
      </c>
      <c r="B2871" s="28" t="s">
        <v>29510</v>
      </c>
    </row>
    <row r="2872" spans="1:2" x14ac:dyDescent="0.25">
      <c r="A2872" s="28" t="s">
        <v>29511</v>
      </c>
      <c r="B2872" s="28" t="s">
        <v>29512</v>
      </c>
    </row>
    <row r="2873" spans="1:2" x14ac:dyDescent="0.25">
      <c r="A2873" s="28" t="s">
        <v>29513</v>
      </c>
      <c r="B2873" s="28" t="s">
        <v>29514</v>
      </c>
    </row>
    <row r="2874" spans="1:2" x14ac:dyDescent="0.25">
      <c r="A2874" s="28" t="s">
        <v>29515</v>
      </c>
      <c r="B2874" s="28" t="s">
        <v>29516</v>
      </c>
    </row>
    <row r="2875" spans="1:2" x14ac:dyDescent="0.25">
      <c r="A2875" s="28" t="s">
        <v>29517</v>
      </c>
      <c r="B2875" s="28" t="s">
        <v>29518</v>
      </c>
    </row>
    <row r="2876" spans="1:2" x14ac:dyDescent="0.25">
      <c r="A2876" s="28" t="s">
        <v>29519</v>
      </c>
      <c r="B2876" s="28" t="s">
        <v>29520</v>
      </c>
    </row>
    <row r="2877" spans="1:2" x14ac:dyDescent="0.25">
      <c r="A2877" s="28" t="s">
        <v>29521</v>
      </c>
      <c r="B2877" s="28" t="s">
        <v>29522</v>
      </c>
    </row>
    <row r="2878" spans="1:2" x14ac:dyDescent="0.25">
      <c r="A2878" s="28" t="s">
        <v>29523</v>
      </c>
      <c r="B2878" s="28" t="s">
        <v>29524</v>
      </c>
    </row>
    <row r="2879" spans="1:2" x14ac:dyDescent="0.25">
      <c r="A2879" s="28" t="s">
        <v>29525</v>
      </c>
      <c r="B2879" s="28" t="s">
        <v>29526</v>
      </c>
    </row>
    <row r="2880" spans="1:2" x14ac:dyDescent="0.25">
      <c r="A2880" s="28" t="s">
        <v>29527</v>
      </c>
      <c r="B2880" s="28" t="s">
        <v>29528</v>
      </c>
    </row>
    <row r="2881" spans="1:2" x14ac:dyDescent="0.25">
      <c r="A2881" s="28" t="s">
        <v>29529</v>
      </c>
      <c r="B2881" s="28" t="s">
        <v>29530</v>
      </c>
    </row>
    <row r="2882" spans="1:2" x14ac:dyDescent="0.25">
      <c r="A2882" s="28" t="s">
        <v>29531</v>
      </c>
      <c r="B2882" s="28" t="s">
        <v>29532</v>
      </c>
    </row>
    <row r="2883" spans="1:2" x14ac:dyDescent="0.25">
      <c r="A2883" s="28" t="s">
        <v>29533</v>
      </c>
      <c r="B2883" s="28" t="s">
        <v>29534</v>
      </c>
    </row>
    <row r="2884" spans="1:2" x14ac:dyDescent="0.25">
      <c r="A2884" s="28" t="s">
        <v>29535</v>
      </c>
      <c r="B2884" s="28" t="s">
        <v>29536</v>
      </c>
    </row>
    <row r="2885" spans="1:2" x14ac:dyDescent="0.25">
      <c r="A2885" s="28" t="s">
        <v>29537</v>
      </c>
      <c r="B2885" s="28" t="s">
        <v>29538</v>
      </c>
    </row>
    <row r="2886" spans="1:2" x14ac:dyDescent="0.25">
      <c r="A2886" s="28" t="s">
        <v>29539</v>
      </c>
      <c r="B2886" s="28" t="s">
        <v>29540</v>
      </c>
    </row>
    <row r="2887" spans="1:2" x14ac:dyDescent="0.25">
      <c r="A2887" s="28" t="s">
        <v>29541</v>
      </c>
      <c r="B2887" s="28" t="s">
        <v>29542</v>
      </c>
    </row>
    <row r="2888" spans="1:2" x14ac:dyDescent="0.25">
      <c r="A2888" s="28" t="s">
        <v>29543</v>
      </c>
      <c r="B2888" s="28" t="s">
        <v>29544</v>
      </c>
    </row>
    <row r="2889" spans="1:2" x14ac:dyDescent="0.25">
      <c r="A2889" s="28" t="s">
        <v>29545</v>
      </c>
      <c r="B2889" s="28" t="s">
        <v>29546</v>
      </c>
    </row>
    <row r="2890" spans="1:2" x14ac:dyDescent="0.25">
      <c r="A2890" s="28" t="s">
        <v>29547</v>
      </c>
      <c r="B2890" s="28" t="s">
        <v>29548</v>
      </c>
    </row>
    <row r="2891" spans="1:2" x14ac:dyDescent="0.25">
      <c r="A2891" s="28" t="s">
        <v>29549</v>
      </c>
      <c r="B2891" s="28" t="s">
        <v>29550</v>
      </c>
    </row>
    <row r="2892" spans="1:2" x14ac:dyDescent="0.25">
      <c r="A2892" s="28" t="s">
        <v>29551</v>
      </c>
      <c r="B2892" s="28" t="s">
        <v>29552</v>
      </c>
    </row>
    <row r="2893" spans="1:2" x14ac:dyDescent="0.25">
      <c r="A2893" s="28" t="s">
        <v>29553</v>
      </c>
      <c r="B2893" s="28" t="s">
        <v>29554</v>
      </c>
    </row>
    <row r="2894" spans="1:2" x14ac:dyDescent="0.25">
      <c r="A2894" s="28" t="s">
        <v>29555</v>
      </c>
      <c r="B2894" s="28" t="s">
        <v>29556</v>
      </c>
    </row>
    <row r="2895" spans="1:2" x14ac:dyDescent="0.25">
      <c r="A2895" s="28" t="s">
        <v>29557</v>
      </c>
      <c r="B2895" s="28" t="s">
        <v>29558</v>
      </c>
    </row>
    <row r="2896" spans="1:2" x14ac:dyDescent="0.25">
      <c r="A2896" s="28" t="s">
        <v>29559</v>
      </c>
      <c r="B2896" s="28" t="s">
        <v>29560</v>
      </c>
    </row>
    <row r="2897" spans="1:2" x14ac:dyDescent="0.25">
      <c r="A2897" s="28" t="s">
        <v>29561</v>
      </c>
      <c r="B2897" s="28" t="s">
        <v>29562</v>
      </c>
    </row>
    <row r="2898" spans="1:2" x14ac:dyDescent="0.25">
      <c r="A2898" s="28" t="s">
        <v>29563</v>
      </c>
      <c r="B2898" s="28" t="s">
        <v>29564</v>
      </c>
    </row>
    <row r="2899" spans="1:2" x14ac:dyDescent="0.25">
      <c r="A2899" s="28" t="s">
        <v>29565</v>
      </c>
      <c r="B2899" s="28" t="s">
        <v>29566</v>
      </c>
    </row>
    <row r="2900" spans="1:2" x14ac:dyDescent="0.25">
      <c r="A2900" s="28" t="s">
        <v>29567</v>
      </c>
      <c r="B2900" s="28" t="s">
        <v>29568</v>
      </c>
    </row>
    <row r="2901" spans="1:2" x14ac:dyDescent="0.25">
      <c r="A2901" s="28" t="s">
        <v>29569</v>
      </c>
      <c r="B2901" s="28" t="s">
        <v>29570</v>
      </c>
    </row>
    <row r="2902" spans="1:2" x14ac:dyDescent="0.25">
      <c r="A2902" s="28" t="s">
        <v>29571</v>
      </c>
      <c r="B2902" s="28" t="s">
        <v>29572</v>
      </c>
    </row>
    <row r="2903" spans="1:2" x14ac:dyDescent="0.25">
      <c r="A2903" s="28" t="s">
        <v>29573</v>
      </c>
      <c r="B2903" s="28" t="s">
        <v>29574</v>
      </c>
    </row>
    <row r="2904" spans="1:2" x14ac:dyDescent="0.25">
      <c r="A2904" s="28" t="s">
        <v>29575</v>
      </c>
      <c r="B2904" s="28" t="s">
        <v>29576</v>
      </c>
    </row>
    <row r="2905" spans="1:2" x14ac:dyDescent="0.25">
      <c r="A2905" s="28" t="s">
        <v>29577</v>
      </c>
      <c r="B2905" s="28" t="s">
        <v>29578</v>
      </c>
    </row>
    <row r="2906" spans="1:2" x14ac:dyDescent="0.25">
      <c r="A2906" s="28" t="s">
        <v>29579</v>
      </c>
      <c r="B2906" s="28" t="s">
        <v>29580</v>
      </c>
    </row>
    <row r="2907" spans="1:2" x14ac:dyDescent="0.25">
      <c r="A2907" s="28" t="s">
        <v>29581</v>
      </c>
      <c r="B2907" s="28" t="s">
        <v>29582</v>
      </c>
    </row>
    <row r="2908" spans="1:2" x14ac:dyDescent="0.25">
      <c r="A2908" s="28" t="s">
        <v>29583</v>
      </c>
      <c r="B2908" s="28" t="s">
        <v>29584</v>
      </c>
    </row>
    <row r="2909" spans="1:2" x14ac:dyDescent="0.25">
      <c r="A2909" s="28" t="s">
        <v>29585</v>
      </c>
      <c r="B2909" s="28" t="s">
        <v>29586</v>
      </c>
    </row>
    <row r="2910" spans="1:2" x14ac:dyDescent="0.25">
      <c r="A2910" s="28" t="s">
        <v>29587</v>
      </c>
      <c r="B2910" s="28" t="s">
        <v>29588</v>
      </c>
    </row>
    <row r="2911" spans="1:2" x14ac:dyDescent="0.25">
      <c r="A2911" s="28" t="s">
        <v>29589</v>
      </c>
      <c r="B2911" s="28" t="s">
        <v>29590</v>
      </c>
    </row>
    <row r="2912" spans="1:2" x14ac:dyDescent="0.25">
      <c r="A2912" s="28" t="s">
        <v>29591</v>
      </c>
      <c r="B2912" s="28" t="s">
        <v>29592</v>
      </c>
    </row>
    <row r="2913" spans="1:2" x14ac:dyDescent="0.25">
      <c r="A2913" s="28" t="s">
        <v>29593</v>
      </c>
      <c r="B2913" s="28" t="s">
        <v>29594</v>
      </c>
    </row>
    <row r="2914" spans="1:2" x14ac:dyDescent="0.25">
      <c r="A2914" s="28" t="s">
        <v>29595</v>
      </c>
      <c r="B2914" s="28" t="s">
        <v>29596</v>
      </c>
    </row>
    <row r="2915" spans="1:2" x14ac:dyDescent="0.25">
      <c r="A2915" s="28" t="s">
        <v>29597</v>
      </c>
      <c r="B2915" s="28" t="s">
        <v>29598</v>
      </c>
    </row>
    <row r="2916" spans="1:2" x14ac:dyDescent="0.25">
      <c r="A2916" s="28" t="s">
        <v>29599</v>
      </c>
      <c r="B2916" s="28" t="s">
        <v>29600</v>
      </c>
    </row>
    <row r="2917" spans="1:2" x14ac:dyDescent="0.25">
      <c r="A2917" s="28" t="s">
        <v>29601</v>
      </c>
      <c r="B2917" s="28" t="s">
        <v>29602</v>
      </c>
    </row>
    <row r="2918" spans="1:2" x14ac:dyDescent="0.25">
      <c r="A2918" s="28" t="s">
        <v>29603</v>
      </c>
      <c r="B2918" s="28" t="s">
        <v>29604</v>
      </c>
    </row>
    <row r="2919" spans="1:2" x14ac:dyDescent="0.25">
      <c r="A2919" s="28" t="s">
        <v>29605</v>
      </c>
      <c r="B2919" s="28" t="s">
        <v>29606</v>
      </c>
    </row>
    <row r="2920" spans="1:2" x14ac:dyDescent="0.25">
      <c r="A2920" s="28" t="s">
        <v>29607</v>
      </c>
      <c r="B2920" s="28" t="s">
        <v>29608</v>
      </c>
    </row>
    <row r="2921" spans="1:2" x14ac:dyDescent="0.25">
      <c r="A2921" s="28" t="s">
        <v>29609</v>
      </c>
      <c r="B2921" s="28" t="s">
        <v>29610</v>
      </c>
    </row>
    <row r="2922" spans="1:2" x14ac:dyDescent="0.25">
      <c r="A2922" s="28" t="s">
        <v>29611</v>
      </c>
      <c r="B2922" s="28" t="s">
        <v>29612</v>
      </c>
    </row>
    <row r="2923" spans="1:2" x14ac:dyDescent="0.25">
      <c r="A2923" s="28" t="s">
        <v>29613</v>
      </c>
      <c r="B2923" s="28" t="s">
        <v>29614</v>
      </c>
    </row>
    <row r="2924" spans="1:2" x14ac:dyDescent="0.25">
      <c r="A2924" s="28" t="s">
        <v>29615</v>
      </c>
      <c r="B2924" s="28" t="s">
        <v>29616</v>
      </c>
    </row>
    <row r="2925" spans="1:2" x14ac:dyDescent="0.25">
      <c r="A2925" s="28" t="s">
        <v>29617</v>
      </c>
      <c r="B2925" s="28" t="s">
        <v>29618</v>
      </c>
    </row>
    <row r="2926" spans="1:2" x14ac:dyDescent="0.25">
      <c r="A2926" s="28" t="s">
        <v>29619</v>
      </c>
      <c r="B2926" s="28" t="s">
        <v>29620</v>
      </c>
    </row>
    <row r="2927" spans="1:2" x14ac:dyDescent="0.25">
      <c r="A2927" s="28" t="s">
        <v>29621</v>
      </c>
      <c r="B2927" s="28" t="s">
        <v>29622</v>
      </c>
    </row>
    <row r="2928" spans="1:2" x14ac:dyDescent="0.25">
      <c r="A2928" s="28" t="s">
        <v>29623</v>
      </c>
      <c r="B2928" s="28" t="s">
        <v>29624</v>
      </c>
    </row>
    <row r="2929" spans="1:2" x14ac:dyDescent="0.25">
      <c r="A2929" s="28" t="s">
        <v>29625</v>
      </c>
      <c r="B2929" s="28" t="s">
        <v>29626</v>
      </c>
    </row>
    <row r="2930" spans="1:2" x14ac:dyDescent="0.25">
      <c r="A2930" s="28" t="s">
        <v>29627</v>
      </c>
      <c r="B2930" s="28" t="s">
        <v>29628</v>
      </c>
    </row>
    <row r="2931" spans="1:2" x14ac:dyDescent="0.25">
      <c r="A2931" s="28" t="s">
        <v>29629</v>
      </c>
      <c r="B2931" s="28" t="s">
        <v>29630</v>
      </c>
    </row>
    <row r="2932" spans="1:2" x14ac:dyDescent="0.25">
      <c r="A2932" s="28" t="s">
        <v>29631</v>
      </c>
      <c r="B2932" s="28" t="s">
        <v>29632</v>
      </c>
    </row>
    <row r="2933" spans="1:2" x14ac:dyDescent="0.25">
      <c r="A2933" s="28" t="s">
        <v>29633</v>
      </c>
      <c r="B2933" s="28" t="s">
        <v>29634</v>
      </c>
    </row>
    <row r="2934" spans="1:2" x14ac:dyDescent="0.25">
      <c r="A2934" s="28" t="s">
        <v>29635</v>
      </c>
      <c r="B2934" s="28" t="s">
        <v>29636</v>
      </c>
    </row>
    <row r="2935" spans="1:2" x14ac:dyDescent="0.25">
      <c r="A2935" s="28" t="s">
        <v>29637</v>
      </c>
      <c r="B2935" s="28" t="s">
        <v>29638</v>
      </c>
    </row>
    <row r="2936" spans="1:2" x14ac:dyDescent="0.25">
      <c r="A2936" s="28" t="s">
        <v>29639</v>
      </c>
      <c r="B2936" s="28" t="s">
        <v>29640</v>
      </c>
    </row>
    <row r="2937" spans="1:2" x14ac:dyDescent="0.25">
      <c r="A2937" s="28" t="s">
        <v>29641</v>
      </c>
      <c r="B2937" s="28" t="s">
        <v>29642</v>
      </c>
    </row>
    <row r="2938" spans="1:2" x14ac:dyDescent="0.25">
      <c r="A2938" s="28" t="s">
        <v>29643</v>
      </c>
      <c r="B2938" s="28" t="s">
        <v>29644</v>
      </c>
    </row>
    <row r="2939" spans="1:2" x14ac:dyDescent="0.25">
      <c r="A2939" s="28" t="s">
        <v>29645</v>
      </c>
      <c r="B2939" s="28" t="s">
        <v>29646</v>
      </c>
    </row>
    <row r="2940" spans="1:2" x14ac:dyDescent="0.25">
      <c r="A2940" s="28" t="s">
        <v>29647</v>
      </c>
      <c r="B2940" s="28" t="s">
        <v>29648</v>
      </c>
    </row>
    <row r="2941" spans="1:2" x14ac:dyDescent="0.25">
      <c r="A2941" s="28" t="s">
        <v>29649</v>
      </c>
      <c r="B2941" s="28" t="s">
        <v>29650</v>
      </c>
    </row>
    <row r="2942" spans="1:2" x14ac:dyDescent="0.25">
      <c r="A2942" s="28" t="s">
        <v>29651</v>
      </c>
      <c r="B2942" s="28" t="s">
        <v>29652</v>
      </c>
    </row>
    <row r="2943" spans="1:2" x14ac:dyDescent="0.25">
      <c r="A2943" s="28" t="s">
        <v>29653</v>
      </c>
      <c r="B2943" s="28" t="s">
        <v>29654</v>
      </c>
    </row>
    <row r="2944" spans="1:2" x14ac:dyDescent="0.25">
      <c r="A2944" s="28" t="s">
        <v>29655</v>
      </c>
      <c r="B2944" s="28" t="s">
        <v>29656</v>
      </c>
    </row>
    <row r="2945" spans="1:2" x14ac:dyDescent="0.25">
      <c r="A2945" s="28" t="s">
        <v>29657</v>
      </c>
      <c r="B2945" s="28" t="s">
        <v>29658</v>
      </c>
    </row>
    <row r="2946" spans="1:2" x14ac:dyDescent="0.25">
      <c r="A2946" s="28" t="s">
        <v>29659</v>
      </c>
      <c r="B2946" s="28" t="s">
        <v>29660</v>
      </c>
    </row>
    <row r="2947" spans="1:2" x14ac:dyDescent="0.25">
      <c r="A2947" s="28" t="s">
        <v>29661</v>
      </c>
      <c r="B2947" s="28" t="s">
        <v>29662</v>
      </c>
    </row>
    <row r="2948" spans="1:2" x14ac:dyDescent="0.25">
      <c r="A2948" s="28" t="s">
        <v>29663</v>
      </c>
      <c r="B2948" s="28" t="s">
        <v>29664</v>
      </c>
    </row>
    <row r="2949" spans="1:2" x14ac:dyDescent="0.25">
      <c r="A2949" s="28" t="s">
        <v>29665</v>
      </c>
      <c r="B2949" s="28" t="s">
        <v>29666</v>
      </c>
    </row>
    <row r="2950" spans="1:2" x14ac:dyDescent="0.25">
      <c r="A2950" s="28" t="s">
        <v>29667</v>
      </c>
      <c r="B2950" s="28" t="s">
        <v>29668</v>
      </c>
    </row>
    <row r="2951" spans="1:2" x14ac:dyDescent="0.25">
      <c r="A2951" s="28" t="s">
        <v>29669</v>
      </c>
      <c r="B2951" s="28" t="s">
        <v>29670</v>
      </c>
    </row>
    <row r="2952" spans="1:2" x14ac:dyDescent="0.25">
      <c r="A2952" s="28" t="s">
        <v>29671</v>
      </c>
      <c r="B2952" s="28" t="s">
        <v>29672</v>
      </c>
    </row>
    <row r="2953" spans="1:2" x14ac:dyDescent="0.25">
      <c r="A2953" s="28" t="s">
        <v>29673</v>
      </c>
      <c r="B2953" s="28" t="s">
        <v>29674</v>
      </c>
    </row>
    <row r="2954" spans="1:2" x14ac:dyDescent="0.25">
      <c r="A2954" s="28" t="s">
        <v>29675</v>
      </c>
      <c r="B2954" s="28" t="s">
        <v>29676</v>
      </c>
    </row>
    <row r="2955" spans="1:2" x14ac:dyDescent="0.25">
      <c r="A2955" s="28" t="s">
        <v>29677</v>
      </c>
      <c r="B2955" s="28" t="s">
        <v>29678</v>
      </c>
    </row>
    <row r="2956" spans="1:2" x14ac:dyDescent="0.25">
      <c r="A2956" s="28" t="s">
        <v>29679</v>
      </c>
      <c r="B2956" s="28" t="s">
        <v>29680</v>
      </c>
    </row>
    <row r="2957" spans="1:2" x14ac:dyDescent="0.25">
      <c r="A2957" s="28" t="s">
        <v>29681</v>
      </c>
      <c r="B2957" s="28" t="s">
        <v>29682</v>
      </c>
    </row>
    <row r="2958" spans="1:2" x14ac:dyDescent="0.25">
      <c r="A2958" s="28" t="s">
        <v>29683</v>
      </c>
      <c r="B2958" s="28" t="s">
        <v>29684</v>
      </c>
    </row>
    <row r="2959" spans="1:2" x14ac:dyDescent="0.25">
      <c r="A2959" s="28" t="s">
        <v>29685</v>
      </c>
      <c r="B2959" s="28" t="s">
        <v>29686</v>
      </c>
    </row>
    <row r="2960" spans="1:2" x14ac:dyDescent="0.25">
      <c r="A2960" s="28" t="s">
        <v>29687</v>
      </c>
      <c r="B2960" s="28" t="s">
        <v>29688</v>
      </c>
    </row>
    <row r="2961" spans="1:2" x14ac:dyDescent="0.25">
      <c r="A2961" s="28" t="s">
        <v>29689</v>
      </c>
      <c r="B2961" s="28" t="s">
        <v>29690</v>
      </c>
    </row>
    <row r="2962" spans="1:2" x14ac:dyDescent="0.25">
      <c r="A2962" s="28" t="s">
        <v>29691</v>
      </c>
      <c r="B2962" s="28" t="s">
        <v>29692</v>
      </c>
    </row>
    <row r="2963" spans="1:2" x14ac:dyDescent="0.25">
      <c r="A2963" s="28" t="s">
        <v>29693</v>
      </c>
      <c r="B2963" s="28" t="s">
        <v>29694</v>
      </c>
    </row>
    <row r="2964" spans="1:2" x14ac:dyDescent="0.25">
      <c r="A2964" s="28" t="s">
        <v>29695</v>
      </c>
      <c r="B2964" s="28" t="s">
        <v>29696</v>
      </c>
    </row>
    <row r="2965" spans="1:2" x14ac:dyDescent="0.25">
      <c r="A2965" s="28" t="s">
        <v>29697</v>
      </c>
      <c r="B2965" s="28" t="s">
        <v>29698</v>
      </c>
    </row>
    <row r="2966" spans="1:2" x14ac:dyDescent="0.25">
      <c r="A2966" s="28" t="s">
        <v>29699</v>
      </c>
      <c r="B2966" s="28" t="s">
        <v>29700</v>
      </c>
    </row>
    <row r="2967" spans="1:2" x14ac:dyDescent="0.25">
      <c r="A2967" s="28" t="s">
        <v>29701</v>
      </c>
      <c r="B2967" s="28" t="s">
        <v>29702</v>
      </c>
    </row>
    <row r="2968" spans="1:2" x14ac:dyDescent="0.25">
      <c r="A2968" s="28" t="s">
        <v>29703</v>
      </c>
      <c r="B2968" s="28" t="s">
        <v>29704</v>
      </c>
    </row>
    <row r="2969" spans="1:2" x14ac:dyDescent="0.25">
      <c r="A2969" s="28" t="s">
        <v>29705</v>
      </c>
      <c r="B2969" s="28" t="s">
        <v>29706</v>
      </c>
    </row>
    <row r="2970" spans="1:2" x14ac:dyDescent="0.25">
      <c r="A2970" s="28" t="s">
        <v>29707</v>
      </c>
      <c r="B2970" s="28" t="s">
        <v>29708</v>
      </c>
    </row>
    <row r="2971" spans="1:2" x14ac:dyDescent="0.25">
      <c r="A2971" s="28" t="s">
        <v>29709</v>
      </c>
      <c r="B2971" s="28" t="s">
        <v>29710</v>
      </c>
    </row>
    <row r="2972" spans="1:2" x14ac:dyDescent="0.25">
      <c r="A2972" s="28" t="s">
        <v>29711</v>
      </c>
      <c r="B2972" s="28" t="s">
        <v>29712</v>
      </c>
    </row>
    <row r="2973" spans="1:2" x14ac:dyDescent="0.25">
      <c r="A2973" s="28" t="s">
        <v>29713</v>
      </c>
      <c r="B2973" s="28" t="s">
        <v>29714</v>
      </c>
    </row>
    <row r="2974" spans="1:2" x14ac:dyDescent="0.25">
      <c r="A2974" s="28" t="s">
        <v>29715</v>
      </c>
      <c r="B2974" s="28" t="s">
        <v>29716</v>
      </c>
    </row>
    <row r="2975" spans="1:2" x14ac:dyDescent="0.25">
      <c r="A2975" s="28" t="s">
        <v>29717</v>
      </c>
      <c r="B2975" s="28" t="s">
        <v>29718</v>
      </c>
    </row>
    <row r="2976" spans="1:2" x14ac:dyDescent="0.25">
      <c r="A2976" s="28" t="s">
        <v>29719</v>
      </c>
      <c r="B2976" s="28" t="s">
        <v>29720</v>
      </c>
    </row>
    <row r="2977" spans="1:2" x14ac:dyDescent="0.25">
      <c r="A2977" s="28" t="s">
        <v>29721</v>
      </c>
      <c r="B2977" s="28" t="s">
        <v>29722</v>
      </c>
    </row>
    <row r="2978" spans="1:2" x14ac:dyDescent="0.25">
      <c r="A2978" s="28" t="s">
        <v>29723</v>
      </c>
      <c r="B2978" s="28" t="s">
        <v>29724</v>
      </c>
    </row>
    <row r="2979" spans="1:2" x14ac:dyDescent="0.25">
      <c r="A2979" s="28" t="s">
        <v>29725</v>
      </c>
      <c r="B2979" s="28" t="s">
        <v>29726</v>
      </c>
    </row>
    <row r="2980" spans="1:2" x14ac:dyDescent="0.25">
      <c r="A2980" s="28" t="s">
        <v>29727</v>
      </c>
      <c r="B2980" s="28" t="s">
        <v>29728</v>
      </c>
    </row>
    <row r="2981" spans="1:2" x14ac:dyDescent="0.25">
      <c r="A2981" s="28" t="s">
        <v>29729</v>
      </c>
      <c r="B2981" s="28" t="s">
        <v>29730</v>
      </c>
    </row>
    <row r="2982" spans="1:2" x14ac:dyDescent="0.25">
      <c r="A2982" s="28" t="s">
        <v>29731</v>
      </c>
      <c r="B2982" s="28" t="s">
        <v>29732</v>
      </c>
    </row>
    <row r="2983" spans="1:2" x14ac:dyDescent="0.25">
      <c r="A2983" s="28" t="s">
        <v>29733</v>
      </c>
      <c r="B2983" s="28" t="s">
        <v>29734</v>
      </c>
    </row>
    <row r="2984" spans="1:2" x14ac:dyDescent="0.25">
      <c r="A2984" s="28" t="s">
        <v>29735</v>
      </c>
      <c r="B2984" s="28" t="s">
        <v>29736</v>
      </c>
    </row>
    <row r="2985" spans="1:2" x14ac:dyDescent="0.25">
      <c r="A2985" s="28" t="s">
        <v>29737</v>
      </c>
      <c r="B2985" s="28" t="s">
        <v>29738</v>
      </c>
    </row>
    <row r="2986" spans="1:2" x14ac:dyDescent="0.25">
      <c r="A2986" s="28" t="s">
        <v>29739</v>
      </c>
      <c r="B2986" s="28" t="s">
        <v>29740</v>
      </c>
    </row>
    <row r="2987" spans="1:2" x14ac:dyDescent="0.25">
      <c r="A2987" s="28" t="s">
        <v>29741</v>
      </c>
      <c r="B2987" s="28" t="s">
        <v>29742</v>
      </c>
    </row>
    <row r="2988" spans="1:2" x14ac:dyDescent="0.25">
      <c r="A2988" s="28" t="s">
        <v>29743</v>
      </c>
      <c r="B2988" s="28" t="s">
        <v>29744</v>
      </c>
    </row>
    <row r="2989" spans="1:2" x14ac:dyDescent="0.25">
      <c r="A2989" s="28" t="s">
        <v>29745</v>
      </c>
      <c r="B2989" s="28" t="s">
        <v>29746</v>
      </c>
    </row>
    <row r="2990" spans="1:2" x14ac:dyDescent="0.25">
      <c r="A2990" s="28" t="s">
        <v>29747</v>
      </c>
      <c r="B2990" s="28" t="s">
        <v>29748</v>
      </c>
    </row>
    <row r="2991" spans="1:2" x14ac:dyDescent="0.25">
      <c r="A2991" s="28" t="s">
        <v>29749</v>
      </c>
      <c r="B2991" s="28" t="s">
        <v>29750</v>
      </c>
    </row>
    <row r="2992" spans="1:2" x14ac:dyDescent="0.25">
      <c r="A2992" s="28" t="s">
        <v>29751</v>
      </c>
      <c r="B2992" s="28" t="s">
        <v>29752</v>
      </c>
    </row>
    <row r="2993" spans="1:2" x14ac:dyDescent="0.25">
      <c r="A2993" s="28" t="s">
        <v>29753</v>
      </c>
      <c r="B2993" s="28" t="s">
        <v>29754</v>
      </c>
    </row>
    <row r="2994" spans="1:2" x14ac:dyDescent="0.25">
      <c r="A2994" s="28" t="s">
        <v>29755</v>
      </c>
      <c r="B2994" s="28" t="s">
        <v>29756</v>
      </c>
    </row>
    <row r="2995" spans="1:2" x14ac:dyDescent="0.25">
      <c r="A2995" s="28" t="s">
        <v>29757</v>
      </c>
      <c r="B2995" s="28" t="s">
        <v>29758</v>
      </c>
    </row>
    <row r="2996" spans="1:2" x14ac:dyDescent="0.25">
      <c r="A2996" s="28" t="s">
        <v>29759</v>
      </c>
      <c r="B2996" s="28" t="s">
        <v>29760</v>
      </c>
    </row>
    <row r="2997" spans="1:2" x14ac:dyDescent="0.25">
      <c r="A2997" s="28" t="s">
        <v>29761</v>
      </c>
      <c r="B2997" s="28" t="s">
        <v>29762</v>
      </c>
    </row>
    <row r="2998" spans="1:2" x14ac:dyDescent="0.25">
      <c r="A2998" s="28" t="s">
        <v>29763</v>
      </c>
      <c r="B2998" s="28" t="s">
        <v>29764</v>
      </c>
    </row>
    <row r="2999" spans="1:2" x14ac:dyDescent="0.25">
      <c r="A2999" s="28" t="s">
        <v>29765</v>
      </c>
      <c r="B2999" s="28" t="s">
        <v>29766</v>
      </c>
    </row>
    <row r="3000" spans="1:2" x14ac:dyDescent="0.25">
      <c r="A3000" s="28" t="s">
        <v>29767</v>
      </c>
      <c r="B3000" s="28" t="s">
        <v>29768</v>
      </c>
    </row>
    <row r="3001" spans="1:2" x14ac:dyDescent="0.25">
      <c r="A3001" s="28" t="s">
        <v>29769</v>
      </c>
      <c r="B3001" s="28" t="s">
        <v>29770</v>
      </c>
    </row>
    <row r="3002" spans="1:2" x14ac:dyDescent="0.25">
      <c r="A3002" s="28" t="s">
        <v>29771</v>
      </c>
      <c r="B3002" s="28" t="s">
        <v>29772</v>
      </c>
    </row>
    <row r="3003" spans="1:2" x14ac:dyDescent="0.25">
      <c r="A3003" s="28" t="s">
        <v>29773</v>
      </c>
      <c r="B3003" s="28" t="s">
        <v>29774</v>
      </c>
    </row>
    <row r="3004" spans="1:2" x14ac:dyDescent="0.25">
      <c r="A3004" s="28" t="s">
        <v>29775</v>
      </c>
      <c r="B3004" s="28" t="s">
        <v>29776</v>
      </c>
    </row>
    <row r="3005" spans="1:2" x14ac:dyDescent="0.25">
      <c r="A3005" s="28" t="s">
        <v>29777</v>
      </c>
      <c r="B3005" s="28" t="s">
        <v>29778</v>
      </c>
    </row>
    <row r="3006" spans="1:2" x14ac:dyDescent="0.25">
      <c r="A3006" s="28" t="s">
        <v>29779</v>
      </c>
      <c r="B3006" s="28" t="s">
        <v>29780</v>
      </c>
    </row>
    <row r="3007" spans="1:2" x14ac:dyDescent="0.25">
      <c r="A3007" s="28" t="s">
        <v>29781</v>
      </c>
      <c r="B3007" s="28" t="s">
        <v>29782</v>
      </c>
    </row>
    <row r="3008" spans="1:2" x14ac:dyDescent="0.25">
      <c r="A3008" s="28" t="s">
        <v>29783</v>
      </c>
      <c r="B3008" s="28" t="s">
        <v>29784</v>
      </c>
    </row>
    <row r="3009" spans="1:2" x14ac:dyDescent="0.25">
      <c r="A3009" s="28" t="s">
        <v>29785</v>
      </c>
      <c r="B3009" s="28" t="s">
        <v>29786</v>
      </c>
    </row>
    <row r="3010" spans="1:2" x14ac:dyDescent="0.25">
      <c r="A3010" s="28" t="s">
        <v>29787</v>
      </c>
      <c r="B3010" s="28" t="s">
        <v>29788</v>
      </c>
    </row>
    <row r="3011" spans="1:2" x14ac:dyDescent="0.25">
      <c r="A3011" s="28" t="s">
        <v>29789</v>
      </c>
      <c r="B3011" s="28" t="s">
        <v>29790</v>
      </c>
    </row>
    <row r="3012" spans="1:2" x14ac:dyDescent="0.25">
      <c r="A3012" s="28" t="s">
        <v>29791</v>
      </c>
      <c r="B3012" s="28" t="s">
        <v>29792</v>
      </c>
    </row>
    <row r="3013" spans="1:2" x14ac:dyDescent="0.25">
      <c r="A3013" s="28" t="s">
        <v>29793</v>
      </c>
      <c r="B3013" s="28" t="s">
        <v>29794</v>
      </c>
    </row>
    <row r="3014" spans="1:2" x14ac:dyDescent="0.25">
      <c r="A3014" s="28" t="s">
        <v>29795</v>
      </c>
      <c r="B3014" s="28" t="s">
        <v>29796</v>
      </c>
    </row>
    <row r="3015" spans="1:2" x14ac:dyDescent="0.25">
      <c r="A3015" s="28" t="s">
        <v>29797</v>
      </c>
      <c r="B3015" s="28" t="s">
        <v>29798</v>
      </c>
    </row>
    <row r="3016" spans="1:2" x14ac:dyDescent="0.25">
      <c r="A3016" s="28" t="s">
        <v>29799</v>
      </c>
      <c r="B3016" s="28" t="s">
        <v>29800</v>
      </c>
    </row>
    <row r="3017" spans="1:2" x14ac:dyDescent="0.25">
      <c r="A3017" s="28" t="s">
        <v>29801</v>
      </c>
      <c r="B3017" s="28" t="s">
        <v>29802</v>
      </c>
    </row>
    <row r="3018" spans="1:2" x14ac:dyDescent="0.25">
      <c r="A3018" s="28" t="s">
        <v>29803</v>
      </c>
      <c r="B3018" s="28" t="s">
        <v>29804</v>
      </c>
    </row>
    <row r="3019" spans="1:2" x14ac:dyDescent="0.25">
      <c r="A3019" s="28" t="s">
        <v>29805</v>
      </c>
      <c r="B3019" s="28" t="s">
        <v>29806</v>
      </c>
    </row>
    <row r="3020" spans="1:2" x14ac:dyDescent="0.25">
      <c r="A3020" s="28" t="s">
        <v>29807</v>
      </c>
      <c r="B3020" s="28" t="s">
        <v>29808</v>
      </c>
    </row>
    <row r="3021" spans="1:2" x14ac:dyDescent="0.25">
      <c r="A3021" s="28" t="s">
        <v>29809</v>
      </c>
      <c r="B3021" s="28" t="s">
        <v>29810</v>
      </c>
    </row>
    <row r="3022" spans="1:2" x14ac:dyDescent="0.25">
      <c r="A3022" s="28" t="s">
        <v>29811</v>
      </c>
      <c r="B3022" s="28" t="s">
        <v>29812</v>
      </c>
    </row>
    <row r="3023" spans="1:2" x14ac:dyDescent="0.25">
      <c r="A3023" s="28" t="s">
        <v>29813</v>
      </c>
      <c r="B3023" s="28" t="s">
        <v>29814</v>
      </c>
    </row>
    <row r="3024" spans="1:2" x14ac:dyDescent="0.25">
      <c r="A3024" s="28" t="s">
        <v>29815</v>
      </c>
      <c r="B3024" s="28" t="s">
        <v>29816</v>
      </c>
    </row>
    <row r="3025" spans="1:2" x14ac:dyDescent="0.25">
      <c r="A3025" s="28" t="s">
        <v>29817</v>
      </c>
      <c r="B3025" s="28" t="s">
        <v>29818</v>
      </c>
    </row>
    <row r="3026" spans="1:2" x14ac:dyDescent="0.25">
      <c r="A3026" s="28" t="s">
        <v>29819</v>
      </c>
      <c r="B3026" s="28" t="s">
        <v>29820</v>
      </c>
    </row>
    <row r="3027" spans="1:2" x14ac:dyDescent="0.25">
      <c r="A3027" s="28" t="s">
        <v>29821</v>
      </c>
      <c r="B3027" s="28" t="s">
        <v>29822</v>
      </c>
    </row>
    <row r="3028" spans="1:2" x14ac:dyDescent="0.25">
      <c r="A3028" s="28" t="s">
        <v>30330</v>
      </c>
      <c r="B3028" s="28" t="s">
        <v>30331</v>
      </c>
    </row>
    <row r="3029" spans="1:2" x14ac:dyDescent="0.25">
      <c r="A3029" s="28" t="s">
        <v>30332</v>
      </c>
      <c r="B3029" s="28" t="s">
        <v>30333</v>
      </c>
    </row>
    <row r="3030" spans="1:2" x14ac:dyDescent="0.25">
      <c r="A3030" s="28" t="s">
        <v>30334</v>
      </c>
      <c r="B3030" s="28" t="s">
        <v>30335</v>
      </c>
    </row>
    <row r="3031" spans="1:2" x14ac:dyDescent="0.25">
      <c r="A3031" s="28" t="s">
        <v>30336</v>
      </c>
      <c r="B3031" s="28" t="s">
        <v>30337</v>
      </c>
    </row>
    <row r="3032" spans="1:2" x14ac:dyDescent="0.25">
      <c r="A3032" s="28" t="s">
        <v>30338</v>
      </c>
      <c r="B3032" s="28" t="s">
        <v>30339</v>
      </c>
    </row>
    <row r="3033" spans="1:2" x14ac:dyDescent="0.25">
      <c r="A3033" s="28" t="s">
        <v>30340</v>
      </c>
      <c r="B3033" s="28" t="s">
        <v>30341</v>
      </c>
    </row>
    <row r="3034" spans="1:2" x14ac:dyDescent="0.25">
      <c r="A3034" s="28" t="s">
        <v>30342</v>
      </c>
      <c r="B3034" s="28" t="s">
        <v>30343</v>
      </c>
    </row>
    <row r="3035" spans="1:2" x14ac:dyDescent="0.25">
      <c r="A3035" s="28" t="s">
        <v>30344</v>
      </c>
      <c r="B3035" s="28" t="s">
        <v>30345</v>
      </c>
    </row>
    <row r="3036" spans="1:2" x14ac:dyDescent="0.25">
      <c r="A3036" s="28" t="s">
        <v>29823</v>
      </c>
      <c r="B3036" s="28" t="s">
        <v>29824</v>
      </c>
    </row>
    <row r="3037" spans="1:2" x14ac:dyDescent="0.25">
      <c r="A3037" s="28" t="s">
        <v>30346</v>
      </c>
      <c r="B3037" s="28" t="s">
        <v>30347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30348</v>
      </c>
      <c r="B3039" s="28" t="s">
        <v>30349</v>
      </c>
    </row>
    <row r="3040" spans="1:2" x14ac:dyDescent="0.25">
      <c r="A3040" s="28" t="s">
        <v>30350</v>
      </c>
      <c r="B3040" s="28" t="s">
        <v>30351</v>
      </c>
    </row>
    <row r="3041" spans="1:2" x14ac:dyDescent="0.25">
      <c r="A3041" s="28" t="s">
        <v>30352</v>
      </c>
      <c r="B3041" s="28" t="s">
        <v>30353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30354</v>
      </c>
      <c r="B3043" s="28" t="s">
        <v>30355</v>
      </c>
    </row>
    <row r="3044" spans="1:2" x14ac:dyDescent="0.25">
      <c r="A3044" s="28" t="s">
        <v>30356</v>
      </c>
      <c r="B3044" s="28" t="s">
        <v>30357</v>
      </c>
    </row>
    <row r="3045" spans="1:2" x14ac:dyDescent="0.25">
      <c r="A3045" s="28" t="s">
        <v>30358</v>
      </c>
      <c r="B3045" s="28" t="s">
        <v>30359</v>
      </c>
    </row>
    <row r="3046" spans="1:2" x14ac:dyDescent="0.25">
      <c r="A3046" s="28" t="s">
        <v>30360</v>
      </c>
      <c r="B3046" s="28" t="s">
        <v>30361</v>
      </c>
    </row>
    <row r="3047" spans="1:2" x14ac:dyDescent="0.25">
      <c r="A3047" s="28" t="s">
        <v>29825</v>
      </c>
      <c r="B3047" s="28" t="s">
        <v>29826</v>
      </c>
    </row>
    <row r="3048" spans="1:2" x14ac:dyDescent="0.25">
      <c r="A3048" s="28" t="s">
        <v>29827</v>
      </c>
      <c r="B3048" s="28" t="s">
        <v>29828</v>
      </c>
    </row>
    <row r="3049" spans="1:2" x14ac:dyDescent="0.25">
      <c r="A3049" s="28" t="s">
        <v>29829</v>
      </c>
      <c r="B3049" s="28" t="s">
        <v>29830</v>
      </c>
    </row>
    <row r="3050" spans="1:2" x14ac:dyDescent="0.25">
      <c r="A3050" s="28" t="s">
        <v>29831</v>
      </c>
      <c r="B3050" s="28" t="s">
        <v>29832</v>
      </c>
    </row>
    <row r="3051" spans="1:2" x14ac:dyDescent="0.25">
      <c r="A3051" s="28" t="s">
        <v>30362</v>
      </c>
      <c r="B3051" s="28" t="s">
        <v>30363</v>
      </c>
    </row>
    <row r="3052" spans="1:2" x14ac:dyDescent="0.25">
      <c r="A3052" s="28" t="s">
        <v>30364</v>
      </c>
      <c r="B3052" s="28" t="s">
        <v>30365</v>
      </c>
    </row>
    <row r="3053" spans="1:2" x14ac:dyDescent="0.25">
      <c r="A3053" s="28" t="s">
        <v>29833</v>
      </c>
      <c r="B3053" s="28" t="s">
        <v>29834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30366</v>
      </c>
      <c r="B3055" s="28" t="s">
        <v>30367</v>
      </c>
    </row>
    <row r="3056" spans="1:2" x14ac:dyDescent="0.25">
      <c r="A3056" s="28" t="s">
        <v>30368</v>
      </c>
      <c r="B3056" s="28" t="s">
        <v>30369</v>
      </c>
    </row>
    <row r="3057" spans="1:2" x14ac:dyDescent="0.25">
      <c r="A3057" s="28" t="s">
        <v>30370</v>
      </c>
      <c r="B3057" s="28" t="s">
        <v>30371</v>
      </c>
    </row>
    <row r="3058" spans="1:2" x14ac:dyDescent="0.25">
      <c r="A3058" s="28" t="s">
        <v>30372</v>
      </c>
      <c r="B3058" s="28" t="s">
        <v>30373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30374</v>
      </c>
      <c r="B3060" s="28" t="s">
        <v>30375</v>
      </c>
    </row>
    <row r="3061" spans="1:2" x14ac:dyDescent="0.25">
      <c r="A3061" s="28" t="s">
        <v>30376</v>
      </c>
      <c r="B3061" s="28" t="s">
        <v>30377</v>
      </c>
    </row>
    <row r="3062" spans="1:2" x14ac:dyDescent="0.25">
      <c r="A3062" s="28" t="s">
        <v>30378</v>
      </c>
      <c r="B3062" s="28" t="s">
        <v>30379</v>
      </c>
    </row>
    <row r="3063" spans="1:2" x14ac:dyDescent="0.25">
      <c r="A3063" s="28" t="s">
        <v>30380</v>
      </c>
      <c r="B3063" s="28" t="s">
        <v>30381</v>
      </c>
    </row>
    <row r="3064" spans="1:2" x14ac:dyDescent="0.25">
      <c r="A3064" s="28" t="s">
        <v>30382</v>
      </c>
      <c r="B3064" s="28" t="s">
        <v>30383</v>
      </c>
    </row>
    <row r="3065" spans="1:2" x14ac:dyDescent="0.25">
      <c r="A3065" s="28" t="s">
        <v>30384</v>
      </c>
      <c r="B3065" s="28" t="s">
        <v>30385</v>
      </c>
    </row>
    <row r="3066" spans="1:2" x14ac:dyDescent="0.25">
      <c r="A3066" s="28" t="s">
        <v>30386</v>
      </c>
      <c r="B3066" s="28" t="s">
        <v>30387</v>
      </c>
    </row>
    <row r="3067" spans="1:2" x14ac:dyDescent="0.25">
      <c r="A3067" s="28" t="s">
        <v>29835</v>
      </c>
      <c r="B3067" s="28" t="s">
        <v>29836</v>
      </c>
    </row>
    <row r="3068" spans="1:2" x14ac:dyDescent="0.25">
      <c r="A3068" s="28" t="s">
        <v>29837</v>
      </c>
      <c r="B3068" s="28" t="s">
        <v>29838</v>
      </c>
    </row>
    <row r="3069" spans="1:2" x14ac:dyDescent="0.25">
      <c r="A3069" s="28" t="s">
        <v>30388</v>
      </c>
      <c r="B3069" s="28" t="s">
        <v>30389</v>
      </c>
    </row>
    <row r="3070" spans="1:2" x14ac:dyDescent="0.25">
      <c r="A3070" s="28" t="s">
        <v>29839</v>
      </c>
      <c r="B3070" s="28" t="s">
        <v>29840</v>
      </c>
    </row>
    <row r="3071" spans="1:2" x14ac:dyDescent="0.25">
      <c r="A3071" s="28" t="s">
        <v>29841</v>
      </c>
      <c r="B3071" s="28" t="s">
        <v>29842</v>
      </c>
    </row>
    <row r="3072" spans="1:2" x14ac:dyDescent="0.25">
      <c r="A3072" s="28" t="s">
        <v>29843</v>
      </c>
      <c r="B3072" s="28" t="s">
        <v>29844</v>
      </c>
    </row>
    <row r="3073" spans="1:2" x14ac:dyDescent="0.25">
      <c r="A3073" s="28" t="s">
        <v>30390</v>
      </c>
      <c r="B3073" s="28" t="s">
        <v>30391</v>
      </c>
    </row>
    <row r="3074" spans="1:2" x14ac:dyDescent="0.25">
      <c r="A3074" s="28" t="s">
        <v>30392</v>
      </c>
      <c r="B3074" s="28" t="s">
        <v>30393</v>
      </c>
    </row>
    <row r="3075" spans="1:2" x14ac:dyDescent="0.25">
      <c r="A3075" s="28" t="s">
        <v>30394</v>
      </c>
      <c r="B3075" s="28" t="s">
        <v>30395</v>
      </c>
    </row>
    <row r="3076" spans="1:2" x14ac:dyDescent="0.25">
      <c r="A3076" s="28" t="s">
        <v>30396</v>
      </c>
      <c r="B3076" s="28" t="s">
        <v>30397</v>
      </c>
    </row>
    <row r="3077" spans="1:2" x14ac:dyDescent="0.25">
      <c r="A3077" s="28" t="s">
        <v>30398</v>
      </c>
      <c r="B3077" s="28" t="s">
        <v>30399</v>
      </c>
    </row>
    <row r="3078" spans="1:2" x14ac:dyDescent="0.25">
      <c r="A3078" s="28" t="s">
        <v>29845</v>
      </c>
      <c r="B3078" s="28" t="s">
        <v>29846</v>
      </c>
    </row>
    <row r="3079" spans="1:2" x14ac:dyDescent="0.25">
      <c r="A3079" s="28" t="s">
        <v>30400</v>
      </c>
      <c r="B3079" s="28" t="s">
        <v>30401</v>
      </c>
    </row>
    <row r="3080" spans="1:2" x14ac:dyDescent="0.25">
      <c r="A3080" s="28" t="s">
        <v>30402</v>
      </c>
      <c r="B3080" s="28" t="s">
        <v>30403</v>
      </c>
    </row>
    <row r="3081" spans="1:2" x14ac:dyDescent="0.25">
      <c r="A3081" s="28" t="s">
        <v>29847</v>
      </c>
      <c r="B3081" s="28" t="s">
        <v>29848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30404</v>
      </c>
      <c r="B3083" s="28" t="s">
        <v>30405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30406</v>
      </c>
      <c r="B3085" s="28" t="s">
        <v>30407</v>
      </c>
    </row>
    <row r="3086" spans="1:2" x14ac:dyDescent="0.25">
      <c r="A3086" s="28" t="s">
        <v>29849</v>
      </c>
      <c r="B3086" s="28" t="s">
        <v>29850</v>
      </c>
    </row>
    <row r="3087" spans="1:2" x14ac:dyDescent="0.25">
      <c r="A3087" s="28" t="s">
        <v>29851</v>
      </c>
      <c r="B3087" s="28" t="s">
        <v>29852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29853</v>
      </c>
      <c r="B3089" s="28" t="s">
        <v>29854</v>
      </c>
    </row>
    <row r="3090" spans="1:2" x14ac:dyDescent="0.25">
      <c r="A3090" s="28" t="s">
        <v>29855</v>
      </c>
      <c r="B3090" s="28" t="s">
        <v>29856</v>
      </c>
    </row>
    <row r="3091" spans="1:2" x14ac:dyDescent="0.25">
      <c r="A3091" s="28" t="s">
        <v>29857</v>
      </c>
      <c r="B3091" s="28" t="s">
        <v>29858</v>
      </c>
    </row>
    <row r="3092" spans="1:2" x14ac:dyDescent="0.25">
      <c r="A3092" s="28" t="s">
        <v>29859</v>
      </c>
      <c r="B3092" s="28" t="s">
        <v>29860</v>
      </c>
    </row>
    <row r="3093" spans="1:2" x14ac:dyDescent="0.25">
      <c r="A3093" s="28" t="s">
        <v>29861</v>
      </c>
      <c r="B3093" s="28" t="s">
        <v>29862</v>
      </c>
    </row>
    <row r="3094" spans="1:2" x14ac:dyDescent="0.25">
      <c r="A3094" s="28" t="s">
        <v>29863</v>
      </c>
      <c r="B3094" s="28" t="s">
        <v>29864</v>
      </c>
    </row>
    <row r="3095" spans="1:2" x14ac:dyDescent="0.25">
      <c r="A3095" s="28" t="s">
        <v>30408</v>
      </c>
      <c r="B3095" s="28" t="s">
        <v>29865</v>
      </c>
    </row>
    <row r="3096" spans="1:2" x14ac:dyDescent="0.25">
      <c r="A3096" s="28" t="s">
        <v>29866</v>
      </c>
      <c r="B3096" s="28" t="s">
        <v>29867</v>
      </c>
    </row>
    <row r="3097" spans="1:2" x14ac:dyDescent="0.25">
      <c r="A3097" s="28" t="s">
        <v>29868</v>
      </c>
      <c r="B3097" s="28" t="s">
        <v>29869</v>
      </c>
    </row>
    <row r="3098" spans="1:2" x14ac:dyDescent="0.25">
      <c r="A3098" s="28" t="s">
        <v>29870</v>
      </c>
      <c r="B3098" s="28" t="s">
        <v>29871</v>
      </c>
    </row>
    <row r="3099" spans="1:2" x14ac:dyDescent="0.25">
      <c r="A3099" s="28" t="s">
        <v>29872</v>
      </c>
      <c r="B3099" s="28" t="s">
        <v>29873</v>
      </c>
    </row>
    <row r="3100" spans="1:2" x14ac:dyDescent="0.25">
      <c r="A3100" s="28" t="s">
        <v>29874</v>
      </c>
      <c r="B3100" s="28" t="s">
        <v>29875</v>
      </c>
    </row>
    <row r="3101" spans="1:2" x14ac:dyDescent="0.25">
      <c r="A3101" s="28" t="s">
        <v>29876</v>
      </c>
      <c r="B3101" s="28" t="s">
        <v>29877</v>
      </c>
    </row>
    <row r="3102" spans="1:2" x14ac:dyDescent="0.25">
      <c r="A3102" s="28" t="s">
        <v>29878</v>
      </c>
      <c r="B3102" s="28" t="s">
        <v>29879</v>
      </c>
    </row>
    <row r="3103" spans="1:2" x14ac:dyDescent="0.25">
      <c r="A3103" s="28" t="s">
        <v>29880</v>
      </c>
      <c r="B3103" s="28" t="s">
        <v>29881</v>
      </c>
    </row>
    <row r="3104" spans="1:2" x14ac:dyDescent="0.25">
      <c r="A3104" s="28" t="s">
        <v>30409</v>
      </c>
      <c r="B3104" s="28" t="s">
        <v>29882</v>
      </c>
    </row>
    <row r="3105" spans="1:2" x14ac:dyDescent="0.25">
      <c r="A3105" s="28" t="s">
        <v>30410</v>
      </c>
      <c r="B3105" s="28" t="s">
        <v>29883</v>
      </c>
    </row>
    <row r="3106" spans="1:2" x14ac:dyDescent="0.25">
      <c r="A3106" s="28" t="s">
        <v>29884</v>
      </c>
      <c r="B3106" s="28" t="s">
        <v>28955</v>
      </c>
    </row>
    <row r="3107" spans="1:2" x14ac:dyDescent="0.25">
      <c r="A3107" s="28" t="s">
        <v>29885</v>
      </c>
      <c r="B3107" s="28" t="s">
        <v>29886</v>
      </c>
    </row>
    <row r="3108" spans="1:2" x14ac:dyDescent="0.25">
      <c r="A3108" s="28" t="s">
        <v>30411</v>
      </c>
      <c r="B3108" s="28" t="s">
        <v>30412</v>
      </c>
    </row>
    <row r="3109" spans="1:2" x14ac:dyDescent="0.25">
      <c r="A3109" s="28" t="s">
        <v>29887</v>
      </c>
      <c r="B3109" s="28" t="s">
        <v>29888</v>
      </c>
    </row>
    <row r="3110" spans="1:2" x14ac:dyDescent="0.25">
      <c r="A3110" s="28" t="s">
        <v>29889</v>
      </c>
      <c r="B3110" s="28" t="s">
        <v>29890</v>
      </c>
    </row>
    <row r="3111" spans="1:2" x14ac:dyDescent="0.25">
      <c r="A3111" s="28" t="s">
        <v>30413</v>
      </c>
      <c r="B3111" s="28" t="s">
        <v>30414</v>
      </c>
    </row>
    <row r="3112" spans="1:2" x14ac:dyDescent="0.25">
      <c r="A3112" s="28" t="s">
        <v>29891</v>
      </c>
      <c r="B3112" s="28" t="s">
        <v>29892</v>
      </c>
    </row>
    <row r="3113" spans="1:2" x14ac:dyDescent="0.25">
      <c r="A3113" s="28" t="s">
        <v>29893</v>
      </c>
      <c r="B3113" s="28" t="s">
        <v>29894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29895</v>
      </c>
      <c r="B3115" s="28" t="s">
        <v>29896</v>
      </c>
    </row>
    <row r="3116" spans="1:2" x14ac:dyDescent="0.25">
      <c r="A3116" s="28" t="s">
        <v>29897</v>
      </c>
      <c r="B3116" s="28" t="s">
        <v>29898</v>
      </c>
    </row>
    <row r="3117" spans="1:2" x14ac:dyDescent="0.25">
      <c r="A3117" s="28" t="s">
        <v>29899</v>
      </c>
      <c r="B3117" s="28" t="s">
        <v>29900</v>
      </c>
    </row>
    <row r="3118" spans="1:2" x14ac:dyDescent="0.25">
      <c r="A3118" s="28" t="s">
        <v>29901</v>
      </c>
      <c r="B3118" s="28" t="s">
        <v>29902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29903</v>
      </c>
      <c r="B3120" s="28" t="s">
        <v>29904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29905</v>
      </c>
      <c r="B3123" s="28" t="s">
        <v>29906</v>
      </c>
    </row>
    <row r="3124" spans="1:2" x14ac:dyDescent="0.25">
      <c r="A3124" s="28" t="s">
        <v>29907</v>
      </c>
      <c r="B3124" s="28" t="s">
        <v>29908</v>
      </c>
    </row>
    <row r="3125" spans="1:2" x14ac:dyDescent="0.25">
      <c r="A3125" s="28" t="s">
        <v>29909</v>
      </c>
      <c r="B3125" s="28" t="s">
        <v>29910</v>
      </c>
    </row>
    <row r="3126" spans="1:2" x14ac:dyDescent="0.25">
      <c r="A3126" s="28" t="s">
        <v>29911</v>
      </c>
      <c r="B3126" s="28" t="s">
        <v>29912</v>
      </c>
    </row>
    <row r="3127" spans="1:2" x14ac:dyDescent="0.25">
      <c r="A3127" s="28" t="s">
        <v>30415</v>
      </c>
      <c r="B3127" s="28" t="s">
        <v>30416</v>
      </c>
    </row>
    <row r="3128" spans="1:2" x14ac:dyDescent="0.25">
      <c r="A3128" s="28" t="s">
        <v>29913</v>
      </c>
      <c r="B3128" s="28" t="s">
        <v>29914</v>
      </c>
    </row>
    <row r="3129" spans="1:2" x14ac:dyDescent="0.25">
      <c r="A3129" s="28" t="s">
        <v>29915</v>
      </c>
      <c r="B3129" s="28" t="s">
        <v>29916</v>
      </c>
    </row>
    <row r="3130" spans="1:2" x14ac:dyDescent="0.25">
      <c r="A3130" s="28" t="s">
        <v>29917</v>
      </c>
      <c r="B3130" s="28" t="s">
        <v>29918</v>
      </c>
    </row>
    <row r="3131" spans="1:2" x14ac:dyDescent="0.25">
      <c r="A3131" s="28" t="s">
        <v>29919</v>
      </c>
      <c r="B3131" s="28" t="s">
        <v>29920</v>
      </c>
    </row>
    <row r="3132" spans="1:2" x14ac:dyDescent="0.25">
      <c r="A3132" s="28" t="s">
        <v>29921</v>
      </c>
      <c r="B3132" s="28" t="s">
        <v>29922</v>
      </c>
    </row>
    <row r="3133" spans="1:2" x14ac:dyDescent="0.25">
      <c r="A3133" s="28" t="s">
        <v>29923</v>
      </c>
      <c r="B3133" s="28" t="s">
        <v>29924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29925</v>
      </c>
      <c r="B3137" s="28" t="s">
        <v>29926</v>
      </c>
    </row>
    <row r="3138" spans="1:2" x14ac:dyDescent="0.25">
      <c r="A3138" s="28" t="s">
        <v>29927</v>
      </c>
      <c r="B3138" s="28" t="s">
        <v>29928</v>
      </c>
    </row>
    <row r="3139" spans="1:2" x14ac:dyDescent="0.25">
      <c r="A3139" s="28" t="s">
        <v>29929</v>
      </c>
      <c r="B3139" s="28" t="s">
        <v>29930</v>
      </c>
    </row>
    <row r="3140" spans="1:2" x14ac:dyDescent="0.25">
      <c r="A3140" s="28" t="s">
        <v>29931</v>
      </c>
      <c r="B3140" s="28" t="s">
        <v>29932</v>
      </c>
    </row>
    <row r="3141" spans="1:2" x14ac:dyDescent="0.25">
      <c r="A3141" s="28" t="s">
        <v>29933</v>
      </c>
      <c r="B3141" s="28" t="s">
        <v>29934</v>
      </c>
    </row>
    <row r="3142" spans="1:2" x14ac:dyDescent="0.25">
      <c r="A3142" s="28" t="s">
        <v>29935</v>
      </c>
      <c r="B3142" s="28" t="s">
        <v>29936</v>
      </c>
    </row>
    <row r="3143" spans="1:2" x14ac:dyDescent="0.25">
      <c r="A3143" s="28" t="s">
        <v>29937</v>
      </c>
      <c r="B3143" s="28" t="s">
        <v>29938</v>
      </c>
    </row>
    <row r="3144" spans="1:2" x14ac:dyDescent="0.25">
      <c r="A3144" s="28" t="s">
        <v>29939</v>
      </c>
      <c r="B3144" s="28" t="s">
        <v>29940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29941</v>
      </c>
      <c r="B3146" s="28" t="s">
        <v>29942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29943</v>
      </c>
      <c r="B3148" s="28" t="s">
        <v>29944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29945</v>
      </c>
      <c r="B3150" s="28" t="s">
        <v>29946</v>
      </c>
    </row>
    <row r="3151" spans="1:2" x14ac:dyDescent="0.25">
      <c r="A3151" s="28" t="s">
        <v>30417</v>
      </c>
      <c r="B3151" s="28" t="s">
        <v>30418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30419</v>
      </c>
      <c r="B3154" s="28" t="s">
        <v>30420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30421</v>
      </c>
      <c r="B3156" s="28" t="s">
        <v>30422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29947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29948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30423</v>
      </c>
      <c r="B3529" s="28" t="s">
        <v>30424</v>
      </c>
      <c r="C3529" s="14" t="s">
        <v>14255</v>
      </c>
    </row>
    <row r="3530" spans="1:3" x14ac:dyDescent="0.25">
      <c r="A3530" s="28" t="s">
        <v>30423</v>
      </c>
      <c r="B3530" s="28" t="s">
        <v>30425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29949</v>
      </c>
      <c r="B3990" s="28" t="s">
        <v>8163</v>
      </c>
    </row>
    <row r="3991" spans="1:2" x14ac:dyDescent="0.25">
      <c r="A3991" s="28" t="s">
        <v>29950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29951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29952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29953</v>
      </c>
      <c r="B6114" s="28" t="s">
        <v>29954</v>
      </c>
    </row>
    <row r="6115" spans="1:2" x14ac:dyDescent="0.25">
      <c r="A6115" s="28" t="s">
        <v>29955</v>
      </c>
      <c r="B6115" s="28" t="s">
        <v>29956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29957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29958</v>
      </c>
      <c r="B6283" s="28" t="s">
        <v>29959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29960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29961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29962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29963</v>
      </c>
      <c r="B7003" s="28" t="s">
        <v>580</v>
      </c>
    </row>
    <row r="7004" spans="1:2" x14ac:dyDescent="0.25">
      <c r="A7004" s="28" t="s">
        <v>29964</v>
      </c>
      <c r="B7004" s="28" t="s">
        <v>577</v>
      </c>
    </row>
    <row r="7005" spans="1:2" x14ac:dyDescent="0.25">
      <c r="A7005" s="28" t="s">
        <v>29965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29966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29967</v>
      </c>
      <c r="B7071" s="28" t="s">
        <v>397</v>
      </c>
    </row>
    <row r="7072" spans="1:2" x14ac:dyDescent="0.25">
      <c r="A7072" s="28" t="s">
        <v>29968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29969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29970</v>
      </c>
      <c r="B7123" s="28" t="s">
        <v>29971</v>
      </c>
    </row>
    <row r="7124" spans="1:2" x14ac:dyDescent="0.25">
      <c r="A7124" s="28" t="s">
        <v>29972</v>
      </c>
      <c r="B7124" s="28" t="s">
        <v>29973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29974</v>
      </c>
      <c r="B7130" s="28" t="s">
        <v>29975</v>
      </c>
    </row>
    <row r="7131" spans="1:2" x14ac:dyDescent="0.25">
      <c r="A7131" s="28" t="s">
        <v>29976</v>
      </c>
      <c r="B7131" s="28" t="s">
        <v>29977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29978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29979</v>
      </c>
      <c r="B7304" s="28" t="s">
        <v>29980</v>
      </c>
    </row>
    <row r="7305" spans="1:2" x14ac:dyDescent="0.25">
      <c r="A7305" s="28" t="s">
        <v>29981</v>
      </c>
      <c r="B7305" s="28" t="s">
        <v>29982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30426</v>
      </c>
      <c r="B7366" s="28" t="s">
        <v>28990</v>
      </c>
    </row>
    <row r="7367" spans="1:2" x14ac:dyDescent="0.25">
      <c r="A7367" s="28" t="s">
        <v>30427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29983</v>
      </c>
      <c r="B7494" s="28" t="s">
        <v>29984</v>
      </c>
    </row>
    <row r="7495" spans="1:2" x14ac:dyDescent="0.25">
      <c r="A7495" s="28" t="s">
        <v>29985</v>
      </c>
      <c r="B7495" s="28" t="s">
        <v>29986</v>
      </c>
    </row>
    <row r="7496" spans="1:2" x14ac:dyDescent="0.25">
      <c r="A7496" s="28" t="s">
        <v>29987</v>
      </c>
      <c r="B7496" s="28" t="s">
        <v>29988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29989</v>
      </c>
      <c r="B7525" s="28" t="s">
        <v>29990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29991</v>
      </c>
      <c r="B7531" s="28" t="s">
        <v>29992</v>
      </c>
    </row>
    <row r="7532" spans="1:2" x14ac:dyDescent="0.25">
      <c r="A7532" s="28" t="s">
        <v>29993</v>
      </c>
      <c r="B7532" s="28" t="s">
        <v>29994</v>
      </c>
    </row>
    <row r="7533" spans="1:2" x14ac:dyDescent="0.25">
      <c r="A7533" s="28" t="s">
        <v>29995</v>
      </c>
      <c r="B7533" s="28" t="s">
        <v>29996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29997</v>
      </c>
      <c r="B7536" s="28" t="s">
        <v>29998</v>
      </c>
    </row>
    <row r="7537" spans="1:2" x14ac:dyDescent="0.25">
      <c r="A7537" s="28" t="s">
        <v>29999</v>
      </c>
      <c r="B7537" s="28" t="s">
        <v>30000</v>
      </c>
    </row>
    <row r="7538" spans="1:2" x14ac:dyDescent="0.25">
      <c r="A7538" s="28" t="s">
        <v>30001</v>
      </c>
      <c r="B7538" s="28" t="s">
        <v>30002</v>
      </c>
    </row>
    <row r="7539" spans="1:2" x14ac:dyDescent="0.25">
      <c r="A7539" s="28" t="s">
        <v>30003</v>
      </c>
      <c r="B7539" s="28" t="s">
        <v>30004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30005</v>
      </c>
      <c r="B7606" s="28" t="s">
        <v>30006</v>
      </c>
    </row>
    <row r="7607" spans="1:2" x14ac:dyDescent="0.25">
      <c r="A7607" s="28" t="s">
        <v>30007</v>
      </c>
      <c r="B7607" s="28" t="s">
        <v>30008</v>
      </c>
    </row>
    <row r="7608" spans="1:2" x14ac:dyDescent="0.25">
      <c r="A7608" s="28" t="s">
        <v>30009</v>
      </c>
      <c r="B7608" s="28" t="s">
        <v>30010</v>
      </c>
    </row>
    <row r="7609" spans="1:2" x14ac:dyDescent="0.25">
      <c r="A7609" s="28" t="s">
        <v>30011</v>
      </c>
      <c r="B7609" s="28" t="s">
        <v>30012</v>
      </c>
    </row>
    <row r="7610" spans="1:2" x14ac:dyDescent="0.25">
      <c r="A7610" s="28" t="s">
        <v>30013</v>
      </c>
      <c r="B7610" s="28" t="s">
        <v>30014</v>
      </c>
    </row>
    <row r="7611" spans="1:2" x14ac:dyDescent="0.25">
      <c r="A7611" s="28" t="s">
        <v>30015</v>
      </c>
      <c r="B7611" s="28" t="s">
        <v>30016</v>
      </c>
    </row>
    <row r="7612" spans="1:2" x14ac:dyDescent="0.25">
      <c r="A7612" s="28" t="s">
        <v>30017</v>
      </c>
      <c r="B7612" s="28" t="s">
        <v>30018</v>
      </c>
    </row>
    <row r="7613" spans="1:2" x14ac:dyDescent="0.25">
      <c r="A7613" s="28" t="s">
        <v>30019</v>
      </c>
      <c r="B7613" s="28" t="s">
        <v>30020</v>
      </c>
    </row>
    <row r="7614" spans="1:2" x14ac:dyDescent="0.25">
      <c r="A7614" s="28" t="s">
        <v>30021</v>
      </c>
      <c r="B7614" s="28" t="s">
        <v>30022</v>
      </c>
    </row>
    <row r="7615" spans="1:2" x14ac:dyDescent="0.25">
      <c r="A7615" s="28" t="s">
        <v>30023</v>
      </c>
      <c r="B7615" s="28" t="s">
        <v>30024</v>
      </c>
    </row>
    <row r="7616" spans="1:2" x14ac:dyDescent="0.25">
      <c r="A7616" s="28" t="s">
        <v>30025</v>
      </c>
      <c r="B7616" s="28" t="s">
        <v>30026</v>
      </c>
    </row>
    <row r="7617" spans="1:2" x14ac:dyDescent="0.25">
      <c r="A7617" s="28" t="s">
        <v>30027</v>
      </c>
      <c r="B7617" s="28" t="s">
        <v>30028</v>
      </c>
    </row>
    <row r="7618" spans="1:2" x14ac:dyDescent="0.25">
      <c r="A7618" s="28" t="s">
        <v>30029</v>
      </c>
      <c r="B7618" s="28" t="s">
        <v>30030</v>
      </c>
    </row>
    <row r="7619" spans="1:2" x14ac:dyDescent="0.25">
      <c r="A7619" s="28" t="s">
        <v>30031</v>
      </c>
      <c r="B7619" s="28" t="s">
        <v>30032</v>
      </c>
    </row>
    <row r="7620" spans="1:2" x14ac:dyDescent="0.25">
      <c r="A7620" s="28" t="s">
        <v>30033</v>
      </c>
      <c r="B7620" s="28" t="s">
        <v>30034</v>
      </c>
    </row>
    <row r="7621" spans="1:2" x14ac:dyDescent="0.25">
      <c r="A7621" s="28" t="s">
        <v>30035</v>
      </c>
      <c r="B7621" s="28" t="s">
        <v>30036</v>
      </c>
    </row>
    <row r="7622" spans="1:2" x14ac:dyDescent="0.25">
      <c r="A7622" s="28" t="s">
        <v>30037</v>
      </c>
      <c r="B7622" s="28" t="s">
        <v>30038</v>
      </c>
    </row>
    <row r="7623" spans="1:2" x14ac:dyDescent="0.25">
      <c r="A7623" s="28" t="s">
        <v>30039</v>
      </c>
      <c r="B7623" s="28" t="s">
        <v>30040</v>
      </c>
    </row>
    <row r="7624" spans="1:2" x14ac:dyDescent="0.25">
      <c r="A7624" s="28" t="s">
        <v>30041</v>
      </c>
      <c r="B7624" s="28" t="s">
        <v>30042</v>
      </c>
    </row>
    <row r="7625" spans="1:2" x14ac:dyDescent="0.25">
      <c r="A7625" s="28" t="s">
        <v>30043</v>
      </c>
      <c r="B7625" s="28" t="s">
        <v>30044</v>
      </c>
    </row>
    <row r="7626" spans="1:2" x14ac:dyDescent="0.25">
      <c r="A7626" s="28" t="s">
        <v>30045</v>
      </c>
      <c r="B7626" s="28" t="s">
        <v>30046</v>
      </c>
    </row>
    <row r="7627" spans="1:2" x14ac:dyDescent="0.25">
      <c r="A7627" s="28" t="s">
        <v>30047</v>
      </c>
      <c r="B7627" s="28" t="s">
        <v>30048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30049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30050</v>
      </c>
      <c r="B8954" s="28" t="s">
        <v>30051</v>
      </c>
    </row>
    <row r="8955" spans="1:2" x14ac:dyDescent="0.25">
      <c r="A8955" s="28" t="s">
        <v>30052</v>
      </c>
      <c r="B8955" s="28" t="s">
        <v>30053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30054</v>
      </c>
      <c r="B8997" s="28" t="s">
        <v>30055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30056</v>
      </c>
      <c r="B9006" s="28" t="s">
        <v>30057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30058</v>
      </c>
      <c r="B9032" s="28" t="s">
        <v>30059</v>
      </c>
    </row>
    <row r="9033" spans="1:2" x14ac:dyDescent="0.25">
      <c r="A9033" s="28" t="s">
        <v>30060</v>
      </c>
      <c r="B9033" s="28" t="s">
        <v>30061</v>
      </c>
    </row>
    <row r="9034" spans="1:2" x14ac:dyDescent="0.25">
      <c r="A9034" s="28" t="s">
        <v>30062</v>
      </c>
      <c r="B9034" s="28" t="s">
        <v>30063</v>
      </c>
    </row>
    <row r="9035" spans="1:2" x14ac:dyDescent="0.25">
      <c r="A9035" s="28" t="s">
        <v>30064</v>
      </c>
      <c r="B9035" s="28" t="s">
        <v>30065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30066</v>
      </c>
      <c r="B9048" s="28" t="s">
        <v>30067</v>
      </c>
    </row>
    <row r="9049" spans="1:2" x14ac:dyDescent="0.25">
      <c r="A9049" s="28" t="s">
        <v>30068</v>
      </c>
      <c r="B9049" s="28" t="s">
        <v>30069</v>
      </c>
    </row>
    <row r="9050" spans="1:2" x14ac:dyDescent="0.25">
      <c r="A9050" s="28" t="s">
        <v>30070</v>
      </c>
      <c r="B9050" s="28" t="s">
        <v>30071</v>
      </c>
    </row>
    <row r="9051" spans="1:2" x14ac:dyDescent="0.25">
      <c r="A9051" s="28" t="s">
        <v>30072</v>
      </c>
      <c r="B9051" s="28" t="s">
        <v>30073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30074</v>
      </c>
      <c r="B9153" s="28" t="s">
        <v>30075</v>
      </c>
    </row>
    <row r="9154" spans="1:2" x14ac:dyDescent="0.25">
      <c r="A9154" s="28" t="s">
        <v>30076</v>
      </c>
      <c r="B9154" s="28" t="s">
        <v>30077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30078</v>
      </c>
      <c r="B9289" s="28" t="s">
        <v>30079</v>
      </c>
    </row>
    <row r="9290" spans="1:2" x14ac:dyDescent="0.25">
      <c r="A9290" s="28" t="s">
        <v>30080</v>
      </c>
      <c r="B9290" s="28" t="s">
        <v>30081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30082</v>
      </c>
      <c r="B9644" s="28" t="s">
        <v>30083</v>
      </c>
    </row>
    <row r="9645" spans="1:2" x14ac:dyDescent="0.25">
      <c r="A9645" s="28" t="s">
        <v>30084</v>
      </c>
      <c r="B9645" s="28" t="s">
        <v>30085</v>
      </c>
    </row>
    <row r="9646" spans="1:2" x14ac:dyDescent="0.25">
      <c r="A9646" s="28" t="s">
        <v>30086</v>
      </c>
      <c r="B9646" s="28" t="s">
        <v>30087</v>
      </c>
    </row>
    <row r="9647" spans="1:2" x14ac:dyDescent="0.25">
      <c r="A9647" s="28" t="s">
        <v>30088</v>
      </c>
      <c r="B9647" s="28" t="s">
        <v>30089</v>
      </c>
    </row>
    <row r="9648" spans="1:2" x14ac:dyDescent="0.25">
      <c r="A9648" s="28" t="s">
        <v>30090</v>
      </c>
      <c r="B9648" s="28" t="s">
        <v>30091</v>
      </c>
    </row>
    <row r="9649" spans="1:2" x14ac:dyDescent="0.25">
      <c r="A9649" s="28" t="s">
        <v>30092</v>
      </c>
      <c r="B9649" s="28" t="s">
        <v>30093</v>
      </c>
    </row>
    <row r="9650" spans="1:2" x14ac:dyDescent="0.25">
      <c r="A9650" s="28" t="s">
        <v>30094</v>
      </c>
      <c r="B9650" s="28" t="s">
        <v>30095</v>
      </c>
    </row>
    <row r="9651" spans="1:2" x14ac:dyDescent="0.25">
      <c r="A9651" s="28" t="s">
        <v>30096</v>
      </c>
      <c r="B9651" s="28" t="s">
        <v>30097</v>
      </c>
    </row>
    <row r="9652" spans="1:2" x14ac:dyDescent="0.25">
      <c r="A9652" s="28" t="s">
        <v>30098</v>
      </c>
      <c r="B9652" s="28" t="s">
        <v>30099</v>
      </c>
    </row>
    <row r="9653" spans="1:2" x14ac:dyDescent="0.25">
      <c r="A9653" s="28" t="s">
        <v>30100</v>
      </c>
      <c r="B9653" s="28" t="s">
        <v>30101</v>
      </c>
    </row>
    <row r="9654" spans="1:2" x14ac:dyDescent="0.25">
      <c r="A9654" s="28" t="s">
        <v>30102</v>
      </c>
      <c r="B9654" s="28" t="s">
        <v>30103</v>
      </c>
    </row>
    <row r="9655" spans="1:2" x14ac:dyDescent="0.25">
      <c r="A9655" s="28" t="s">
        <v>30104</v>
      </c>
      <c r="B9655" s="28" t="s">
        <v>30105</v>
      </c>
    </row>
    <row r="9656" spans="1:2" x14ac:dyDescent="0.25">
      <c r="A9656" s="28" t="s">
        <v>30106</v>
      </c>
      <c r="B9656" s="28" t="s">
        <v>30107</v>
      </c>
    </row>
    <row r="9657" spans="1:2" x14ac:dyDescent="0.25">
      <c r="A9657" s="28" t="s">
        <v>30108</v>
      </c>
      <c r="B9657" s="28" t="s">
        <v>30109</v>
      </c>
    </row>
    <row r="9658" spans="1:2" x14ac:dyDescent="0.25">
      <c r="A9658" s="28" t="s">
        <v>30110</v>
      </c>
      <c r="B9658" s="28" t="s">
        <v>30111</v>
      </c>
    </row>
    <row r="9659" spans="1:2" x14ac:dyDescent="0.25">
      <c r="A9659" s="28" t="s">
        <v>30112</v>
      </c>
      <c r="B9659" s="28" t="s">
        <v>30113</v>
      </c>
    </row>
    <row r="9660" spans="1:2" x14ac:dyDescent="0.25">
      <c r="A9660" s="28" t="s">
        <v>30114</v>
      </c>
      <c r="B9660" s="28" t="s">
        <v>30115</v>
      </c>
    </row>
    <row r="9661" spans="1:2" x14ac:dyDescent="0.25">
      <c r="A9661" s="28" t="s">
        <v>30116</v>
      </c>
      <c r="B9661" s="28" t="s">
        <v>30117</v>
      </c>
    </row>
    <row r="9662" spans="1:2" x14ac:dyDescent="0.25">
      <c r="A9662" s="28" t="s">
        <v>30118</v>
      </c>
      <c r="B9662" s="28" t="s">
        <v>30119</v>
      </c>
    </row>
    <row r="9663" spans="1:2" x14ac:dyDescent="0.25">
      <c r="A9663" s="28" t="s">
        <v>30120</v>
      </c>
      <c r="B9663" s="28" t="s">
        <v>30121</v>
      </c>
    </row>
    <row r="9664" spans="1:2" x14ac:dyDescent="0.25">
      <c r="A9664" s="28" t="s">
        <v>30122</v>
      </c>
      <c r="B9664" s="28" t="s">
        <v>30123</v>
      </c>
    </row>
    <row r="9665" spans="1:2" x14ac:dyDescent="0.25">
      <c r="A9665" s="28" t="s">
        <v>30124</v>
      </c>
      <c r="B9665" s="28" t="s">
        <v>30125</v>
      </c>
    </row>
    <row r="9666" spans="1:2" x14ac:dyDescent="0.25">
      <c r="A9666" s="28" t="s">
        <v>30126</v>
      </c>
      <c r="B9666" s="28" t="s">
        <v>30127</v>
      </c>
    </row>
    <row r="9667" spans="1:2" x14ac:dyDescent="0.25">
      <c r="A9667" s="28" t="s">
        <v>30128</v>
      </c>
      <c r="B9667" s="28" t="s">
        <v>30129</v>
      </c>
    </row>
    <row r="9668" spans="1:2" x14ac:dyDescent="0.25">
      <c r="A9668" s="28" t="s">
        <v>30130</v>
      </c>
      <c r="B9668" s="28" t="s">
        <v>30131</v>
      </c>
    </row>
    <row r="9669" spans="1:2" x14ac:dyDescent="0.25">
      <c r="A9669" s="28" t="s">
        <v>30132</v>
      </c>
      <c r="B9669" s="28" t="s">
        <v>30133</v>
      </c>
    </row>
    <row r="9670" spans="1:2" x14ac:dyDescent="0.25">
      <c r="A9670" s="28" t="s">
        <v>30134</v>
      </c>
      <c r="B9670" s="28" t="s">
        <v>30135</v>
      </c>
    </row>
    <row r="9671" spans="1:2" x14ac:dyDescent="0.25">
      <c r="A9671" s="28" t="s">
        <v>30136</v>
      </c>
      <c r="B9671" s="28" t="s">
        <v>30137</v>
      </c>
    </row>
    <row r="9672" spans="1:2" x14ac:dyDescent="0.25">
      <c r="A9672" s="28" t="s">
        <v>30138</v>
      </c>
      <c r="B9672" s="28" t="s">
        <v>30139</v>
      </c>
    </row>
    <row r="9673" spans="1:2" x14ac:dyDescent="0.25">
      <c r="A9673" s="28" t="s">
        <v>30140</v>
      </c>
      <c r="B9673" s="28" t="s">
        <v>30141</v>
      </c>
    </row>
    <row r="9674" spans="1:2" x14ac:dyDescent="0.25">
      <c r="A9674" s="28" t="s">
        <v>30142</v>
      </c>
      <c r="B9674" s="28" t="s">
        <v>30143</v>
      </c>
    </row>
    <row r="9675" spans="1:2" x14ac:dyDescent="0.25">
      <c r="A9675" s="28" t="s">
        <v>30144</v>
      </c>
      <c r="B9675" s="28" t="s">
        <v>30145</v>
      </c>
    </row>
    <row r="9676" spans="1:2" x14ac:dyDescent="0.25">
      <c r="A9676" s="28" t="s">
        <v>30146</v>
      </c>
      <c r="B9676" s="28" t="s">
        <v>30147</v>
      </c>
    </row>
    <row r="9677" spans="1:2" x14ac:dyDescent="0.25">
      <c r="A9677" s="28" t="s">
        <v>30148</v>
      </c>
      <c r="B9677" s="28" t="s">
        <v>30149</v>
      </c>
    </row>
    <row r="9678" spans="1:2" x14ac:dyDescent="0.25">
      <c r="A9678" s="28" t="s">
        <v>30150</v>
      </c>
      <c r="B9678" s="28" t="s">
        <v>30151</v>
      </c>
    </row>
    <row r="9679" spans="1:2" x14ac:dyDescent="0.25">
      <c r="A9679" s="28" t="s">
        <v>30152</v>
      </c>
      <c r="B9679" s="28" t="s">
        <v>30153</v>
      </c>
    </row>
    <row r="9680" spans="1:2" x14ac:dyDescent="0.25">
      <c r="A9680" s="28" t="s">
        <v>30154</v>
      </c>
      <c r="B9680" s="28" t="s">
        <v>30155</v>
      </c>
    </row>
    <row r="9681" spans="1:2" x14ac:dyDescent="0.25">
      <c r="A9681" s="28" t="s">
        <v>30156</v>
      </c>
      <c r="B9681" s="28" t="s">
        <v>30157</v>
      </c>
    </row>
    <row r="9682" spans="1:2" x14ac:dyDescent="0.25">
      <c r="A9682" s="28" t="s">
        <v>30158</v>
      </c>
      <c r="B9682" s="28" t="s">
        <v>30159</v>
      </c>
    </row>
    <row r="9683" spans="1:2" x14ac:dyDescent="0.25">
      <c r="A9683" s="28" t="s">
        <v>30160</v>
      </c>
      <c r="B9683" s="28" t="s">
        <v>30161</v>
      </c>
    </row>
    <row r="9684" spans="1:2" x14ac:dyDescent="0.25">
      <c r="A9684" s="28" t="s">
        <v>30162</v>
      </c>
      <c r="B9684" s="28" t="s">
        <v>30163</v>
      </c>
    </row>
    <row r="9685" spans="1:2" x14ac:dyDescent="0.25">
      <c r="A9685" s="28" t="s">
        <v>30164</v>
      </c>
      <c r="B9685" s="28" t="s">
        <v>30165</v>
      </c>
    </row>
    <row r="9686" spans="1:2" x14ac:dyDescent="0.25">
      <c r="A9686" s="28" t="s">
        <v>30166</v>
      </c>
      <c r="B9686" s="28" t="s">
        <v>30167</v>
      </c>
    </row>
    <row r="9687" spans="1:2" x14ac:dyDescent="0.25">
      <c r="A9687" s="28" t="s">
        <v>30168</v>
      </c>
      <c r="B9687" s="28" t="s">
        <v>30169</v>
      </c>
    </row>
    <row r="9688" spans="1:2" x14ac:dyDescent="0.25">
      <c r="A9688" s="28" t="s">
        <v>30170</v>
      </c>
      <c r="B9688" s="28" t="s">
        <v>30171</v>
      </c>
    </row>
    <row r="9689" spans="1:2" x14ac:dyDescent="0.25">
      <c r="A9689" s="28" t="s">
        <v>30428</v>
      </c>
      <c r="B9689" s="28" t="s">
        <v>30172</v>
      </c>
    </row>
    <row r="9690" spans="1:2" x14ac:dyDescent="0.25">
      <c r="A9690" s="28" t="s">
        <v>30173</v>
      </c>
      <c r="B9690" s="28" t="s">
        <v>30174</v>
      </c>
    </row>
    <row r="9691" spans="1:2" x14ac:dyDescent="0.25">
      <c r="A9691" s="28" t="s">
        <v>30175</v>
      </c>
      <c r="B9691" s="28" t="s">
        <v>30176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30177</v>
      </c>
      <c r="B10659" s="28" t="s">
        <v>30178</v>
      </c>
    </row>
    <row r="10660" spans="1:2" x14ac:dyDescent="0.25">
      <c r="A10660" s="28" t="s">
        <v>30179</v>
      </c>
      <c r="B10660" s="28" t="s">
        <v>30180</v>
      </c>
    </row>
    <row r="10661" spans="1:2" x14ac:dyDescent="0.25">
      <c r="A10661" s="28" t="s">
        <v>30181</v>
      </c>
      <c r="B10661" s="28" t="s">
        <v>30182</v>
      </c>
    </row>
    <row r="10662" spans="1:2" x14ac:dyDescent="0.25">
      <c r="A10662" s="28" t="s">
        <v>30183</v>
      </c>
      <c r="B10662" s="28" t="s">
        <v>30184</v>
      </c>
    </row>
    <row r="10663" spans="1:2" x14ac:dyDescent="0.25">
      <c r="A10663" s="28" t="s">
        <v>30185</v>
      </c>
      <c r="B10663" s="28" t="s">
        <v>30186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30187</v>
      </c>
      <c r="B10774" s="28" t="s">
        <v>30188</v>
      </c>
    </row>
    <row r="10775" spans="1:2" x14ac:dyDescent="0.25">
      <c r="A10775" s="28" t="s">
        <v>30189</v>
      </c>
      <c r="B10775" s="28" t="s">
        <v>30190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30191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30192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30193</v>
      </c>
    </row>
    <row r="11879" spans="1:2" x14ac:dyDescent="0.25">
      <c r="A11879" s="28" t="s">
        <v>28478</v>
      </c>
      <c r="B11879" s="28" t="s">
        <v>30194</v>
      </c>
    </row>
    <row r="11880" spans="1:2" x14ac:dyDescent="0.25">
      <c r="A11880" s="28" t="s">
        <v>28479</v>
      </c>
      <c r="B11880" s="28" t="s">
        <v>30195</v>
      </c>
    </row>
    <row r="11881" spans="1:2" x14ac:dyDescent="0.25">
      <c r="A11881" s="28" t="s">
        <v>28480</v>
      </c>
      <c r="B11881" s="28" t="s">
        <v>30196</v>
      </c>
    </row>
    <row r="11882" spans="1:2" x14ac:dyDescent="0.25">
      <c r="A11882" s="28" t="s">
        <v>28481</v>
      </c>
      <c r="B11882" s="28" t="s">
        <v>30197</v>
      </c>
    </row>
    <row r="11883" spans="1:2" x14ac:dyDescent="0.25">
      <c r="A11883" s="28" t="s">
        <v>28482</v>
      </c>
      <c r="B11883" s="28" t="s">
        <v>30198</v>
      </c>
    </row>
    <row r="11884" spans="1:2" x14ac:dyDescent="0.25">
      <c r="A11884" s="28" t="s">
        <v>28483</v>
      </c>
      <c r="B11884" s="28" t="s">
        <v>30199</v>
      </c>
    </row>
    <row r="11885" spans="1:2" x14ac:dyDescent="0.25">
      <c r="A11885" s="28" t="s">
        <v>28484</v>
      </c>
      <c r="B11885" s="28" t="s">
        <v>30200</v>
      </c>
    </row>
    <row r="11886" spans="1:2" x14ac:dyDescent="0.25">
      <c r="A11886" s="28" t="s">
        <v>28485</v>
      </c>
      <c r="B11886" s="28" t="s">
        <v>30201</v>
      </c>
    </row>
    <row r="11887" spans="1:2" x14ac:dyDescent="0.25">
      <c r="A11887" s="28" t="s">
        <v>28486</v>
      </c>
      <c r="B11887" s="28" t="s">
        <v>30202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30203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30204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30205</v>
      </c>
      <c r="B13902" s="30" t="s">
        <v>30206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30207</v>
      </c>
      <c r="B13905" s="30" t="s">
        <v>30208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30209</v>
      </c>
      <c r="B13907" s="30" t="s">
        <v>30210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30211</v>
      </c>
      <c r="B14040" s="30" t="s">
        <v>30212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30213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30214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30215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30216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30429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30217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H1" zoomScaleNormal="100" workbookViewId="0">
      <pane ySplit="1" topLeftCell="A2" activePane="bottomLeft" state="frozen"/>
      <selection pane="bottomLeft" activeCell="R22" sqref="R22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30219</v>
      </c>
      <c r="I1" s="67" t="s">
        <v>30449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30450</v>
      </c>
      <c r="P1" s="67" t="s">
        <v>27400</v>
      </c>
      <c r="Q1" s="69" t="s">
        <v>6</v>
      </c>
      <c r="R1" s="67" t="s">
        <v>75</v>
      </c>
      <c r="S1" s="67" t="s">
        <v>30452</v>
      </c>
      <c r="T1" s="67" t="s">
        <v>30453</v>
      </c>
      <c r="U1" s="85" t="s">
        <v>222</v>
      </c>
      <c r="V1" s="75" t="s">
        <v>30448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24" ca="1">_xlfn._xlws.SORT(INDIRECT(АртикулХарактеристики),1,-1,FALSE)</f>
        <v>АртикулПолный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50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" ca="1" si="0">LEFT(AA2,9)</f>
        <v>94-030-16</v>
      </c>
      <c r="B2" s="78" t="str">
        <f ca="1">_xlfn.LET(_xlpm.CAPS,VLOOKUP(G2,Caps!A:B,2,0),_xlpm.Style,TRIM(_xlfn.XLOOKUP($A2,Строчный!$A:$A,Строчный!B:B,"ERR",0)),IF(_xlpm.CAPS=0,_xlpm.Style,UPPER(_xlpm.Style)))</f>
        <v>7005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Flexfit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FLEXFIT</v>
      </c>
      <c r="H2" s="78" t="str">
        <f ca="1">LOWER(TRIM(_xlfn.XLOOKUP($A2,Строчный!$A:$A,Строчный!H:H,"ERR",0)))</f>
        <v>navy</v>
      </c>
      <c r="I2" s="78" t="str">
        <f ca="1">LOWER(TRIM(_xlfn.XLOOKUP($A2,Строчный!$A:$A,Строчный!I:I,"ERR",0)))</f>
        <v>темно-синий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747</v>
      </c>
      <c r="R2" s="86" t="str">
        <f ca="1">_xlfn.XLOOKUP($G2,Фабрика!A:A,Фабрика!B:B,"ERR",0)</f>
        <v>Yupoong Inc; 174, Gurodong-ro, Guro-gu, 08285 Seoul, South Korea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6</v>
      </c>
      <c r="U2" s="14" t="s">
        <v>241</v>
      </c>
      <c r="V2" s="98" t="str">
        <f t="shared" ref="V2" ca="1" si="1">TRIM(CONCATENATE(AB2," ",G2," арт. ",B2," (",I2,")"))</f>
        <v>Бейсболка FLEXFIT арт. 7005 (темно-синий)</v>
      </c>
      <c r="W2" s="97" t="str">
        <f t="shared" ref="W2" ca="1" si="2">TRIM(CONCATENATE(AB2," ",G2," арт. ",B2," (",I2,") {",H2,"}"))</f>
        <v>Бейсболка FLEXFIT арт. 7005 (темно-синий) {navy}</v>
      </c>
      <c r="X2" s="18" t="str">
        <f t="shared" ref="X2" ca="1" si="3">IFERROR(MID(I2,FIND("-",I2)+1,LEN(I2)),IFERROR(MID(I2,1,FIND("/",I2)-2),I2))</f>
        <v>синий</v>
      </c>
      <c r="Y2" s="18" t="str">
        <f t="shared" ref="Y2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94-030-16-00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16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" ca="1" si="5">ВАЛИДАЦИЯНАЗВАНИЯ(W2)</f>
        <v>Бейсболка FLEXFIT арт. 7005 (темно-синий) {navy}</v>
      </c>
      <c r="AR2" s="94">
        <f t="shared" ref="AR2" ca="1" si="6">INT(AQ2=W2)</f>
        <v>1</v>
      </c>
      <c r="AS2" s="143">
        <f t="shared" ref="AS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94-030-09-00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A4" s="70" t="str">
        <f ca="1"/>
        <v>94-029-75-00</v>
      </c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A5" s="70" t="str">
        <f ca="1"/>
        <v>94-029-00-00</v>
      </c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A6" s="70" t="str">
        <f ca="1"/>
        <v>94-019-00-00</v>
      </c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A7" s="70" t="str">
        <f ca="1"/>
        <v>94-015-17-00</v>
      </c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A8" s="70" t="str">
        <f ca="1"/>
        <v>94-015-16-00</v>
      </c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A9" s="70" t="str">
        <f ca="1"/>
        <v>94-015-09-00</v>
      </c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A10" s="70" t="str">
        <f ca="1"/>
        <v>94-015-02-00</v>
      </c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A11" s="70" t="str">
        <f ca="1"/>
        <v>94-011-16-62</v>
      </c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A12" s="70" t="str">
        <f ca="1"/>
        <v>94-011-09-62</v>
      </c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A13" s="70" t="str">
        <f ca="1"/>
        <v>94-011-07-60</v>
      </c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A14" s="70" t="str">
        <f ca="1"/>
        <v>94-009-80-00</v>
      </c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A15" s="70" t="str">
        <f ca="1"/>
        <v>94-009-72-00</v>
      </c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A16" s="70" t="str">
        <f ca="1"/>
        <v>94-009-70-00</v>
      </c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A17" s="70" t="str">
        <f ca="1"/>
        <v>94-009-56-00</v>
      </c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A18" s="70" t="str">
        <f ca="1"/>
        <v>94-009-45-00</v>
      </c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A19" s="70" t="str">
        <f ca="1"/>
        <v>94-009-10-00</v>
      </c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A20" s="70" t="str">
        <f ca="1"/>
        <v>94-007-17-00</v>
      </c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A21" s="70" t="str">
        <f ca="1"/>
        <v>94-007-16-00</v>
      </c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A22" s="70" t="str">
        <f ca="1"/>
        <v>94-007-12-00</v>
      </c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A23" s="70" t="str">
        <f ca="1"/>
        <v>94-007-05-00</v>
      </c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A24" s="70" t="str">
        <f ca="1"/>
        <v>94-003-16-00</v>
      </c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9" t="s">
        <v>28941</v>
      </c>
      <c r="B2" s="149">
        <v>0</v>
      </c>
    </row>
    <row r="3" spans="1:2" x14ac:dyDescent="0.2">
      <c r="A3" s="149" t="s">
        <v>28527</v>
      </c>
      <c r="B3" s="149">
        <v>1</v>
      </c>
    </row>
    <row r="4" spans="1:2" x14ac:dyDescent="0.2">
      <c r="A4" s="149" t="s">
        <v>25576</v>
      </c>
      <c r="B4" s="149">
        <v>0</v>
      </c>
    </row>
    <row r="5" spans="1:2" x14ac:dyDescent="0.2">
      <c r="A5" s="149" t="s">
        <v>25561</v>
      </c>
      <c r="B5" s="149">
        <v>1</v>
      </c>
    </row>
    <row r="6" spans="1:2" x14ac:dyDescent="0.2">
      <c r="A6" s="149" t="s">
        <v>28948</v>
      </c>
      <c r="B6" s="149">
        <v>1</v>
      </c>
    </row>
    <row r="7" spans="1:2" x14ac:dyDescent="0.2">
      <c r="A7" s="149" t="s">
        <v>28949</v>
      </c>
      <c r="B7" s="149">
        <v>1</v>
      </c>
    </row>
    <row r="8" spans="1:2" x14ac:dyDescent="0.2">
      <c r="A8" s="149" t="s">
        <v>25568</v>
      </c>
      <c r="B8" s="149">
        <v>1</v>
      </c>
    </row>
    <row r="9" spans="1:2" x14ac:dyDescent="0.2">
      <c r="A9" s="149" t="s">
        <v>25581</v>
      </c>
      <c r="B9" s="149">
        <v>1</v>
      </c>
    </row>
    <row r="10" spans="1:2" x14ac:dyDescent="0.2">
      <c r="A10" s="149" t="s">
        <v>25577</v>
      </c>
      <c r="B10" s="149">
        <v>0</v>
      </c>
    </row>
    <row r="11" spans="1:2" x14ac:dyDescent="0.2">
      <c r="A11" s="149" t="s">
        <v>25562</v>
      </c>
      <c r="B11" s="149">
        <v>0</v>
      </c>
    </row>
    <row r="12" spans="1:2" x14ac:dyDescent="0.2">
      <c r="A12" s="149" t="s">
        <v>25573</v>
      </c>
      <c r="B12" s="149">
        <v>0</v>
      </c>
    </row>
    <row r="13" spans="1:2" x14ac:dyDescent="0.2">
      <c r="A13" s="149" t="s">
        <v>25563</v>
      </c>
      <c r="B13" s="149">
        <v>0</v>
      </c>
    </row>
    <row r="14" spans="1:2" x14ac:dyDescent="0.2">
      <c r="A14" s="149" t="s">
        <v>27488</v>
      </c>
      <c r="B14" s="149">
        <v>1</v>
      </c>
    </row>
    <row r="15" spans="1:2" x14ac:dyDescent="0.2">
      <c r="A15" s="149" t="s">
        <v>28950</v>
      </c>
      <c r="B15" s="149">
        <v>1</v>
      </c>
    </row>
    <row r="16" spans="1:2" x14ac:dyDescent="0.2">
      <c r="A16" s="149" t="s">
        <v>28523</v>
      </c>
      <c r="B16" s="149">
        <v>0</v>
      </c>
    </row>
    <row r="17" spans="1:2" x14ac:dyDescent="0.2">
      <c r="A17" s="149" t="s">
        <v>25564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25572</v>
      </c>
      <c r="B19" s="149">
        <v>0</v>
      </c>
    </row>
    <row r="20" spans="1:2" x14ac:dyDescent="0.2">
      <c r="A20" s="149" t="s">
        <v>25565</v>
      </c>
      <c r="B20" s="149">
        <v>1</v>
      </c>
    </row>
    <row r="21" spans="1:2" x14ac:dyDescent="0.2">
      <c r="A21" s="149" t="s">
        <v>27378</v>
      </c>
      <c r="B21" s="149">
        <v>0</v>
      </c>
    </row>
    <row r="22" spans="1:2" x14ac:dyDescent="0.2">
      <c r="A22" s="149" t="s">
        <v>25547</v>
      </c>
      <c r="B22" s="149">
        <v>1</v>
      </c>
    </row>
    <row r="23" spans="1:2" x14ac:dyDescent="0.2">
      <c r="A23" s="149" t="s">
        <v>25548</v>
      </c>
      <c r="B23" s="149">
        <v>1</v>
      </c>
    </row>
    <row r="24" spans="1:2" x14ac:dyDescent="0.2">
      <c r="A24" s="149" t="s">
        <v>25569</v>
      </c>
      <c r="B24" s="149">
        <v>0</v>
      </c>
    </row>
    <row r="25" spans="1:2" x14ac:dyDescent="0.2">
      <c r="A25" s="149" t="s">
        <v>28531</v>
      </c>
      <c r="B25" s="149">
        <v>0</v>
      </c>
    </row>
    <row r="26" spans="1:2" x14ac:dyDescent="0.2">
      <c r="A26" s="149" t="s">
        <v>25574</v>
      </c>
      <c r="B26" s="149">
        <v>1</v>
      </c>
    </row>
    <row r="27" spans="1:2" x14ac:dyDescent="0.2">
      <c r="A27" s="149" t="s">
        <v>25570</v>
      </c>
      <c r="B27" s="149">
        <v>1</v>
      </c>
    </row>
    <row r="28" spans="1:2" x14ac:dyDescent="0.2">
      <c r="A28" s="149" t="s">
        <v>25571</v>
      </c>
      <c r="B28" s="149">
        <v>1</v>
      </c>
    </row>
    <row r="29" spans="1:2" x14ac:dyDescent="0.2">
      <c r="A29" s="149" t="s">
        <v>25566</v>
      </c>
      <c r="B29" s="149">
        <v>0</v>
      </c>
    </row>
    <row r="30" spans="1:2" x14ac:dyDescent="0.2">
      <c r="A30" s="149" t="s">
        <v>28942</v>
      </c>
      <c r="B30" s="149">
        <v>0</v>
      </c>
    </row>
    <row r="31" spans="1:2" x14ac:dyDescent="0.2">
      <c r="A31" s="149" t="s">
        <v>28525</v>
      </c>
      <c r="B31" s="149">
        <v>0</v>
      </c>
    </row>
    <row r="32" spans="1:2" x14ac:dyDescent="0.2">
      <c r="A32" s="149" t="s">
        <v>25589</v>
      </c>
      <c r="B32" s="149">
        <v>1</v>
      </c>
    </row>
    <row r="33" spans="1:2" x14ac:dyDescent="0.2">
      <c r="A33" s="149" t="s">
        <v>25578</v>
      </c>
      <c r="B33" s="149">
        <v>1</v>
      </c>
    </row>
    <row r="34" spans="1:2" x14ac:dyDescent="0.2">
      <c r="A34" s="149" t="s">
        <v>28529</v>
      </c>
      <c r="B34" s="149">
        <v>1</v>
      </c>
    </row>
    <row r="35" spans="1:2" x14ac:dyDescent="0.2">
      <c r="A35" s="149" t="s">
        <v>25567</v>
      </c>
      <c r="B35" s="149">
        <v>1</v>
      </c>
    </row>
    <row r="36" spans="1:2" x14ac:dyDescent="0.2">
      <c r="A36" s="149" t="s">
        <v>28530</v>
      </c>
      <c r="B36" s="149">
        <v>1</v>
      </c>
    </row>
    <row r="37" spans="1:2" x14ac:dyDescent="0.2">
      <c r="A37" s="149" t="s">
        <v>28951</v>
      </c>
      <c r="B37" s="149">
        <v>1</v>
      </c>
    </row>
    <row r="38" spans="1:2" x14ac:dyDescent="0.2">
      <c r="A38" s="149" t="s">
        <v>29054</v>
      </c>
      <c r="B38" s="149">
        <v>0</v>
      </c>
    </row>
    <row r="39" spans="1:2" x14ac:dyDescent="0.2">
      <c r="A39" s="149" t="s">
        <v>25575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28528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3" t="s">
        <v>28521</v>
      </c>
      <c r="B846" s="154" t="s">
        <v>27353</v>
      </c>
      <c r="C846" s="117">
        <v>1</v>
      </c>
    </row>
    <row r="847" spans="1:3" x14ac:dyDescent="0.25">
      <c r="A847" s="153" t="s">
        <v>28522</v>
      </c>
      <c r="B847" s="154" t="s">
        <v>27235</v>
      </c>
      <c r="C847" s="117">
        <v>1</v>
      </c>
    </row>
    <row r="848" spans="1:3" x14ac:dyDescent="0.25">
      <c r="A848" s="153" t="s">
        <v>29048</v>
      </c>
      <c r="B848" s="154" t="s">
        <v>27247</v>
      </c>
      <c r="C848" s="117">
        <v>1</v>
      </c>
    </row>
    <row r="849" spans="1:3" x14ac:dyDescent="0.25">
      <c r="A849" s="153" t="s">
        <v>29047</v>
      </c>
      <c r="B849" s="154" t="s">
        <v>27205</v>
      </c>
      <c r="C849" s="117">
        <v>1</v>
      </c>
    </row>
    <row r="850" spans="1:3" x14ac:dyDescent="0.25">
      <c r="A850" s="153" t="s">
        <v>29046</v>
      </c>
      <c r="B850" s="154" t="s">
        <v>27252</v>
      </c>
      <c r="C850" s="117">
        <v>1</v>
      </c>
    </row>
    <row r="851" spans="1:3" x14ac:dyDescent="0.25">
      <c r="A851" s="153" t="s">
        <v>29049</v>
      </c>
      <c r="B851" s="154" t="s">
        <v>27301</v>
      </c>
      <c r="C851" s="117">
        <v>1</v>
      </c>
    </row>
    <row r="852" spans="1:3" x14ac:dyDescent="0.25">
      <c r="A852" s="153" t="s">
        <v>171</v>
      </c>
      <c r="B852" s="154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0" sqref="D10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9" t="s">
        <v>25549</v>
      </c>
      <c r="B2" s="149">
        <v>1</v>
      </c>
      <c r="D2" s="149" t="s">
        <v>28957</v>
      </c>
    </row>
    <row r="3" spans="1:4" x14ac:dyDescent="0.25">
      <c r="A3" s="149" t="s">
        <v>25550</v>
      </c>
      <c r="B3" s="149">
        <v>1</v>
      </c>
      <c r="D3" s="149" t="s">
        <v>29052</v>
      </c>
    </row>
    <row r="4" spans="1:4" x14ac:dyDescent="0.25">
      <c r="A4" s="149" t="s">
        <v>25551</v>
      </c>
      <c r="B4" s="149">
        <v>1</v>
      </c>
      <c r="D4" s="149" t="s">
        <v>30236</v>
      </c>
    </row>
    <row r="5" spans="1:4" x14ac:dyDescent="0.25">
      <c r="A5" s="149" t="s">
        <v>25552</v>
      </c>
      <c r="B5" s="149">
        <v>1</v>
      </c>
      <c r="D5" s="149" t="s">
        <v>30447</v>
      </c>
    </row>
    <row r="6" spans="1:4" x14ac:dyDescent="0.25">
      <c r="A6" s="149" t="s">
        <v>25553</v>
      </c>
      <c r="B6" s="149">
        <v>1</v>
      </c>
      <c r="D6" s="149" t="s">
        <v>29053</v>
      </c>
    </row>
    <row r="7" spans="1:4" x14ac:dyDescent="0.25">
      <c r="A7" s="149" t="s">
        <v>25554</v>
      </c>
      <c r="B7" s="149">
        <v>1</v>
      </c>
    </row>
    <row r="8" spans="1:4" x14ac:dyDescent="0.25">
      <c r="A8" s="149" t="s">
        <v>25555</v>
      </c>
      <c r="B8" s="149">
        <v>1</v>
      </c>
    </row>
    <row r="9" spans="1:4" x14ac:dyDescent="0.25">
      <c r="A9" s="149" t="s">
        <v>25556</v>
      </c>
      <c r="B9" s="149">
        <v>1</v>
      </c>
    </row>
    <row r="10" spans="1:4" x14ac:dyDescent="0.25">
      <c r="A10" s="149" t="s">
        <v>25557</v>
      </c>
      <c r="B10" s="149">
        <v>1</v>
      </c>
    </row>
    <row r="11" spans="1:4" x14ac:dyDescent="0.25">
      <c r="A11" s="149" t="s">
        <v>25558</v>
      </c>
      <c r="B11" s="149">
        <v>1</v>
      </c>
    </row>
    <row r="12" spans="1:4" x14ac:dyDescent="0.25">
      <c r="A12" s="149" t="s">
        <v>25559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25560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2" t="s">
        <v>29045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29054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L11" sqref="L11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30451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30430</v>
      </c>
      <c r="B2" s="77" t="s">
        <v>30431</v>
      </c>
      <c r="C2" s="77" t="s">
        <v>35</v>
      </c>
      <c r="D2" s="77" t="s">
        <v>78</v>
      </c>
      <c r="E2" s="77" t="s">
        <v>30227</v>
      </c>
      <c r="F2" s="77" t="s">
        <v>77</v>
      </c>
      <c r="G2" s="77" t="s">
        <v>27488</v>
      </c>
      <c r="H2" s="77" t="s">
        <v>30438</v>
      </c>
      <c r="I2" s="77" t="s">
        <v>27236</v>
      </c>
      <c r="J2" s="80" t="s">
        <v>30447</v>
      </c>
      <c r="K2" s="77"/>
      <c r="L2" s="77" t="s">
        <v>25546</v>
      </c>
      <c r="M2" s="77" t="s">
        <v>25653</v>
      </c>
      <c r="N2" s="77">
        <v>711</v>
      </c>
      <c r="O2" s="77"/>
      <c r="P2" s="77"/>
      <c r="Q2" s="77"/>
      <c r="R2" s="134"/>
      <c r="S2" s="100" t="str">
        <f t="shared" ref="S2" si="0">A2&amp;"-"&amp;T2</f>
        <v>94-029-75-</v>
      </c>
      <c r="V2" s="78">
        <v>20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O3" s="77"/>
      <c r="P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4"/>
  <sheetViews>
    <sheetView workbookViewId="0">
      <pane ySplit="1" topLeftCell="A2" activePane="bottomLeft" state="frozen"/>
      <selection activeCell="C1" sqref="C1"/>
      <selection pane="bottomLeft" activeCell="S2" sqref="S2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30451</v>
      </c>
      <c r="T1" s="121" t="s">
        <v>2</v>
      </c>
      <c r="U1" s="104" t="s">
        <v>221</v>
      </c>
    </row>
    <row r="2" spans="1:21" x14ac:dyDescent="0.2">
      <c r="A2" s="99" t="s">
        <v>30430</v>
      </c>
      <c r="B2" s="99" t="s">
        <v>30431</v>
      </c>
      <c r="C2" s="99" t="s">
        <v>35</v>
      </c>
      <c r="D2" s="99" t="s">
        <v>78</v>
      </c>
      <c r="E2" s="99" t="s">
        <v>30227</v>
      </c>
      <c r="F2" s="99" t="s">
        <v>77</v>
      </c>
      <c r="G2" s="99" t="s">
        <v>27488</v>
      </c>
      <c r="H2" s="99" t="s">
        <v>30438</v>
      </c>
      <c r="I2" s="148" t="s">
        <v>27236</v>
      </c>
      <c r="J2" s="99" t="s">
        <v>30447</v>
      </c>
      <c r="L2" s="99" t="s">
        <v>25546</v>
      </c>
      <c r="M2" s="99" t="s">
        <v>25653</v>
      </c>
      <c r="N2" s="99">
        <v>711</v>
      </c>
      <c r="S2" t="str">
        <f t="shared" ref="S2:S4" si="0">A2&amp;"-"&amp;T2</f>
        <v>94-029-75-00</v>
      </c>
      <c r="T2" s="121" t="s">
        <v>25247</v>
      </c>
      <c r="U2" s="104">
        <v>20</v>
      </c>
    </row>
    <row r="3" spans="1:21" x14ac:dyDescent="0.2">
      <c r="A3" s="99" t="s">
        <v>30432</v>
      </c>
      <c r="B3" s="99" t="s">
        <v>30431</v>
      </c>
      <c r="C3" s="99" t="s">
        <v>35</v>
      </c>
      <c r="D3" s="99" t="s">
        <v>78</v>
      </c>
      <c r="E3" s="99" t="s">
        <v>30227</v>
      </c>
      <c r="F3" s="99" t="s">
        <v>77</v>
      </c>
      <c r="G3" s="99" t="s">
        <v>27488</v>
      </c>
      <c r="H3" s="99" t="s">
        <v>30439</v>
      </c>
      <c r="I3" s="99" t="s">
        <v>87</v>
      </c>
      <c r="J3" s="99" t="s">
        <v>30447</v>
      </c>
      <c r="L3" s="99" t="s">
        <v>25546</v>
      </c>
      <c r="M3" s="99" t="s">
        <v>25653</v>
      </c>
      <c r="N3" s="99">
        <v>711</v>
      </c>
      <c r="S3" t="str">
        <f t="shared" si="0"/>
        <v>94-029-00-00</v>
      </c>
      <c r="T3" s="121" t="s">
        <v>25247</v>
      </c>
      <c r="U3" s="104">
        <v>40</v>
      </c>
    </row>
    <row r="4" spans="1:21" x14ac:dyDescent="0.2">
      <c r="A4" s="99" t="s">
        <v>30433</v>
      </c>
      <c r="B4" s="99" t="s">
        <v>30434</v>
      </c>
      <c r="C4" s="99" t="s">
        <v>35</v>
      </c>
      <c r="D4" s="99" t="s">
        <v>36</v>
      </c>
      <c r="E4" s="99" t="s">
        <v>30227</v>
      </c>
      <c r="F4" s="99" t="s">
        <v>77</v>
      </c>
      <c r="G4" s="99" t="s">
        <v>27488</v>
      </c>
      <c r="H4" s="99" t="s">
        <v>30228</v>
      </c>
      <c r="I4" s="99" t="s">
        <v>0</v>
      </c>
      <c r="J4" s="99" t="s">
        <v>29050</v>
      </c>
      <c r="K4" s="99" t="s">
        <v>25558</v>
      </c>
      <c r="L4" s="99" t="s">
        <v>25546</v>
      </c>
      <c r="M4" s="99" t="s">
        <v>25653</v>
      </c>
      <c r="N4" s="99">
        <v>747</v>
      </c>
      <c r="S4" t="str">
        <f t="shared" si="0"/>
        <v>94-030-09-00</v>
      </c>
      <c r="T4" s="121" t="s">
        <v>25247</v>
      </c>
      <c r="U4" s="104">
        <v>6</v>
      </c>
    </row>
    <row r="5" spans="1:21" x14ac:dyDescent="0.2">
      <c r="A5" s="99" t="s">
        <v>30435</v>
      </c>
      <c r="B5" s="99" t="s">
        <v>30434</v>
      </c>
      <c r="C5" s="99" t="s">
        <v>35</v>
      </c>
      <c r="D5" s="99" t="s">
        <v>36</v>
      </c>
      <c r="E5" s="99" t="s">
        <v>30227</v>
      </c>
      <c r="F5" s="99" t="s">
        <v>77</v>
      </c>
      <c r="G5" s="99" t="s">
        <v>27488</v>
      </c>
      <c r="H5" s="99" t="s">
        <v>30234</v>
      </c>
      <c r="I5" s="99" t="s">
        <v>18</v>
      </c>
      <c r="J5" s="99" t="s">
        <v>29050</v>
      </c>
      <c r="K5" s="99" t="s">
        <v>25558</v>
      </c>
      <c r="L5" s="99" t="s">
        <v>25546</v>
      </c>
      <c r="M5" s="99" t="s">
        <v>25653</v>
      </c>
      <c r="N5" s="99">
        <v>747</v>
      </c>
      <c r="S5" t="str">
        <f t="shared" ref="S5:S7" si="1">A5&amp;"-"&amp;T5</f>
        <v>94-030-16-00</v>
      </c>
      <c r="T5" s="121" t="s">
        <v>25247</v>
      </c>
      <c r="U5" s="104">
        <v>6</v>
      </c>
    </row>
    <row r="6" spans="1:21" x14ac:dyDescent="0.2">
      <c r="A6" s="99" t="s">
        <v>30223</v>
      </c>
      <c r="B6" s="99" t="s">
        <v>30222</v>
      </c>
      <c r="C6" s="99" t="s">
        <v>35</v>
      </c>
      <c r="D6" s="99" t="s">
        <v>36</v>
      </c>
      <c r="E6" s="99" t="s">
        <v>30227</v>
      </c>
      <c r="F6" s="99" t="s">
        <v>77</v>
      </c>
      <c r="G6" s="99" t="s">
        <v>27488</v>
      </c>
      <c r="H6" s="99" t="s">
        <v>30229</v>
      </c>
      <c r="I6" s="99" t="s">
        <v>27</v>
      </c>
      <c r="J6" s="99" t="s">
        <v>30236</v>
      </c>
      <c r="L6" s="99" t="s">
        <v>25546</v>
      </c>
      <c r="M6" s="99" t="s">
        <v>25653</v>
      </c>
      <c r="N6" s="99">
        <v>650</v>
      </c>
      <c r="S6" t="str">
        <f t="shared" si="1"/>
        <v>94-011-07-60</v>
      </c>
      <c r="T6" s="121" t="s">
        <v>27243</v>
      </c>
      <c r="U6" s="104">
        <v>4</v>
      </c>
    </row>
    <row r="7" spans="1:21" x14ac:dyDescent="0.2">
      <c r="A7" s="99" t="s">
        <v>30224</v>
      </c>
      <c r="B7" s="99" t="s">
        <v>30225</v>
      </c>
      <c r="C7" s="99" t="s">
        <v>35</v>
      </c>
      <c r="D7" s="99" t="s">
        <v>78</v>
      </c>
      <c r="E7" s="99" t="s">
        <v>30227</v>
      </c>
      <c r="F7" s="99" t="s">
        <v>77</v>
      </c>
      <c r="G7" s="99" t="s">
        <v>27488</v>
      </c>
      <c r="H7" s="99" t="s">
        <v>30233</v>
      </c>
      <c r="I7" s="99" t="s">
        <v>40</v>
      </c>
      <c r="J7" s="99" t="s">
        <v>29051</v>
      </c>
      <c r="K7" s="99" t="s">
        <v>25558</v>
      </c>
      <c r="L7" s="99" t="s">
        <v>25546</v>
      </c>
      <c r="M7" s="99" t="s">
        <v>25653</v>
      </c>
      <c r="N7" s="99">
        <v>541</v>
      </c>
      <c r="S7" t="str">
        <f t="shared" si="1"/>
        <v>94-015-02-00</v>
      </c>
      <c r="T7" s="121" t="s">
        <v>25247</v>
      </c>
      <c r="U7" s="104">
        <v>10</v>
      </c>
    </row>
    <row r="8" spans="1:21" x14ac:dyDescent="0.2">
      <c r="A8" s="99" t="s">
        <v>30436</v>
      </c>
      <c r="B8" s="99" t="s">
        <v>30226</v>
      </c>
      <c r="C8" s="99" t="s">
        <v>35</v>
      </c>
      <c r="D8" s="99" t="s">
        <v>36</v>
      </c>
      <c r="E8" s="99" t="s">
        <v>30227</v>
      </c>
      <c r="F8" s="99" t="s">
        <v>77</v>
      </c>
      <c r="G8" s="99" t="s">
        <v>27488</v>
      </c>
      <c r="H8" s="99" t="s">
        <v>30440</v>
      </c>
      <c r="I8" s="99" t="s">
        <v>87</v>
      </c>
      <c r="J8" s="99" t="s">
        <v>29050</v>
      </c>
      <c r="K8" s="99" t="s">
        <v>25558</v>
      </c>
      <c r="L8" s="99" t="s">
        <v>25546</v>
      </c>
      <c r="M8" s="99" t="s">
        <v>25653</v>
      </c>
      <c r="N8" s="99">
        <v>650</v>
      </c>
      <c r="S8" t="str">
        <f t="shared" ref="S8:S9" si="2">A8&amp;"-"&amp;T8</f>
        <v>94-019-00-00</v>
      </c>
      <c r="T8" s="121" t="s">
        <v>25247</v>
      </c>
      <c r="U8" s="104">
        <v>6</v>
      </c>
    </row>
    <row r="9" spans="1:21" x14ac:dyDescent="0.2">
      <c r="A9" s="99" t="s">
        <v>27429</v>
      </c>
      <c r="B9" s="99" t="s">
        <v>30220</v>
      </c>
      <c r="C9" s="99" t="s">
        <v>35</v>
      </c>
      <c r="D9" s="99" t="s">
        <v>29044</v>
      </c>
      <c r="E9" s="99" t="s">
        <v>30227</v>
      </c>
      <c r="F9" s="99" t="s">
        <v>77</v>
      </c>
      <c r="G9" s="99" t="s">
        <v>27488</v>
      </c>
      <c r="H9" s="99" t="s">
        <v>30441</v>
      </c>
      <c r="I9" s="99" t="s">
        <v>80</v>
      </c>
      <c r="J9" s="99" t="s">
        <v>30235</v>
      </c>
      <c r="K9" s="99" t="s">
        <v>25549</v>
      </c>
      <c r="L9" s="99" t="s">
        <v>25546</v>
      </c>
      <c r="M9" s="99" t="s">
        <v>25653</v>
      </c>
      <c r="N9" s="99">
        <v>609</v>
      </c>
      <c r="Q9" t="s">
        <v>80</v>
      </c>
      <c r="S9" t="str">
        <f t="shared" si="2"/>
        <v>94-007-12-00</v>
      </c>
      <c r="T9" s="121" t="s">
        <v>25247</v>
      </c>
      <c r="U9" s="104">
        <v>3</v>
      </c>
    </row>
    <row r="10" spans="1:21" x14ac:dyDescent="0.2">
      <c r="A10" s="99" t="s">
        <v>27430</v>
      </c>
      <c r="B10" s="99" t="s">
        <v>30220</v>
      </c>
      <c r="C10" s="99" t="s">
        <v>35</v>
      </c>
      <c r="D10" s="99" t="s">
        <v>29044</v>
      </c>
      <c r="E10" s="99" t="s">
        <v>30227</v>
      </c>
      <c r="F10" s="99" t="s">
        <v>77</v>
      </c>
      <c r="G10" s="99" t="s">
        <v>27488</v>
      </c>
      <c r="H10" s="99" t="s">
        <v>30234</v>
      </c>
      <c r="I10" s="99" t="s">
        <v>18</v>
      </c>
      <c r="J10" s="99" t="s">
        <v>30235</v>
      </c>
      <c r="K10" s="99" t="s">
        <v>25549</v>
      </c>
      <c r="L10" s="99" t="s">
        <v>25546</v>
      </c>
      <c r="M10" s="99" t="s">
        <v>25653</v>
      </c>
      <c r="N10" s="99">
        <v>609</v>
      </c>
      <c r="Q10" t="s">
        <v>20</v>
      </c>
      <c r="S10" t="str">
        <f t="shared" ref="S10:S12" si="3">A10&amp;"-"&amp;T10</f>
        <v>94-007-16-00</v>
      </c>
      <c r="T10" s="121" t="s">
        <v>25247</v>
      </c>
      <c r="U10" s="104">
        <v>6</v>
      </c>
    </row>
    <row r="11" spans="1:21" x14ac:dyDescent="0.2">
      <c r="A11" s="99" t="s">
        <v>27436</v>
      </c>
      <c r="B11" s="99" t="s">
        <v>30220</v>
      </c>
      <c r="C11" s="99" t="s">
        <v>35</v>
      </c>
      <c r="D11" s="99" t="s">
        <v>29044</v>
      </c>
      <c r="E11" s="99" t="s">
        <v>30227</v>
      </c>
      <c r="F11" s="99" t="s">
        <v>77</v>
      </c>
      <c r="G11" s="99" t="s">
        <v>27488</v>
      </c>
      <c r="H11" s="99" t="s">
        <v>30442</v>
      </c>
      <c r="I11" s="99" t="s">
        <v>83</v>
      </c>
      <c r="J11" s="99" t="s">
        <v>30235</v>
      </c>
      <c r="K11" s="99" t="s">
        <v>25549</v>
      </c>
      <c r="L11" s="99" t="s">
        <v>25546</v>
      </c>
      <c r="M11" s="99" t="s">
        <v>25653</v>
      </c>
      <c r="N11" s="99">
        <v>609</v>
      </c>
      <c r="Q11" t="s">
        <v>83</v>
      </c>
      <c r="S11" t="str">
        <f t="shared" si="3"/>
        <v>94-007-17-00</v>
      </c>
      <c r="T11" s="121" t="s">
        <v>25247</v>
      </c>
      <c r="U11" s="104">
        <v>24</v>
      </c>
    </row>
    <row r="12" spans="1:21" x14ac:dyDescent="0.2">
      <c r="A12" s="99" t="s">
        <v>27426</v>
      </c>
      <c r="B12" s="99" t="s">
        <v>30220</v>
      </c>
      <c r="C12" s="99" t="s">
        <v>35</v>
      </c>
      <c r="D12" s="99" t="s">
        <v>29044</v>
      </c>
      <c r="E12" s="99" t="s">
        <v>30227</v>
      </c>
      <c r="F12" s="99" t="s">
        <v>77</v>
      </c>
      <c r="G12" s="99" t="s">
        <v>27488</v>
      </c>
      <c r="H12" s="99" t="s">
        <v>30443</v>
      </c>
      <c r="I12" s="99" t="s">
        <v>19</v>
      </c>
      <c r="J12" s="99" t="s">
        <v>30235</v>
      </c>
      <c r="K12" s="99" t="s">
        <v>25549</v>
      </c>
      <c r="L12" s="99" t="s">
        <v>25546</v>
      </c>
      <c r="M12" s="99" t="s">
        <v>25653</v>
      </c>
      <c r="N12" s="99">
        <v>609</v>
      </c>
      <c r="Q12" t="s">
        <v>21</v>
      </c>
      <c r="S12" t="str">
        <f t="shared" si="3"/>
        <v>94-007-05-00</v>
      </c>
      <c r="T12" s="121" t="s">
        <v>25247</v>
      </c>
      <c r="U12" s="104">
        <v>12</v>
      </c>
    </row>
    <row r="13" spans="1:21" x14ac:dyDescent="0.2">
      <c r="A13" s="99" t="s">
        <v>27438</v>
      </c>
      <c r="B13" s="99" t="s">
        <v>30221</v>
      </c>
      <c r="C13" s="99" t="s">
        <v>35</v>
      </c>
      <c r="D13" s="99" t="s">
        <v>29044</v>
      </c>
      <c r="E13" s="99" t="s">
        <v>30227</v>
      </c>
      <c r="F13" s="99" t="s">
        <v>77</v>
      </c>
      <c r="G13" s="99" t="s">
        <v>27488</v>
      </c>
      <c r="H13" s="99" t="s">
        <v>30230</v>
      </c>
      <c r="I13" s="99" t="s">
        <v>120</v>
      </c>
      <c r="J13" s="99" t="s">
        <v>30235</v>
      </c>
      <c r="K13" s="99" t="s">
        <v>25549</v>
      </c>
      <c r="L13" s="99" t="s">
        <v>25546</v>
      </c>
      <c r="M13" s="99" t="s">
        <v>25653</v>
      </c>
      <c r="N13" s="99">
        <v>609</v>
      </c>
      <c r="Q13" t="s">
        <v>0</v>
      </c>
      <c r="S13" t="str">
        <f t="shared" ref="S13:S15" si="4">A13&amp;"-"&amp;T13</f>
        <v>94-009-72-00</v>
      </c>
      <c r="T13" s="121" t="s">
        <v>25247</v>
      </c>
      <c r="U13" s="104">
        <v>3</v>
      </c>
    </row>
    <row r="14" spans="1:21" x14ac:dyDescent="0.2">
      <c r="A14" s="99" t="s">
        <v>28602</v>
      </c>
      <c r="B14" s="99" t="s">
        <v>30221</v>
      </c>
      <c r="C14" s="99" t="s">
        <v>35</v>
      </c>
      <c r="D14" s="99" t="s">
        <v>29044</v>
      </c>
      <c r="E14" s="99" t="s">
        <v>30227</v>
      </c>
      <c r="F14" s="99" t="s">
        <v>77</v>
      </c>
      <c r="G14" s="99" t="s">
        <v>27488</v>
      </c>
      <c r="H14" s="99" t="s">
        <v>30444</v>
      </c>
      <c r="I14" s="99" t="s">
        <v>27491</v>
      </c>
      <c r="J14" s="99" t="s">
        <v>30235</v>
      </c>
      <c r="K14" s="99" t="s">
        <v>25549</v>
      </c>
      <c r="L14" s="99" t="s">
        <v>25546</v>
      </c>
      <c r="M14" s="99" t="s">
        <v>25653</v>
      </c>
      <c r="N14" s="99">
        <v>609</v>
      </c>
      <c r="Q14" t="s">
        <v>21</v>
      </c>
      <c r="S14" t="str">
        <f t="shared" si="4"/>
        <v>94-009-70-00</v>
      </c>
      <c r="T14" s="121" t="s">
        <v>25247</v>
      </c>
      <c r="U14" s="104">
        <v>5</v>
      </c>
    </row>
    <row r="15" spans="1:21" x14ac:dyDescent="0.2">
      <c r="A15" s="99" t="s">
        <v>29414</v>
      </c>
      <c r="B15" s="99" t="s">
        <v>30221</v>
      </c>
      <c r="C15" s="99" t="s">
        <v>35</v>
      </c>
      <c r="D15" s="99" t="s">
        <v>29044</v>
      </c>
      <c r="E15" s="99" t="s">
        <v>30227</v>
      </c>
      <c r="F15" s="99" t="s">
        <v>77</v>
      </c>
      <c r="G15" s="99" t="s">
        <v>27488</v>
      </c>
      <c r="H15" s="99" t="s">
        <v>30445</v>
      </c>
      <c r="I15" s="99" t="s">
        <v>25276</v>
      </c>
      <c r="J15" s="99" t="s">
        <v>30235</v>
      </c>
      <c r="K15" s="99" t="s">
        <v>25549</v>
      </c>
      <c r="L15" s="99" t="s">
        <v>25546</v>
      </c>
      <c r="M15" s="99" t="s">
        <v>25653</v>
      </c>
      <c r="N15" s="99">
        <v>609</v>
      </c>
      <c r="Q15" t="s">
        <v>40</v>
      </c>
      <c r="S15" t="str">
        <f t="shared" si="4"/>
        <v>94-009-80-00</v>
      </c>
      <c r="T15" s="121" t="s">
        <v>25247</v>
      </c>
      <c r="U15" s="104">
        <v>24</v>
      </c>
    </row>
    <row r="16" spans="1:21" x14ac:dyDescent="0.2">
      <c r="A16" s="99" t="s">
        <v>27444</v>
      </c>
      <c r="B16" s="99" t="s">
        <v>30221</v>
      </c>
      <c r="C16" s="99" t="s">
        <v>35</v>
      </c>
      <c r="D16" s="99" t="s">
        <v>29044</v>
      </c>
      <c r="E16" s="99" t="s">
        <v>30227</v>
      </c>
      <c r="F16" s="99" t="s">
        <v>77</v>
      </c>
      <c r="G16" s="99" t="s">
        <v>27488</v>
      </c>
      <c r="H16" s="99" t="s">
        <v>30231</v>
      </c>
      <c r="I16" s="99" t="s">
        <v>25431</v>
      </c>
      <c r="J16" s="99" t="s">
        <v>30235</v>
      </c>
      <c r="K16" s="99" t="s">
        <v>25549</v>
      </c>
      <c r="L16" s="99" t="s">
        <v>25546</v>
      </c>
      <c r="M16" s="99" t="s">
        <v>25653</v>
      </c>
      <c r="N16" s="99">
        <v>609</v>
      </c>
      <c r="Q16" t="s">
        <v>20</v>
      </c>
      <c r="S16" t="str">
        <f t="shared" ref="S16:S17" si="5">A16&amp;"-"&amp;T16</f>
        <v>94-009-45-00</v>
      </c>
      <c r="T16" s="121" t="s">
        <v>25247</v>
      </c>
      <c r="U16" s="104">
        <v>3</v>
      </c>
    </row>
    <row r="17" spans="1:21" x14ac:dyDescent="0.2">
      <c r="A17" s="99" t="s">
        <v>28600</v>
      </c>
      <c r="B17" s="99" t="s">
        <v>30221</v>
      </c>
      <c r="C17" s="99" t="s">
        <v>35</v>
      </c>
      <c r="D17" s="99" t="s">
        <v>29044</v>
      </c>
      <c r="E17" s="99" t="s">
        <v>30227</v>
      </c>
      <c r="F17" s="99" t="s">
        <v>77</v>
      </c>
      <c r="G17" s="99" t="s">
        <v>27488</v>
      </c>
      <c r="H17" s="99" t="s">
        <v>30232</v>
      </c>
      <c r="I17" s="99" t="s">
        <v>27490</v>
      </c>
      <c r="J17" s="99" t="s">
        <v>30235</v>
      </c>
      <c r="K17" s="99" t="s">
        <v>25549</v>
      </c>
      <c r="L17" s="99" t="s">
        <v>25546</v>
      </c>
      <c r="M17" s="99" t="s">
        <v>25653</v>
      </c>
      <c r="N17" s="99">
        <v>609</v>
      </c>
      <c r="Q17" t="s">
        <v>21</v>
      </c>
      <c r="S17" t="str">
        <f t="shared" si="5"/>
        <v>94-009-56-00</v>
      </c>
      <c r="T17" s="121" t="s">
        <v>25247</v>
      </c>
      <c r="U17" s="104">
        <v>5</v>
      </c>
    </row>
    <row r="18" spans="1:21" x14ac:dyDescent="0.2">
      <c r="A18" s="99" t="s">
        <v>27439</v>
      </c>
      <c r="B18" s="99" t="s">
        <v>30221</v>
      </c>
      <c r="C18" s="99" t="s">
        <v>35</v>
      </c>
      <c r="D18" s="99" t="s">
        <v>29044</v>
      </c>
      <c r="E18" s="99" t="s">
        <v>30227</v>
      </c>
      <c r="F18" s="99" t="s">
        <v>77</v>
      </c>
      <c r="G18" s="99" t="s">
        <v>27488</v>
      </c>
      <c r="H18" s="99" t="s">
        <v>30446</v>
      </c>
      <c r="I18" s="99" t="s">
        <v>25476</v>
      </c>
      <c r="J18" s="99" t="s">
        <v>30235</v>
      </c>
      <c r="K18" s="99" t="s">
        <v>25549</v>
      </c>
      <c r="L18" s="99" t="s">
        <v>25546</v>
      </c>
      <c r="M18" s="99" t="s">
        <v>25653</v>
      </c>
      <c r="N18" s="99">
        <v>609</v>
      </c>
      <c r="Q18" t="s">
        <v>0</v>
      </c>
      <c r="S18" t="str">
        <f t="shared" ref="S18:S20" si="6">A18&amp;"-"&amp;T18</f>
        <v>94-009-10-00</v>
      </c>
      <c r="T18" s="121" t="s">
        <v>25247</v>
      </c>
      <c r="U18" s="104">
        <v>3</v>
      </c>
    </row>
    <row r="19" spans="1:21" x14ac:dyDescent="0.2">
      <c r="A19" s="99" t="s">
        <v>28622</v>
      </c>
      <c r="B19" s="99" t="s">
        <v>30222</v>
      </c>
      <c r="C19" s="99" t="s">
        <v>35</v>
      </c>
      <c r="D19" s="99" t="s">
        <v>36</v>
      </c>
      <c r="E19" s="99" t="s">
        <v>30227</v>
      </c>
      <c r="F19" s="99" t="s">
        <v>77</v>
      </c>
      <c r="G19" s="99" t="s">
        <v>27488</v>
      </c>
      <c r="H19" s="99" t="s">
        <v>30228</v>
      </c>
      <c r="I19" s="99" t="s">
        <v>0</v>
      </c>
      <c r="J19" s="99" t="s">
        <v>30236</v>
      </c>
      <c r="L19" s="99" t="s">
        <v>25546</v>
      </c>
      <c r="M19" s="99" t="s">
        <v>25653</v>
      </c>
      <c r="N19" s="99">
        <v>650</v>
      </c>
      <c r="Q19" t="s">
        <v>0</v>
      </c>
      <c r="S19" t="str">
        <f t="shared" si="6"/>
        <v>94-011-09-62</v>
      </c>
      <c r="T19" s="121" t="s">
        <v>27207</v>
      </c>
      <c r="U19" s="104">
        <v>50</v>
      </c>
    </row>
    <row r="20" spans="1:21" x14ac:dyDescent="0.2">
      <c r="A20" s="99" t="s">
        <v>28618</v>
      </c>
      <c r="B20" s="99" t="s">
        <v>30222</v>
      </c>
      <c r="C20" s="99" t="s">
        <v>35</v>
      </c>
      <c r="D20" s="99" t="s">
        <v>36</v>
      </c>
      <c r="E20" s="99" t="s">
        <v>30227</v>
      </c>
      <c r="F20" s="99" t="s">
        <v>77</v>
      </c>
      <c r="G20" s="99" t="s">
        <v>27488</v>
      </c>
      <c r="H20" s="99" t="s">
        <v>30234</v>
      </c>
      <c r="I20" s="99" t="s">
        <v>18</v>
      </c>
      <c r="J20" s="99" t="s">
        <v>30236</v>
      </c>
      <c r="L20" s="99" t="s">
        <v>25546</v>
      </c>
      <c r="M20" s="99" t="s">
        <v>25653</v>
      </c>
      <c r="N20" s="99">
        <v>650</v>
      </c>
      <c r="Q20" t="s">
        <v>20</v>
      </c>
      <c r="S20" t="str">
        <f t="shared" si="6"/>
        <v>94-011-16-62</v>
      </c>
      <c r="T20" s="121" t="s">
        <v>27207</v>
      </c>
      <c r="U20" s="104">
        <v>10</v>
      </c>
    </row>
    <row r="21" spans="1:21" x14ac:dyDescent="0.2">
      <c r="A21" s="99" t="s">
        <v>29444</v>
      </c>
      <c r="B21" s="99" t="s">
        <v>30225</v>
      </c>
      <c r="C21" s="99" t="s">
        <v>35</v>
      </c>
      <c r="D21" s="99" t="s">
        <v>78</v>
      </c>
      <c r="E21" s="99" t="s">
        <v>30227</v>
      </c>
      <c r="F21" s="99" t="s">
        <v>77</v>
      </c>
      <c r="G21" s="99" t="s">
        <v>27488</v>
      </c>
      <c r="H21" s="99" t="s">
        <v>30442</v>
      </c>
      <c r="I21" s="99" t="s">
        <v>83</v>
      </c>
      <c r="J21" s="99" t="s">
        <v>29051</v>
      </c>
      <c r="K21" s="99" t="s">
        <v>25558</v>
      </c>
      <c r="L21" s="99" t="s">
        <v>25546</v>
      </c>
      <c r="M21" s="99" t="s">
        <v>25653</v>
      </c>
      <c r="N21" s="99">
        <v>541</v>
      </c>
      <c r="Q21" t="s">
        <v>83</v>
      </c>
      <c r="S21" t="str">
        <f t="shared" ref="S21:S23" si="7">A21&amp;"-"&amp;T21</f>
        <v>94-015-17-00</v>
      </c>
      <c r="T21" s="121" t="s">
        <v>25247</v>
      </c>
      <c r="U21" s="104">
        <v>1</v>
      </c>
    </row>
    <row r="22" spans="1:21" x14ac:dyDescent="0.2">
      <c r="A22" s="99" t="s">
        <v>28626</v>
      </c>
      <c r="B22" s="99" t="s">
        <v>30225</v>
      </c>
      <c r="C22" s="99" t="s">
        <v>35</v>
      </c>
      <c r="D22" s="99" t="s">
        <v>78</v>
      </c>
      <c r="E22" s="99" t="s">
        <v>30227</v>
      </c>
      <c r="F22" s="99" t="s">
        <v>77</v>
      </c>
      <c r="G22" s="99" t="s">
        <v>27488</v>
      </c>
      <c r="H22" s="99" t="s">
        <v>30234</v>
      </c>
      <c r="I22" s="99" t="s">
        <v>18</v>
      </c>
      <c r="J22" s="99" t="s">
        <v>29051</v>
      </c>
      <c r="K22" s="99" t="s">
        <v>25558</v>
      </c>
      <c r="L22" s="99" t="s">
        <v>25546</v>
      </c>
      <c r="M22" s="99" t="s">
        <v>25653</v>
      </c>
      <c r="N22" s="99">
        <v>541</v>
      </c>
      <c r="Q22" t="s">
        <v>20</v>
      </c>
      <c r="S22" t="str">
        <f t="shared" si="7"/>
        <v>94-015-16-00</v>
      </c>
      <c r="T22" s="121" t="s">
        <v>25247</v>
      </c>
      <c r="U22" s="104">
        <v>35</v>
      </c>
    </row>
    <row r="23" spans="1:21" x14ac:dyDescent="0.2">
      <c r="A23" s="99" t="s">
        <v>27454</v>
      </c>
      <c r="B23" s="99" t="s">
        <v>30225</v>
      </c>
      <c r="C23" s="99" t="s">
        <v>35</v>
      </c>
      <c r="D23" s="99" t="s">
        <v>78</v>
      </c>
      <c r="E23" s="99" t="s">
        <v>30227</v>
      </c>
      <c r="F23" s="99" t="s">
        <v>77</v>
      </c>
      <c r="G23" s="99" t="s">
        <v>27488</v>
      </c>
      <c r="H23" s="99" t="s">
        <v>30228</v>
      </c>
      <c r="I23" s="99" t="s">
        <v>0</v>
      </c>
      <c r="J23" s="99" t="s">
        <v>29051</v>
      </c>
      <c r="K23" s="99" t="s">
        <v>25558</v>
      </c>
      <c r="L23" s="99" t="s">
        <v>25546</v>
      </c>
      <c r="M23" s="99" t="s">
        <v>25653</v>
      </c>
      <c r="N23" s="99">
        <v>541</v>
      </c>
      <c r="Q23" t="s">
        <v>0</v>
      </c>
      <c r="S23" t="str">
        <f t="shared" si="7"/>
        <v>94-015-09-00</v>
      </c>
      <c r="T23" s="121" t="s">
        <v>25247</v>
      </c>
      <c r="U23" s="104">
        <v>50</v>
      </c>
    </row>
    <row r="24" spans="1:21" x14ac:dyDescent="0.2">
      <c r="A24" s="99" t="s">
        <v>27410</v>
      </c>
      <c r="B24" s="99" t="s">
        <v>30437</v>
      </c>
      <c r="C24" s="99" t="s">
        <v>35</v>
      </c>
      <c r="D24" s="99" t="s">
        <v>29044</v>
      </c>
      <c r="E24" s="99" t="s">
        <v>30227</v>
      </c>
      <c r="F24" s="99" t="s">
        <v>77</v>
      </c>
      <c r="G24" s="99" t="s">
        <v>27488</v>
      </c>
      <c r="H24" s="99" t="s">
        <v>30234</v>
      </c>
      <c r="I24" s="99" t="s">
        <v>18</v>
      </c>
      <c r="J24" s="99" t="s">
        <v>29051</v>
      </c>
      <c r="K24" s="99" t="s">
        <v>25558</v>
      </c>
      <c r="L24" s="99" t="s">
        <v>25546</v>
      </c>
      <c r="M24" s="99" t="s">
        <v>25653</v>
      </c>
      <c r="N24" s="99">
        <v>541</v>
      </c>
      <c r="Q24" t="s">
        <v>20</v>
      </c>
      <c r="S24" t="str">
        <f t="shared" ref="S24" si="8">A24&amp;"-"&amp;T24</f>
        <v>94-003-16-00</v>
      </c>
      <c r="T24" s="121" t="s">
        <v>25247</v>
      </c>
      <c r="U24" s="104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5" t="s">
        <v>26554</v>
      </c>
      <c r="B1" s="155" t="s">
        <v>215</v>
      </c>
      <c r="C1" s="155" t="str">
        <f>Строчный!S1</f>
        <v>АртикулПолный</v>
      </c>
      <c r="D1" s="155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FLEXFIT</v>
      </c>
      <c r="C2" s="65" t="str">
        <f>_xlfn.LET(_xlpm.Letter,LEFT(ADDRESS(1,COLUMN(Строчный!S1),4,1,)),"Строчный!"&amp;_xlpm.Letter&amp;"1:"&amp;_xlpm.Letter&amp;COUNTA(Строчный!S:S))</f>
        <v>Строчный!S1:S24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2022-07-14T10:05:34Z</dcterms:modified>
</cp:coreProperties>
</file>