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part 1\invoice 100-CI-2201783\"/>
    </mc:Choice>
  </mc:AlternateContent>
  <xr:revisionPtr revIDLastSave="0" documentId="13_ncr:1_{A5DA73C6-7DD0-43F0-8B4B-A56F2323FC66}" xr6:coauthVersionLast="47" xr6:coauthVersionMax="47" xr10:uidLastSave="{00000000-0000-0000-0000-000000000000}"/>
  <bookViews>
    <workbookView xWindow="-120" yWindow="-120" windowWidth="29040" windowHeight="15840" xr2:uid="{9B3ED43A-5DDB-4EB2-BE7C-BB65CE766084}"/>
  </bookViews>
  <sheets>
    <sheet name="Calculation" sheetId="1" r:id="rId1"/>
    <sheet name="Итог" sheetId="2" r:id="rId2"/>
    <sheet name="Лист1" sheetId="3" r:id="rId3"/>
    <sheet name="Лист2" sheetId="4" r:id="rId4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2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" i="2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3" i="3"/>
  <c r="Q9" i="3"/>
  <c r="Q17" i="3"/>
  <c r="Q25" i="3"/>
  <c r="Q41" i="3"/>
  <c r="Q49" i="3"/>
  <c r="Q57" i="3"/>
  <c r="Q65" i="3"/>
  <c r="Q81" i="3"/>
  <c r="Q89" i="3"/>
  <c r="Q97" i="3"/>
  <c r="Q105" i="3"/>
  <c r="Q121" i="3"/>
  <c r="Q129" i="3"/>
  <c r="Q137" i="3"/>
  <c r="Q145" i="3"/>
  <c r="Q153" i="3"/>
  <c r="Q161" i="3"/>
  <c r="Q177" i="3"/>
  <c r="K4" i="3"/>
  <c r="Q4" i="3" s="1"/>
  <c r="L4" i="3"/>
  <c r="M4" i="3"/>
  <c r="N4" i="3"/>
  <c r="O4" i="3"/>
  <c r="P4" i="3"/>
  <c r="K5" i="3"/>
  <c r="Q5" i="3" s="1"/>
  <c r="L5" i="3"/>
  <c r="M5" i="3"/>
  <c r="N5" i="3"/>
  <c r="O5" i="3"/>
  <c r="P5" i="3"/>
  <c r="K6" i="3"/>
  <c r="Q6" i="3" s="1"/>
  <c r="L6" i="3"/>
  <c r="M6" i="3"/>
  <c r="N6" i="3"/>
  <c r="O6" i="3"/>
  <c r="P6" i="3"/>
  <c r="K7" i="3"/>
  <c r="Q7" i="3" s="1"/>
  <c r="L7" i="3"/>
  <c r="M7" i="3"/>
  <c r="N7" i="3"/>
  <c r="O7" i="3"/>
  <c r="P7" i="3"/>
  <c r="K8" i="3"/>
  <c r="Q8" i="3" s="1"/>
  <c r="L8" i="3"/>
  <c r="M8" i="3"/>
  <c r="N8" i="3"/>
  <c r="O8" i="3"/>
  <c r="P8" i="3"/>
  <c r="K9" i="3"/>
  <c r="L9" i="3"/>
  <c r="M9" i="3"/>
  <c r="N9" i="3"/>
  <c r="O9" i="3"/>
  <c r="P9" i="3"/>
  <c r="K10" i="3"/>
  <c r="Q10" i="3" s="1"/>
  <c r="L10" i="3"/>
  <c r="M10" i="3"/>
  <c r="N10" i="3"/>
  <c r="O10" i="3"/>
  <c r="P10" i="3"/>
  <c r="K11" i="3"/>
  <c r="Q11" i="3" s="1"/>
  <c r="L11" i="3"/>
  <c r="M11" i="3"/>
  <c r="N11" i="3"/>
  <c r="O11" i="3"/>
  <c r="P11" i="3"/>
  <c r="K12" i="3"/>
  <c r="Q12" i="3" s="1"/>
  <c r="L12" i="3"/>
  <c r="M12" i="3"/>
  <c r="N12" i="3"/>
  <c r="O12" i="3"/>
  <c r="P12" i="3"/>
  <c r="K13" i="3"/>
  <c r="Q13" i="3" s="1"/>
  <c r="L13" i="3"/>
  <c r="M13" i="3"/>
  <c r="N13" i="3"/>
  <c r="O13" i="3"/>
  <c r="P13" i="3"/>
  <c r="K14" i="3"/>
  <c r="Q14" i="3" s="1"/>
  <c r="L14" i="3"/>
  <c r="M14" i="3"/>
  <c r="N14" i="3"/>
  <c r="O14" i="3"/>
  <c r="P14" i="3"/>
  <c r="K15" i="3"/>
  <c r="Q15" i="3" s="1"/>
  <c r="L15" i="3"/>
  <c r="M15" i="3"/>
  <c r="N15" i="3"/>
  <c r="O15" i="3"/>
  <c r="P15" i="3"/>
  <c r="K16" i="3"/>
  <c r="Q16" i="3" s="1"/>
  <c r="L16" i="3"/>
  <c r="M16" i="3"/>
  <c r="N16" i="3"/>
  <c r="O16" i="3"/>
  <c r="P16" i="3"/>
  <c r="K17" i="3"/>
  <c r="L17" i="3"/>
  <c r="M17" i="3"/>
  <c r="N17" i="3"/>
  <c r="O17" i="3"/>
  <c r="P17" i="3"/>
  <c r="K18" i="3"/>
  <c r="Q18" i="3" s="1"/>
  <c r="L18" i="3"/>
  <c r="M18" i="3"/>
  <c r="N18" i="3"/>
  <c r="O18" i="3"/>
  <c r="P18" i="3"/>
  <c r="K19" i="3"/>
  <c r="Q19" i="3" s="1"/>
  <c r="L19" i="3"/>
  <c r="M19" i="3"/>
  <c r="N19" i="3"/>
  <c r="O19" i="3"/>
  <c r="P19" i="3"/>
  <c r="K20" i="3"/>
  <c r="Q20" i="3" s="1"/>
  <c r="L20" i="3"/>
  <c r="M20" i="3"/>
  <c r="N20" i="3"/>
  <c r="O20" i="3"/>
  <c r="P20" i="3"/>
  <c r="K21" i="3"/>
  <c r="Q21" i="3" s="1"/>
  <c r="L21" i="3"/>
  <c r="M21" i="3"/>
  <c r="N21" i="3"/>
  <c r="O21" i="3"/>
  <c r="P21" i="3"/>
  <c r="K22" i="3"/>
  <c r="Q22" i="3" s="1"/>
  <c r="L22" i="3"/>
  <c r="M22" i="3"/>
  <c r="N22" i="3"/>
  <c r="O22" i="3"/>
  <c r="P22" i="3"/>
  <c r="K23" i="3"/>
  <c r="Q23" i="3" s="1"/>
  <c r="L23" i="3"/>
  <c r="M23" i="3"/>
  <c r="N23" i="3"/>
  <c r="O23" i="3"/>
  <c r="P23" i="3"/>
  <c r="K24" i="3"/>
  <c r="Q24" i="3" s="1"/>
  <c r="L24" i="3"/>
  <c r="M24" i="3"/>
  <c r="N24" i="3"/>
  <c r="O24" i="3"/>
  <c r="P24" i="3"/>
  <c r="K25" i="3"/>
  <c r="L25" i="3"/>
  <c r="M25" i="3"/>
  <c r="N25" i="3"/>
  <c r="O25" i="3"/>
  <c r="P25" i="3"/>
  <c r="K26" i="3"/>
  <c r="Q26" i="3" s="1"/>
  <c r="L26" i="3"/>
  <c r="M26" i="3"/>
  <c r="N26" i="3"/>
  <c r="O26" i="3"/>
  <c r="P26" i="3"/>
  <c r="K27" i="3"/>
  <c r="Q27" i="3" s="1"/>
  <c r="L27" i="3"/>
  <c r="M27" i="3"/>
  <c r="N27" i="3"/>
  <c r="O27" i="3"/>
  <c r="P27" i="3"/>
  <c r="K28" i="3"/>
  <c r="Q28" i="3" s="1"/>
  <c r="L28" i="3"/>
  <c r="M28" i="3"/>
  <c r="N28" i="3"/>
  <c r="O28" i="3"/>
  <c r="P28" i="3"/>
  <c r="K29" i="3"/>
  <c r="Q29" i="3" s="1"/>
  <c r="L29" i="3"/>
  <c r="M29" i="3"/>
  <c r="N29" i="3"/>
  <c r="O29" i="3"/>
  <c r="P29" i="3"/>
  <c r="K30" i="3"/>
  <c r="Q30" i="3" s="1"/>
  <c r="L30" i="3"/>
  <c r="M30" i="3"/>
  <c r="N30" i="3"/>
  <c r="O30" i="3"/>
  <c r="P30" i="3"/>
  <c r="K31" i="3"/>
  <c r="Q31" i="3" s="1"/>
  <c r="L31" i="3"/>
  <c r="M31" i="3"/>
  <c r="N31" i="3"/>
  <c r="O31" i="3"/>
  <c r="P31" i="3"/>
  <c r="K32" i="3"/>
  <c r="Q32" i="3" s="1"/>
  <c r="L32" i="3"/>
  <c r="M32" i="3"/>
  <c r="N32" i="3"/>
  <c r="O32" i="3"/>
  <c r="P32" i="3"/>
  <c r="K33" i="3"/>
  <c r="L33" i="3"/>
  <c r="M33" i="3"/>
  <c r="Q33" i="3" s="1"/>
  <c r="N33" i="3"/>
  <c r="O33" i="3"/>
  <c r="P33" i="3"/>
  <c r="K34" i="3"/>
  <c r="Q34" i="3" s="1"/>
  <c r="L34" i="3"/>
  <c r="M34" i="3"/>
  <c r="N34" i="3"/>
  <c r="O34" i="3"/>
  <c r="P34" i="3"/>
  <c r="K35" i="3"/>
  <c r="Q35" i="3" s="1"/>
  <c r="L35" i="3"/>
  <c r="M35" i="3"/>
  <c r="N35" i="3"/>
  <c r="O35" i="3"/>
  <c r="P35" i="3"/>
  <c r="K36" i="3"/>
  <c r="Q36" i="3" s="1"/>
  <c r="L36" i="3"/>
  <c r="M36" i="3"/>
  <c r="N36" i="3"/>
  <c r="O36" i="3"/>
  <c r="P36" i="3"/>
  <c r="K37" i="3"/>
  <c r="Q37" i="3" s="1"/>
  <c r="L37" i="3"/>
  <c r="M37" i="3"/>
  <c r="N37" i="3"/>
  <c r="O37" i="3"/>
  <c r="P37" i="3"/>
  <c r="K38" i="3"/>
  <c r="Q38" i="3" s="1"/>
  <c r="L38" i="3"/>
  <c r="M38" i="3"/>
  <c r="N38" i="3"/>
  <c r="O38" i="3"/>
  <c r="P38" i="3"/>
  <c r="K39" i="3"/>
  <c r="Q39" i="3" s="1"/>
  <c r="L39" i="3"/>
  <c r="M39" i="3"/>
  <c r="N39" i="3"/>
  <c r="O39" i="3"/>
  <c r="P39" i="3"/>
  <c r="K40" i="3"/>
  <c r="Q40" i="3" s="1"/>
  <c r="L40" i="3"/>
  <c r="M40" i="3"/>
  <c r="N40" i="3"/>
  <c r="O40" i="3"/>
  <c r="P40" i="3"/>
  <c r="K41" i="3"/>
  <c r="L41" i="3"/>
  <c r="M41" i="3"/>
  <c r="N41" i="3"/>
  <c r="O41" i="3"/>
  <c r="P41" i="3"/>
  <c r="K42" i="3"/>
  <c r="Q42" i="3" s="1"/>
  <c r="L42" i="3"/>
  <c r="M42" i="3"/>
  <c r="N42" i="3"/>
  <c r="O42" i="3"/>
  <c r="P42" i="3"/>
  <c r="K43" i="3"/>
  <c r="Q43" i="3" s="1"/>
  <c r="L43" i="3"/>
  <c r="M43" i="3"/>
  <c r="N43" i="3"/>
  <c r="O43" i="3"/>
  <c r="P43" i="3"/>
  <c r="K44" i="3"/>
  <c r="Q44" i="3" s="1"/>
  <c r="L44" i="3"/>
  <c r="M44" i="3"/>
  <c r="N44" i="3"/>
  <c r="O44" i="3"/>
  <c r="P44" i="3"/>
  <c r="K45" i="3"/>
  <c r="Q45" i="3" s="1"/>
  <c r="L45" i="3"/>
  <c r="M45" i="3"/>
  <c r="N45" i="3"/>
  <c r="O45" i="3"/>
  <c r="P45" i="3"/>
  <c r="K46" i="3"/>
  <c r="Q46" i="3" s="1"/>
  <c r="L46" i="3"/>
  <c r="M46" i="3"/>
  <c r="N46" i="3"/>
  <c r="O46" i="3"/>
  <c r="P46" i="3"/>
  <c r="K47" i="3"/>
  <c r="Q47" i="3" s="1"/>
  <c r="L47" i="3"/>
  <c r="M47" i="3"/>
  <c r="N47" i="3"/>
  <c r="O47" i="3"/>
  <c r="P47" i="3"/>
  <c r="K48" i="3"/>
  <c r="Q48" i="3" s="1"/>
  <c r="L48" i="3"/>
  <c r="M48" i="3"/>
  <c r="N48" i="3"/>
  <c r="O48" i="3"/>
  <c r="P48" i="3"/>
  <c r="K49" i="3"/>
  <c r="L49" i="3"/>
  <c r="M49" i="3"/>
  <c r="N49" i="3"/>
  <c r="O49" i="3"/>
  <c r="P49" i="3"/>
  <c r="K50" i="3"/>
  <c r="Q50" i="3" s="1"/>
  <c r="L50" i="3"/>
  <c r="M50" i="3"/>
  <c r="N50" i="3"/>
  <c r="O50" i="3"/>
  <c r="P50" i="3"/>
  <c r="K51" i="3"/>
  <c r="Q51" i="3" s="1"/>
  <c r="L51" i="3"/>
  <c r="M51" i="3"/>
  <c r="N51" i="3"/>
  <c r="O51" i="3"/>
  <c r="P51" i="3"/>
  <c r="K52" i="3"/>
  <c r="Q52" i="3" s="1"/>
  <c r="L52" i="3"/>
  <c r="M52" i="3"/>
  <c r="N52" i="3"/>
  <c r="O52" i="3"/>
  <c r="P52" i="3"/>
  <c r="K53" i="3"/>
  <c r="Q53" i="3" s="1"/>
  <c r="L53" i="3"/>
  <c r="M53" i="3"/>
  <c r="N53" i="3"/>
  <c r="O53" i="3"/>
  <c r="P53" i="3"/>
  <c r="K54" i="3"/>
  <c r="Q54" i="3" s="1"/>
  <c r="L54" i="3"/>
  <c r="M54" i="3"/>
  <c r="N54" i="3"/>
  <c r="O54" i="3"/>
  <c r="P54" i="3"/>
  <c r="K55" i="3"/>
  <c r="Q55" i="3" s="1"/>
  <c r="L55" i="3"/>
  <c r="M55" i="3"/>
  <c r="N55" i="3"/>
  <c r="O55" i="3"/>
  <c r="P55" i="3"/>
  <c r="K56" i="3"/>
  <c r="Q56" i="3" s="1"/>
  <c r="L56" i="3"/>
  <c r="M56" i="3"/>
  <c r="N56" i="3"/>
  <c r="O56" i="3"/>
  <c r="P56" i="3"/>
  <c r="K57" i="3"/>
  <c r="L57" i="3"/>
  <c r="M57" i="3"/>
  <c r="N57" i="3"/>
  <c r="O57" i="3"/>
  <c r="P57" i="3"/>
  <c r="K58" i="3"/>
  <c r="Q58" i="3" s="1"/>
  <c r="L58" i="3"/>
  <c r="M58" i="3"/>
  <c r="N58" i="3"/>
  <c r="O58" i="3"/>
  <c r="P58" i="3"/>
  <c r="K59" i="3"/>
  <c r="Q59" i="3" s="1"/>
  <c r="L59" i="3"/>
  <c r="M59" i="3"/>
  <c r="N59" i="3"/>
  <c r="O59" i="3"/>
  <c r="P59" i="3"/>
  <c r="K60" i="3"/>
  <c r="Q60" i="3" s="1"/>
  <c r="L60" i="3"/>
  <c r="M60" i="3"/>
  <c r="N60" i="3"/>
  <c r="O60" i="3"/>
  <c r="P60" i="3"/>
  <c r="K61" i="3"/>
  <c r="Q61" i="3" s="1"/>
  <c r="L61" i="3"/>
  <c r="M61" i="3"/>
  <c r="N61" i="3"/>
  <c r="O61" i="3"/>
  <c r="P61" i="3"/>
  <c r="K62" i="3"/>
  <c r="Q62" i="3" s="1"/>
  <c r="L62" i="3"/>
  <c r="M62" i="3"/>
  <c r="N62" i="3"/>
  <c r="O62" i="3"/>
  <c r="P62" i="3"/>
  <c r="K63" i="3"/>
  <c r="Q63" i="3" s="1"/>
  <c r="L63" i="3"/>
  <c r="M63" i="3"/>
  <c r="N63" i="3"/>
  <c r="O63" i="3"/>
  <c r="P63" i="3"/>
  <c r="K64" i="3"/>
  <c r="Q64" i="3" s="1"/>
  <c r="L64" i="3"/>
  <c r="M64" i="3"/>
  <c r="N64" i="3"/>
  <c r="O64" i="3"/>
  <c r="P64" i="3"/>
  <c r="K65" i="3"/>
  <c r="L65" i="3"/>
  <c r="M65" i="3"/>
  <c r="N65" i="3"/>
  <c r="O65" i="3"/>
  <c r="P65" i="3"/>
  <c r="K66" i="3"/>
  <c r="Q66" i="3" s="1"/>
  <c r="L66" i="3"/>
  <c r="M66" i="3"/>
  <c r="N66" i="3"/>
  <c r="O66" i="3"/>
  <c r="P66" i="3"/>
  <c r="K67" i="3"/>
  <c r="Q67" i="3" s="1"/>
  <c r="L67" i="3"/>
  <c r="M67" i="3"/>
  <c r="N67" i="3"/>
  <c r="O67" i="3"/>
  <c r="P67" i="3"/>
  <c r="K68" i="3"/>
  <c r="Q68" i="3" s="1"/>
  <c r="L68" i="3"/>
  <c r="M68" i="3"/>
  <c r="N68" i="3"/>
  <c r="O68" i="3"/>
  <c r="P68" i="3"/>
  <c r="K69" i="3"/>
  <c r="Q69" i="3" s="1"/>
  <c r="L69" i="3"/>
  <c r="M69" i="3"/>
  <c r="N69" i="3"/>
  <c r="O69" i="3"/>
  <c r="P69" i="3"/>
  <c r="K70" i="3"/>
  <c r="Q70" i="3" s="1"/>
  <c r="L70" i="3"/>
  <c r="M70" i="3"/>
  <c r="N70" i="3"/>
  <c r="O70" i="3"/>
  <c r="P70" i="3"/>
  <c r="K71" i="3"/>
  <c r="Q71" i="3" s="1"/>
  <c r="L71" i="3"/>
  <c r="M71" i="3"/>
  <c r="N71" i="3"/>
  <c r="O71" i="3"/>
  <c r="P71" i="3"/>
  <c r="K72" i="3"/>
  <c r="Q72" i="3" s="1"/>
  <c r="L72" i="3"/>
  <c r="M72" i="3"/>
  <c r="N72" i="3"/>
  <c r="O72" i="3"/>
  <c r="P72" i="3"/>
  <c r="K73" i="3"/>
  <c r="L73" i="3"/>
  <c r="M73" i="3"/>
  <c r="Q73" i="3" s="1"/>
  <c r="N73" i="3"/>
  <c r="O73" i="3"/>
  <c r="P73" i="3"/>
  <c r="K74" i="3"/>
  <c r="Q74" i="3" s="1"/>
  <c r="L74" i="3"/>
  <c r="M74" i="3"/>
  <c r="N74" i="3"/>
  <c r="O74" i="3"/>
  <c r="P74" i="3"/>
  <c r="K75" i="3"/>
  <c r="Q75" i="3" s="1"/>
  <c r="L75" i="3"/>
  <c r="M75" i="3"/>
  <c r="N75" i="3"/>
  <c r="O75" i="3"/>
  <c r="P75" i="3"/>
  <c r="K76" i="3"/>
  <c r="Q76" i="3" s="1"/>
  <c r="L76" i="3"/>
  <c r="M76" i="3"/>
  <c r="N76" i="3"/>
  <c r="O76" i="3"/>
  <c r="P76" i="3"/>
  <c r="K77" i="3"/>
  <c r="Q77" i="3" s="1"/>
  <c r="L77" i="3"/>
  <c r="M77" i="3"/>
  <c r="N77" i="3"/>
  <c r="O77" i="3"/>
  <c r="P77" i="3"/>
  <c r="K78" i="3"/>
  <c r="Q78" i="3" s="1"/>
  <c r="L78" i="3"/>
  <c r="M78" i="3"/>
  <c r="N78" i="3"/>
  <c r="O78" i="3"/>
  <c r="P78" i="3"/>
  <c r="K79" i="3"/>
  <c r="Q79" i="3" s="1"/>
  <c r="L79" i="3"/>
  <c r="M79" i="3"/>
  <c r="N79" i="3"/>
  <c r="O79" i="3"/>
  <c r="P79" i="3"/>
  <c r="K80" i="3"/>
  <c r="Q80" i="3" s="1"/>
  <c r="L80" i="3"/>
  <c r="M80" i="3"/>
  <c r="N80" i="3"/>
  <c r="O80" i="3"/>
  <c r="P80" i="3"/>
  <c r="K81" i="3"/>
  <c r="L81" i="3"/>
  <c r="M81" i="3"/>
  <c r="N81" i="3"/>
  <c r="O81" i="3"/>
  <c r="P81" i="3"/>
  <c r="K82" i="3"/>
  <c r="Q82" i="3" s="1"/>
  <c r="L82" i="3"/>
  <c r="M82" i="3"/>
  <c r="N82" i="3"/>
  <c r="O82" i="3"/>
  <c r="P82" i="3"/>
  <c r="K83" i="3"/>
  <c r="Q83" i="3" s="1"/>
  <c r="L83" i="3"/>
  <c r="M83" i="3"/>
  <c r="N83" i="3"/>
  <c r="O83" i="3"/>
  <c r="P83" i="3"/>
  <c r="K84" i="3"/>
  <c r="Q84" i="3" s="1"/>
  <c r="L84" i="3"/>
  <c r="M84" i="3"/>
  <c r="N84" i="3"/>
  <c r="O84" i="3"/>
  <c r="P84" i="3"/>
  <c r="K85" i="3"/>
  <c r="Q85" i="3" s="1"/>
  <c r="L85" i="3"/>
  <c r="M85" i="3"/>
  <c r="N85" i="3"/>
  <c r="O85" i="3"/>
  <c r="P85" i="3"/>
  <c r="K86" i="3"/>
  <c r="Q86" i="3" s="1"/>
  <c r="L86" i="3"/>
  <c r="M86" i="3"/>
  <c r="N86" i="3"/>
  <c r="O86" i="3"/>
  <c r="P86" i="3"/>
  <c r="K87" i="3"/>
  <c r="Q87" i="3" s="1"/>
  <c r="L87" i="3"/>
  <c r="M87" i="3"/>
  <c r="N87" i="3"/>
  <c r="O87" i="3"/>
  <c r="P87" i="3"/>
  <c r="K88" i="3"/>
  <c r="Q88" i="3" s="1"/>
  <c r="L88" i="3"/>
  <c r="M88" i="3"/>
  <c r="N88" i="3"/>
  <c r="O88" i="3"/>
  <c r="P88" i="3"/>
  <c r="K89" i="3"/>
  <c r="L89" i="3"/>
  <c r="M89" i="3"/>
  <c r="N89" i="3"/>
  <c r="O89" i="3"/>
  <c r="P89" i="3"/>
  <c r="K90" i="3"/>
  <c r="Q90" i="3" s="1"/>
  <c r="L90" i="3"/>
  <c r="M90" i="3"/>
  <c r="N90" i="3"/>
  <c r="O90" i="3"/>
  <c r="P90" i="3"/>
  <c r="K91" i="3"/>
  <c r="Q91" i="3" s="1"/>
  <c r="L91" i="3"/>
  <c r="M91" i="3"/>
  <c r="N91" i="3"/>
  <c r="O91" i="3"/>
  <c r="P91" i="3"/>
  <c r="K92" i="3"/>
  <c r="Q92" i="3" s="1"/>
  <c r="L92" i="3"/>
  <c r="M92" i="3"/>
  <c r="N92" i="3"/>
  <c r="O92" i="3"/>
  <c r="P92" i="3"/>
  <c r="K93" i="3"/>
  <c r="Q93" i="3" s="1"/>
  <c r="L93" i="3"/>
  <c r="M93" i="3"/>
  <c r="N93" i="3"/>
  <c r="O93" i="3"/>
  <c r="P93" i="3"/>
  <c r="K94" i="3"/>
  <c r="Q94" i="3" s="1"/>
  <c r="L94" i="3"/>
  <c r="M94" i="3"/>
  <c r="N94" i="3"/>
  <c r="O94" i="3"/>
  <c r="P94" i="3"/>
  <c r="K95" i="3"/>
  <c r="Q95" i="3" s="1"/>
  <c r="L95" i="3"/>
  <c r="M95" i="3"/>
  <c r="N95" i="3"/>
  <c r="O95" i="3"/>
  <c r="P95" i="3"/>
  <c r="K96" i="3"/>
  <c r="Q96" i="3" s="1"/>
  <c r="L96" i="3"/>
  <c r="M96" i="3"/>
  <c r="N96" i="3"/>
  <c r="O96" i="3"/>
  <c r="P96" i="3"/>
  <c r="K97" i="3"/>
  <c r="L97" i="3"/>
  <c r="M97" i="3"/>
  <c r="N97" i="3"/>
  <c r="O97" i="3"/>
  <c r="P97" i="3"/>
  <c r="K98" i="3"/>
  <c r="Q98" i="3" s="1"/>
  <c r="L98" i="3"/>
  <c r="M98" i="3"/>
  <c r="N98" i="3"/>
  <c r="O98" i="3"/>
  <c r="P98" i="3"/>
  <c r="K99" i="3"/>
  <c r="Q99" i="3" s="1"/>
  <c r="L99" i="3"/>
  <c r="M99" i="3"/>
  <c r="N99" i="3"/>
  <c r="O99" i="3"/>
  <c r="P99" i="3"/>
  <c r="K100" i="3"/>
  <c r="Q100" i="3" s="1"/>
  <c r="L100" i="3"/>
  <c r="M100" i="3"/>
  <c r="N100" i="3"/>
  <c r="O100" i="3"/>
  <c r="P100" i="3"/>
  <c r="K101" i="3"/>
  <c r="Q101" i="3" s="1"/>
  <c r="L101" i="3"/>
  <c r="M101" i="3"/>
  <c r="N101" i="3"/>
  <c r="O101" i="3"/>
  <c r="P101" i="3"/>
  <c r="K102" i="3"/>
  <c r="Q102" i="3" s="1"/>
  <c r="L102" i="3"/>
  <c r="M102" i="3"/>
  <c r="N102" i="3"/>
  <c r="O102" i="3"/>
  <c r="P102" i="3"/>
  <c r="K103" i="3"/>
  <c r="Q103" i="3" s="1"/>
  <c r="L103" i="3"/>
  <c r="M103" i="3"/>
  <c r="N103" i="3"/>
  <c r="O103" i="3"/>
  <c r="P103" i="3"/>
  <c r="K104" i="3"/>
  <c r="Q104" i="3" s="1"/>
  <c r="L104" i="3"/>
  <c r="M104" i="3"/>
  <c r="N104" i="3"/>
  <c r="O104" i="3"/>
  <c r="P104" i="3"/>
  <c r="K105" i="3"/>
  <c r="L105" i="3"/>
  <c r="M105" i="3"/>
  <c r="N105" i="3"/>
  <c r="O105" i="3"/>
  <c r="P105" i="3"/>
  <c r="K106" i="3"/>
  <c r="Q106" i="3" s="1"/>
  <c r="L106" i="3"/>
  <c r="M106" i="3"/>
  <c r="N106" i="3"/>
  <c r="O106" i="3"/>
  <c r="P106" i="3"/>
  <c r="K107" i="3"/>
  <c r="Q107" i="3" s="1"/>
  <c r="L107" i="3"/>
  <c r="M107" i="3"/>
  <c r="N107" i="3"/>
  <c r="O107" i="3"/>
  <c r="P107" i="3"/>
  <c r="K108" i="3"/>
  <c r="Q108" i="3" s="1"/>
  <c r="L108" i="3"/>
  <c r="M108" i="3"/>
  <c r="N108" i="3"/>
  <c r="O108" i="3"/>
  <c r="P108" i="3"/>
  <c r="K109" i="3"/>
  <c r="Q109" i="3" s="1"/>
  <c r="L109" i="3"/>
  <c r="M109" i="3"/>
  <c r="N109" i="3"/>
  <c r="O109" i="3"/>
  <c r="P109" i="3"/>
  <c r="K110" i="3"/>
  <c r="Q110" i="3" s="1"/>
  <c r="L110" i="3"/>
  <c r="M110" i="3"/>
  <c r="N110" i="3"/>
  <c r="O110" i="3"/>
  <c r="P110" i="3"/>
  <c r="K111" i="3"/>
  <c r="Q111" i="3" s="1"/>
  <c r="L111" i="3"/>
  <c r="M111" i="3"/>
  <c r="N111" i="3"/>
  <c r="O111" i="3"/>
  <c r="P111" i="3"/>
  <c r="K112" i="3"/>
  <c r="Q112" i="3" s="1"/>
  <c r="L112" i="3"/>
  <c r="M112" i="3"/>
  <c r="N112" i="3"/>
  <c r="O112" i="3"/>
  <c r="P112" i="3"/>
  <c r="K113" i="3"/>
  <c r="L113" i="3"/>
  <c r="M113" i="3"/>
  <c r="Q113" i="3" s="1"/>
  <c r="N113" i="3"/>
  <c r="O113" i="3"/>
  <c r="P113" i="3"/>
  <c r="K114" i="3"/>
  <c r="Q114" i="3" s="1"/>
  <c r="L114" i="3"/>
  <c r="M114" i="3"/>
  <c r="N114" i="3"/>
  <c r="O114" i="3"/>
  <c r="P114" i="3"/>
  <c r="K115" i="3"/>
  <c r="Q115" i="3" s="1"/>
  <c r="L115" i="3"/>
  <c r="M115" i="3"/>
  <c r="N115" i="3"/>
  <c r="O115" i="3"/>
  <c r="P115" i="3"/>
  <c r="K116" i="3"/>
  <c r="Q116" i="3" s="1"/>
  <c r="L116" i="3"/>
  <c r="M116" i="3"/>
  <c r="N116" i="3"/>
  <c r="O116" i="3"/>
  <c r="P116" i="3"/>
  <c r="K117" i="3"/>
  <c r="Q117" i="3" s="1"/>
  <c r="L117" i="3"/>
  <c r="M117" i="3"/>
  <c r="N117" i="3"/>
  <c r="O117" i="3"/>
  <c r="P117" i="3"/>
  <c r="K118" i="3"/>
  <c r="Q118" i="3" s="1"/>
  <c r="L118" i="3"/>
  <c r="M118" i="3"/>
  <c r="N118" i="3"/>
  <c r="O118" i="3"/>
  <c r="P118" i="3"/>
  <c r="K119" i="3"/>
  <c r="Q119" i="3" s="1"/>
  <c r="L119" i="3"/>
  <c r="M119" i="3"/>
  <c r="N119" i="3"/>
  <c r="O119" i="3"/>
  <c r="P119" i="3"/>
  <c r="K120" i="3"/>
  <c r="Q120" i="3" s="1"/>
  <c r="L120" i="3"/>
  <c r="M120" i="3"/>
  <c r="N120" i="3"/>
  <c r="O120" i="3"/>
  <c r="P120" i="3"/>
  <c r="K121" i="3"/>
  <c r="L121" i="3"/>
  <c r="M121" i="3"/>
  <c r="N121" i="3"/>
  <c r="O121" i="3"/>
  <c r="P121" i="3"/>
  <c r="K122" i="3"/>
  <c r="Q122" i="3" s="1"/>
  <c r="L122" i="3"/>
  <c r="M122" i="3"/>
  <c r="N122" i="3"/>
  <c r="O122" i="3"/>
  <c r="P122" i="3"/>
  <c r="K123" i="3"/>
  <c r="Q123" i="3" s="1"/>
  <c r="L123" i="3"/>
  <c r="M123" i="3"/>
  <c r="N123" i="3"/>
  <c r="O123" i="3"/>
  <c r="P123" i="3"/>
  <c r="K124" i="3"/>
  <c r="Q124" i="3" s="1"/>
  <c r="L124" i="3"/>
  <c r="M124" i="3"/>
  <c r="N124" i="3"/>
  <c r="O124" i="3"/>
  <c r="P124" i="3"/>
  <c r="K125" i="3"/>
  <c r="Q125" i="3" s="1"/>
  <c r="L125" i="3"/>
  <c r="M125" i="3"/>
  <c r="N125" i="3"/>
  <c r="O125" i="3"/>
  <c r="P125" i="3"/>
  <c r="K126" i="3"/>
  <c r="Q126" i="3" s="1"/>
  <c r="L126" i="3"/>
  <c r="M126" i="3"/>
  <c r="N126" i="3"/>
  <c r="O126" i="3"/>
  <c r="P126" i="3"/>
  <c r="K127" i="3"/>
  <c r="Q127" i="3" s="1"/>
  <c r="L127" i="3"/>
  <c r="M127" i="3"/>
  <c r="N127" i="3"/>
  <c r="O127" i="3"/>
  <c r="P127" i="3"/>
  <c r="K128" i="3"/>
  <c r="Q128" i="3" s="1"/>
  <c r="L128" i="3"/>
  <c r="M128" i="3"/>
  <c r="N128" i="3"/>
  <c r="O128" i="3"/>
  <c r="P128" i="3"/>
  <c r="K129" i="3"/>
  <c r="L129" i="3"/>
  <c r="M129" i="3"/>
  <c r="N129" i="3"/>
  <c r="O129" i="3"/>
  <c r="P129" i="3"/>
  <c r="K130" i="3"/>
  <c r="Q130" i="3" s="1"/>
  <c r="L130" i="3"/>
  <c r="M130" i="3"/>
  <c r="N130" i="3"/>
  <c r="O130" i="3"/>
  <c r="P130" i="3"/>
  <c r="K131" i="3"/>
  <c r="Q131" i="3" s="1"/>
  <c r="L131" i="3"/>
  <c r="M131" i="3"/>
  <c r="N131" i="3"/>
  <c r="O131" i="3"/>
  <c r="P131" i="3"/>
  <c r="K132" i="3"/>
  <c r="Q132" i="3" s="1"/>
  <c r="L132" i="3"/>
  <c r="M132" i="3"/>
  <c r="N132" i="3"/>
  <c r="O132" i="3"/>
  <c r="P132" i="3"/>
  <c r="K133" i="3"/>
  <c r="Q133" i="3" s="1"/>
  <c r="L133" i="3"/>
  <c r="M133" i="3"/>
  <c r="N133" i="3"/>
  <c r="O133" i="3"/>
  <c r="P133" i="3"/>
  <c r="K134" i="3"/>
  <c r="Q134" i="3" s="1"/>
  <c r="L134" i="3"/>
  <c r="M134" i="3"/>
  <c r="N134" i="3"/>
  <c r="O134" i="3"/>
  <c r="P134" i="3"/>
  <c r="K135" i="3"/>
  <c r="Q135" i="3" s="1"/>
  <c r="L135" i="3"/>
  <c r="M135" i="3"/>
  <c r="N135" i="3"/>
  <c r="O135" i="3"/>
  <c r="P135" i="3"/>
  <c r="K136" i="3"/>
  <c r="Q136" i="3" s="1"/>
  <c r="L136" i="3"/>
  <c r="M136" i="3"/>
  <c r="N136" i="3"/>
  <c r="O136" i="3"/>
  <c r="P136" i="3"/>
  <c r="K137" i="3"/>
  <c r="L137" i="3"/>
  <c r="M137" i="3"/>
  <c r="N137" i="3"/>
  <c r="O137" i="3"/>
  <c r="P137" i="3"/>
  <c r="K138" i="3"/>
  <c r="Q138" i="3" s="1"/>
  <c r="L138" i="3"/>
  <c r="M138" i="3"/>
  <c r="N138" i="3"/>
  <c r="O138" i="3"/>
  <c r="P138" i="3"/>
  <c r="K139" i="3"/>
  <c r="Q139" i="3" s="1"/>
  <c r="L139" i="3"/>
  <c r="M139" i="3"/>
  <c r="N139" i="3"/>
  <c r="O139" i="3"/>
  <c r="P139" i="3"/>
  <c r="K140" i="3"/>
  <c r="Q140" i="3" s="1"/>
  <c r="L140" i="3"/>
  <c r="M140" i="3"/>
  <c r="N140" i="3"/>
  <c r="O140" i="3"/>
  <c r="P140" i="3"/>
  <c r="K141" i="3"/>
  <c r="Q141" i="3" s="1"/>
  <c r="L141" i="3"/>
  <c r="M141" i="3"/>
  <c r="N141" i="3"/>
  <c r="O141" i="3"/>
  <c r="P141" i="3"/>
  <c r="K142" i="3"/>
  <c r="Q142" i="3" s="1"/>
  <c r="L142" i="3"/>
  <c r="M142" i="3"/>
  <c r="N142" i="3"/>
  <c r="O142" i="3"/>
  <c r="P142" i="3"/>
  <c r="K143" i="3"/>
  <c r="Q143" i="3" s="1"/>
  <c r="L143" i="3"/>
  <c r="M143" i="3"/>
  <c r="N143" i="3"/>
  <c r="O143" i="3"/>
  <c r="P143" i="3"/>
  <c r="K144" i="3"/>
  <c r="Q144" i="3" s="1"/>
  <c r="L144" i="3"/>
  <c r="M144" i="3"/>
  <c r="N144" i="3"/>
  <c r="O144" i="3"/>
  <c r="P144" i="3"/>
  <c r="K145" i="3"/>
  <c r="L145" i="3"/>
  <c r="M145" i="3"/>
  <c r="N145" i="3"/>
  <c r="O145" i="3"/>
  <c r="P145" i="3"/>
  <c r="K146" i="3"/>
  <c r="Q146" i="3" s="1"/>
  <c r="L146" i="3"/>
  <c r="M146" i="3"/>
  <c r="N146" i="3"/>
  <c r="O146" i="3"/>
  <c r="P146" i="3"/>
  <c r="K147" i="3"/>
  <c r="Q147" i="3" s="1"/>
  <c r="L147" i="3"/>
  <c r="M147" i="3"/>
  <c r="N147" i="3"/>
  <c r="O147" i="3"/>
  <c r="P147" i="3"/>
  <c r="K148" i="3"/>
  <c r="Q148" i="3" s="1"/>
  <c r="L148" i="3"/>
  <c r="M148" i="3"/>
  <c r="N148" i="3"/>
  <c r="O148" i="3"/>
  <c r="P148" i="3"/>
  <c r="K149" i="3"/>
  <c r="Q149" i="3" s="1"/>
  <c r="L149" i="3"/>
  <c r="M149" i="3"/>
  <c r="N149" i="3"/>
  <c r="O149" i="3"/>
  <c r="P149" i="3"/>
  <c r="K150" i="3"/>
  <c r="Q150" i="3" s="1"/>
  <c r="L150" i="3"/>
  <c r="M150" i="3"/>
  <c r="N150" i="3"/>
  <c r="O150" i="3"/>
  <c r="P150" i="3"/>
  <c r="K151" i="3"/>
  <c r="Q151" i="3" s="1"/>
  <c r="L151" i="3"/>
  <c r="M151" i="3"/>
  <c r="N151" i="3"/>
  <c r="O151" i="3"/>
  <c r="P151" i="3"/>
  <c r="K152" i="3"/>
  <c r="Q152" i="3" s="1"/>
  <c r="L152" i="3"/>
  <c r="M152" i="3"/>
  <c r="N152" i="3"/>
  <c r="O152" i="3"/>
  <c r="P152" i="3"/>
  <c r="K153" i="3"/>
  <c r="L153" i="3"/>
  <c r="M153" i="3"/>
  <c r="N153" i="3"/>
  <c r="O153" i="3"/>
  <c r="P153" i="3"/>
  <c r="K154" i="3"/>
  <c r="Q154" i="3" s="1"/>
  <c r="L154" i="3"/>
  <c r="M154" i="3"/>
  <c r="N154" i="3"/>
  <c r="O154" i="3"/>
  <c r="P154" i="3"/>
  <c r="K155" i="3"/>
  <c r="Q155" i="3" s="1"/>
  <c r="L155" i="3"/>
  <c r="M155" i="3"/>
  <c r="N155" i="3"/>
  <c r="O155" i="3"/>
  <c r="P155" i="3"/>
  <c r="K156" i="3"/>
  <c r="Q156" i="3" s="1"/>
  <c r="L156" i="3"/>
  <c r="M156" i="3"/>
  <c r="N156" i="3"/>
  <c r="O156" i="3"/>
  <c r="P156" i="3"/>
  <c r="K157" i="3"/>
  <c r="Q157" i="3" s="1"/>
  <c r="L157" i="3"/>
  <c r="M157" i="3"/>
  <c r="N157" i="3"/>
  <c r="O157" i="3"/>
  <c r="P157" i="3"/>
  <c r="K158" i="3"/>
  <c r="Q158" i="3" s="1"/>
  <c r="L158" i="3"/>
  <c r="M158" i="3"/>
  <c r="N158" i="3"/>
  <c r="O158" i="3"/>
  <c r="P158" i="3"/>
  <c r="K159" i="3"/>
  <c r="Q159" i="3" s="1"/>
  <c r="L159" i="3"/>
  <c r="M159" i="3"/>
  <c r="N159" i="3"/>
  <c r="O159" i="3"/>
  <c r="P159" i="3"/>
  <c r="K160" i="3"/>
  <c r="Q160" i="3" s="1"/>
  <c r="L160" i="3"/>
  <c r="M160" i="3"/>
  <c r="N160" i="3"/>
  <c r="O160" i="3"/>
  <c r="P160" i="3"/>
  <c r="K161" i="3"/>
  <c r="L161" i="3"/>
  <c r="M161" i="3"/>
  <c r="N161" i="3"/>
  <c r="O161" i="3"/>
  <c r="P161" i="3"/>
  <c r="K162" i="3"/>
  <c r="Q162" i="3" s="1"/>
  <c r="L162" i="3"/>
  <c r="M162" i="3"/>
  <c r="N162" i="3"/>
  <c r="O162" i="3"/>
  <c r="P162" i="3"/>
  <c r="K163" i="3"/>
  <c r="Q163" i="3" s="1"/>
  <c r="L163" i="3"/>
  <c r="M163" i="3"/>
  <c r="N163" i="3"/>
  <c r="O163" i="3"/>
  <c r="P163" i="3"/>
  <c r="K164" i="3"/>
  <c r="Q164" i="3" s="1"/>
  <c r="L164" i="3"/>
  <c r="M164" i="3"/>
  <c r="N164" i="3"/>
  <c r="O164" i="3"/>
  <c r="P164" i="3"/>
  <c r="K165" i="3"/>
  <c r="Q165" i="3" s="1"/>
  <c r="L165" i="3"/>
  <c r="M165" i="3"/>
  <c r="N165" i="3"/>
  <c r="O165" i="3"/>
  <c r="P165" i="3"/>
  <c r="K166" i="3"/>
  <c r="Q166" i="3" s="1"/>
  <c r="L166" i="3"/>
  <c r="M166" i="3"/>
  <c r="N166" i="3"/>
  <c r="O166" i="3"/>
  <c r="P166" i="3"/>
  <c r="K167" i="3"/>
  <c r="Q167" i="3" s="1"/>
  <c r="L167" i="3"/>
  <c r="M167" i="3"/>
  <c r="N167" i="3"/>
  <c r="O167" i="3"/>
  <c r="P167" i="3"/>
  <c r="K168" i="3"/>
  <c r="Q168" i="3" s="1"/>
  <c r="L168" i="3"/>
  <c r="M168" i="3"/>
  <c r="N168" i="3"/>
  <c r="O168" i="3"/>
  <c r="P168" i="3"/>
  <c r="K169" i="3"/>
  <c r="L169" i="3"/>
  <c r="M169" i="3"/>
  <c r="Q169" i="3" s="1"/>
  <c r="N169" i="3"/>
  <c r="O169" i="3"/>
  <c r="P169" i="3"/>
  <c r="K170" i="3"/>
  <c r="Q170" i="3" s="1"/>
  <c r="L170" i="3"/>
  <c r="M170" i="3"/>
  <c r="N170" i="3"/>
  <c r="O170" i="3"/>
  <c r="P170" i="3"/>
  <c r="K171" i="3"/>
  <c r="Q171" i="3" s="1"/>
  <c r="L171" i="3"/>
  <c r="M171" i="3"/>
  <c r="N171" i="3"/>
  <c r="O171" i="3"/>
  <c r="P171" i="3"/>
  <c r="K172" i="3"/>
  <c r="Q172" i="3" s="1"/>
  <c r="L172" i="3"/>
  <c r="M172" i="3"/>
  <c r="N172" i="3"/>
  <c r="O172" i="3"/>
  <c r="P172" i="3"/>
  <c r="K173" i="3"/>
  <c r="Q173" i="3" s="1"/>
  <c r="L173" i="3"/>
  <c r="M173" i="3"/>
  <c r="N173" i="3"/>
  <c r="O173" i="3"/>
  <c r="P173" i="3"/>
  <c r="K174" i="3"/>
  <c r="Q174" i="3" s="1"/>
  <c r="L174" i="3"/>
  <c r="M174" i="3"/>
  <c r="N174" i="3"/>
  <c r="O174" i="3"/>
  <c r="P174" i="3"/>
  <c r="K175" i="3"/>
  <c r="Q175" i="3" s="1"/>
  <c r="L175" i="3"/>
  <c r="M175" i="3"/>
  <c r="N175" i="3"/>
  <c r="O175" i="3"/>
  <c r="P175" i="3"/>
  <c r="K176" i="3"/>
  <c r="Q176" i="3" s="1"/>
  <c r="L176" i="3"/>
  <c r="M176" i="3"/>
  <c r="N176" i="3"/>
  <c r="O176" i="3"/>
  <c r="P176" i="3"/>
  <c r="K177" i="3"/>
  <c r="L177" i="3"/>
  <c r="M177" i="3"/>
  <c r="N177" i="3"/>
  <c r="O177" i="3"/>
  <c r="P177" i="3"/>
  <c r="K178" i="3"/>
  <c r="Q178" i="3" s="1"/>
  <c r="L178" i="3"/>
  <c r="M178" i="3"/>
  <c r="N178" i="3"/>
  <c r="O178" i="3"/>
  <c r="P178" i="3"/>
  <c r="K179" i="3"/>
  <c r="Q179" i="3" s="1"/>
  <c r="L179" i="3"/>
  <c r="M179" i="3"/>
  <c r="N179" i="3"/>
  <c r="O179" i="3"/>
  <c r="P179" i="3"/>
  <c r="K180" i="3"/>
  <c r="Q180" i="3" s="1"/>
  <c r="L180" i="3"/>
  <c r="M180" i="3"/>
  <c r="N180" i="3"/>
  <c r="O180" i="3"/>
  <c r="P180" i="3"/>
  <c r="K181" i="3"/>
  <c r="Q181" i="3" s="1"/>
  <c r="L181" i="3"/>
  <c r="M181" i="3"/>
  <c r="N181" i="3"/>
  <c r="O181" i="3"/>
  <c r="P181" i="3"/>
  <c r="K182" i="3"/>
  <c r="Q182" i="3" s="1"/>
  <c r="L182" i="3"/>
  <c r="M182" i="3"/>
  <c r="N182" i="3"/>
  <c r="O182" i="3"/>
  <c r="P182" i="3"/>
  <c r="K183" i="3"/>
  <c r="Q183" i="3" s="1"/>
  <c r="L183" i="3"/>
  <c r="M183" i="3"/>
  <c r="N183" i="3"/>
  <c r="O183" i="3"/>
  <c r="P183" i="3"/>
  <c r="L3" i="3"/>
  <c r="M3" i="3"/>
  <c r="N3" i="3"/>
  <c r="O3" i="3"/>
  <c r="P3" i="3"/>
  <c r="K3" i="3"/>
  <c r="Q3" i="3" s="1"/>
  <c r="I40" i="1"/>
  <c r="I39" i="1"/>
  <c r="H39" i="1"/>
  <c r="I38" i="1"/>
  <c r="H38" i="1"/>
  <c r="G38" i="1"/>
  <c r="I37" i="1"/>
  <c r="I36" i="1" s="1"/>
  <c r="H37" i="1"/>
  <c r="G37" i="1"/>
  <c r="F37" i="1"/>
  <c r="F36" i="1" s="1"/>
  <c r="J36" i="1"/>
  <c r="H36" i="1"/>
  <c r="G36" i="1"/>
  <c r="E36" i="1"/>
  <c r="D36" i="1"/>
  <c r="C36" i="1"/>
  <c r="C37" i="1" s="1"/>
  <c r="C38" i="1" s="1"/>
  <c r="C39" i="1" s="1"/>
  <c r="C40" i="1" s="1"/>
  <c r="I323" i="1"/>
  <c r="I322" i="1"/>
  <c r="H322" i="1"/>
  <c r="I321" i="1"/>
  <c r="I319" i="1" s="1"/>
  <c r="H321" i="1"/>
  <c r="G321" i="1"/>
  <c r="I320" i="1"/>
  <c r="H320" i="1"/>
  <c r="H319" i="1" s="1"/>
  <c r="G320" i="1"/>
  <c r="F320" i="1"/>
  <c r="F319" i="1" s="1"/>
  <c r="C320" i="1"/>
  <c r="C321" i="1" s="1"/>
  <c r="C322" i="1" s="1"/>
  <c r="C323" i="1" s="1"/>
  <c r="J319" i="1"/>
  <c r="G319" i="1"/>
  <c r="E319" i="1"/>
  <c r="D319" i="1"/>
  <c r="C319" i="1"/>
  <c r="I316" i="1"/>
  <c r="I315" i="1"/>
  <c r="H315" i="1"/>
  <c r="I314" i="1"/>
  <c r="H314" i="1"/>
  <c r="G314" i="1"/>
  <c r="I313" i="1"/>
  <c r="I312" i="1" s="1"/>
  <c r="H313" i="1"/>
  <c r="G313" i="1"/>
  <c r="F313" i="1"/>
  <c r="F312" i="1" s="1"/>
  <c r="J312" i="1"/>
  <c r="H312" i="1"/>
  <c r="G312" i="1"/>
  <c r="E312" i="1"/>
  <c r="D312" i="1"/>
  <c r="C312" i="1"/>
  <c r="C313" i="1" s="1"/>
  <c r="C314" i="1" s="1"/>
  <c r="C315" i="1" s="1"/>
  <c r="C316" i="1" s="1"/>
  <c r="I307" i="1"/>
  <c r="I306" i="1"/>
  <c r="H306" i="1"/>
  <c r="I305" i="1"/>
  <c r="H305" i="1"/>
  <c r="G305" i="1"/>
  <c r="I304" i="1"/>
  <c r="I303" i="1" s="1"/>
  <c r="H304" i="1"/>
  <c r="H303" i="1" s="1"/>
  <c r="G304" i="1"/>
  <c r="F304" i="1"/>
  <c r="F303" i="1" s="1"/>
  <c r="J303" i="1"/>
  <c r="G303" i="1"/>
  <c r="E303" i="1"/>
  <c r="D303" i="1"/>
  <c r="C303" i="1"/>
  <c r="C304" i="1" s="1"/>
  <c r="C305" i="1" s="1"/>
  <c r="C306" i="1" s="1"/>
  <c r="C307" i="1" s="1"/>
  <c r="I296" i="1"/>
  <c r="I295" i="1"/>
  <c r="H295" i="1"/>
  <c r="I294" i="1"/>
  <c r="H294" i="1"/>
  <c r="H292" i="1" s="1"/>
  <c r="G294" i="1"/>
  <c r="G292" i="1" s="1"/>
  <c r="I293" i="1"/>
  <c r="I292" i="1" s="1"/>
  <c r="H293" i="1"/>
  <c r="G293" i="1"/>
  <c r="F293" i="1"/>
  <c r="F292" i="1" s="1"/>
  <c r="J292" i="1"/>
  <c r="E292" i="1"/>
  <c r="D292" i="1"/>
  <c r="C292" i="1"/>
  <c r="C293" i="1" s="1"/>
  <c r="C294" i="1" s="1"/>
  <c r="C295" i="1" s="1"/>
  <c r="C296" i="1" s="1"/>
  <c r="I285" i="1"/>
  <c r="I284" i="1"/>
  <c r="H284" i="1"/>
  <c r="I283" i="1"/>
  <c r="I281" i="1" s="1"/>
  <c r="H283" i="1"/>
  <c r="G283" i="1"/>
  <c r="I282" i="1"/>
  <c r="H282" i="1"/>
  <c r="H281" i="1" s="1"/>
  <c r="G282" i="1"/>
  <c r="F282" i="1"/>
  <c r="F281" i="1" s="1"/>
  <c r="J281" i="1"/>
  <c r="G281" i="1"/>
  <c r="E281" i="1"/>
  <c r="D281" i="1"/>
  <c r="C281" i="1"/>
  <c r="C282" i="1" s="1"/>
  <c r="C283" i="1" s="1"/>
  <c r="C284" i="1" s="1"/>
  <c r="C285" i="1" s="1"/>
  <c r="B272" i="1"/>
  <c r="B273" i="1" s="1"/>
  <c r="B274" i="1" s="1"/>
  <c r="B271" i="1"/>
  <c r="C542" i="1"/>
  <c r="C543" i="1" s="1"/>
  <c r="C544" i="1" s="1"/>
  <c r="C545" i="1" s="1"/>
  <c r="C546" i="1" s="1"/>
  <c r="C535" i="1"/>
  <c r="C536" i="1" s="1"/>
  <c r="C537" i="1" s="1"/>
  <c r="C538" i="1" s="1"/>
  <c r="C539" i="1" s="1"/>
  <c r="C528" i="1"/>
  <c r="C529" i="1" s="1"/>
  <c r="C530" i="1" s="1"/>
  <c r="C531" i="1" s="1"/>
  <c r="C532" i="1" s="1"/>
  <c r="C521" i="1"/>
  <c r="C522" i="1" s="1"/>
  <c r="C523" i="1" s="1"/>
  <c r="C524" i="1" s="1"/>
  <c r="C525" i="1" s="1"/>
  <c r="C489" i="1"/>
  <c r="C490" i="1" s="1"/>
  <c r="C491" i="1" s="1"/>
  <c r="C492" i="1" s="1"/>
  <c r="C493" i="1" s="1"/>
  <c r="C482" i="1"/>
  <c r="C483" i="1" s="1"/>
  <c r="C484" i="1" s="1"/>
  <c r="C485" i="1" s="1"/>
  <c r="C486" i="1" s="1"/>
  <c r="C475" i="1"/>
  <c r="C476" i="1" s="1"/>
  <c r="C477" i="1" s="1"/>
  <c r="C478" i="1" s="1"/>
  <c r="C479" i="1" s="1"/>
  <c r="C468" i="1"/>
  <c r="C469" i="1" s="1"/>
  <c r="C470" i="1" s="1"/>
  <c r="C471" i="1" s="1"/>
  <c r="C472" i="1" s="1"/>
  <c r="C461" i="1"/>
  <c r="C462" i="1" s="1"/>
  <c r="C463" i="1" s="1"/>
  <c r="C464" i="1" s="1"/>
  <c r="C465" i="1" s="1"/>
  <c r="C448" i="1"/>
  <c r="C449" i="1" s="1"/>
  <c r="C450" i="1" s="1"/>
  <c r="C451" i="1" s="1"/>
  <c r="C452" i="1" s="1"/>
  <c r="C410" i="1"/>
  <c r="C411" i="1" s="1"/>
  <c r="C412" i="1" s="1"/>
  <c r="C413" i="1" s="1"/>
  <c r="C414" i="1" s="1"/>
  <c r="C399" i="1"/>
  <c r="C400" i="1" s="1"/>
  <c r="C401" i="1" s="1"/>
  <c r="C402" i="1" s="1"/>
  <c r="C403" i="1" s="1"/>
  <c r="C388" i="1"/>
  <c r="C389" i="1" s="1"/>
  <c r="C390" i="1" s="1"/>
  <c r="C391" i="1" s="1"/>
  <c r="C392" i="1" s="1"/>
  <c r="C375" i="1"/>
  <c r="C376" i="1" s="1"/>
  <c r="C377" i="1" s="1"/>
  <c r="C378" i="1" s="1"/>
  <c r="C379" i="1" s="1"/>
  <c r="C368" i="1"/>
  <c r="C369" i="1" s="1"/>
  <c r="C370" i="1" s="1"/>
  <c r="C371" i="1" s="1"/>
  <c r="C372" i="1" s="1"/>
  <c r="C355" i="1"/>
  <c r="C356" i="1" s="1"/>
  <c r="C357" i="1" s="1"/>
  <c r="C358" i="1" s="1"/>
  <c r="C359" i="1" s="1"/>
  <c r="C270" i="1"/>
  <c r="C271" i="1" s="1"/>
  <c r="C272" i="1" s="1"/>
  <c r="C273" i="1" s="1"/>
  <c r="C274" i="1" s="1"/>
  <c r="C232" i="1"/>
  <c r="C233" i="1" s="1"/>
  <c r="C234" i="1" s="1"/>
  <c r="C235" i="1" s="1"/>
  <c r="C236" i="1" s="1"/>
  <c r="C217" i="1"/>
  <c r="C218" i="1" s="1"/>
  <c r="C219" i="1" s="1"/>
  <c r="C220" i="1" s="1"/>
  <c r="C221" i="1" s="1"/>
  <c r="C206" i="1"/>
  <c r="C207" i="1" s="1"/>
  <c r="C208" i="1" s="1"/>
  <c r="C209" i="1" s="1"/>
  <c r="C210" i="1" s="1"/>
  <c r="C199" i="1"/>
  <c r="C200" i="1" s="1"/>
  <c r="C201" i="1" s="1"/>
  <c r="C202" i="1" s="1"/>
  <c r="C203" i="1" s="1"/>
  <c r="C184" i="1"/>
  <c r="C185" i="1" s="1"/>
  <c r="C186" i="1" s="1"/>
  <c r="C187" i="1" s="1"/>
  <c r="C188" i="1" s="1"/>
  <c r="C171" i="1"/>
  <c r="C172" i="1" s="1"/>
  <c r="C173" i="1" s="1"/>
  <c r="C174" i="1" s="1"/>
  <c r="C175" i="1" s="1"/>
  <c r="C135" i="1"/>
  <c r="C136" i="1" s="1"/>
  <c r="C137" i="1" s="1"/>
  <c r="C138" i="1" s="1"/>
  <c r="C139" i="1" s="1"/>
  <c r="C124" i="1"/>
  <c r="C125" i="1" s="1"/>
  <c r="C126" i="1" s="1"/>
  <c r="C127" i="1" s="1"/>
  <c r="C128" i="1" s="1"/>
  <c r="C115" i="1"/>
  <c r="C116" i="1" s="1"/>
  <c r="C117" i="1" s="1"/>
  <c r="C118" i="1" s="1"/>
  <c r="C119" i="1" s="1"/>
  <c r="C100" i="1"/>
  <c r="C101" i="1" s="1"/>
  <c r="C102" i="1" s="1"/>
  <c r="C103" i="1" s="1"/>
  <c r="C104" i="1" s="1"/>
  <c r="C93" i="1"/>
  <c r="C94" i="1" s="1"/>
  <c r="C95" i="1" s="1"/>
  <c r="C96" i="1" s="1"/>
  <c r="C97" i="1" s="1"/>
  <c r="C86" i="1"/>
  <c r="C87" i="1" s="1"/>
  <c r="C88" i="1" s="1"/>
  <c r="C89" i="1" s="1"/>
  <c r="C90" i="1" s="1"/>
  <c r="C54" i="1"/>
  <c r="C55" i="1" s="1"/>
  <c r="C56" i="1" s="1"/>
  <c r="C57" i="1" s="1"/>
  <c r="C58" i="1" s="1"/>
  <c r="C47" i="1"/>
  <c r="C48" i="1" s="1"/>
  <c r="C49" i="1" s="1"/>
  <c r="C50" i="1" s="1"/>
  <c r="C51" i="1" s="1"/>
  <c r="I546" i="1"/>
  <c r="I545" i="1"/>
  <c r="H545" i="1"/>
  <c r="I544" i="1"/>
  <c r="H544" i="1"/>
  <c r="G544" i="1"/>
  <c r="I543" i="1"/>
  <c r="H543" i="1"/>
  <c r="G543" i="1"/>
  <c r="F543" i="1"/>
  <c r="F542" i="1" s="1"/>
  <c r="J542" i="1"/>
  <c r="E542" i="1"/>
  <c r="D542" i="1"/>
  <c r="I539" i="1"/>
  <c r="I538" i="1"/>
  <c r="H538" i="1"/>
  <c r="I537" i="1"/>
  <c r="I535" i="1" s="1"/>
  <c r="H537" i="1"/>
  <c r="G537" i="1"/>
  <c r="I536" i="1"/>
  <c r="H536" i="1"/>
  <c r="H535" i="1" s="1"/>
  <c r="G536" i="1"/>
  <c r="F536" i="1"/>
  <c r="F535" i="1" s="1"/>
  <c r="J535" i="1"/>
  <c r="G535" i="1"/>
  <c r="E535" i="1"/>
  <c r="D535" i="1"/>
  <c r="I532" i="1"/>
  <c r="I531" i="1"/>
  <c r="H531" i="1"/>
  <c r="I530" i="1"/>
  <c r="H530" i="1"/>
  <c r="G530" i="1"/>
  <c r="I529" i="1"/>
  <c r="H529" i="1"/>
  <c r="H528" i="1" s="1"/>
  <c r="G529" i="1"/>
  <c r="F529" i="1"/>
  <c r="F528" i="1" s="1"/>
  <c r="J528" i="1"/>
  <c r="E528" i="1"/>
  <c r="D528" i="1"/>
  <c r="I525" i="1"/>
  <c r="I524" i="1"/>
  <c r="H524" i="1"/>
  <c r="I523" i="1"/>
  <c r="H523" i="1"/>
  <c r="G523" i="1"/>
  <c r="I522" i="1"/>
  <c r="H522" i="1"/>
  <c r="G522" i="1"/>
  <c r="G521" i="1" s="1"/>
  <c r="F522" i="1"/>
  <c r="F521" i="1" s="1"/>
  <c r="J521" i="1"/>
  <c r="E521" i="1"/>
  <c r="D521" i="1"/>
  <c r="I493" i="1"/>
  <c r="I492" i="1"/>
  <c r="H492" i="1"/>
  <c r="I491" i="1"/>
  <c r="H491" i="1"/>
  <c r="G491" i="1"/>
  <c r="I490" i="1"/>
  <c r="I489" i="1" s="1"/>
  <c r="H490" i="1"/>
  <c r="G490" i="1"/>
  <c r="F490" i="1"/>
  <c r="F489" i="1" s="1"/>
  <c r="J489" i="1"/>
  <c r="E489" i="1"/>
  <c r="D489" i="1"/>
  <c r="I486" i="1"/>
  <c r="I485" i="1"/>
  <c r="H485" i="1"/>
  <c r="I484" i="1"/>
  <c r="H484" i="1"/>
  <c r="G484" i="1"/>
  <c r="I483" i="1"/>
  <c r="H483" i="1"/>
  <c r="H482" i="1" s="1"/>
  <c r="G483" i="1"/>
  <c r="G482" i="1" s="1"/>
  <c r="F483" i="1"/>
  <c r="F482" i="1" s="1"/>
  <c r="J482" i="1"/>
  <c r="E482" i="1"/>
  <c r="D482" i="1"/>
  <c r="I479" i="1"/>
  <c r="I478" i="1"/>
  <c r="H478" i="1"/>
  <c r="I477" i="1"/>
  <c r="H477" i="1"/>
  <c r="G477" i="1"/>
  <c r="I476" i="1"/>
  <c r="H476" i="1"/>
  <c r="H475" i="1" s="1"/>
  <c r="G476" i="1"/>
  <c r="F476" i="1"/>
  <c r="F475" i="1" s="1"/>
  <c r="J475" i="1"/>
  <c r="E475" i="1"/>
  <c r="D475" i="1"/>
  <c r="I472" i="1"/>
  <c r="I471" i="1"/>
  <c r="H471" i="1"/>
  <c r="I470" i="1"/>
  <c r="H470" i="1"/>
  <c r="G470" i="1"/>
  <c r="I469" i="1"/>
  <c r="H469" i="1"/>
  <c r="G469" i="1"/>
  <c r="F469" i="1"/>
  <c r="F468" i="1" s="1"/>
  <c r="J468" i="1"/>
  <c r="G468" i="1"/>
  <c r="E468" i="1"/>
  <c r="D468" i="1"/>
  <c r="I465" i="1"/>
  <c r="I464" i="1"/>
  <c r="H464" i="1"/>
  <c r="I463" i="1"/>
  <c r="I461" i="1" s="1"/>
  <c r="H463" i="1"/>
  <c r="G463" i="1"/>
  <c r="I462" i="1"/>
  <c r="H462" i="1"/>
  <c r="G462" i="1"/>
  <c r="F462" i="1"/>
  <c r="F461" i="1" s="1"/>
  <c r="J461" i="1"/>
  <c r="H461" i="1"/>
  <c r="E461" i="1"/>
  <c r="D461" i="1"/>
  <c r="I452" i="1"/>
  <c r="I451" i="1"/>
  <c r="H451" i="1"/>
  <c r="I450" i="1"/>
  <c r="H450" i="1"/>
  <c r="G450" i="1"/>
  <c r="I449" i="1"/>
  <c r="H449" i="1"/>
  <c r="H448" i="1" s="1"/>
  <c r="G449" i="1"/>
  <c r="F449" i="1"/>
  <c r="F448" i="1" s="1"/>
  <c r="J448" i="1"/>
  <c r="E448" i="1"/>
  <c r="D448" i="1"/>
  <c r="I414" i="1"/>
  <c r="I413" i="1"/>
  <c r="H413" i="1"/>
  <c r="I412" i="1"/>
  <c r="H412" i="1"/>
  <c r="G412" i="1"/>
  <c r="I411" i="1"/>
  <c r="I410" i="1" s="1"/>
  <c r="H411" i="1"/>
  <c r="H410" i="1" s="1"/>
  <c r="G411" i="1"/>
  <c r="G410" i="1" s="1"/>
  <c r="F411" i="1"/>
  <c r="F410" i="1" s="1"/>
  <c r="J410" i="1"/>
  <c r="E410" i="1"/>
  <c r="D410" i="1"/>
  <c r="I403" i="1"/>
  <c r="I402" i="1"/>
  <c r="H402" i="1"/>
  <c r="I401" i="1"/>
  <c r="H401" i="1"/>
  <c r="G401" i="1"/>
  <c r="I400" i="1"/>
  <c r="H400" i="1"/>
  <c r="G400" i="1"/>
  <c r="G399" i="1" s="1"/>
  <c r="F400" i="1"/>
  <c r="F399" i="1" s="1"/>
  <c r="J399" i="1"/>
  <c r="E399" i="1"/>
  <c r="D399" i="1"/>
  <c r="I392" i="1"/>
  <c r="I391" i="1"/>
  <c r="H391" i="1"/>
  <c r="I390" i="1"/>
  <c r="H390" i="1"/>
  <c r="G390" i="1"/>
  <c r="I389" i="1"/>
  <c r="H389" i="1"/>
  <c r="G389" i="1"/>
  <c r="F389" i="1"/>
  <c r="F388" i="1" s="1"/>
  <c r="J388" i="1"/>
  <c r="E388" i="1"/>
  <c r="D388" i="1"/>
  <c r="I379" i="1"/>
  <c r="I378" i="1"/>
  <c r="H378" i="1"/>
  <c r="I377" i="1"/>
  <c r="H377" i="1"/>
  <c r="G377" i="1"/>
  <c r="I376" i="1"/>
  <c r="I375" i="1" s="1"/>
  <c r="H376" i="1"/>
  <c r="H375" i="1" s="1"/>
  <c r="G376" i="1"/>
  <c r="F376" i="1"/>
  <c r="F375" i="1" s="1"/>
  <c r="J375" i="1"/>
  <c r="G375" i="1"/>
  <c r="E375" i="1"/>
  <c r="D375" i="1"/>
  <c r="I372" i="1"/>
  <c r="I371" i="1"/>
  <c r="H371" i="1"/>
  <c r="I370" i="1"/>
  <c r="H370" i="1"/>
  <c r="G370" i="1"/>
  <c r="I369" i="1"/>
  <c r="H369" i="1"/>
  <c r="G369" i="1"/>
  <c r="G368" i="1" s="1"/>
  <c r="F369" i="1"/>
  <c r="F368" i="1" s="1"/>
  <c r="J368" i="1"/>
  <c r="H368" i="1"/>
  <c r="E368" i="1"/>
  <c r="D368" i="1"/>
  <c r="I359" i="1"/>
  <c r="I358" i="1"/>
  <c r="H358" i="1"/>
  <c r="I357" i="1"/>
  <c r="H357" i="1"/>
  <c r="G357" i="1"/>
  <c r="I356" i="1"/>
  <c r="H356" i="1"/>
  <c r="G356" i="1"/>
  <c r="F356" i="1"/>
  <c r="F355" i="1" s="1"/>
  <c r="J355" i="1"/>
  <c r="G355" i="1"/>
  <c r="E355" i="1"/>
  <c r="D355" i="1"/>
  <c r="I274" i="1"/>
  <c r="I273" i="1"/>
  <c r="H273" i="1"/>
  <c r="I272" i="1"/>
  <c r="H272" i="1"/>
  <c r="G272" i="1"/>
  <c r="I271" i="1"/>
  <c r="H271" i="1"/>
  <c r="G271" i="1"/>
  <c r="G270" i="1" s="1"/>
  <c r="F271" i="1"/>
  <c r="F270" i="1" s="1"/>
  <c r="J270" i="1"/>
  <c r="E270" i="1"/>
  <c r="D270" i="1"/>
  <c r="I236" i="1"/>
  <c r="I235" i="1"/>
  <c r="H235" i="1"/>
  <c r="I234" i="1"/>
  <c r="H234" i="1"/>
  <c r="G234" i="1"/>
  <c r="I233" i="1"/>
  <c r="H233" i="1"/>
  <c r="G233" i="1"/>
  <c r="F233" i="1"/>
  <c r="F232" i="1" s="1"/>
  <c r="J232" i="1"/>
  <c r="G232" i="1"/>
  <c r="E232" i="1"/>
  <c r="D232" i="1"/>
  <c r="I221" i="1"/>
  <c r="I220" i="1"/>
  <c r="H220" i="1"/>
  <c r="I219" i="1"/>
  <c r="H219" i="1"/>
  <c r="G219" i="1"/>
  <c r="I218" i="1"/>
  <c r="H218" i="1"/>
  <c r="H217" i="1" s="1"/>
  <c r="G218" i="1"/>
  <c r="F218" i="1"/>
  <c r="F217" i="1" s="1"/>
  <c r="J217" i="1"/>
  <c r="E217" i="1"/>
  <c r="D217" i="1"/>
  <c r="I210" i="1"/>
  <c r="I209" i="1"/>
  <c r="H209" i="1"/>
  <c r="I208" i="1"/>
  <c r="H208" i="1"/>
  <c r="G208" i="1"/>
  <c r="I207" i="1"/>
  <c r="I206" i="1" s="1"/>
  <c r="H207" i="1"/>
  <c r="H206" i="1" s="1"/>
  <c r="G207" i="1"/>
  <c r="F207" i="1"/>
  <c r="F206" i="1" s="1"/>
  <c r="J206" i="1"/>
  <c r="G206" i="1"/>
  <c r="E206" i="1"/>
  <c r="D206" i="1"/>
  <c r="I203" i="1"/>
  <c r="I202" i="1"/>
  <c r="H202" i="1"/>
  <c r="I201" i="1"/>
  <c r="H201" i="1"/>
  <c r="G201" i="1"/>
  <c r="I200" i="1"/>
  <c r="H200" i="1"/>
  <c r="G200" i="1"/>
  <c r="G199" i="1" s="1"/>
  <c r="F200" i="1"/>
  <c r="F199" i="1" s="1"/>
  <c r="J199" i="1"/>
  <c r="E199" i="1"/>
  <c r="D199" i="1"/>
  <c r="I188" i="1"/>
  <c r="I187" i="1"/>
  <c r="H187" i="1"/>
  <c r="I186" i="1"/>
  <c r="H186" i="1"/>
  <c r="G186" i="1"/>
  <c r="I185" i="1"/>
  <c r="H185" i="1"/>
  <c r="G185" i="1"/>
  <c r="F185" i="1"/>
  <c r="F184" i="1" s="1"/>
  <c r="J184" i="1"/>
  <c r="G184" i="1"/>
  <c r="E184" i="1"/>
  <c r="D184" i="1"/>
  <c r="I175" i="1"/>
  <c r="I174" i="1"/>
  <c r="H174" i="1"/>
  <c r="I173" i="1"/>
  <c r="H173" i="1"/>
  <c r="G173" i="1"/>
  <c r="I172" i="1"/>
  <c r="I171" i="1" s="1"/>
  <c r="H172" i="1"/>
  <c r="H171" i="1" s="1"/>
  <c r="G172" i="1"/>
  <c r="F172" i="1"/>
  <c r="F171" i="1" s="1"/>
  <c r="J171" i="1"/>
  <c r="E171" i="1"/>
  <c r="D171" i="1"/>
  <c r="I139" i="1"/>
  <c r="I138" i="1"/>
  <c r="H138" i="1"/>
  <c r="I137" i="1"/>
  <c r="H137" i="1"/>
  <c r="G137" i="1"/>
  <c r="I136" i="1"/>
  <c r="H136" i="1"/>
  <c r="H135" i="1" s="1"/>
  <c r="G136" i="1"/>
  <c r="G135" i="1" s="1"/>
  <c r="F136" i="1"/>
  <c r="F135" i="1" s="1"/>
  <c r="J135" i="1"/>
  <c r="E135" i="1"/>
  <c r="D135" i="1"/>
  <c r="I128" i="1"/>
  <c r="I127" i="1"/>
  <c r="H127" i="1"/>
  <c r="I126" i="1"/>
  <c r="H126" i="1"/>
  <c r="G126" i="1"/>
  <c r="I125" i="1"/>
  <c r="H125" i="1"/>
  <c r="G125" i="1"/>
  <c r="F125" i="1"/>
  <c r="F124" i="1" s="1"/>
  <c r="J124" i="1"/>
  <c r="E124" i="1"/>
  <c r="D124" i="1"/>
  <c r="I119" i="1"/>
  <c r="I118" i="1"/>
  <c r="H118" i="1"/>
  <c r="I117" i="1"/>
  <c r="H117" i="1"/>
  <c r="G117" i="1"/>
  <c r="I116" i="1"/>
  <c r="H116" i="1"/>
  <c r="G116" i="1"/>
  <c r="F116" i="1"/>
  <c r="F115" i="1" s="1"/>
  <c r="J115" i="1"/>
  <c r="E115" i="1"/>
  <c r="D115" i="1"/>
  <c r="I104" i="1"/>
  <c r="I103" i="1"/>
  <c r="H103" i="1"/>
  <c r="I102" i="1"/>
  <c r="H102" i="1"/>
  <c r="G102" i="1"/>
  <c r="I101" i="1"/>
  <c r="H101" i="1"/>
  <c r="H100" i="1" s="1"/>
  <c r="G101" i="1"/>
  <c r="G100" i="1" s="1"/>
  <c r="F101" i="1"/>
  <c r="F100" i="1" s="1"/>
  <c r="J100" i="1"/>
  <c r="E100" i="1"/>
  <c r="D100" i="1"/>
  <c r="I97" i="1"/>
  <c r="I96" i="1"/>
  <c r="H96" i="1"/>
  <c r="I95" i="1"/>
  <c r="H95" i="1"/>
  <c r="G95" i="1"/>
  <c r="G93" i="1" s="1"/>
  <c r="I94" i="1"/>
  <c r="H94" i="1"/>
  <c r="G94" i="1"/>
  <c r="F94" i="1"/>
  <c r="F93" i="1" s="1"/>
  <c r="J93" i="1"/>
  <c r="E93" i="1"/>
  <c r="D93" i="1"/>
  <c r="I90" i="1"/>
  <c r="I89" i="1"/>
  <c r="H89" i="1"/>
  <c r="I88" i="1"/>
  <c r="H88" i="1"/>
  <c r="G88" i="1"/>
  <c r="G86" i="1" s="1"/>
  <c r="I87" i="1"/>
  <c r="H87" i="1"/>
  <c r="G87" i="1"/>
  <c r="F87" i="1"/>
  <c r="F86" i="1" s="1"/>
  <c r="J86" i="1"/>
  <c r="E86" i="1"/>
  <c r="D86" i="1"/>
  <c r="I58" i="1"/>
  <c r="I57" i="1"/>
  <c r="H57" i="1"/>
  <c r="I56" i="1"/>
  <c r="H56" i="1"/>
  <c r="G56" i="1"/>
  <c r="I55" i="1"/>
  <c r="H55" i="1"/>
  <c r="G55" i="1"/>
  <c r="G54" i="1" s="1"/>
  <c r="F55" i="1"/>
  <c r="F54" i="1" s="1"/>
  <c r="J54" i="1"/>
  <c r="E54" i="1"/>
  <c r="D54" i="1"/>
  <c r="I51" i="1"/>
  <c r="I50" i="1"/>
  <c r="H50" i="1"/>
  <c r="I49" i="1"/>
  <c r="I47" i="1" s="1"/>
  <c r="H49" i="1"/>
  <c r="G49" i="1"/>
  <c r="I48" i="1"/>
  <c r="H48" i="1"/>
  <c r="G48" i="1"/>
  <c r="F48" i="1"/>
  <c r="F47" i="1" s="1"/>
  <c r="J47" i="1"/>
  <c r="G47" i="1"/>
  <c r="E47" i="1"/>
  <c r="D47" i="1"/>
  <c r="B546" i="1" a="1"/>
  <c r="B538" i="1" a="1"/>
  <c r="B525" i="1" a="1"/>
  <c r="B483" i="1" a="1"/>
  <c r="B478" i="1" a="1"/>
  <c r="B461" i="1" a="1"/>
  <c r="B451" i="1" a="1"/>
  <c r="B403" i="1" a="1"/>
  <c r="B376" i="1" a="1"/>
  <c r="B370" i="1" a="1"/>
  <c r="B234" i="1" a="1"/>
  <c r="B210" i="1" a="1"/>
  <c r="B202" i="1" a="1"/>
  <c r="B175" i="1" a="1"/>
  <c r="B125" i="1" a="1"/>
  <c r="B117" i="1" a="1"/>
  <c r="B93" i="1" a="1"/>
  <c r="B89" i="1" a="1"/>
  <c r="B51" i="1" a="1"/>
  <c r="B542" i="1" a="1"/>
  <c r="B532" i="1" a="1"/>
  <c r="B486" i="1" a="1"/>
  <c r="B476" i="1" a="1"/>
  <c r="B411" i="1" a="1"/>
  <c r="B379" i="1" a="1"/>
  <c r="B235" i="1" a="1"/>
  <c r="B185" i="1" a="1"/>
  <c r="B128" i="1" a="1"/>
  <c r="B95" i="1" a="1"/>
  <c r="B49" i="1" a="1"/>
  <c r="B136" i="1" a="1"/>
  <c r="B475" i="1" a="1"/>
  <c r="B137" i="1" a="1"/>
  <c r="B477" i="1" a="1"/>
  <c r="B171" i="1" a="1"/>
  <c r="B523" i="1" a="1"/>
  <c r="B465" i="1" a="1"/>
  <c r="B401" i="1" a="1"/>
  <c r="B371" i="1" a="1"/>
  <c r="B206" i="1" a="1"/>
  <c r="B173" i="1" a="1"/>
  <c r="B118" i="1" a="1"/>
  <c r="B55" i="1" a="1"/>
  <c r="B101" i="1" a="1"/>
  <c r="B535" i="1" a="1"/>
  <c r="B391" i="1" a="1"/>
  <c r="B115" i="1" a="1"/>
  <c r="B521" i="1" a="1"/>
  <c r="B450" i="1" a="1"/>
  <c r="B97" i="1" a="1"/>
  <c r="B544" i="1" a="1"/>
  <c r="B529" i="1" a="1"/>
  <c r="B524" i="1" a="1"/>
  <c r="B482" i="1" a="1"/>
  <c r="B469" i="1" a="1"/>
  <c r="B463" i="1" a="1"/>
  <c r="B414" i="1" a="1"/>
  <c r="B402" i="1" a="1"/>
  <c r="B375" i="1" a="1"/>
  <c r="B356" i="1" a="1"/>
  <c r="B218" i="1" a="1"/>
  <c r="B208" i="1" a="1"/>
  <c r="B188" i="1" a="1"/>
  <c r="B174" i="1" a="1"/>
  <c r="B124" i="1" a="1"/>
  <c r="B100" i="1" a="1"/>
  <c r="B94" i="1" a="1"/>
  <c r="B54" i="1" a="1"/>
  <c r="B50" i="1" a="1"/>
  <c r="B545" i="1" a="1"/>
  <c r="B528" i="1" a="1"/>
  <c r="B493" i="1" a="1"/>
  <c r="B484" i="1" a="1"/>
  <c r="B468" i="1" a="1"/>
  <c r="B464" i="1" a="1"/>
  <c r="B392" i="1" a="1"/>
  <c r="B377" i="1" a="1"/>
  <c r="B355" i="1" a="1"/>
  <c r="B217" i="1" a="1"/>
  <c r="B184" i="1" a="1"/>
  <c r="B126" i="1" a="1"/>
  <c r="B58" i="1" a="1"/>
  <c r="B492" i="1" a="1"/>
  <c r="B368" i="1" a="1"/>
  <c r="B172" i="1" a="1"/>
  <c r="B389" i="1" a="1"/>
  <c r="B138" i="1" a="1"/>
  <c r="B410" i="1" a="1"/>
  <c r="B209" i="1" a="1"/>
  <c r="B96" i="1" a="1"/>
  <c r="B471" i="1" a="1"/>
  <c r="B236" i="1" a="1"/>
  <c r="B88" i="1" a="1"/>
  <c r="B232" i="1" a="1"/>
  <c r="B536" i="1" a="1"/>
  <c r="B530" i="1" a="1"/>
  <c r="B489" i="1" a="1"/>
  <c r="B485" i="1" a="1"/>
  <c r="B472" i="1" a="1"/>
  <c r="B449" i="1" a="1"/>
  <c r="B412" i="1" a="1"/>
  <c r="B388" i="1" a="1"/>
  <c r="B378" i="1" a="1"/>
  <c r="B359" i="1" a="1"/>
  <c r="B221" i="1" a="1"/>
  <c r="B200" i="1" a="1"/>
  <c r="B186" i="1" a="1"/>
  <c r="B135" i="1" a="1"/>
  <c r="B127" i="1" a="1"/>
  <c r="B104" i="1" a="1"/>
  <c r="B90" i="1" a="1"/>
  <c r="B56" i="1" a="1"/>
  <c r="B522" i="1" a="1"/>
  <c r="B400" i="1" a="1"/>
  <c r="B220" i="1" a="1"/>
  <c r="B103" i="1" a="1"/>
  <c r="B543" i="1" a="1"/>
  <c r="B462" i="1" a="1"/>
  <c r="B201" i="1" a="1"/>
  <c r="B87" i="1" a="1"/>
  <c r="B539" i="1" a="1"/>
  <c r="B531" i="1" a="1"/>
  <c r="B491" i="1" a="1"/>
  <c r="B479" i="1" a="1"/>
  <c r="B470" i="1" a="1"/>
  <c r="B452" i="1" a="1"/>
  <c r="B413" i="1" a="1"/>
  <c r="B390" i="1" a="1"/>
  <c r="B369" i="1" a="1"/>
  <c r="B357" i="1" a="1"/>
  <c r="B233" i="1" a="1"/>
  <c r="B219" i="1" a="1"/>
  <c r="B199" i="1" a="1"/>
  <c r="B187" i="1" a="1"/>
  <c r="B139" i="1" a="1"/>
  <c r="B116" i="1" a="1"/>
  <c r="B102" i="1" a="1"/>
  <c r="B86" i="1" a="1"/>
  <c r="B57" i="1" a="1"/>
  <c r="B448" i="1" a="1"/>
  <c r="B358" i="1" a="1"/>
  <c r="B203" i="1" a="1"/>
  <c r="B48" i="1" a="1"/>
  <c r="B399" i="1" a="1"/>
  <c r="B207" i="1" a="1"/>
  <c r="B490" i="1" a="1"/>
  <c r="B47" i="1" a="1"/>
  <c r="B537" i="1" a="1"/>
  <c r="B372" i="1" a="1"/>
  <c r="B119" i="1" a="1"/>
  <c r="B36" i="1" a="1"/>
  <c r="B319" i="1" a="1"/>
  <c r="B312" i="1" a="1"/>
  <c r="B303" i="1" a="1"/>
  <c r="B292" i="1" a="1"/>
  <c r="B281" i="1" a="1"/>
  <c r="B270" i="1" a="1"/>
  <c r="B36" i="1" l="1"/>
  <c r="B37" i="1" s="1"/>
  <c r="B38" i="1" s="1"/>
  <c r="B39" i="1" s="1"/>
  <c r="B40" i="1" s="1"/>
  <c r="B319" i="1"/>
  <c r="B320" i="1" s="1"/>
  <c r="B321" i="1" s="1"/>
  <c r="B322" i="1" s="1"/>
  <c r="B323" i="1" s="1"/>
  <c r="B312" i="1"/>
  <c r="B313" i="1" s="1"/>
  <c r="B314" i="1" s="1"/>
  <c r="B315" i="1" s="1"/>
  <c r="B316" i="1" s="1"/>
  <c r="B303" i="1"/>
  <c r="B304" i="1" s="1"/>
  <c r="B305" i="1" s="1"/>
  <c r="B306" i="1" s="1"/>
  <c r="B307" i="1" s="1"/>
  <c r="B292" i="1"/>
  <c r="B293" i="1" s="1"/>
  <c r="B294" i="1" s="1"/>
  <c r="B295" i="1" s="1"/>
  <c r="B296" i="1" s="1"/>
  <c r="B281" i="1"/>
  <c r="B282" i="1" s="1"/>
  <c r="B283" i="1" s="1"/>
  <c r="B284" i="1" s="1"/>
  <c r="B285" i="1" s="1"/>
  <c r="B270" i="1"/>
  <c r="I475" i="1"/>
  <c r="I521" i="1"/>
  <c r="H542" i="1"/>
  <c r="I54" i="1"/>
  <c r="I86" i="1"/>
  <c r="I100" i="1"/>
  <c r="I115" i="1"/>
  <c r="G124" i="1"/>
  <c r="I135" i="1"/>
  <c r="I217" i="1"/>
  <c r="H270" i="1"/>
  <c r="H399" i="1"/>
  <c r="H468" i="1"/>
  <c r="G475" i="1"/>
  <c r="I528" i="1"/>
  <c r="I542" i="1"/>
  <c r="H124" i="1"/>
  <c r="G461" i="1"/>
  <c r="I468" i="1"/>
  <c r="H489" i="1"/>
  <c r="H521" i="1"/>
  <c r="G542" i="1"/>
  <c r="H232" i="1"/>
  <c r="H355" i="1"/>
  <c r="H47" i="1"/>
  <c r="I93" i="1"/>
  <c r="G115" i="1"/>
  <c r="H184" i="1"/>
  <c r="H199" i="1"/>
  <c r="G217" i="1"/>
  <c r="I232" i="1"/>
  <c r="I355" i="1"/>
  <c r="H388" i="1"/>
  <c r="G448" i="1"/>
  <c r="G489" i="1"/>
  <c r="G528" i="1"/>
  <c r="H54" i="1"/>
  <c r="H93" i="1"/>
  <c r="H115" i="1"/>
  <c r="G171" i="1"/>
  <c r="I184" i="1"/>
  <c r="I199" i="1"/>
  <c r="I270" i="1"/>
  <c r="I368" i="1"/>
  <c r="I388" i="1"/>
  <c r="I399" i="1"/>
  <c r="H86" i="1"/>
  <c r="I124" i="1"/>
  <c r="G388" i="1"/>
  <c r="I448" i="1"/>
  <c r="I482" i="1"/>
  <c r="B545" i="1"/>
  <c r="B544" i="1"/>
  <c r="B542" i="1"/>
  <c r="B546" i="1"/>
  <c r="B543" i="1"/>
  <c r="B538" i="1"/>
  <c r="B537" i="1"/>
  <c r="B535" i="1"/>
  <c r="B539" i="1"/>
  <c r="B536" i="1"/>
  <c r="B531" i="1"/>
  <c r="B530" i="1"/>
  <c r="B528" i="1"/>
  <c r="B529" i="1"/>
  <c r="B532" i="1"/>
  <c r="B524" i="1"/>
  <c r="B523" i="1"/>
  <c r="B525" i="1"/>
  <c r="B521" i="1"/>
  <c r="B522" i="1"/>
  <c r="B490" i="1"/>
  <c r="B492" i="1"/>
  <c r="B491" i="1"/>
  <c r="B489" i="1"/>
  <c r="B493" i="1"/>
  <c r="B485" i="1"/>
  <c r="B484" i="1"/>
  <c r="B482" i="1"/>
  <c r="B486" i="1"/>
  <c r="B483" i="1"/>
  <c r="B476" i="1"/>
  <c r="B478" i="1"/>
  <c r="B477" i="1"/>
  <c r="B475" i="1"/>
  <c r="B479" i="1"/>
  <c r="B471" i="1"/>
  <c r="B470" i="1"/>
  <c r="B472" i="1"/>
  <c r="B468" i="1"/>
  <c r="B469" i="1"/>
  <c r="B464" i="1"/>
  <c r="B463" i="1"/>
  <c r="B465" i="1"/>
  <c r="B461" i="1"/>
  <c r="B462" i="1"/>
  <c r="B451" i="1"/>
  <c r="B450" i="1"/>
  <c r="B448" i="1"/>
  <c r="B452" i="1"/>
  <c r="B449" i="1"/>
  <c r="B413" i="1"/>
  <c r="B412" i="1"/>
  <c r="B410" i="1"/>
  <c r="B414" i="1"/>
  <c r="B411" i="1"/>
  <c r="B402" i="1"/>
  <c r="B401" i="1"/>
  <c r="B403" i="1"/>
  <c r="B399" i="1"/>
  <c r="B400" i="1"/>
  <c r="B389" i="1"/>
  <c r="B391" i="1"/>
  <c r="B390" i="1"/>
  <c r="B388" i="1"/>
  <c r="B392" i="1"/>
  <c r="B378" i="1"/>
  <c r="B377" i="1"/>
  <c r="B375" i="1"/>
  <c r="B379" i="1"/>
  <c r="B376" i="1"/>
  <c r="B371" i="1"/>
  <c r="B370" i="1"/>
  <c r="B372" i="1"/>
  <c r="B368" i="1"/>
  <c r="B369" i="1"/>
  <c r="B358" i="1"/>
  <c r="B357" i="1"/>
  <c r="B359" i="1"/>
  <c r="B355" i="1"/>
  <c r="B356" i="1"/>
  <c r="B235" i="1"/>
  <c r="B234" i="1"/>
  <c r="B232" i="1"/>
  <c r="B236" i="1"/>
  <c r="B233" i="1"/>
  <c r="B220" i="1"/>
  <c r="B219" i="1"/>
  <c r="B221" i="1"/>
  <c r="B217" i="1"/>
  <c r="B218" i="1"/>
  <c r="B209" i="1"/>
  <c r="B208" i="1"/>
  <c r="B206" i="1"/>
  <c r="B210" i="1"/>
  <c r="B207" i="1"/>
  <c r="B202" i="1"/>
  <c r="B201" i="1"/>
  <c r="B203" i="1"/>
  <c r="B199" i="1"/>
  <c r="B200" i="1"/>
  <c r="B187" i="1"/>
  <c r="B186" i="1"/>
  <c r="B184" i="1"/>
  <c r="B188" i="1"/>
  <c r="B185" i="1"/>
  <c r="B174" i="1"/>
  <c r="B173" i="1"/>
  <c r="B175" i="1"/>
  <c r="B171" i="1"/>
  <c r="B172" i="1"/>
  <c r="B138" i="1"/>
  <c r="B137" i="1"/>
  <c r="B139" i="1"/>
  <c r="B135" i="1"/>
  <c r="B136" i="1"/>
  <c r="B127" i="1"/>
  <c r="B126" i="1"/>
  <c r="B124" i="1"/>
  <c r="B128" i="1"/>
  <c r="B125" i="1"/>
  <c r="B118" i="1"/>
  <c r="B117" i="1"/>
  <c r="B119" i="1"/>
  <c r="B115" i="1"/>
  <c r="B116" i="1"/>
  <c r="B103" i="1"/>
  <c r="B102" i="1"/>
  <c r="B104" i="1"/>
  <c r="B101" i="1"/>
  <c r="B100" i="1"/>
  <c r="B96" i="1"/>
  <c r="B94" i="1"/>
  <c r="B95" i="1"/>
  <c r="B93" i="1"/>
  <c r="B97" i="1"/>
  <c r="B89" i="1"/>
  <c r="B87" i="1"/>
  <c r="B88" i="1"/>
  <c r="B86" i="1"/>
  <c r="B90" i="1"/>
  <c r="B57" i="1"/>
  <c r="B56" i="1"/>
  <c r="B58" i="1"/>
  <c r="B54" i="1"/>
  <c r="B55" i="1"/>
  <c r="B50" i="1"/>
  <c r="B49" i="1"/>
  <c r="B51" i="1"/>
  <c r="B47" i="1"/>
  <c r="B48" i="1"/>
  <c r="A1" i="2" a="1"/>
  <c r="B34" i="2" l="1"/>
  <c r="B11" i="2"/>
  <c r="B19" i="2"/>
  <c r="B27" i="2"/>
  <c r="B35" i="2"/>
  <c r="B4" i="2"/>
  <c r="B12" i="2"/>
  <c r="B20" i="2"/>
  <c r="B28" i="2"/>
  <c r="B36" i="2"/>
  <c r="B5" i="2"/>
  <c r="B13" i="2"/>
  <c r="B21" i="2"/>
  <c r="B29" i="2"/>
  <c r="B37" i="2"/>
  <c r="B16" i="2"/>
  <c r="B6" i="2"/>
  <c r="B14" i="2"/>
  <c r="B22" i="2"/>
  <c r="B30" i="2"/>
  <c r="B38" i="2"/>
  <c r="B32" i="2"/>
  <c r="B7" i="2"/>
  <c r="B15" i="2"/>
  <c r="B23" i="2"/>
  <c r="B31" i="2"/>
  <c r="B3" i="2"/>
  <c r="B8" i="2"/>
  <c r="B24" i="2"/>
  <c r="B2" i="2"/>
  <c r="B9" i="2"/>
  <c r="B17" i="2"/>
  <c r="B25" i="2"/>
  <c r="B33" i="2"/>
  <c r="B10" i="2"/>
  <c r="B18" i="2"/>
  <c r="B26" i="2"/>
  <c r="C31" i="2"/>
  <c r="C32" i="2"/>
  <c r="C33" i="2"/>
  <c r="C34" i="2"/>
  <c r="C35" i="2"/>
  <c r="C36" i="2"/>
  <c r="C37" i="2"/>
  <c r="C38" i="2"/>
  <c r="D31" i="2"/>
  <c r="D32" i="2"/>
  <c r="D33" i="2"/>
  <c r="D34" i="2"/>
  <c r="D35" i="2"/>
  <c r="D36" i="2"/>
  <c r="D37" i="2"/>
  <c r="D38" i="2"/>
  <c r="E31" i="2"/>
  <c r="E32" i="2"/>
  <c r="E33" i="2"/>
  <c r="E34" i="2"/>
  <c r="E35" i="2"/>
  <c r="E36" i="2"/>
  <c r="E37" i="2"/>
  <c r="E38" i="2"/>
  <c r="F31" i="2"/>
  <c r="F32" i="2"/>
  <c r="F33" i="2"/>
  <c r="F34" i="2"/>
  <c r="F35" i="2"/>
  <c r="F36" i="2"/>
  <c r="F37" i="2"/>
  <c r="F38" i="2"/>
  <c r="G31" i="2"/>
  <c r="G32" i="2"/>
  <c r="G33" i="2"/>
  <c r="G34" i="2"/>
  <c r="G35" i="2"/>
  <c r="G36" i="2"/>
  <c r="G37" i="2"/>
  <c r="G38" i="2"/>
  <c r="H31" i="2"/>
  <c r="H32" i="2"/>
  <c r="H33" i="2"/>
  <c r="H34" i="2"/>
  <c r="H35" i="2"/>
  <c r="H36" i="2"/>
  <c r="H37" i="2"/>
  <c r="H38" i="2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A1" i="2"/>
  <c r="I9" i="2"/>
  <c r="D26" i="2"/>
  <c r="G7" i="2"/>
  <c r="I15" i="2"/>
  <c r="D25" i="2"/>
  <c r="G6" i="2"/>
  <c r="I14" i="2"/>
  <c r="G29" i="2"/>
  <c r="C4" i="2"/>
  <c r="G12" i="2"/>
  <c r="I20" i="2"/>
  <c r="D30" i="2"/>
  <c r="F3" i="2"/>
  <c r="G11" i="2"/>
  <c r="I19" i="2"/>
  <c r="F17" i="2"/>
  <c r="I13" i="2"/>
  <c r="D21" i="2"/>
  <c r="F30" i="2"/>
  <c r="I10" i="2"/>
  <c r="D12" i="2"/>
  <c r="F21" i="2"/>
  <c r="H29" i="2"/>
  <c r="E2" i="2"/>
  <c r="D11" i="2"/>
  <c r="F20" i="2"/>
  <c r="H28" i="2"/>
  <c r="D2" i="2"/>
  <c r="D18" i="2"/>
  <c r="F27" i="2"/>
  <c r="I7" i="2"/>
  <c r="D17" i="2"/>
  <c r="F26" i="2"/>
  <c r="I6" i="2"/>
  <c r="D23" i="2"/>
  <c r="G4" i="2"/>
  <c r="I12" i="2"/>
  <c r="G13" i="2"/>
  <c r="D22" i="2"/>
  <c r="H3" i="2"/>
  <c r="I11" i="2"/>
  <c r="F9" i="2"/>
  <c r="I5" i="2"/>
  <c r="D13" i="2"/>
  <c r="F22" i="2"/>
  <c r="H30" i="2"/>
  <c r="D4" i="2"/>
  <c r="F13" i="2"/>
  <c r="H21" i="2"/>
  <c r="D3" i="2"/>
  <c r="F12" i="2"/>
  <c r="H20" i="2"/>
  <c r="H12" i="2"/>
  <c r="C3" i="2"/>
  <c r="H19" i="2"/>
  <c r="H18" i="2"/>
  <c r="F16" i="2"/>
  <c r="E20" i="2"/>
  <c r="F15" i="2"/>
  <c r="E12" i="2"/>
  <c r="H14" i="2"/>
  <c r="C25" i="2"/>
  <c r="H5" i="2"/>
  <c r="C24" i="2"/>
  <c r="H4" i="2"/>
  <c r="E4" i="2"/>
  <c r="H25" i="2"/>
  <c r="I18" i="2"/>
  <c r="D10" i="2"/>
  <c r="F19" i="2"/>
  <c r="H27" i="2"/>
  <c r="D9" i="2"/>
  <c r="F18" i="2"/>
  <c r="H26" i="2"/>
  <c r="I29" i="2"/>
  <c r="D15" i="2"/>
  <c r="F24" i="2"/>
  <c r="I4" i="2"/>
  <c r="H9" i="2"/>
  <c r="D14" i="2"/>
  <c r="F23" i="2"/>
  <c r="G21" i="2"/>
  <c r="D5" i="2"/>
  <c r="F14" i="2"/>
  <c r="H22" i="2"/>
  <c r="E24" i="2"/>
  <c r="F5" i="2"/>
  <c r="H13" i="2"/>
  <c r="E23" i="2"/>
  <c r="F4" i="2"/>
  <c r="E30" i="2"/>
  <c r="F11" i="2"/>
  <c r="E29" i="2"/>
  <c r="F10" i="2"/>
  <c r="E28" i="2"/>
  <c r="D7" i="2"/>
  <c r="H24" i="2"/>
  <c r="D6" i="2"/>
  <c r="H23" i="2"/>
  <c r="G5" i="2"/>
  <c r="F6" i="2"/>
  <c r="E16" i="2"/>
  <c r="E15" i="2"/>
  <c r="E22" i="2"/>
  <c r="H11" i="2"/>
  <c r="C30" i="2"/>
  <c r="H10" i="2"/>
  <c r="E27" i="2"/>
  <c r="F8" i="2"/>
  <c r="E26" i="2"/>
  <c r="F7" i="2"/>
  <c r="D24" i="2"/>
  <c r="E17" i="2"/>
  <c r="H6" i="2"/>
  <c r="C17" i="2"/>
  <c r="E7" i="2"/>
  <c r="G24" i="2"/>
  <c r="I28" i="2"/>
  <c r="C11" i="2"/>
  <c r="C5" i="2"/>
  <c r="G10" i="2"/>
  <c r="I8" i="2"/>
  <c r="E25" i="2"/>
  <c r="E21" i="2"/>
  <c r="H15" i="2"/>
  <c r="C26" i="2"/>
  <c r="G25" i="2"/>
  <c r="C16" i="2"/>
  <c r="G3" i="2"/>
  <c r="H16" i="2"/>
  <c r="E8" i="2"/>
  <c r="C7" i="2"/>
  <c r="I23" i="2"/>
  <c r="C6" i="2"/>
  <c r="I22" i="2"/>
  <c r="E3" i="2"/>
  <c r="G20" i="2"/>
  <c r="I27" i="2"/>
  <c r="I21" i="2"/>
  <c r="D20" i="2"/>
  <c r="D19" i="2"/>
  <c r="F28" i="2"/>
  <c r="E14" i="2"/>
  <c r="C23" i="2"/>
  <c r="I3" i="2"/>
  <c r="E13" i="2"/>
  <c r="C22" i="2"/>
  <c r="G30" i="2"/>
  <c r="D16" i="2"/>
  <c r="E19" i="2"/>
  <c r="C28" i="2"/>
  <c r="H8" i="2"/>
  <c r="D8" i="2"/>
  <c r="E18" i="2"/>
  <c r="C27" i="2"/>
  <c r="H7" i="2"/>
  <c r="H17" i="2"/>
  <c r="E9" i="2"/>
  <c r="C18" i="2"/>
  <c r="G26" i="2"/>
  <c r="C9" i="2"/>
  <c r="G17" i="2"/>
  <c r="I25" i="2"/>
  <c r="C8" i="2"/>
  <c r="G16" i="2"/>
  <c r="I24" i="2"/>
  <c r="G28" i="2"/>
  <c r="C21" i="2"/>
  <c r="I26" i="2"/>
  <c r="G9" i="2"/>
  <c r="D27" i="2"/>
  <c r="I16" i="2"/>
  <c r="F29" i="2"/>
  <c r="D29" i="2"/>
  <c r="G19" i="2"/>
  <c r="F25" i="2"/>
  <c r="C12" i="2"/>
  <c r="G14" i="2"/>
  <c r="G15" i="2"/>
  <c r="G8" i="2"/>
  <c r="I17" i="2"/>
  <c r="D28" i="2"/>
  <c r="G18" i="2"/>
  <c r="C10" i="2"/>
  <c r="G27" i="2"/>
  <c r="C19" i="2"/>
  <c r="E10" i="2"/>
  <c r="C13" i="2"/>
  <c r="C20" i="2"/>
  <c r="E11" i="2"/>
  <c r="C29" i="2"/>
  <c r="I30" i="2"/>
  <c r="G22" i="2"/>
  <c r="C14" i="2"/>
  <c r="E5" i="2"/>
  <c r="G23" i="2"/>
  <c r="C15" i="2"/>
  <c r="E6" i="2"/>
  <c r="J5" i="2" l="1"/>
  <c r="J4" i="2"/>
  <c r="J7" i="2"/>
  <c r="J21" i="2"/>
  <c r="J19" i="2"/>
  <c r="J30" i="2"/>
  <c r="J22" i="2"/>
  <c r="J3" i="2"/>
  <c r="J20" i="2"/>
  <c r="J10" i="2"/>
  <c r="J12" i="2"/>
  <c r="J11" i="2"/>
  <c r="J17" i="2"/>
  <c r="J23" i="2"/>
  <c r="J15" i="2"/>
  <c r="J28" i="2"/>
  <c r="J16" i="2"/>
  <c r="J24" i="2"/>
  <c r="J6" i="2"/>
  <c r="J29" i="2"/>
  <c r="J13" i="2"/>
  <c r="J25" i="2"/>
  <c r="J14" i="2"/>
  <c r="J26" i="2"/>
  <c r="J27" i="2"/>
  <c r="J8" i="2"/>
  <c r="J18" i="2"/>
  <c r="J9" i="2"/>
  <c r="F2" i="2"/>
  <c r="H2" i="2"/>
  <c r="C2" i="2"/>
  <c r="I2" i="2"/>
  <c r="G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<sst xmlns="http://schemas.openxmlformats.org/spreadsheetml/2006/main" count="1577" uniqueCount="297">
  <si>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</si>
  <si>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</si>
  <si>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</si>
  <si>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</si>
  <si>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</si>
  <si>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</si>
  <si>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</si>
  <si>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Invoice:</t>
  </si>
  <si>
    <t>Cust. no. invoice rec.:</t>
  </si>
  <si>
    <t>Your V.A.T.-ID:</t>
  </si>
  <si>
    <t>Our tax-no.:</t>
  </si>
  <si>
    <t>EE100931163</t>
  </si>
  <si>
    <t>Page 1 of 8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</si>
  <si>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</si>
  <si>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</si>
  <si>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</si>
  <si>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</si>
  <si>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</si>
  <si>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</si>
  <si>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</si>
  <si>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</si>
  <si>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</si>
  <si>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</si>
  <si>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</si>
  <si>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</si>
  <si>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</si>
  <si>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</si>
  <si>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</si>
  <si>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</si>
  <si>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Delivery recipient:</t>
  </si>
  <si>
    <t>59/L</t>
  </si>
  <si>
    <t>61/XL</t>
  </si>
  <si>
    <t>55/S</t>
  </si>
  <si>
    <t>57/M</t>
  </si>
  <si>
    <t>63/XXL</t>
  </si>
  <si>
    <t>Country of manufacture: China --- Customs tariff code: 65050030 --- Net weight: 0,10 kg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</si>
  <si>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</si>
  <si>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</si>
  <si>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</si>
  <si>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</si>
  <si>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</si>
  <si>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</si>
  <si>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</si>
  <si>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</si>
  <si>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</si>
  <si>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</si>
  <si>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</si>
  <si>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</si>
  <si>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</si>
  <si>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</si>
  <si>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Cust. no. invoice rec.: 935224 Page 2 of 8</t>
  </si>
  <si>
    <t>Line value 1.713,50 EUR</t>
  </si>
  <si>
    <t>Cust. no. invoice rec.: 935224 Page 3 of 8</t>
  </si>
  <si>
    <t>Recommended Retail Price = 39,00 EUR Total line value 834,40 EUR</t>
  </si>
  <si>
    <t>Line value 1.937,00 EUR</t>
  </si>
  <si>
    <t>Cust. no. invoice rec.: 935224 Page 4 of 8</t>
  </si>
  <si>
    <t>Line value 298,00 EUR</t>
  </si>
  <si>
    <t>Recommended Retail Price = 39,00 EUR Total line value 238,40 EUR</t>
  </si>
  <si>
    <t>Cust. no. invoice rec.: 935224 Page 5 of 8</t>
  </si>
  <si>
    <t>Line value 1.341,00 EUR</t>
  </si>
  <si>
    <t>Cust. no. invoice rec.: 935224 Page 6 of 8</t>
  </si>
  <si>
    <t>Recommended Retail Price = 39,00 EUR Total line value 298,00 EUR</t>
  </si>
  <si>
    <t>Baseball Cap Cotton Per Pc(s)</t>
  </si>
  <si>
    <t>Line value 149,00 EUR</t>
  </si>
  <si>
    <t>Texas Cotton Per Pc(s)</t>
  </si>
  <si>
    <t>Country of manufacture: China --- Customs tariff code: 65050030 --- Net weight: 0,11 kg</t>
  </si>
  <si>
    <t>Army Cap Cotton Per Pc(s)</t>
  </si>
  <si>
    <t>Country of manufacture: China --- Customs tariff code: 65050030 --- Net weight: 0,09 kg</t>
  </si>
  <si>
    <t>Cust. no. invoice rec.: 935224 Page 7 of 8</t>
  </si>
  <si>
    <t>Line value 480,90 EUR</t>
  </si>
  <si>
    <t>Tax free intracommunity delivery 0,00 EUR</t>
  </si>
  <si>
    <t>There is a tax free intra-Community supply acc. § 4 No. 1b in conjunction with § 6a UStG</t>
  </si>
  <si>
    <t>Cust. no. invoice rec.: 935224 Page 8 of 8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</si>
  <si>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</si>
  <si>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</si>
  <si>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</si>
  <si>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</si>
  <si>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</si>
  <si>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</si>
  <si>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</si>
  <si>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100-CI-2201783</t>
  </si>
  <si>
    <t>Date: 15.02.2022</t>
  </si>
  <si>
    <t>Shipping Order: 100-SO2203934 from 15.02.2022</t>
  </si>
  <si>
    <t>1 1813904 99 sonstige 8 Pc(s) 37,90 EUR</t>
  </si>
  <si>
    <t>Bucket Linen Per Pc(s)</t>
  </si>
  <si>
    <t>Country of manufacture: Germany --- Customs tariff code: 65050090 --- Net weight: 0,06 kg</t>
  </si>
  <si>
    <t>Line value 303,20 EUR</t>
  </si>
  <si>
    <t>Recommended Retail Price = 99,00 EUR Total line value 303,20 EUR</t>
  </si>
  <si>
    <t>10 7781115 3 grey / silver 12 Pc(s) 14,90 EUR</t>
  </si>
  <si>
    <t>Baseball Cap Shaka Cotton Per Pc(s)</t>
  </si>
  <si>
    <t>Line value 178,80 EUR</t>
  </si>
  <si>
    <t>Recommended Retail Price = 39,00 EUR Total line value 178,80 EUR</t>
  </si>
  <si>
    <t>11 7781115 8 rot 6 Pc(s) 14,90 EUR</t>
  </si>
  <si>
    <t>Line value 89,40 EUR</t>
  </si>
  <si>
    <t>Recommended Retail Price = 39,00 EUR Total line value 89,40 EUR</t>
  </si>
  <si>
    <t>Invoice: 100-CI-2201783</t>
  </si>
  <si>
    <t>12 7781118 75 sonstige 6 Pc(s) 14,90 EUR</t>
  </si>
  <si>
    <t>Baseball Cap Camo Cotton Per Pc(s)</t>
  </si>
  <si>
    <t>13 7781120 31 sonstige 6 Pc(s) 14,90 EUR</t>
  </si>
  <si>
    <t>14 6611130 2 navy / gun metal 21 Pc(s) 22,90 EUR</t>
  </si>
  <si>
    <t>Texas Denim Per Pc(s)</t>
  </si>
  <si>
    <t>Country of manufacture: Bulgaria --- Customs tariff code: 65050030 --- Net weight: 0,13 kg</t>
  </si>
  <si>
    <t>Recommended Retail Price = 59,00 EUR Total line value 480,90 EUR</t>
  </si>
  <si>
    <t>15 6611105 2 navy / gun metal 10 Pc(s) 12,90 EUR</t>
  </si>
  <si>
    <t>Line value 129,00 EUR</t>
  </si>
  <si>
    <t>Recommended Retail Price = 35,00 EUR Total line value 129,00 EUR</t>
  </si>
  <si>
    <t>16 6611105 32 sonstige 19 Pc(s) 12,90 EUR</t>
  </si>
  <si>
    <t>Line value 245,10 EUR</t>
  </si>
  <si>
    <t>Recommended Retail Price = 35,00 EUR Total line value 245,10 EUR</t>
  </si>
  <si>
    <t>17 6611105 55 sonstige 16 Pc(s) 12,90 EUR</t>
  </si>
  <si>
    <t>Line value 206,40 EUR</t>
  </si>
  <si>
    <t>Recommended Retail Price = 35,00 EUR Total line value 206,40 EUR</t>
  </si>
  <si>
    <t>18 7431101 1 black 20 Pc(s) 14,90 EUR</t>
  </si>
  <si>
    <t>19 7431101 55 sonstige 19 Pc(s) 14,90 EUR</t>
  </si>
  <si>
    <t>Line value 283,10 EUR</t>
  </si>
  <si>
    <t>Recommended Retail Price = 39,00 EUR Total line value 283,10 EUR</t>
  </si>
  <si>
    <t>2 7751191 27 sonstige 150 Pc(s) 14,90 EUR</t>
  </si>
  <si>
    <t>Trucker Cap Gambling Grifter Per Pc(s)</t>
  </si>
  <si>
    <t>Line value 2.235,00 EUR</t>
  </si>
  <si>
    <t>Recommended Retail Price = 39,00 EUR Total line value 2.235,00 EUR</t>
  </si>
  <si>
    <t>20 7713101 3 grey / silver 14 Pc(s) 18,90 EUR</t>
  </si>
  <si>
    <t>Baseball Cap Linen Per Pc(s)</t>
  </si>
  <si>
    <t>Country of manufacture: China --- Customs tariff code: 65050030 --- Net weight: 0,14 kg</t>
  </si>
  <si>
    <t>Line value 264,60 EUR</t>
  </si>
  <si>
    <t>Recommended Retail Price = 49,00 EUR Total line value 264,60 EUR</t>
  </si>
  <si>
    <t>21 6843116 2 navy / gun metal 21 Pc(s) 29,90 EUR</t>
  </si>
  <si>
    <t>Hatteras Linen Per Pc(s)</t>
  </si>
  <si>
    <t>Country of manufacture: Bulgaria --- Customs tariff code: 65050030 --- Net weight: 0,08 kg</t>
  </si>
  <si>
    <t>Line value 627,90 EUR</t>
  </si>
  <si>
    <t>Recommended Retail Price = 79,00 EUR Total line value 627,90 EUR</t>
  </si>
  <si>
    <t>22 6813103 6 brown, brass 15 Pc(s) 37,90 EUR</t>
  </si>
  <si>
    <t>8-Panel Cap Linen Per Pc(s)</t>
  </si>
  <si>
    <t>Country of manufacture: Germany --- Customs tariff code: 65050030 --- Net weight: 0,08 kg</t>
  </si>
  <si>
    <t>Line value 568,50 EUR</t>
  </si>
  <si>
    <t>Recommended Retail Price = 99,00 EUR Total line value 568,50 EUR</t>
  </si>
  <si>
    <t>23 6840407 267 großes Karo/Glencheck 4 Pc(s) 49,90 EUR</t>
  </si>
  <si>
    <t>Hatteras Virgin Wool/Silk Per Pc(s)</t>
  </si>
  <si>
    <t>Country of manufacture: Germany --- Customs tariff code: 65050030 --- Net weight: 0,11 kg</t>
  </si>
  <si>
    <t>Line value 199,60 EUR</t>
  </si>
  <si>
    <t>Recommended Retail Price = 129,00 EUR Total line value 199,60 EUR</t>
  </si>
  <si>
    <t>24 6382504 322 fischgrat 9 Pc(s) 49,90 EUR</t>
  </si>
  <si>
    <t>Driver Cap Silk/Virgin Wool Per Pc(s)</t>
  </si>
  <si>
    <t>Line value 449,10 EUR</t>
  </si>
  <si>
    <t>Recommended Retail Price = 129,00 EUR Total line value 449,10 EUR</t>
  </si>
  <si>
    <t>25 6842504 322 fischgrat 9 Pc(s) 49,90 EUR</t>
  </si>
  <si>
    <t>Hatteras Silk/Virgin Wool Per Pc(s)</t>
  </si>
  <si>
    <t>26 1187101 63 sonstige 17 Pc(s) 57,00 EUR</t>
  </si>
  <si>
    <t>Player Pigskin Per Pc(s)</t>
  </si>
  <si>
    <t>Country of manufacture: China --- Customs tariff code: 65069990 --- Net weight: 0,19 kg</t>
  </si>
  <si>
    <t>Line value 969,00 EUR</t>
  </si>
  <si>
    <t>Recommended Retail Price = 149,00 EUR Total line value 969,00 EUR</t>
  </si>
  <si>
    <t>27 7497105 62 sonstige 10 Pc(s) 26,90 EUR</t>
  </si>
  <si>
    <t>Army Cap Pigskin Per Pc(s)</t>
  </si>
  <si>
    <t>Country of manufacture: China --- Customs tariff code: 65069990 --- Net weight: 0,13 kg</t>
  </si>
  <si>
    <t>Line value 269,00 EUR</t>
  </si>
  <si>
    <t>Recommended Retail Price = 69,00 EUR Total line value 269,00 EUR</t>
  </si>
  <si>
    <t>28 2811101 2 navy / gun metal 10 Pc(s) 26,90 EUR</t>
  </si>
  <si>
    <t>Bucket Delave Organic Cotton Per Pc(s)</t>
  </si>
  <si>
    <t>Country of manufacture: China --- Customs tariff code: 65050090 --- Net weight: 0,07 kg</t>
  </si>
  <si>
    <t>29 2811101 1 black 25 Pc(s) 26,90 EUR</t>
  </si>
  <si>
    <t>Line value 672,50 EUR</t>
  </si>
  <si>
    <t>Recommended Retail Price = 69,00 EUR Total line value 672,50 EUR</t>
  </si>
  <si>
    <t>3 7751194 5 oliv 115 Pc(s) 14,90 EUR</t>
  </si>
  <si>
    <t>Trucker Cap Sun Per Pc(s)</t>
  </si>
  <si>
    <t>Recommended Retail Price = 39,00 EUR Total line value 1.713,50 EUR</t>
  </si>
  <si>
    <t>30 2811101 6 brown, brass 17 Pc(s) 26,90 EUR</t>
  </si>
  <si>
    <t>Line value 457,30 EUR</t>
  </si>
  <si>
    <t>Recommended Retail Price = 69,00 EUR Total line value 457,30 EUR</t>
  </si>
  <si>
    <t>31 2811101 61 sonstige 32 Pc(s) 26,90 EUR</t>
  </si>
  <si>
    <t>Line value 860,80 EUR</t>
  </si>
  <si>
    <t>Recommended Retail Price = 69,00 EUR Total line value 860,80 EUR</t>
  </si>
  <si>
    <t>32 7491101 6 brown, brass 16 Pc(s) 14,90 EUR</t>
  </si>
  <si>
    <t>Country of manufacture: Sri Lanka --- Customs tariff code: 65050030 --- Net weight: 0,10 kg</t>
  </si>
  <si>
    <t>Line value 238,40 EUR</t>
  </si>
  <si>
    <t>33 2541104 6 brown, brass 28 Pc(s) 26,90 EUR</t>
  </si>
  <si>
    <t>Traveller Waxed Cotton Per Pc(s)</t>
  </si>
  <si>
    <t>Country of manufacture: Sri Lanka --- Customs tariff code: 65050090 --- Net weight: 0,21 kg</t>
  </si>
  <si>
    <t>Line value 753,20 EUR</t>
  </si>
  <si>
    <t>Recommended Retail Price = 69,00 EUR Total line value 753,20 EUR</t>
  </si>
  <si>
    <t>34 2541109 23 sonstige 16 Pc(s) 22,90 EUR</t>
  </si>
  <si>
    <t>Traveller Cotton Per Pc(s)</t>
  </si>
  <si>
    <t>Country of manufacture: Sri Lanka --- Customs tariff code: 65050090 --- Net weight: 0,13 kg</t>
  </si>
  <si>
    <t>Line value 366,40 EUR</t>
  </si>
  <si>
    <t>Recommended Retail Price = 59,00 EUR Total line value 366,40 EUR</t>
  </si>
  <si>
    <t>35 7756112 57 sonstige 74 Pc(s) 14,90 EUR</t>
  </si>
  <si>
    <t>Trucker Cap Hiking Per Pc(s)</t>
  </si>
  <si>
    <t>Line value 1.102,60 EUR</t>
  </si>
  <si>
    <t>Recommended Retail Price = 39,00 EUR Total line value 1.102,60 EUR</t>
  </si>
  <si>
    <t>36 7756112 57 sonstige 56 Pc(s) 14,90 EUR</t>
  </si>
  <si>
    <t>Line value 834,40 EUR</t>
  </si>
  <si>
    <t>37 7785101 89 sonstige 5 Pc(s) 14,90 EUR</t>
  </si>
  <si>
    <t>Baseball Cap Toothpick Rebel Per Pc(s)</t>
  </si>
  <si>
    <t>Country of manufacture: China --- Customs tariff code: 65050030 --- Net weight: 0,12 kg</t>
  </si>
  <si>
    <t>Line value 74,50 EUR</t>
  </si>
  <si>
    <t>Recommended Retail Price = 39,00 EUR Total line value 74,50 EUR</t>
  </si>
  <si>
    <t>4 7751196 25 sonstige 115 Pc(s) 14,90 EUR</t>
  </si>
  <si>
    <t>Trucker Cap Chrome Per Pc(s)</t>
  </si>
  <si>
    <t>5 7756106 28 sonstige 105 Pc(s) 14,90 EUR</t>
  </si>
  <si>
    <t>Trucker Cap Fishermen´s Bay Per Pc(s)</t>
  </si>
  <si>
    <t>Line value 1.564,50 EUR</t>
  </si>
  <si>
    <t>Recommended Retail Price = 39,00 EUR Total line value 1.564,50 EUR</t>
  </si>
  <si>
    <t>6 7756113 37 sonstige 90 Pc(s) 14,90 EUR</t>
  </si>
  <si>
    <t>Trucker Cap Animal Nature Per Pc(s)</t>
  </si>
  <si>
    <t>Recommended Retail Price = 39,00 EUR Total line value 1.341,00 EUR</t>
  </si>
  <si>
    <t>7 7756114 28 sonstige 130 Pc(s) 14,90 EUR</t>
  </si>
  <si>
    <t>Trucker Cap Canoe Per Pc(s)</t>
  </si>
  <si>
    <t>Recommended Retail Price = 39,00 EUR Total line value 1.937,00 EUR</t>
  </si>
  <si>
    <t>8 7721110 5 oliv 10 Pc(s) 14,90 EUR</t>
  </si>
  <si>
    <t>Recommended Retail Price = 39,00 EUR Total line value 149,00 EUR</t>
  </si>
  <si>
    <t>9 7721122 6 brown, brass 40 Pc(s) 18,90 EUR</t>
  </si>
  <si>
    <t>Baseball Cap Duck Per Pc(s)</t>
  </si>
  <si>
    <t>Line value 756,00 EUR</t>
  </si>
  <si>
    <t>Recommended Retail Price = 49,00 EUR Total line value 756,00 EUR</t>
  </si>
  <si>
    <t>Total Quantity: 1.276 Pc(s)</t>
  </si>
  <si>
    <t>Total: 18.582,48 EUR</t>
  </si>
  <si>
    <t>Total Value: 18.582,48 EUR</t>
  </si>
  <si>
    <t>Valuation Date: 15.02.2022</t>
  </si>
  <si>
    <t>Cash discount 10 Days 4 % until 25.02.2022 = 743,30 EUR Payment amount: 17.839,18 EUR</t>
  </si>
  <si>
    <t>28 Days net without until 15.03.2022 Payment amount: 18.582,48 EUR</t>
  </si>
  <si>
    <t>Please always indicate your customer number 935224 and invoice number CI-2201783 when transferring the invoice</t>
  </si>
  <si>
    <t>Name</t>
  </si>
  <si>
    <t>181390499</t>
  </si>
  <si>
    <t xml:space="preserve">Bucket Linen </t>
  </si>
  <si>
    <t/>
  </si>
  <si>
    <t>2</t>
  </si>
  <si>
    <t>4</t>
  </si>
  <si>
    <t>77811153</t>
  </si>
  <si>
    <t xml:space="preserve">Baseball Cap Shaka Cotton </t>
  </si>
  <si>
    <t>77811158</t>
  </si>
  <si>
    <t>778111875</t>
  </si>
  <si>
    <t xml:space="preserve">Baseball Cap Camo Cotton </t>
  </si>
  <si>
    <t>778112031</t>
  </si>
  <si>
    <t xml:space="preserve">Baseball Cap Cotton </t>
  </si>
  <si>
    <t>66111302</t>
  </si>
  <si>
    <t xml:space="preserve">Texas Denim </t>
  </si>
  <si>
    <t>5</t>
  </si>
  <si>
    <t>7</t>
  </si>
  <si>
    <t>3</t>
  </si>
  <si>
    <t>66111052</t>
  </si>
  <si>
    <t xml:space="preserve">Texas Cotton </t>
  </si>
  <si>
    <t>661110532</t>
  </si>
  <si>
    <t>9</t>
  </si>
  <si>
    <t>6</t>
  </si>
  <si>
    <t>661110555</t>
  </si>
  <si>
    <t>74311011</t>
  </si>
  <si>
    <t xml:space="preserve">Army Cap Cotton </t>
  </si>
  <si>
    <t>8</t>
  </si>
  <si>
    <t>743110155</t>
  </si>
  <si>
    <t>775119127</t>
  </si>
  <si>
    <t xml:space="preserve">Trucker Cap Gambling Grifter </t>
  </si>
  <si>
    <t>77131013</t>
  </si>
  <si>
    <t xml:space="preserve">Baseball Cap Linen </t>
  </si>
  <si>
    <t>68431162</t>
  </si>
  <si>
    <t xml:space="preserve">Hatteras Linen </t>
  </si>
  <si>
    <t>68131036</t>
  </si>
  <si>
    <t xml:space="preserve">8-Panel Cap Linen </t>
  </si>
  <si>
    <t>1</t>
  </si>
  <si>
    <t>6840407267</t>
  </si>
  <si>
    <t xml:space="preserve">Hatteras Virgin Wool/Silk </t>
  </si>
  <si>
    <t>6382504322</t>
  </si>
  <si>
    <t xml:space="preserve">Driver Cap Silk/Virgin Wool </t>
  </si>
  <si>
    <t>6842504322</t>
  </si>
  <si>
    <t xml:space="preserve">Hatteras Silk/Virgin Wool </t>
  </si>
  <si>
    <t>118710163</t>
  </si>
  <si>
    <t xml:space="preserve">Player Pigskin </t>
  </si>
  <si>
    <t>749710562</t>
  </si>
  <si>
    <t xml:space="preserve">Army Cap Pigskin </t>
  </si>
  <si>
    <t>28111012</t>
  </si>
  <si>
    <t xml:space="preserve">Bucket Delave Organic Cotton </t>
  </si>
  <si>
    <t>28111011</t>
  </si>
  <si>
    <t>10</t>
  </si>
  <si>
    <t>77511945</t>
  </si>
  <si>
    <t xml:space="preserve">Trucker Cap Sun </t>
  </si>
  <si>
    <t>28111016</t>
  </si>
  <si>
    <t>281110161</t>
  </si>
  <si>
    <t>13</t>
  </si>
  <si>
    <t>74911016</t>
  </si>
  <si>
    <t>25411046</t>
  </si>
  <si>
    <t xml:space="preserve">Traveller Waxed Cotton </t>
  </si>
  <si>
    <t>254110923</t>
  </si>
  <si>
    <t xml:space="preserve">Traveller Cotton </t>
  </si>
  <si>
    <t>775611257</t>
  </si>
  <si>
    <t xml:space="preserve">Trucker Cap Hiking </t>
  </si>
  <si>
    <t>778510189</t>
  </si>
  <si>
    <t xml:space="preserve">Baseball Cap Toothpick Rebel </t>
  </si>
  <si>
    <t>775119625</t>
  </si>
  <si>
    <t xml:space="preserve">Trucker Cap Chrome </t>
  </si>
  <si>
    <t>775610628</t>
  </si>
  <si>
    <t xml:space="preserve">Trucker Cap Fishermen´s Bay </t>
  </si>
  <si>
    <t>775611337</t>
  </si>
  <si>
    <t xml:space="preserve">Trucker Cap Animal Nature </t>
  </si>
  <si>
    <t>775611428</t>
  </si>
  <si>
    <t xml:space="preserve">Trucker Cap Canoe </t>
  </si>
  <si>
    <t>77211105</t>
  </si>
  <si>
    <t>77211226</t>
  </si>
  <si>
    <t xml:space="preserve">Baseball Cap Duck 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</si>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</sst>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0" fillId="2" borderId="0" xfId="0" applyFill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  <xf numFmtId="0" fontId="1" fillId="0" borderId="1" xfId="0" applyFont="1" applyBorder="1"/>
    <xf numFmtId="0" fontId="1" fillId="0" borderId="2" xfId="0" applyFont="1" applyBorder="1"/>
    <xf numFmtId="164" fontId="1" fillId="0" borderId="3" xfId="0" applyNumberFormat="1" applyFont="1" applyBorder="1"/>
    <xf numFmtId="0" fontId="0" fillId="0" borderId="4" xfId="0" applyBorder="1"/>
    <xf numFmtId="0" fontId="0" fillId="0" borderId="0" xfId="0" applyBorder="1"/>
    <xf numFmtId="164" fontId="0" fillId="0" borderId="5" xfId="0" applyNumberFormat="1" applyBorder="1"/>
    <xf numFmtId="0" fontId="0" fillId="2" borderId="0" xfId="0" applyFill="1" applyBorder="1"/>
    <xf numFmtId="0" fontId="0" fillId="0" borderId="6" xfId="0" applyBorder="1"/>
    <xf numFmtId="0" fontId="0" fillId="0" borderId="7" xfId="0" applyBorder="1"/>
    <xf numFmtId="0" fontId="0" fillId="2" borderId="7" xfId="0" applyFill="1" applyBorder="1"/>
    <xf numFmtId="164" fontId="0" fillId="0" borderId="8" xfId="0" applyNumberFormat="1" applyBorder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Q603"/>
  <sheetViews>
    <sheetView tabSelected="1" topLeftCell="A448" workbookViewId="0">
      <selection activeCell="A477" sqref="A477"/>
    </sheetView>
  </sheetViews>
  <sheetFormatPr defaultRowHeight="15" x14ac:dyDescent="0.25"/>
  <cols>
    <col min="1" max="1" width="108.42578125" bestFit="1" customWidth="1"/>
    <col min="2" max="2" width="10.85546875" bestFit="1" customWidth="1"/>
    <col min="3" max="3" width="25" bestFit="1" customWidth="1"/>
    <col min="10" max="10" width="10.42578125" style="4" bestFit="1" customWidth="1"/>
  </cols>
  <sheetData>
    <row r="1" spans="1:10" x14ac:dyDescent="0.25">
      <c r="A1" t="s">
        <v>3</v>
      </c>
      <c r="B1" s="8"/>
      <c r="C1" s="8"/>
      <c r="D1" s="8"/>
      <c r="E1" s="8"/>
      <c r="F1" s="8"/>
      <c r="G1" s="8"/>
      <c r="H1" s="8"/>
      <c r="I1" s="8"/>
      <c r="J1" s="9"/>
    </row>
    <row r="2" spans="1:10" x14ac:dyDescent="0.25">
      <c r="A2" t="s">
        <v>4</v>
      </c>
      <c r="B2" s="6"/>
      <c r="C2" s="6"/>
      <c r="D2" s="6"/>
      <c r="E2" s="6"/>
      <c r="F2" s="6"/>
      <c r="G2" s="6"/>
      <c r="H2" s="6"/>
      <c r="I2" s="6"/>
      <c r="J2" s="7"/>
    </row>
    <row r="3" spans="1:10" x14ac:dyDescent="0.25">
      <c r="A3" t="s">
        <v>5</v>
      </c>
      <c r="B3" s="6"/>
      <c r="C3" s="6"/>
      <c r="D3" s="6"/>
      <c r="E3" s="6"/>
      <c r="F3" s="6"/>
      <c r="G3" s="6"/>
      <c r="H3" s="6"/>
      <c r="I3" s="6"/>
      <c r="J3" s="7"/>
    </row>
    <row r="4" spans="1:10" x14ac:dyDescent="0.25">
      <c r="A4" t="s">
        <v>6</v>
      </c>
      <c r="B4" s="6"/>
      <c r="C4" s="6"/>
      <c r="D4" s="6"/>
      <c r="E4" s="6"/>
      <c r="F4" s="6"/>
      <c r="G4" s="6"/>
      <c r="H4" s="6"/>
      <c r="I4" s="6"/>
      <c r="J4" s="7"/>
    </row>
    <row r="5" spans="1:10" x14ac:dyDescent="0.25">
      <c r="A5" t="s">
        <v>80</v>
      </c>
      <c r="B5" s="6"/>
      <c r="C5" s="6"/>
      <c r="D5" s="6"/>
      <c r="E5" s="6"/>
      <c r="F5" s="6"/>
      <c r="G5" s="6"/>
      <c r="H5" s="6"/>
      <c r="I5" s="6"/>
      <c r="J5" s="7"/>
    </row>
    <row r="6" spans="1:10" x14ac:dyDescent="0.25">
      <c r="A6" t="s">
        <v>81</v>
      </c>
      <c r="B6" s="6"/>
      <c r="C6" s="6"/>
      <c r="D6" s="6"/>
      <c r="E6" s="6"/>
      <c r="F6" s="6"/>
      <c r="G6" s="6"/>
      <c r="H6" s="6"/>
      <c r="I6" s="6"/>
      <c r="J6" s="7"/>
    </row>
    <row r="7" spans="1:10" x14ac:dyDescent="0.25">
      <c r="A7" s="6" t="s">
        <v>7</v>
      </c>
      <c r="B7" s="6"/>
      <c r="C7" s="6"/>
      <c r="D7" s="6"/>
      <c r="E7" s="6"/>
      <c r="F7" s="6"/>
      <c r="G7" s="6"/>
      <c r="H7" s="6"/>
      <c r="I7" s="6"/>
      <c r="J7" s="7"/>
    </row>
    <row r="8" spans="1:10" x14ac:dyDescent="0.25">
      <c r="A8" s="6" t="s">
        <v>8</v>
      </c>
      <c r="B8" s="6"/>
      <c r="C8" s="6"/>
      <c r="D8" s="6"/>
      <c r="E8" s="6"/>
      <c r="F8" s="6"/>
      <c r="G8" s="6"/>
      <c r="H8" s="6"/>
      <c r="I8" s="6"/>
      <c r="J8" s="7"/>
    </row>
    <row r="9" spans="1:10" x14ac:dyDescent="0.25">
      <c r="A9" s="6" t="s">
        <v>9</v>
      </c>
      <c r="B9" s="6"/>
      <c r="C9" s="6"/>
      <c r="D9" s="6"/>
      <c r="E9" s="6"/>
      <c r="F9" s="6"/>
      <c r="G9" s="6"/>
      <c r="H9" s="6"/>
      <c r="I9" s="6"/>
      <c r="J9" s="7"/>
    </row>
    <row r="10" spans="1:10" x14ac:dyDescent="0.25">
      <c r="A10" s="6" t="s">
        <v>10</v>
      </c>
      <c r="B10" s="8"/>
      <c r="C10" s="8"/>
      <c r="D10" s="8"/>
      <c r="E10" s="8"/>
      <c r="F10" s="8"/>
      <c r="G10" s="8"/>
      <c r="H10" s="8"/>
      <c r="I10" s="8"/>
      <c r="J10" s="9"/>
    </row>
    <row r="11" spans="1:10" x14ac:dyDescent="0.25">
      <c r="A11" s="6">
        <v>935224</v>
      </c>
      <c r="B11" s="6"/>
      <c r="C11" s="6"/>
      <c r="D11" s="6"/>
      <c r="E11" s="6"/>
      <c r="F11" s="6"/>
      <c r="G11" s="6"/>
      <c r="H11" s="6"/>
      <c r="I11" s="6"/>
      <c r="J11" s="7"/>
    </row>
    <row r="12" spans="1:10" x14ac:dyDescent="0.25">
      <c r="A12" s="6" t="s">
        <v>11</v>
      </c>
      <c r="B12" s="6"/>
      <c r="C12" s="6"/>
      <c r="D12" s="6"/>
      <c r="E12" s="6"/>
      <c r="F12" s="6"/>
      <c r="G12" s="6"/>
      <c r="H12" s="6"/>
      <c r="I12" s="6"/>
      <c r="J12" s="7"/>
    </row>
    <row r="13" spans="1:10" x14ac:dyDescent="0.25">
      <c r="A13" s="6">
        <v>21758281022</v>
      </c>
      <c r="B13" s="6"/>
      <c r="C13" s="6"/>
      <c r="D13" s="6"/>
      <c r="E13" s="6"/>
      <c r="F13" s="6"/>
      <c r="G13" s="6"/>
      <c r="H13" s="6"/>
      <c r="I13" s="6"/>
      <c r="J13" s="7"/>
    </row>
    <row r="14" spans="1:10" x14ac:dyDescent="0.25">
      <c r="A14" s="6" t="s">
        <v>12</v>
      </c>
      <c r="B14" s="6"/>
      <c r="C14" s="6"/>
      <c r="D14" s="6"/>
      <c r="E14" s="6"/>
      <c r="F14" s="6"/>
      <c r="G14" s="6"/>
      <c r="H14" s="6"/>
      <c r="I14" s="6"/>
      <c r="J14" s="7"/>
    </row>
    <row r="15" spans="1:10" x14ac:dyDescent="0.25">
      <c r="A15" s="6" t="s">
        <v>13</v>
      </c>
      <c r="B15" s="6"/>
      <c r="C15" s="6"/>
      <c r="D15" s="6"/>
      <c r="E15" s="6"/>
      <c r="F15" s="6"/>
      <c r="G15" s="6"/>
      <c r="H15" s="6"/>
      <c r="I15" s="6"/>
      <c r="J15" s="7"/>
    </row>
    <row r="16" spans="1:10" x14ac:dyDescent="0.25">
      <c r="A16" s="6" t="s">
        <v>14</v>
      </c>
      <c r="B16" s="6"/>
      <c r="C16" s="6"/>
      <c r="D16" s="6"/>
      <c r="E16" s="6"/>
      <c r="F16" s="6"/>
      <c r="G16" s="6"/>
      <c r="H16" s="6"/>
      <c r="I16" s="6"/>
      <c r="J16" s="7"/>
    </row>
    <row r="17" spans="1:10" x14ac:dyDescent="0.25">
      <c r="A17" s="6" t="s">
        <v>15</v>
      </c>
      <c r="B17" s="6"/>
      <c r="C17" s="6"/>
      <c r="D17" s="6"/>
      <c r="E17" s="6"/>
      <c r="F17" s="6"/>
      <c r="G17" s="6"/>
      <c r="H17" s="6"/>
      <c r="I17" s="6"/>
      <c r="J17" s="7"/>
    </row>
    <row r="18" spans="1:10" x14ac:dyDescent="0.25">
      <c r="A18" s="6" t="s">
        <v>16</v>
      </c>
      <c r="B18" s="6"/>
      <c r="C18" s="6"/>
      <c r="D18" s="6"/>
      <c r="E18" s="6"/>
      <c r="F18" s="6"/>
      <c r="G18" s="6"/>
      <c r="H18" s="6"/>
      <c r="I18" s="6"/>
      <c r="J18" s="7"/>
    </row>
    <row r="19" spans="1:10" x14ac:dyDescent="0.25">
      <c r="A19" s="6" t="s">
        <v>17</v>
      </c>
      <c r="B19" s="6"/>
      <c r="C19" s="6"/>
      <c r="D19" s="6"/>
      <c r="E19" s="6"/>
      <c r="F19" s="6"/>
      <c r="G19" s="6"/>
      <c r="H19" s="6"/>
      <c r="I19" s="6"/>
      <c r="J19" s="7"/>
    </row>
    <row r="20" spans="1:10" x14ac:dyDescent="0.25">
      <c r="A20" s="6" t="s">
        <v>18</v>
      </c>
      <c r="B20" s="6"/>
      <c r="C20" s="6"/>
      <c r="D20" s="6"/>
      <c r="E20" s="6"/>
      <c r="F20" s="6"/>
      <c r="G20" s="6"/>
      <c r="H20" s="6"/>
      <c r="I20" s="6"/>
      <c r="J20" s="7"/>
    </row>
    <row r="21" spans="1:10" x14ac:dyDescent="0.25">
      <c r="A21" s="6" t="s">
        <v>19</v>
      </c>
      <c r="B21" s="6"/>
      <c r="C21" s="6"/>
      <c r="D21" s="6"/>
      <c r="E21" s="6"/>
      <c r="F21" s="6"/>
      <c r="G21" s="6"/>
      <c r="H21" s="6"/>
      <c r="I21" s="6"/>
      <c r="J21" s="7"/>
    </row>
    <row r="22" spans="1:10" x14ac:dyDescent="0.25">
      <c r="A22" s="6" t="s">
        <v>20</v>
      </c>
      <c r="B22" s="6"/>
      <c r="C22" s="6"/>
      <c r="D22" s="6"/>
      <c r="E22" s="6"/>
      <c r="F22" s="6"/>
      <c r="G22" s="6"/>
      <c r="H22" s="6"/>
      <c r="I22" s="6"/>
      <c r="J22" s="7"/>
    </row>
    <row r="23" spans="1:10" x14ac:dyDescent="0.25">
      <c r="A23" s="6" t="s">
        <v>21</v>
      </c>
      <c r="B23" s="6"/>
      <c r="C23" s="6"/>
      <c r="D23" s="6"/>
      <c r="E23" s="6"/>
      <c r="F23" s="6"/>
      <c r="G23" s="6"/>
      <c r="H23" s="6"/>
      <c r="I23" s="6"/>
      <c r="J23" s="7"/>
    </row>
    <row r="24" spans="1:10" x14ac:dyDescent="0.25">
      <c r="A24" s="6" t="s">
        <v>22</v>
      </c>
      <c r="B24" s="6"/>
      <c r="C24" s="6"/>
      <c r="D24" s="6"/>
      <c r="E24" s="6"/>
      <c r="F24" s="6"/>
      <c r="G24" s="6"/>
      <c r="H24" s="6"/>
      <c r="I24" s="6"/>
      <c r="J24" s="7"/>
    </row>
    <row r="25" spans="1:10" x14ac:dyDescent="0.25">
      <c r="A25" s="6" t="s">
        <v>23</v>
      </c>
      <c r="B25" s="8"/>
      <c r="C25" s="8"/>
      <c r="D25" s="8"/>
      <c r="E25" s="8"/>
      <c r="F25" s="8"/>
      <c r="G25" s="8"/>
      <c r="H25" s="8"/>
      <c r="I25" s="8"/>
      <c r="J25" s="9"/>
    </row>
    <row r="26" spans="1:10" x14ac:dyDescent="0.25">
      <c r="A26" s="6" t="s">
        <v>24</v>
      </c>
      <c r="B26" s="6"/>
      <c r="C26" s="6"/>
      <c r="D26" s="6"/>
      <c r="E26" s="6"/>
      <c r="F26" s="6"/>
      <c r="G26" s="6"/>
      <c r="H26" s="6"/>
      <c r="I26" s="6"/>
      <c r="J26" s="7"/>
    </row>
    <row r="27" spans="1:10" x14ac:dyDescent="0.25">
      <c r="A27" s="6" t="s">
        <v>25</v>
      </c>
      <c r="B27" s="6"/>
      <c r="C27" s="6"/>
      <c r="D27" s="6"/>
      <c r="E27" s="6"/>
      <c r="F27" s="6"/>
      <c r="G27" s="6"/>
      <c r="H27" s="6"/>
      <c r="I27" s="6"/>
      <c r="J27" s="7"/>
    </row>
    <row r="28" spans="1:10" x14ac:dyDescent="0.25">
      <c r="A28" s="6" t="s">
        <v>26</v>
      </c>
      <c r="B28" s="6"/>
      <c r="C28" s="6"/>
      <c r="D28" s="6"/>
      <c r="E28" s="6"/>
      <c r="F28" s="6"/>
      <c r="G28" s="6"/>
      <c r="H28" s="6"/>
      <c r="I28" s="6"/>
      <c r="J28" s="7"/>
    </row>
    <row r="29" spans="1:10" x14ac:dyDescent="0.25">
      <c r="A29" s="6" t="s">
        <v>27</v>
      </c>
      <c r="B29" s="6"/>
      <c r="C29" s="6"/>
      <c r="D29" s="6"/>
      <c r="E29" s="6"/>
      <c r="F29" s="6"/>
      <c r="G29" s="6"/>
      <c r="H29" s="6"/>
      <c r="I29" s="6"/>
      <c r="J29" s="7"/>
    </row>
    <row r="30" spans="1:10" x14ac:dyDescent="0.25">
      <c r="A30" s="6" t="s">
        <v>28</v>
      </c>
      <c r="B30" s="6"/>
      <c r="C30" s="6"/>
      <c r="D30" s="6"/>
      <c r="E30" s="6"/>
      <c r="F30" s="6"/>
      <c r="G30" s="6"/>
      <c r="H30" s="6"/>
      <c r="I30" s="6"/>
      <c r="J30" s="7"/>
    </row>
    <row r="31" spans="1:10" x14ac:dyDescent="0.25">
      <c r="A31" s="6" t="s">
        <v>82</v>
      </c>
      <c r="B31" s="6"/>
      <c r="C31" s="6"/>
      <c r="D31" s="6"/>
      <c r="E31" s="6"/>
      <c r="F31" s="6"/>
      <c r="G31" s="6"/>
      <c r="H31" s="6"/>
      <c r="I31" s="6"/>
      <c r="J31" s="7"/>
    </row>
    <row r="32" spans="1:10" x14ac:dyDescent="0.25">
      <c r="A32" s="6" t="s">
        <v>29</v>
      </c>
      <c r="B32" s="6"/>
      <c r="C32" s="6"/>
      <c r="D32" s="6"/>
      <c r="E32" s="6"/>
      <c r="F32" s="6"/>
      <c r="G32" s="6"/>
      <c r="H32" s="6"/>
      <c r="I32" s="6"/>
      <c r="J32" s="7"/>
    </row>
    <row r="33" spans="1:10" x14ac:dyDescent="0.25">
      <c r="A33" s="6" t="s">
        <v>4</v>
      </c>
      <c r="B33" s="6"/>
      <c r="C33" s="6"/>
      <c r="D33" s="6"/>
      <c r="E33" s="6"/>
      <c r="F33" s="6"/>
      <c r="G33" s="6"/>
      <c r="H33" s="6"/>
      <c r="I33" s="6"/>
      <c r="J33" s="7"/>
    </row>
    <row r="34" spans="1:10" x14ac:dyDescent="0.25">
      <c r="A34" s="6" t="s">
        <v>5</v>
      </c>
      <c r="B34" s="6"/>
      <c r="C34" s="6"/>
      <c r="D34" s="6"/>
      <c r="E34" s="6"/>
      <c r="F34" s="6"/>
      <c r="G34" s="6"/>
      <c r="H34" s="6"/>
      <c r="I34" s="6"/>
      <c r="J34" s="7"/>
    </row>
    <row r="35" spans="1:10" x14ac:dyDescent="0.25">
      <c r="A35" s="6" t="s">
        <v>6</v>
      </c>
      <c r="B35" s="1" t="s">
        <v>1</v>
      </c>
      <c r="C35" s="1" t="s">
        <v>220</v>
      </c>
      <c r="D35" s="1" t="s">
        <v>0</v>
      </c>
      <c r="E35" s="1">
        <v>55</v>
      </c>
      <c r="F35" s="1">
        <v>57</v>
      </c>
      <c r="G35" s="1">
        <v>59</v>
      </c>
      <c r="H35" s="1">
        <v>61</v>
      </c>
      <c r="I35" s="1">
        <v>63</v>
      </c>
      <c r="J35" s="3" t="s">
        <v>2</v>
      </c>
    </row>
    <row r="36" spans="1:10" x14ac:dyDescent="0.25">
      <c r="A36" s="6" t="s">
        <v>83</v>
      </c>
      <c r="B36" t="str" cm="1">
        <f t="array" ref="B36">БУКВЫ(MID($A36,3,12))</f>
        <v>181390499</v>
      </c>
      <c r="C36" t="str">
        <f>MID($A37,1,FIND("Per",A37)-1)</f>
        <v xml:space="preserve">Bucket Linen </v>
      </c>
      <c r="D36" t="str">
        <f>_xlfn.LET(_xlpm.Searching,"OSFA",_xlpm.inStr,IFERROR(FIND(_xlpm.Searching,$A38)&gt;=1,FALSE),IF(AND(_xlpm.inStr,LEN(A38)&lt;=6),A39,""))</f>
        <v/>
      </c>
      <c r="E36" t="str">
        <f>_xlfn.LET(_xlpm.Searching,"55",_xlpm.inStr,IFERROR(FIND(_xlpm.Searching,$A38)&gt;=1,FALSE),IF(AND(_xlpm.inStr,LEN(A38)&lt;=6),A39,""))</f>
        <v/>
      </c>
      <c r="F36" t="str">
        <f>_xlfn.LET(_xlpm.Searching,"57",_xlpm.inStr,IFERROR(FIND(_xlpm.Searching,$A38)&gt;=1,FALSE),IF(AND(_xlpm.inStr,LEN(A38)&lt;=6),$A39,""))&amp;F37</f>
        <v>2</v>
      </c>
      <c r="G36" t="str">
        <f>_xlfn.LET(_xlpm.Searching,"59",_xlpm.inStr,IFERROR(FIND(_xlpm.Searching,$A38)&gt;=1,FALSE),IF(AND(_xlpm.inStr,LEN(A38)&lt;=6),$A39,""))&amp;G37&amp;G38</f>
        <v>4</v>
      </c>
      <c r="H36" t="str">
        <f>_xlfn.LET(_xlpm.Searching,"61",_xlpm.inStr,IFERROR(FIND(_xlpm.Searching,$A38)&gt;=1,FALSE),IF(AND(_xlpm.inStr,LEN(A38)&lt;=6),$A39,""))&amp;H37&amp;H38&amp;H39</f>
        <v>2</v>
      </c>
      <c r="I36" t="str">
        <f>_xlfn.LET(_xlpm.Searching,"63",_xlpm.inStr,IFERROR(FIND(_xlpm.Searching,$A38)&gt;=1,FALSE),IF(AND(_xlpm.inStr,LEN(A38)&lt;=6),$A39,""))&amp;I37&amp;I38&amp;I39&amp;I40</f>
        <v/>
      </c>
      <c r="J36" s="4">
        <f>MID(TRIM(RIGHT(A36,10)),1,LEN(TRIM(RIGHT(A36,10)))-3)*0.8</f>
        <v>30.32</v>
      </c>
    </row>
    <row r="37" spans="1:10" x14ac:dyDescent="0.25">
      <c r="A37" s="6" t="s">
        <v>84</v>
      </c>
      <c r="B37" t="str">
        <f>B36</f>
        <v>181390499</v>
      </c>
      <c r="C37" t="str">
        <f>C36</f>
        <v xml:space="preserve">Bucket Linen </v>
      </c>
      <c r="D37" s="2"/>
      <c r="E37" s="2"/>
      <c r="F37" t="str">
        <f>_xlfn.LET(_xlpm.Searching,"57",_xlpm.inStr,IFERROR(FIND(_xlpm.Searching,$A40)&gt;=1,FALSE),IF(AND(_xlpm.inStr,LEN(A40)&lt;=6),$A41,""))</f>
        <v/>
      </c>
      <c r="G37">
        <f>_xlfn.LET(_xlpm.Searching,"59",_xlpm.inStr,IFERROR(FIND(_xlpm.Searching,$A40)&gt;=1,FALSE),IF(AND(_xlpm.inStr,LEN(A40)&lt;=6),$A41,""))</f>
        <v>4</v>
      </c>
      <c r="H37" t="str">
        <f>_xlfn.LET(_xlpm.Searching,"61",_xlpm.inStr,IFERROR(FIND(_xlpm.Searching,$A40)&gt;=1,FALSE),IF(AND(_xlpm.inStr,LEN(A40)&lt;=6),$A41,""))</f>
        <v/>
      </c>
      <c r="I37" t="str">
        <f>_xlfn.LET(_xlpm.Searching,"63",_xlpm.inStr,IFERROR(FIND(_xlpm.Searching,$A40)&gt;=1,FALSE),IF(AND(_xlpm.inStr,LEN(A40)&lt;=6),$A41,""))</f>
        <v/>
      </c>
    </row>
    <row r="38" spans="1:10" x14ac:dyDescent="0.25">
      <c r="A38" s="6" t="s">
        <v>33</v>
      </c>
      <c r="B38" t="str">
        <f t="shared" ref="B38:B40" si="0">B37</f>
        <v>181390499</v>
      </c>
      <c r="C38" t="str">
        <f t="shared" ref="C38:C40" si="1">C37</f>
        <v xml:space="preserve">Bucket Linen </v>
      </c>
      <c r="D38" s="2"/>
      <c r="E38" s="2"/>
      <c r="F38" s="2"/>
      <c r="G38" t="str">
        <f>_xlfn.LET(_xlpm.Searching,"59",_xlpm.inStr,IFERROR(FIND(_xlpm.Searching,$A42)&gt;=1,FALSE),IF(AND(_xlpm.inStr,LEN(A42)&lt;=6),$A43,""))</f>
        <v/>
      </c>
      <c r="H38">
        <f>_xlfn.LET(_xlpm.Searching,"61",_xlpm.inStr,IFERROR(FIND(_xlpm.Searching,$A42)&gt;=1,FALSE),IF(AND(_xlpm.inStr,LEN(A42)&lt;=6),$A43,""))</f>
        <v>2</v>
      </c>
      <c r="I38" t="str">
        <f>_xlfn.LET(_xlpm.Searching,"63",_xlpm.inStr,IFERROR(FIND(_xlpm.Searching,$A42)&gt;=1,FALSE),IF(AND(_xlpm.inStr,LEN(A42)&lt;=6),$A43,""))</f>
        <v/>
      </c>
    </row>
    <row r="39" spans="1:10" x14ac:dyDescent="0.25">
      <c r="A39" s="6">
        <v>2</v>
      </c>
      <c r="B39" t="str">
        <f t="shared" si="0"/>
        <v>181390499</v>
      </c>
      <c r="C39" t="str">
        <f t="shared" si="1"/>
        <v xml:space="preserve">Bucket Linen </v>
      </c>
      <c r="D39" s="2"/>
      <c r="E39" s="2"/>
      <c r="F39" s="2"/>
      <c r="G39" s="2"/>
      <c r="H39" t="str">
        <f>_xlfn.LET(_xlpm.Searching,"61",_xlpm.inStr,IFERROR(FIND(_xlpm.Searching,$A44)&gt;=1,FALSE),IF(AND(_xlpm.inStr,LEN(A44)&lt;=6),$A45,""))</f>
        <v/>
      </c>
      <c r="I39" t="str">
        <f>_xlfn.LET(_xlpm.Searching,"63",_xlpm.inStr,IFERROR(FIND(_xlpm.Searching,$A44)&gt;=1,FALSE),IF(AND(_xlpm.inStr,LEN(A44)&lt;=6),$A45,""))</f>
        <v/>
      </c>
    </row>
    <row r="40" spans="1:10" x14ac:dyDescent="0.25">
      <c r="A40" s="6" t="s">
        <v>30</v>
      </c>
      <c r="B40" t="str">
        <f t="shared" si="0"/>
        <v>181390499</v>
      </c>
      <c r="C40" t="str">
        <f t="shared" si="1"/>
        <v xml:space="preserve">Bucket Linen </v>
      </c>
      <c r="D40" s="2"/>
      <c r="E40" s="2"/>
      <c r="F40" s="2"/>
      <c r="G40" s="2"/>
      <c r="H40" s="2"/>
      <c r="I40" t="str">
        <f>_xlfn.LET(_xlpm.Searching,"63",_xlpm.inStr,IFERROR(FIND(_xlpm.Searching,$A46)&gt;=1,FALSE),IF(AND(_xlpm.inStr,LEN(A46)&lt;=6),$A47,""))</f>
        <v/>
      </c>
    </row>
    <row r="41" spans="1:10" x14ac:dyDescent="0.25">
      <c r="A41" s="6">
        <v>4</v>
      </c>
      <c r="B41" s="6"/>
      <c r="C41" s="6"/>
      <c r="D41" s="6"/>
      <c r="E41" s="6"/>
      <c r="F41" s="6"/>
      <c r="G41" s="6"/>
      <c r="H41" s="6"/>
      <c r="I41" s="6"/>
      <c r="J41" s="7"/>
    </row>
    <row r="42" spans="1:10" x14ac:dyDescent="0.25">
      <c r="A42" s="6" t="s">
        <v>31</v>
      </c>
      <c r="B42" s="6"/>
      <c r="C42" s="6"/>
      <c r="D42" s="6"/>
      <c r="E42" s="6"/>
      <c r="F42" s="6"/>
      <c r="G42" s="6"/>
      <c r="H42" s="6"/>
      <c r="I42" s="6"/>
      <c r="J42" s="7"/>
    </row>
    <row r="43" spans="1:10" x14ac:dyDescent="0.25">
      <c r="A43" s="6">
        <v>2</v>
      </c>
    </row>
    <row r="44" spans="1:10" x14ac:dyDescent="0.25">
      <c r="A44" s="6" t="s">
        <v>85</v>
      </c>
    </row>
    <row r="45" spans="1:10" x14ac:dyDescent="0.25">
      <c r="A45" s="6" t="s">
        <v>86</v>
      </c>
    </row>
    <row r="46" spans="1:10" x14ac:dyDescent="0.25">
      <c r="A46" s="6" t="s">
        <v>87</v>
      </c>
      <c r="B46" s="1" t="s">
        <v>1</v>
      </c>
      <c r="C46" s="1" t="s">
        <v>220</v>
      </c>
      <c r="D46" s="1" t="s">
        <v>0</v>
      </c>
      <c r="E46" s="1">
        <v>55</v>
      </c>
      <c r="F46" s="1">
        <v>57</v>
      </c>
      <c r="G46" s="1">
        <v>59</v>
      </c>
      <c r="H46" s="1">
        <v>61</v>
      </c>
      <c r="I46" s="1">
        <v>63</v>
      </c>
      <c r="J46" s="3" t="s">
        <v>2</v>
      </c>
    </row>
    <row r="47" spans="1:10" x14ac:dyDescent="0.25">
      <c r="A47" s="6" t="s">
        <v>88</v>
      </c>
      <c r="B47" t="str" cm="1">
        <f t="array" ref="B47">БУКВЫ(MID($A47,3,11))</f>
        <v>77811153</v>
      </c>
      <c r="C47" t="str">
        <f>MID($A48,1,FIND("Per",A48)-1)</f>
        <v xml:space="preserve">Baseball Cap Shaka Cotton </v>
      </c>
      <c r="D47">
        <f>_xlfn.LET(_xlpm.Searching,"OSFA",_xlpm.inStr,IFERROR(FIND(_xlpm.Searching,$A49)&gt;=1,FALSE),IF(AND(_xlpm.inStr,LEN(A49)&lt;=6),A50,""))</f>
        <v>12</v>
      </c>
      <c r="E47" t="str">
        <f>_xlfn.LET(_xlpm.Searching,"55",_xlpm.inStr,IFERROR(FIND(_xlpm.Searching,$A49)&gt;=1,FALSE),IF(AND(_xlpm.inStr,LEN(A49)&lt;=6),A50,""))</f>
        <v/>
      </c>
      <c r="F47" t="str">
        <f>_xlfn.LET(_xlpm.Searching,"57",_xlpm.inStr,IFERROR(FIND(_xlpm.Searching,$A49)&gt;=1,FALSE),IF(AND(_xlpm.inStr,LEN(A49)&lt;=6),$A50,""))&amp;F48</f>
        <v/>
      </c>
      <c r="G47" t="str">
        <f>_xlfn.LET(_xlpm.Searching,"59",_xlpm.inStr,IFERROR(FIND(_xlpm.Searching,$A49)&gt;=1,FALSE),IF(AND(_xlpm.inStr,LEN(A49)&lt;=6),$A50,""))&amp;G48&amp;G49</f>
        <v/>
      </c>
      <c r="H47" t="str">
        <f>_xlfn.LET(_xlpm.Searching,"61",_xlpm.inStr,IFERROR(FIND(_xlpm.Searching,$A49)&gt;=1,FALSE),IF(AND(_xlpm.inStr,LEN(A49)&lt;=6),$A50,""))&amp;H48&amp;H49&amp;H50</f>
        <v/>
      </c>
      <c r="I47" t="str">
        <f>_xlfn.LET(_xlpm.Searching,"63",_xlpm.inStr,IFERROR(FIND(_xlpm.Searching,$A49)&gt;=1,FALSE),IF(AND(_xlpm.inStr,LEN(A49)&lt;=6),$A50,""))&amp;I48&amp;I49&amp;I50&amp;I51</f>
        <v/>
      </c>
      <c r="J47" s="4">
        <f>MID(TRIM(RIGHT(A47,10)),1,LEN(TRIM(RIGHT(A47,10)))-3)*0.8</f>
        <v>11.920000000000002</v>
      </c>
    </row>
    <row r="48" spans="1:10" x14ac:dyDescent="0.25">
      <c r="A48" s="6" t="s">
        <v>89</v>
      </c>
      <c r="B48" t="str" cm="1">
        <f t="array" ref="B48">БУКВЫ(MID($A47,3,11))</f>
        <v>77811153</v>
      </c>
      <c r="C48" t="str">
        <f>C47</f>
        <v xml:space="preserve">Baseball Cap Shaka Cotton </v>
      </c>
      <c r="D48" s="2"/>
      <c r="E48" s="2"/>
      <c r="F48" t="str">
        <f>_xlfn.LET(_xlpm.Searching,"57",_xlpm.inStr,IFERROR(FIND(_xlpm.Searching,$A51)&gt;=1,FALSE),IF(AND(_xlpm.inStr,LEN(A51)&lt;=6),$A52,""))</f>
        <v/>
      </c>
      <c r="G48" t="str">
        <f>_xlfn.LET(_xlpm.Searching,"59",_xlpm.inStr,IFERROR(FIND(_xlpm.Searching,$A51)&gt;=1,FALSE),IF(AND(_xlpm.inStr,LEN(A51)&lt;=6),$A52,""))</f>
        <v/>
      </c>
      <c r="H48" t="str">
        <f>_xlfn.LET(_xlpm.Searching,"61",_xlpm.inStr,IFERROR(FIND(_xlpm.Searching,$A51)&gt;=1,FALSE),IF(AND(_xlpm.inStr,LEN(A51)&lt;=6),$A52,""))</f>
        <v/>
      </c>
      <c r="I48" t="str">
        <f>_xlfn.LET(_xlpm.Searching,"63",_xlpm.inStr,IFERROR(FIND(_xlpm.Searching,$A51)&gt;=1,FALSE),IF(AND(_xlpm.inStr,LEN(A51)&lt;=6),$A52,""))</f>
        <v/>
      </c>
    </row>
    <row r="49" spans="1:10" x14ac:dyDescent="0.25">
      <c r="A49" s="6" t="s">
        <v>0</v>
      </c>
      <c r="B49" t="str" cm="1">
        <f t="array" ref="B49">БУКВЫ(MID($A47,3,11))</f>
        <v>77811153</v>
      </c>
      <c r="C49" t="str">
        <f t="shared" ref="C49:C51" si="2">C48</f>
        <v xml:space="preserve">Baseball Cap Shaka Cotton </v>
      </c>
      <c r="D49" s="2"/>
      <c r="E49" s="2"/>
      <c r="F49" s="2"/>
      <c r="G49" t="str">
        <f>_xlfn.LET(_xlpm.Searching,"59",_xlpm.inStr,IFERROR(FIND(_xlpm.Searching,$A53)&gt;=1,FALSE),IF(AND(_xlpm.inStr,LEN(A53)&lt;=6),$A54,""))</f>
        <v/>
      </c>
      <c r="H49" t="str">
        <f>_xlfn.LET(_xlpm.Searching,"61",_xlpm.inStr,IFERROR(FIND(_xlpm.Searching,$A53)&gt;=1,FALSE),IF(AND(_xlpm.inStr,LEN(A53)&lt;=6),$A54,""))</f>
        <v/>
      </c>
      <c r="I49" t="str">
        <f>_xlfn.LET(_xlpm.Searching,"63",_xlpm.inStr,IFERROR(FIND(_xlpm.Searching,$A53)&gt;=1,FALSE),IF(AND(_xlpm.inStr,LEN(A53)&lt;=6),$A54,""))</f>
        <v/>
      </c>
    </row>
    <row r="50" spans="1:10" x14ac:dyDescent="0.25">
      <c r="A50" s="6">
        <v>12</v>
      </c>
      <c r="B50" t="str" cm="1">
        <f t="array" ref="B50">БУКВЫ(MID($A47,3,11))</f>
        <v>77811153</v>
      </c>
      <c r="C50" t="str">
        <f t="shared" si="2"/>
        <v xml:space="preserve">Baseball Cap Shaka Cotton </v>
      </c>
      <c r="D50" s="2"/>
      <c r="E50" s="2"/>
      <c r="F50" s="2"/>
      <c r="G50" s="2"/>
      <c r="H50" t="str">
        <f>_xlfn.LET(_xlpm.Searching,"61",_xlpm.inStr,IFERROR(FIND(_xlpm.Searching,$A55)&gt;=1,FALSE),IF(AND(_xlpm.inStr,LEN(A55)&lt;=6),$A56,""))</f>
        <v/>
      </c>
      <c r="I50" t="str">
        <f>_xlfn.LET(_xlpm.Searching,"63",_xlpm.inStr,IFERROR(FIND(_xlpm.Searching,$A55)&gt;=1,FALSE),IF(AND(_xlpm.inStr,LEN(A55)&lt;=6),$A56,""))</f>
        <v/>
      </c>
    </row>
    <row r="51" spans="1:10" x14ac:dyDescent="0.25">
      <c r="A51" s="6" t="s">
        <v>65</v>
      </c>
      <c r="B51" t="str" cm="1">
        <f t="array" ref="B51">БУКВЫ(MID($A47,3,11))</f>
        <v>77811153</v>
      </c>
      <c r="C51" t="str">
        <f t="shared" si="2"/>
        <v xml:space="preserve">Baseball Cap Shaka Cotton </v>
      </c>
      <c r="D51" s="2"/>
      <c r="E51" s="2"/>
      <c r="F51" s="2"/>
      <c r="G51" s="2"/>
      <c r="H51" s="2"/>
      <c r="I51" t="str">
        <f>_xlfn.LET(_xlpm.Searching,"63",_xlpm.inStr,IFERROR(FIND(_xlpm.Searching,$A57)&gt;=1,FALSE),IF(AND(_xlpm.inStr,LEN(A57)&lt;=6),$A58,""))</f>
        <v/>
      </c>
    </row>
    <row r="52" spans="1:10" x14ac:dyDescent="0.25">
      <c r="A52" s="6" t="s">
        <v>90</v>
      </c>
    </row>
    <row r="53" spans="1:10" x14ac:dyDescent="0.25">
      <c r="A53" s="6" t="s">
        <v>91</v>
      </c>
      <c r="B53" s="1" t="s">
        <v>1</v>
      </c>
      <c r="C53" s="1" t="s">
        <v>220</v>
      </c>
      <c r="D53" s="1" t="s">
        <v>0</v>
      </c>
      <c r="E53" s="1">
        <v>55</v>
      </c>
      <c r="F53" s="1">
        <v>57</v>
      </c>
      <c r="G53" s="1">
        <v>59</v>
      </c>
      <c r="H53" s="1">
        <v>61</v>
      </c>
      <c r="I53" s="1">
        <v>63</v>
      </c>
      <c r="J53" s="3" t="s">
        <v>2</v>
      </c>
    </row>
    <row r="54" spans="1:10" x14ac:dyDescent="0.25">
      <c r="A54" s="6" t="s">
        <v>92</v>
      </c>
      <c r="B54" t="str" cm="1">
        <f t="array" ref="B54">БУКВЫ(MID($A54,3,11))</f>
        <v>77811158</v>
      </c>
      <c r="C54" t="str">
        <f>MID($A55,1,FIND("Per",A55)-1)</f>
        <v xml:space="preserve">Baseball Cap Shaka Cotton </v>
      </c>
      <c r="D54">
        <f>_xlfn.LET(_xlpm.Searching,"OSFA",_xlpm.inStr,IFERROR(FIND(_xlpm.Searching,$A56)&gt;=1,FALSE),IF(AND(_xlpm.inStr,LEN(A56)&lt;=6),A57,""))</f>
        <v>6</v>
      </c>
      <c r="E54" t="str">
        <f>_xlfn.LET(_xlpm.Searching,"55",_xlpm.inStr,IFERROR(FIND(_xlpm.Searching,$A56)&gt;=1,FALSE),IF(AND(_xlpm.inStr,LEN(A56)&lt;=6),A57,""))</f>
        <v/>
      </c>
      <c r="F54" t="str">
        <f>_xlfn.LET(_xlpm.Searching,"57",_xlpm.inStr,IFERROR(FIND(_xlpm.Searching,$A56)&gt;=1,FALSE),IF(AND(_xlpm.inStr,LEN(A56)&lt;=6),$A57,""))&amp;F55</f>
        <v/>
      </c>
      <c r="G54" t="str">
        <f>_xlfn.LET(_xlpm.Searching,"59",_xlpm.inStr,IFERROR(FIND(_xlpm.Searching,$A56)&gt;=1,FALSE),IF(AND(_xlpm.inStr,LEN(A56)&lt;=6),$A57,""))&amp;G55&amp;G56</f>
        <v/>
      </c>
      <c r="H54" t="str">
        <f>_xlfn.LET(_xlpm.Searching,"61",_xlpm.inStr,IFERROR(FIND(_xlpm.Searching,$A56)&gt;=1,FALSE),IF(AND(_xlpm.inStr,LEN(A56)&lt;=6),$A57,""))&amp;H55&amp;H56&amp;H57</f>
        <v/>
      </c>
      <c r="I54" t="str">
        <f>_xlfn.LET(_xlpm.Searching,"63",_xlpm.inStr,IFERROR(FIND(_xlpm.Searching,$A56)&gt;=1,FALSE),IF(AND(_xlpm.inStr,LEN(A56)&lt;=6),$A57,""))&amp;I55&amp;I56&amp;I57&amp;I58</f>
        <v/>
      </c>
      <c r="J54" s="4">
        <f>MID(TRIM(RIGHT(A54,10)),1,LEN(TRIM(RIGHT(A54,10)))-3)*0.8</f>
        <v>11.920000000000002</v>
      </c>
    </row>
    <row r="55" spans="1:10" x14ac:dyDescent="0.25">
      <c r="A55" s="6" t="s">
        <v>89</v>
      </c>
      <c r="B55" t="str" cm="1">
        <f t="array" ref="B55">БУКВЫ(MID($A54,3,11))</f>
        <v>77811158</v>
      </c>
      <c r="C55" t="str">
        <f>C54</f>
        <v xml:space="preserve">Baseball Cap Shaka Cotton </v>
      </c>
      <c r="D55" s="2"/>
      <c r="E55" s="2"/>
      <c r="F55" t="str">
        <f>_xlfn.LET(_xlpm.Searching,"57",_xlpm.inStr,IFERROR(FIND(_xlpm.Searching,$A58)&gt;=1,FALSE),IF(AND(_xlpm.inStr,LEN(A58)&lt;=6),$A59,""))</f>
        <v/>
      </c>
      <c r="G55" t="str">
        <f>_xlfn.LET(_xlpm.Searching,"59",_xlpm.inStr,IFERROR(FIND(_xlpm.Searching,$A58)&gt;=1,FALSE),IF(AND(_xlpm.inStr,LEN(A58)&lt;=6),$A59,""))</f>
        <v/>
      </c>
      <c r="H55" t="str">
        <f>_xlfn.LET(_xlpm.Searching,"61",_xlpm.inStr,IFERROR(FIND(_xlpm.Searching,$A58)&gt;=1,FALSE),IF(AND(_xlpm.inStr,LEN(A58)&lt;=6),$A59,""))</f>
        <v/>
      </c>
      <c r="I55" t="str">
        <f>_xlfn.LET(_xlpm.Searching,"63",_xlpm.inStr,IFERROR(FIND(_xlpm.Searching,$A58)&gt;=1,FALSE),IF(AND(_xlpm.inStr,LEN(A58)&lt;=6),$A59,""))</f>
        <v/>
      </c>
    </row>
    <row r="56" spans="1:10" x14ac:dyDescent="0.25">
      <c r="A56" s="6" t="s">
        <v>0</v>
      </c>
      <c r="B56" t="str" cm="1">
        <f t="array" ref="B56">БУКВЫ(MID($A54,3,11))</f>
        <v>77811158</v>
      </c>
      <c r="C56" t="str">
        <f t="shared" ref="C56:C58" si="3">C55</f>
        <v xml:space="preserve">Baseball Cap Shaka Cotton </v>
      </c>
      <c r="D56" s="2"/>
      <c r="E56" s="2"/>
      <c r="F56" s="2"/>
      <c r="G56" t="str">
        <f>_xlfn.LET(_xlpm.Searching,"59",_xlpm.inStr,IFERROR(FIND(_xlpm.Searching,$A60)&gt;=1,FALSE),IF(AND(_xlpm.inStr,LEN(A60)&lt;=6),$A61,""))</f>
        <v/>
      </c>
      <c r="H56" t="str">
        <f>_xlfn.LET(_xlpm.Searching,"61",_xlpm.inStr,IFERROR(FIND(_xlpm.Searching,$A60)&gt;=1,FALSE),IF(AND(_xlpm.inStr,LEN(A60)&lt;=6),$A61,""))</f>
        <v/>
      </c>
      <c r="I56" t="str">
        <f>_xlfn.LET(_xlpm.Searching,"63",_xlpm.inStr,IFERROR(FIND(_xlpm.Searching,$A60)&gt;=1,FALSE),IF(AND(_xlpm.inStr,LEN(A60)&lt;=6),$A61,""))</f>
        <v/>
      </c>
    </row>
    <row r="57" spans="1:10" x14ac:dyDescent="0.25">
      <c r="A57" s="6">
        <v>6</v>
      </c>
      <c r="B57" t="str" cm="1">
        <f t="array" ref="B57">БУКВЫ(MID($A54,3,11))</f>
        <v>77811158</v>
      </c>
      <c r="C57" t="str">
        <f t="shared" si="3"/>
        <v xml:space="preserve">Baseball Cap Shaka Cotton </v>
      </c>
      <c r="D57" s="2"/>
      <c r="E57" s="2"/>
      <c r="F57" s="2"/>
      <c r="G57" s="2"/>
      <c r="H57" t="str">
        <f>_xlfn.LET(_xlpm.Searching,"61",_xlpm.inStr,IFERROR(FIND(_xlpm.Searching,$A62)&gt;=1,FALSE),IF(AND(_xlpm.inStr,LEN(A62)&lt;=6),$A63,""))</f>
        <v/>
      </c>
      <c r="I57" t="str">
        <f>_xlfn.LET(_xlpm.Searching,"63",_xlpm.inStr,IFERROR(FIND(_xlpm.Searching,$A62)&gt;=1,FALSE),IF(AND(_xlpm.inStr,LEN(A62)&lt;=6),$A63,""))</f>
        <v/>
      </c>
    </row>
    <row r="58" spans="1:10" x14ac:dyDescent="0.25">
      <c r="A58" s="6" t="s">
        <v>65</v>
      </c>
      <c r="B58" t="str" cm="1">
        <f t="array" ref="B58">БУКВЫ(MID($A54,3,11))</f>
        <v>77811158</v>
      </c>
      <c r="C58" t="str">
        <f t="shared" si="3"/>
        <v xml:space="preserve">Baseball Cap Shaka Cotton </v>
      </c>
      <c r="D58" s="2"/>
      <c r="E58" s="2"/>
      <c r="F58" s="2"/>
      <c r="G58" s="2"/>
      <c r="H58" s="2"/>
      <c r="I58" t="str">
        <f>_xlfn.LET(_xlpm.Searching,"63",_xlpm.inStr,IFERROR(FIND(_xlpm.Searching,$A64)&gt;=1,FALSE),IF(AND(_xlpm.inStr,LEN(A64)&lt;=6),$A65,""))</f>
        <v/>
      </c>
    </row>
    <row r="59" spans="1:10" x14ac:dyDescent="0.25">
      <c r="A59" s="6" t="s">
        <v>93</v>
      </c>
    </row>
    <row r="60" spans="1:10" x14ac:dyDescent="0.25">
      <c r="A60" s="6" t="s">
        <v>94</v>
      </c>
    </row>
    <row r="61" spans="1:10" x14ac:dyDescent="0.25">
      <c r="A61" s="6" t="s">
        <v>18</v>
      </c>
    </row>
    <row r="62" spans="1:10" x14ac:dyDescent="0.25">
      <c r="A62" s="6" t="s">
        <v>36</v>
      </c>
    </row>
    <row r="63" spans="1:10" x14ac:dyDescent="0.25">
      <c r="A63" s="6" t="s">
        <v>37</v>
      </c>
    </row>
    <row r="64" spans="1:10" x14ac:dyDescent="0.25">
      <c r="A64" s="6" t="s">
        <v>38</v>
      </c>
    </row>
    <row r="65" spans="1:1" x14ac:dyDescent="0.25">
      <c r="A65" s="6" t="s">
        <v>39</v>
      </c>
    </row>
    <row r="66" spans="1:1" x14ac:dyDescent="0.25">
      <c r="A66" s="6" t="s">
        <v>40</v>
      </c>
    </row>
    <row r="67" spans="1:1" x14ac:dyDescent="0.25">
      <c r="A67" s="6" t="s">
        <v>41</v>
      </c>
    </row>
    <row r="68" spans="1:1" x14ac:dyDescent="0.25">
      <c r="A68" s="6" t="s">
        <v>42</v>
      </c>
    </row>
    <row r="69" spans="1:1" x14ac:dyDescent="0.25">
      <c r="A69" s="6" t="s">
        <v>43</v>
      </c>
    </row>
    <row r="70" spans="1:1" x14ac:dyDescent="0.25">
      <c r="A70" s="6" t="s">
        <v>44</v>
      </c>
    </row>
    <row r="71" spans="1:1" x14ac:dyDescent="0.25">
      <c r="A71" s="6" t="s">
        <v>45</v>
      </c>
    </row>
    <row r="72" spans="1:1" x14ac:dyDescent="0.25">
      <c r="A72" s="6" t="s">
        <v>46</v>
      </c>
    </row>
    <row r="73" spans="1:1" x14ac:dyDescent="0.25">
      <c r="A73" s="6" t="s">
        <v>47</v>
      </c>
    </row>
    <row r="74" spans="1:1" x14ac:dyDescent="0.25">
      <c r="A74" s="6" t="s">
        <v>48</v>
      </c>
    </row>
    <row r="75" spans="1:1" x14ac:dyDescent="0.25">
      <c r="A75" s="6" t="s">
        <v>49</v>
      </c>
    </row>
    <row r="76" spans="1:1" x14ac:dyDescent="0.25">
      <c r="A76" s="6" t="s">
        <v>81</v>
      </c>
    </row>
    <row r="77" spans="1:1" x14ac:dyDescent="0.25">
      <c r="A77" s="6" t="s">
        <v>95</v>
      </c>
    </row>
    <row r="78" spans="1:1" x14ac:dyDescent="0.25">
      <c r="A78" s="6" t="s">
        <v>50</v>
      </c>
    </row>
    <row r="79" spans="1:1" x14ac:dyDescent="0.25">
      <c r="A79" s="6" t="s">
        <v>21</v>
      </c>
    </row>
    <row r="80" spans="1:1" x14ac:dyDescent="0.25">
      <c r="A80" s="6" t="s">
        <v>22</v>
      </c>
    </row>
    <row r="81" spans="1:10" x14ac:dyDescent="0.25">
      <c r="A81" s="6" t="s">
        <v>23</v>
      </c>
    </row>
    <row r="82" spans="1:10" x14ac:dyDescent="0.25">
      <c r="A82" s="6" t="s">
        <v>24</v>
      </c>
    </row>
    <row r="83" spans="1:10" x14ac:dyDescent="0.25">
      <c r="A83" s="6" t="s">
        <v>25</v>
      </c>
    </row>
    <row r="84" spans="1:10" x14ac:dyDescent="0.25">
      <c r="A84" s="6" t="s">
        <v>26</v>
      </c>
    </row>
    <row r="85" spans="1:10" x14ac:dyDescent="0.25">
      <c r="A85" s="6" t="s">
        <v>27</v>
      </c>
      <c r="B85" s="1" t="s">
        <v>1</v>
      </c>
      <c r="C85" s="1" t="s">
        <v>220</v>
      </c>
      <c r="D85" s="1" t="s">
        <v>0</v>
      </c>
      <c r="E85" s="1">
        <v>55</v>
      </c>
      <c r="F85" s="1">
        <v>57</v>
      </c>
      <c r="G85" s="1">
        <v>59</v>
      </c>
      <c r="H85" s="1">
        <v>61</v>
      </c>
      <c r="I85" s="1">
        <v>63</v>
      </c>
      <c r="J85" s="3" t="s">
        <v>2</v>
      </c>
    </row>
    <row r="86" spans="1:10" x14ac:dyDescent="0.25">
      <c r="A86" s="6" t="s">
        <v>96</v>
      </c>
      <c r="B86" t="str" cm="1">
        <f t="array" ref="B86">БУКВЫ(MID($A86,3,11))</f>
        <v>778111875</v>
      </c>
      <c r="C86" t="str">
        <f>MID($A87,1,FIND("Per",A87)-1)</f>
        <v xml:space="preserve">Baseball Cap Camo Cotton </v>
      </c>
      <c r="D86">
        <f>_xlfn.LET(_xlpm.Searching,"OSFA",_xlpm.inStr,IFERROR(FIND(_xlpm.Searching,$A88)&gt;=1,FALSE),IF(AND(_xlpm.inStr,LEN(A88)&lt;=6),A89,""))</f>
        <v>6</v>
      </c>
      <c r="E86" t="str">
        <f>_xlfn.LET(_xlpm.Searching,"55",_xlpm.inStr,IFERROR(FIND(_xlpm.Searching,$A88)&gt;=1,FALSE),IF(AND(_xlpm.inStr,LEN(A88)&lt;=6),A89,""))</f>
        <v/>
      </c>
      <c r="F86" t="str">
        <f>_xlfn.LET(_xlpm.Searching,"57",_xlpm.inStr,IFERROR(FIND(_xlpm.Searching,$A88)&gt;=1,FALSE),IF(AND(_xlpm.inStr,LEN(A88)&lt;=6),$A89,""))&amp;F87</f>
        <v/>
      </c>
      <c r="G86" t="str">
        <f>_xlfn.LET(_xlpm.Searching,"59",_xlpm.inStr,IFERROR(FIND(_xlpm.Searching,$A88)&gt;=1,FALSE),IF(AND(_xlpm.inStr,LEN(A88)&lt;=6),$A89,""))&amp;G87&amp;G88</f>
        <v/>
      </c>
      <c r="H86" t="str">
        <f>_xlfn.LET(_xlpm.Searching,"61",_xlpm.inStr,IFERROR(FIND(_xlpm.Searching,$A88)&gt;=1,FALSE),IF(AND(_xlpm.inStr,LEN(A88)&lt;=6),$A89,""))&amp;H87&amp;H88&amp;H89</f>
        <v/>
      </c>
      <c r="I86" t="str">
        <f>_xlfn.LET(_xlpm.Searching,"63",_xlpm.inStr,IFERROR(FIND(_xlpm.Searching,$A88)&gt;=1,FALSE),IF(AND(_xlpm.inStr,LEN(A88)&lt;=6),$A89,""))&amp;I87&amp;I88&amp;I89&amp;I90</f>
        <v/>
      </c>
      <c r="J86" s="4">
        <f>MID(TRIM(RIGHT(A86,10)),1,LEN(TRIM(RIGHT(A86,10)))-3)*0.8</f>
        <v>11.920000000000002</v>
      </c>
    </row>
    <row r="87" spans="1:10" x14ac:dyDescent="0.25">
      <c r="A87" s="6" t="s">
        <v>97</v>
      </c>
      <c r="B87" t="str" cm="1">
        <f t="array" ref="B87">БУКВЫ(MID($A86,3,11))</f>
        <v>778111875</v>
      </c>
      <c r="C87" t="str">
        <f>C86</f>
        <v xml:space="preserve">Baseball Cap Camo Cotton </v>
      </c>
      <c r="D87" s="2"/>
      <c r="E87" s="2"/>
      <c r="F87" t="str">
        <f>_xlfn.LET(_xlpm.Searching,"57",_xlpm.inStr,IFERROR(FIND(_xlpm.Searching,$A90)&gt;=1,FALSE),IF(AND(_xlpm.inStr,LEN(A90)&lt;=6),$A91,""))</f>
        <v/>
      </c>
      <c r="G87" t="str">
        <f>_xlfn.LET(_xlpm.Searching,"59",_xlpm.inStr,IFERROR(FIND(_xlpm.Searching,$A90)&gt;=1,FALSE),IF(AND(_xlpm.inStr,LEN(A90)&lt;=6),$A91,""))</f>
        <v/>
      </c>
      <c r="H87" t="str">
        <f>_xlfn.LET(_xlpm.Searching,"61",_xlpm.inStr,IFERROR(FIND(_xlpm.Searching,$A90)&gt;=1,FALSE),IF(AND(_xlpm.inStr,LEN(A90)&lt;=6),$A91,""))</f>
        <v/>
      </c>
      <c r="I87" t="str">
        <f>_xlfn.LET(_xlpm.Searching,"63",_xlpm.inStr,IFERROR(FIND(_xlpm.Searching,$A90)&gt;=1,FALSE),IF(AND(_xlpm.inStr,LEN(A90)&lt;=6),$A91,""))</f>
        <v/>
      </c>
    </row>
    <row r="88" spans="1:10" x14ac:dyDescent="0.25">
      <c r="A88" s="6" t="s">
        <v>0</v>
      </c>
      <c r="B88" t="str" cm="1">
        <f t="array" ref="B88">БУКВЫ(MID($A86,3,11))</f>
        <v>778111875</v>
      </c>
      <c r="C88" t="str">
        <f t="shared" ref="C88:C90" si="4">C87</f>
        <v xml:space="preserve">Baseball Cap Camo Cotton </v>
      </c>
      <c r="D88" s="2"/>
      <c r="E88" s="2"/>
      <c r="F88" s="2"/>
      <c r="G88" t="str">
        <f>_xlfn.LET(_xlpm.Searching,"59",_xlpm.inStr,IFERROR(FIND(_xlpm.Searching,$A92)&gt;=1,FALSE),IF(AND(_xlpm.inStr,LEN(A92)&lt;=6),$A93,""))</f>
        <v/>
      </c>
      <c r="H88" t="str">
        <f>_xlfn.LET(_xlpm.Searching,"61",_xlpm.inStr,IFERROR(FIND(_xlpm.Searching,$A92)&gt;=1,FALSE),IF(AND(_xlpm.inStr,LEN(A92)&lt;=6),$A93,""))</f>
        <v/>
      </c>
      <c r="I88" t="str">
        <f>_xlfn.LET(_xlpm.Searching,"63",_xlpm.inStr,IFERROR(FIND(_xlpm.Searching,$A92)&gt;=1,FALSE),IF(AND(_xlpm.inStr,LEN(A92)&lt;=6),$A93,""))</f>
        <v/>
      </c>
    </row>
    <row r="89" spans="1:10" x14ac:dyDescent="0.25">
      <c r="A89" s="6">
        <v>6</v>
      </c>
      <c r="B89" t="str" cm="1">
        <f t="array" ref="B89">БУКВЫ(MID($A86,3,11))</f>
        <v>778111875</v>
      </c>
      <c r="C89" t="str">
        <f t="shared" si="4"/>
        <v xml:space="preserve">Baseball Cap Camo Cotton </v>
      </c>
      <c r="D89" s="2"/>
      <c r="E89" s="2"/>
      <c r="F89" s="2"/>
      <c r="G89" s="2"/>
      <c r="H89" t="str">
        <f>_xlfn.LET(_xlpm.Searching,"61",_xlpm.inStr,IFERROR(FIND(_xlpm.Searching,$A94)&gt;=1,FALSE),IF(AND(_xlpm.inStr,LEN(A94)&lt;=6),$A95,""))</f>
        <v/>
      </c>
      <c r="I89" t="str">
        <f>_xlfn.LET(_xlpm.Searching,"63",_xlpm.inStr,IFERROR(FIND(_xlpm.Searching,$A94)&gt;=1,FALSE),IF(AND(_xlpm.inStr,LEN(A94)&lt;=6),$A95,""))</f>
        <v/>
      </c>
    </row>
    <row r="90" spans="1:10" x14ac:dyDescent="0.25">
      <c r="A90" s="6" t="s">
        <v>65</v>
      </c>
      <c r="B90" t="str" cm="1">
        <f t="array" ref="B90">БУКВЫ(MID($A86,3,11))</f>
        <v>778111875</v>
      </c>
      <c r="C90" t="str">
        <f t="shared" si="4"/>
        <v xml:space="preserve">Baseball Cap Camo Cotton </v>
      </c>
      <c r="D90" s="2"/>
      <c r="E90" s="2"/>
      <c r="F90" s="2"/>
      <c r="G90" s="2"/>
      <c r="H90" s="2"/>
      <c r="I90" t="str">
        <f>_xlfn.LET(_xlpm.Searching,"63",_xlpm.inStr,IFERROR(FIND(_xlpm.Searching,$A96)&gt;=1,FALSE),IF(AND(_xlpm.inStr,LEN(A96)&lt;=6),$A97,""))</f>
        <v/>
      </c>
    </row>
    <row r="91" spans="1:10" x14ac:dyDescent="0.25">
      <c r="A91" s="6" t="s">
        <v>93</v>
      </c>
    </row>
    <row r="92" spans="1:10" x14ac:dyDescent="0.25">
      <c r="A92" s="6" t="s">
        <v>94</v>
      </c>
      <c r="B92" s="1" t="s">
        <v>1</v>
      </c>
      <c r="C92" s="1" t="s">
        <v>220</v>
      </c>
      <c r="D92" s="1" t="s">
        <v>0</v>
      </c>
      <c r="E92" s="1">
        <v>55</v>
      </c>
      <c r="F92" s="1">
        <v>57</v>
      </c>
      <c r="G92" s="1">
        <v>59</v>
      </c>
      <c r="H92" s="1">
        <v>61</v>
      </c>
      <c r="I92" s="1">
        <v>63</v>
      </c>
      <c r="J92" s="3" t="s">
        <v>2</v>
      </c>
    </row>
    <row r="93" spans="1:10" x14ac:dyDescent="0.25">
      <c r="A93" s="6" t="s">
        <v>98</v>
      </c>
      <c r="B93" t="str" cm="1">
        <f t="array" ref="B93">БУКВЫ(MID($A93,3,11))</f>
        <v>778112031</v>
      </c>
      <c r="C93" t="str">
        <f>MID($A94,1,FIND("Per",A94)-1)</f>
        <v xml:space="preserve">Baseball Cap Cotton </v>
      </c>
      <c r="D93">
        <f>_xlfn.LET(_xlpm.Searching,"OSFA",_xlpm.inStr,IFERROR(FIND(_xlpm.Searching,$A95)&gt;=1,FALSE),IF(AND(_xlpm.inStr,LEN(A95)&lt;=6),A96,""))</f>
        <v>6</v>
      </c>
      <c r="E93" t="str">
        <f>_xlfn.LET(_xlpm.Searching,"55",_xlpm.inStr,IFERROR(FIND(_xlpm.Searching,$A95)&gt;=1,FALSE),IF(AND(_xlpm.inStr,LEN(A95)&lt;=6),A96,""))</f>
        <v/>
      </c>
      <c r="F93" t="str">
        <f>_xlfn.LET(_xlpm.Searching,"57",_xlpm.inStr,IFERROR(FIND(_xlpm.Searching,$A95)&gt;=1,FALSE),IF(AND(_xlpm.inStr,LEN(A95)&lt;=6),$A96,""))&amp;F94</f>
        <v/>
      </c>
      <c r="G93" t="str">
        <f>_xlfn.LET(_xlpm.Searching,"59",_xlpm.inStr,IFERROR(FIND(_xlpm.Searching,$A95)&gt;=1,FALSE),IF(AND(_xlpm.inStr,LEN(A95)&lt;=6),$A96,""))&amp;G94&amp;G95</f>
        <v/>
      </c>
      <c r="H93" t="str">
        <f>_xlfn.LET(_xlpm.Searching,"61",_xlpm.inStr,IFERROR(FIND(_xlpm.Searching,$A95)&gt;=1,FALSE),IF(AND(_xlpm.inStr,LEN(A95)&lt;=6),$A96,""))&amp;H94&amp;H95&amp;H96</f>
        <v/>
      </c>
      <c r="I93" t="str">
        <f>_xlfn.LET(_xlpm.Searching,"63",_xlpm.inStr,IFERROR(FIND(_xlpm.Searching,$A95)&gt;=1,FALSE),IF(AND(_xlpm.inStr,LEN(A95)&lt;=6),$A96,""))&amp;I94&amp;I95&amp;I96&amp;I97</f>
        <v/>
      </c>
      <c r="J93" s="4">
        <f>MID(TRIM(RIGHT(A93,10)),1,LEN(TRIM(RIGHT(A93,10)))-3)*0.8</f>
        <v>11.920000000000002</v>
      </c>
    </row>
    <row r="94" spans="1:10" x14ac:dyDescent="0.25">
      <c r="A94" s="6" t="s">
        <v>62</v>
      </c>
      <c r="B94" t="str" cm="1">
        <f t="array" ref="B94">БУКВЫ(MID($A93,3,11))</f>
        <v>778112031</v>
      </c>
      <c r="C94" t="str">
        <f>C93</f>
        <v xml:space="preserve">Baseball Cap Cotton </v>
      </c>
      <c r="D94" s="2"/>
      <c r="E94" s="2"/>
      <c r="F94" t="str">
        <f>_xlfn.LET(_xlpm.Searching,"57",_xlpm.inStr,IFERROR(FIND(_xlpm.Searching,$A97)&gt;=1,FALSE),IF(AND(_xlpm.inStr,LEN(A97)&lt;=6),$A98,""))</f>
        <v/>
      </c>
      <c r="G94" t="str">
        <f>_xlfn.LET(_xlpm.Searching,"59",_xlpm.inStr,IFERROR(FIND(_xlpm.Searching,$A97)&gt;=1,FALSE),IF(AND(_xlpm.inStr,LEN(A97)&lt;=6),$A98,""))</f>
        <v/>
      </c>
      <c r="H94" t="str">
        <f>_xlfn.LET(_xlpm.Searching,"61",_xlpm.inStr,IFERROR(FIND(_xlpm.Searching,$A97)&gt;=1,FALSE),IF(AND(_xlpm.inStr,LEN(A97)&lt;=6),$A98,""))</f>
        <v/>
      </c>
      <c r="I94" t="str">
        <f>_xlfn.LET(_xlpm.Searching,"63",_xlpm.inStr,IFERROR(FIND(_xlpm.Searching,$A97)&gt;=1,FALSE),IF(AND(_xlpm.inStr,LEN(A97)&lt;=6),$A98,""))</f>
        <v/>
      </c>
    </row>
    <row r="95" spans="1:10" x14ac:dyDescent="0.25">
      <c r="A95" s="6" t="s">
        <v>0</v>
      </c>
      <c r="B95" t="str" cm="1">
        <f t="array" ref="B95">БУКВЫ(MID($A93,3,11))</f>
        <v>778112031</v>
      </c>
      <c r="C95" t="str">
        <f t="shared" ref="C95:C97" si="5">C94</f>
        <v xml:space="preserve">Baseball Cap Cotton </v>
      </c>
      <c r="D95" s="2"/>
      <c r="E95" s="2"/>
      <c r="F95" s="2"/>
      <c r="G95" t="str">
        <f>_xlfn.LET(_xlpm.Searching,"59",_xlpm.inStr,IFERROR(FIND(_xlpm.Searching,$A99)&gt;=1,FALSE),IF(AND(_xlpm.inStr,LEN(A99)&lt;=6),$A100,""))</f>
        <v/>
      </c>
      <c r="H95" t="str">
        <f>_xlfn.LET(_xlpm.Searching,"61",_xlpm.inStr,IFERROR(FIND(_xlpm.Searching,$A99)&gt;=1,FALSE),IF(AND(_xlpm.inStr,LEN(A99)&lt;=6),$A100,""))</f>
        <v/>
      </c>
      <c r="I95" t="str">
        <f>_xlfn.LET(_xlpm.Searching,"63",_xlpm.inStr,IFERROR(FIND(_xlpm.Searching,$A99)&gt;=1,FALSE),IF(AND(_xlpm.inStr,LEN(A99)&lt;=6),$A100,""))</f>
        <v/>
      </c>
    </row>
    <row r="96" spans="1:10" x14ac:dyDescent="0.25">
      <c r="A96" s="6">
        <v>6</v>
      </c>
      <c r="B96" t="str" cm="1">
        <f t="array" ref="B96">БУКВЫ(MID($A93,3,11))</f>
        <v>778112031</v>
      </c>
      <c r="C96" t="str">
        <f t="shared" si="5"/>
        <v xml:space="preserve">Baseball Cap Cotton </v>
      </c>
      <c r="D96" s="2"/>
      <c r="E96" s="2"/>
      <c r="F96" s="2"/>
      <c r="G96" s="2"/>
      <c r="H96" t="str">
        <f>_xlfn.LET(_xlpm.Searching,"61",_xlpm.inStr,IFERROR(FIND(_xlpm.Searching,$A101)&gt;=1,FALSE),IF(AND(_xlpm.inStr,LEN(A101)&lt;=6),$A102,""))</f>
        <v/>
      </c>
      <c r="I96" t="str">
        <f>_xlfn.LET(_xlpm.Searching,"63",_xlpm.inStr,IFERROR(FIND(_xlpm.Searching,$A101)&gt;=1,FALSE),IF(AND(_xlpm.inStr,LEN(A101)&lt;=6),$A102,""))</f>
        <v/>
      </c>
    </row>
    <row r="97" spans="1:10" x14ac:dyDescent="0.25">
      <c r="A97" s="6" t="s">
        <v>65</v>
      </c>
      <c r="B97" t="str" cm="1">
        <f t="array" ref="B97">БУКВЫ(MID($A93,3,11))</f>
        <v>778112031</v>
      </c>
      <c r="C97" t="str">
        <f t="shared" si="5"/>
        <v xml:space="preserve">Baseball Cap Cotton </v>
      </c>
      <c r="D97" s="2"/>
      <c r="E97" s="2"/>
      <c r="F97" s="2"/>
      <c r="G97" s="2"/>
      <c r="H97" s="2"/>
      <c r="I97" t="str">
        <f>_xlfn.LET(_xlpm.Searching,"63",_xlpm.inStr,IFERROR(FIND(_xlpm.Searching,$A103)&gt;=1,FALSE),IF(AND(_xlpm.inStr,LEN(A103)&lt;=6),$A104,""))</f>
        <v/>
      </c>
    </row>
    <row r="98" spans="1:10" x14ac:dyDescent="0.25">
      <c r="A98" s="6" t="s">
        <v>93</v>
      </c>
    </row>
    <row r="99" spans="1:10" x14ac:dyDescent="0.25">
      <c r="A99" s="6" t="s">
        <v>94</v>
      </c>
      <c r="B99" s="1" t="s">
        <v>1</v>
      </c>
      <c r="C99" s="1" t="s">
        <v>220</v>
      </c>
      <c r="D99" s="1" t="s">
        <v>0</v>
      </c>
      <c r="E99" s="1">
        <v>55</v>
      </c>
      <c r="F99" s="1">
        <v>57</v>
      </c>
      <c r="G99" s="1">
        <v>59</v>
      </c>
      <c r="H99" s="1">
        <v>61</v>
      </c>
      <c r="I99" s="1">
        <v>63</v>
      </c>
      <c r="J99" s="3" t="s">
        <v>2</v>
      </c>
    </row>
    <row r="100" spans="1:10" x14ac:dyDescent="0.25">
      <c r="A100" s="6" t="s">
        <v>99</v>
      </c>
      <c r="B100" t="str" cm="1">
        <f t="array" ref="B100">БУКВЫ(MID($A100,3,11))</f>
        <v>66111302</v>
      </c>
      <c r="C100" t="str">
        <f>MID($A101,1,FIND("Per",A101)-1)</f>
        <v xml:space="preserve">Texas Denim </v>
      </c>
      <c r="D100" t="str">
        <f>_xlfn.LET(_xlpm.Searching,"OSFA",_xlpm.inStr,IFERROR(FIND(_xlpm.Searching,$A102)&gt;=1,FALSE),IF(AND(_xlpm.inStr,LEN(A102)&lt;=6),A103,""))</f>
        <v/>
      </c>
      <c r="E100">
        <f>_xlfn.LET(_xlpm.Searching,"55",_xlpm.inStr,IFERROR(FIND(_xlpm.Searching,$A102)&gt;=1,FALSE),IF(AND(_xlpm.inStr,LEN(A102)&lt;=6),A103,""))</f>
        <v>1</v>
      </c>
      <c r="F100" t="str">
        <f>_xlfn.LET(_xlpm.Searching,"57",_xlpm.inStr,IFERROR(FIND(_xlpm.Searching,$A102)&gt;=1,FALSE),IF(AND(_xlpm.inStr,LEN(A102)&lt;=6),$A103,""))&amp;F101</f>
        <v>5</v>
      </c>
      <c r="G100" t="str">
        <f>_xlfn.LET(_xlpm.Searching,"59",_xlpm.inStr,IFERROR(FIND(_xlpm.Searching,$A102)&gt;=1,FALSE),IF(AND(_xlpm.inStr,LEN(A102)&lt;=6),$A103,""))&amp;G101&amp;G102</f>
        <v>7</v>
      </c>
      <c r="H100" t="str">
        <f>_xlfn.LET(_xlpm.Searching,"61",_xlpm.inStr,IFERROR(FIND(_xlpm.Searching,$A102)&gt;=1,FALSE),IF(AND(_xlpm.inStr,LEN(A102)&lt;=6),$A103,""))&amp;H101&amp;H102&amp;H103</f>
        <v>5</v>
      </c>
      <c r="I100" t="str">
        <f>_xlfn.LET(_xlpm.Searching,"63",_xlpm.inStr,IFERROR(FIND(_xlpm.Searching,$A102)&gt;=1,FALSE),IF(AND(_xlpm.inStr,LEN(A102)&lt;=6),$A103,""))&amp;I101&amp;I102&amp;I103&amp;I104</f>
        <v>3</v>
      </c>
      <c r="J100" s="4">
        <f>MID(TRIM(RIGHT(A100,10)),1,LEN(TRIM(RIGHT(A100,10)))-3)*0.8</f>
        <v>18.32</v>
      </c>
    </row>
    <row r="101" spans="1:10" x14ac:dyDescent="0.25">
      <c r="A101" s="6" t="s">
        <v>100</v>
      </c>
      <c r="B101" t="str" cm="1">
        <f t="array" ref="B101">БУКВЫ(MID($A100,3,11))</f>
        <v>66111302</v>
      </c>
      <c r="C101" t="str">
        <f>C100</f>
        <v xml:space="preserve">Texas Denim </v>
      </c>
      <c r="D101" s="2"/>
      <c r="E101" s="2"/>
      <c r="F101">
        <f>_xlfn.LET(_xlpm.Searching,"57",_xlpm.inStr,IFERROR(FIND(_xlpm.Searching,$A104)&gt;=1,FALSE),IF(AND(_xlpm.inStr,LEN(A104)&lt;=6),$A105,""))</f>
        <v>5</v>
      </c>
      <c r="G101" t="str">
        <f>_xlfn.LET(_xlpm.Searching,"59",_xlpm.inStr,IFERROR(FIND(_xlpm.Searching,$A104)&gt;=1,FALSE),IF(AND(_xlpm.inStr,LEN(A104)&lt;=6),$A105,""))</f>
        <v/>
      </c>
      <c r="H101" t="str">
        <f>_xlfn.LET(_xlpm.Searching,"61",_xlpm.inStr,IFERROR(FIND(_xlpm.Searching,$A104)&gt;=1,FALSE),IF(AND(_xlpm.inStr,LEN(A104)&lt;=6),$A105,""))</f>
        <v/>
      </c>
      <c r="I101" t="str">
        <f>_xlfn.LET(_xlpm.Searching,"63",_xlpm.inStr,IFERROR(FIND(_xlpm.Searching,$A104)&gt;=1,FALSE),IF(AND(_xlpm.inStr,LEN(A104)&lt;=6),$A105,""))</f>
        <v/>
      </c>
    </row>
    <row r="102" spans="1:10" x14ac:dyDescent="0.25">
      <c r="A102" s="6" t="s">
        <v>32</v>
      </c>
      <c r="B102" t="str" cm="1">
        <f t="array" ref="B102">БУКВЫ(MID($A100,3,11))</f>
        <v>66111302</v>
      </c>
      <c r="C102" t="str">
        <f t="shared" ref="C102:C104" si="6">C101</f>
        <v xml:space="preserve">Texas Denim </v>
      </c>
      <c r="D102" s="2"/>
      <c r="E102" s="2"/>
      <c r="F102" s="2"/>
      <c r="G102">
        <f>_xlfn.LET(_xlpm.Searching,"59",_xlpm.inStr,IFERROR(FIND(_xlpm.Searching,$A106)&gt;=1,FALSE),IF(AND(_xlpm.inStr,LEN(A106)&lt;=6),$A107,""))</f>
        <v>7</v>
      </c>
      <c r="H102" t="str">
        <f>_xlfn.LET(_xlpm.Searching,"61",_xlpm.inStr,IFERROR(FIND(_xlpm.Searching,$A106)&gt;=1,FALSE),IF(AND(_xlpm.inStr,LEN(A106)&lt;=6),$A107,""))</f>
        <v/>
      </c>
      <c r="I102" t="str">
        <f>_xlfn.LET(_xlpm.Searching,"63",_xlpm.inStr,IFERROR(FIND(_xlpm.Searching,$A106)&gt;=1,FALSE),IF(AND(_xlpm.inStr,LEN(A106)&lt;=6),$A107,""))</f>
        <v/>
      </c>
    </row>
    <row r="103" spans="1:10" x14ac:dyDescent="0.25">
      <c r="A103" s="6">
        <v>1</v>
      </c>
      <c r="B103" t="str" cm="1">
        <f t="array" ref="B103">БУКВЫ(MID($A100,3,11))</f>
        <v>66111302</v>
      </c>
      <c r="C103" t="str">
        <f t="shared" si="6"/>
        <v xml:space="preserve">Texas Denim </v>
      </c>
      <c r="D103" s="2"/>
      <c r="E103" s="2"/>
      <c r="F103" s="2"/>
      <c r="G103" s="2"/>
      <c r="H103">
        <f>_xlfn.LET(_xlpm.Searching,"61",_xlpm.inStr,IFERROR(FIND(_xlpm.Searching,$A108)&gt;=1,FALSE),IF(AND(_xlpm.inStr,LEN(A108)&lt;=6),$A109,""))</f>
        <v>5</v>
      </c>
      <c r="I103" t="str">
        <f>_xlfn.LET(_xlpm.Searching,"63",_xlpm.inStr,IFERROR(FIND(_xlpm.Searching,$A108)&gt;=1,FALSE),IF(AND(_xlpm.inStr,LEN(A108)&lt;=6),$A109,""))</f>
        <v/>
      </c>
    </row>
    <row r="104" spans="1:10" x14ac:dyDescent="0.25">
      <c r="A104" s="6" t="s">
        <v>33</v>
      </c>
      <c r="B104" t="str" cm="1">
        <f t="array" ref="B104">БУКВЫ(MID($A100,3,11))</f>
        <v>66111302</v>
      </c>
      <c r="C104" t="str">
        <f t="shared" si="6"/>
        <v xml:space="preserve">Texas Denim </v>
      </c>
      <c r="D104" s="2"/>
      <c r="E104" s="2"/>
      <c r="F104" s="2"/>
      <c r="G104" s="2"/>
      <c r="H104" s="2"/>
      <c r="I104">
        <f>_xlfn.LET(_xlpm.Searching,"63",_xlpm.inStr,IFERROR(FIND(_xlpm.Searching,$A110)&gt;=1,FALSE),IF(AND(_xlpm.inStr,LEN(A110)&lt;=6),$A111,""))</f>
        <v>3</v>
      </c>
    </row>
    <row r="105" spans="1:10" x14ac:dyDescent="0.25">
      <c r="A105" s="6">
        <v>5</v>
      </c>
    </row>
    <row r="106" spans="1:10" x14ac:dyDescent="0.25">
      <c r="A106" s="6" t="s">
        <v>30</v>
      </c>
    </row>
    <row r="107" spans="1:10" x14ac:dyDescent="0.25">
      <c r="A107" s="6">
        <v>7</v>
      </c>
    </row>
    <row r="108" spans="1:10" x14ac:dyDescent="0.25">
      <c r="A108" s="6" t="s">
        <v>31</v>
      </c>
    </row>
    <row r="109" spans="1:10" x14ac:dyDescent="0.25">
      <c r="A109" s="6">
        <v>5</v>
      </c>
    </row>
    <row r="110" spans="1:10" x14ac:dyDescent="0.25">
      <c r="A110" s="6" t="s">
        <v>34</v>
      </c>
    </row>
    <row r="111" spans="1:10" x14ac:dyDescent="0.25">
      <c r="A111" s="6">
        <v>3</v>
      </c>
    </row>
    <row r="112" spans="1:10" x14ac:dyDescent="0.25">
      <c r="A112" s="6" t="s">
        <v>101</v>
      </c>
    </row>
    <row r="113" spans="1:10" x14ac:dyDescent="0.25">
      <c r="A113" s="6" t="s">
        <v>69</v>
      </c>
    </row>
    <row r="114" spans="1:10" x14ac:dyDescent="0.25">
      <c r="A114" s="6" t="s">
        <v>102</v>
      </c>
      <c r="B114" s="1" t="s">
        <v>1</v>
      </c>
      <c r="C114" s="1" t="s">
        <v>220</v>
      </c>
      <c r="D114" s="1" t="s">
        <v>0</v>
      </c>
      <c r="E114" s="1">
        <v>55</v>
      </c>
      <c r="F114" s="1">
        <v>57</v>
      </c>
      <c r="G114" s="1">
        <v>59</v>
      </c>
      <c r="H114" s="1">
        <v>61</v>
      </c>
      <c r="I114" s="1">
        <v>63</v>
      </c>
      <c r="J114" s="3" t="s">
        <v>2</v>
      </c>
    </row>
    <row r="115" spans="1:10" x14ac:dyDescent="0.25">
      <c r="A115" s="6" t="s">
        <v>103</v>
      </c>
      <c r="B115" t="str" cm="1">
        <f t="array" ref="B115">БУКВЫ(MID($A115,3,11))</f>
        <v>66111052</v>
      </c>
      <c r="C115" t="str">
        <f>MID($A116,1,FIND("Per",A116)-1)</f>
        <v xml:space="preserve">Texas Cotton </v>
      </c>
      <c r="D115" t="str">
        <f>_xlfn.LET(_xlpm.Searching,"OSFA",_xlpm.inStr,IFERROR(FIND(_xlpm.Searching,$A117)&gt;=1,FALSE),IF(AND(_xlpm.inStr,LEN(A117)&lt;=6),A118,""))</f>
        <v/>
      </c>
      <c r="E115" t="str">
        <f>_xlfn.LET(_xlpm.Searching,"55",_xlpm.inStr,IFERROR(FIND(_xlpm.Searching,$A117)&gt;=1,FALSE),IF(AND(_xlpm.inStr,LEN(A117)&lt;=6),A118,""))</f>
        <v/>
      </c>
      <c r="F115" t="str">
        <f>_xlfn.LET(_xlpm.Searching,"57",_xlpm.inStr,IFERROR(FIND(_xlpm.Searching,$A117)&gt;=1,FALSE),IF(AND(_xlpm.inStr,LEN(A117)&lt;=6),$A118,""))&amp;F116</f>
        <v>5</v>
      </c>
      <c r="G115" t="str">
        <f>_xlfn.LET(_xlpm.Searching,"59",_xlpm.inStr,IFERROR(FIND(_xlpm.Searching,$A117)&gt;=1,FALSE),IF(AND(_xlpm.inStr,LEN(A117)&lt;=6),$A118,""))&amp;G116&amp;G117</f>
        <v>5</v>
      </c>
      <c r="H115" t="str">
        <f>_xlfn.LET(_xlpm.Searching,"61",_xlpm.inStr,IFERROR(FIND(_xlpm.Searching,$A117)&gt;=1,FALSE),IF(AND(_xlpm.inStr,LEN(A117)&lt;=6),$A118,""))&amp;H116&amp;H117&amp;H118</f>
        <v/>
      </c>
      <c r="I115" t="str">
        <f>_xlfn.LET(_xlpm.Searching,"63",_xlpm.inStr,IFERROR(FIND(_xlpm.Searching,$A117)&gt;=1,FALSE),IF(AND(_xlpm.inStr,LEN(A117)&lt;=6),$A118,""))&amp;I116&amp;I117&amp;I118&amp;I119</f>
        <v/>
      </c>
      <c r="J115" s="4">
        <f>MID(TRIM(RIGHT(A115,10)),1,LEN(TRIM(RIGHT(A115,10)))-3)*0.8</f>
        <v>10.32</v>
      </c>
    </row>
    <row r="116" spans="1:10" x14ac:dyDescent="0.25">
      <c r="A116" s="6" t="s">
        <v>64</v>
      </c>
      <c r="B116" t="str" cm="1">
        <f t="array" ref="B116">БУКВЫ(MID($A115,3,11))</f>
        <v>66111052</v>
      </c>
      <c r="C116" t="str">
        <f>C115</f>
        <v xml:space="preserve">Texas Cotton </v>
      </c>
      <c r="D116" s="2"/>
      <c r="E116" s="2"/>
      <c r="F116" t="str">
        <f>_xlfn.LET(_xlpm.Searching,"57",_xlpm.inStr,IFERROR(FIND(_xlpm.Searching,$A119)&gt;=1,FALSE),IF(AND(_xlpm.inStr,LEN(A119)&lt;=6),$A120,""))</f>
        <v/>
      </c>
      <c r="G116">
        <f>_xlfn.LET(_xlpm.Searching,"59",_xlpm.inStr,IFERROR(FIND(_xlpm.Searching,$A119)&gt;=1,FALSE),IF(AND(_xlpm.inStr,LEN(A119)&lt;=6),$A120,""))</f>
        <v>5</v>
      </c>
      <c r="H116" t="str">
        <f>_xlfn.LET(_xlpm.Searching,"61",_xlpm.inStr,IFERROR(FIND(_xlpm.Searching,$A119)&gt;=1,FALSE),IF(AND(_xlpm.inStr,LEN(A119)&lt;=6),$A120,""))</f>
        <v/>
      </c>
      <c r="I116" t="str">
        <f>_xlfn.LET(_xlpm.Searching,"63",_xlpm.inStr,IFERROR(FIND(_xlpm.Searching,$A119)&gt;=1,FALSE),IF(AND(_xlpm.inStr,LEN(A119)&lt;=6),$A120,""))</f>
        <v/>
      </c>
    </row>
    <row r="117" spans="1:10" x14ac:dyDescent="0.25">
      <c r="A117" s="6" t="s">
        <v>33</v>
      </c>
      <c r="B117" t="str" cm="1">
        <f t="array" ref="B117">БУКВЫ(MID($A115,3,11))</f>
        <v>66111052</v>
      </c>
      <c r="C117" t="str">
        <f t="shared" ref="C117:C119" si="7">C116</f>
        <v xml:space="preserve">Texas Cotton </v>
      </c>
      <c r="D117" s="2"/>
      <c r="E117" s="2"/>
      <c r="F117" s="2"/>
      <c r="G117" t="str">
        <f>_xlfn.LET(_xlpm.Searching,"59",_xlpm.inStr,IFERROR(FIND(_xlpm.Searching,$A121)&gt;=1,FALSE),IF(AND(_xlpm.inStr,LEN(A121)&lt;=6),$A122,""))</f>
        <v/>
      </c>
      <c r="H117" t="str">
        <f>_xlfn.LET(_xlpm.Searching,"61",_xlpm.inStr,IFERROR(FIND(_xlpm.Searching,$A121)&gt;=1,FALSE),IF(AND(_xlpm.inStr,LEN(A121)&lt;=6),$A122,""))</f>
        <v/>
      </c>
      <c r="I117" t="str">
        <f>_xlfn.LET(_xlpm.Searching,"63",_xlpm.inStr,IFERROR(FIND(_xlpm.Searching,$A121)&gt;=1,FALSE),IF(AND(_xlpm.inStr,LEN(A121)&lt;=6),$A122,""))</f>
        <v/>
      </c>
    </row>
    <row r="118" spans="1:10" x14ac:dyDescent="0.25">
      <c r="A118" s="6">
        <v>5</v>
      </c>
      <c r="B118" t="str" cm="1">
        <f t="array" ref="B118">БУКВЫ(MID($A115,3,11))</f>
        <v>66111052</v>
      </c>
      <c r="C118" t="str">
        <f t="shared" si="7"/>
        <v xml:space="preserve">Texas Cotton </v>
      </c>
      <c r="D118" s="2"/>
      <c r="E118" s="2"/>
      <c r="F118" s="2"/>
      <c r="G118" s="2"/>
      <c r="H118" t="str">
        <f>_xlfn.LET(_xlpm.Searching,"61",_xlpm.inStr,IFERROR(FIND(_xlpm.Searching,$A123)&gt;=1,FALSE),IF(AND(_xlpm.inStr,LEN(A123)&lt;=6),$A124,""))</f>
        <v/>
      </c>
      <c r="I118" t="str">
        <f>_xlfn.LET(_xlpm.Searching,"63",_xlpm.inStr,IFERROR(FIND(_xlpm.Searching,$A123)&gt;=1,FALSE),IF(AND(_xlpm.inStr,LEN(A123)&lt;=6),$A124,""))</f>
        <v/>
      </c>
    </row>
    <row r="119" spans="1:10" x14ac:dyDescent="0.25">
      <c r="A119" s="6" t="s">
        <v>30</v>
      </c>
      <c r="B119" t="str" cm="1">
        <f t="array" ref="B119">БУКВЫ(MID($A115,3,11))</f>
        <v>66111052</v>
      </c>
      <c r="C119" t="str">
        <f t="shared" si="7"/>
        <v xml:space="preserve">Texas Cotton </v>
      </c>
      <c r="D119" s="2"/>
      <c r="E119" s="2"/>
      <c r="F119" s="2"/>
      <c r="G119" s="2"/>
      <c r="H119" s="2"/>
      <c r="I119" t="str">
        <f>_xlfn.LET(_xlpm.Searching,"63",_xlpm.inStr,IFERROR(FIND(_xlpm.Searching,$A125)&gt;=1,FALSE),IF(AND(_xlpm.inStr,LEN(A125)&lt;=6),$A126,""))</f>
        <v/>
      </c>
    </row>
    <row r="120" spans="1:10" x14ac:dyDescent="0.25">
      <c r="A120" s="6">
        <v>5</v>
      </c>
    </row>
    <row r="121" spans="1:10" x14ac:dyDescent="0.25">
      <c r="A121" s="6" t="s">
        <v>65</v>
      </c>
    </row>
    <row r="122" spans="1:10" x14ac:dyDescent="0.25">
      <c r="A122" s="6" t="s">
        <v>104</v>
      </c>
    </row>
    <row r="123" spans="1:10" x14ac:dyDescent="0.25">
      <c r="A123" s="6" t="s">
        <v>105</v>
      </c>
      <c r="B123" s="1" t="s">
        <v>1</v>
      </c>
      <c r="C123" s="1" t="s">
        <v>220</v>
      </c>
      <c r="D123" s="1" t="s">
        <v>0</v>
      </c>
      <c r="E123" s="1">
        <v>55</v>
      </c>
      <c r="F123" s="1">
        <v>57</v>
      </c>
      <c r="G123" s="1">
        <v>59</v>
      </c>
      <c r="H123" s="1">
        <v>61</v>
      </c>
      <c r="I123" s="1">
        <v>63</v>
      </c>
      <c r="J123" s="3" t="s">
        <v>2</v>
      </c>
    </row>
    <row r="124" spans="1:10" x14ac:dyDescent="0.25">
      <c r="A124" s="6" t="s">
        <v>106</v>
      </c>
      <c r="B124" t="str" cm="1">
        <f t="array" ref="B124">БУКВЫ(MID($A124,3,11))</f>
        <v>661110532</v>
      </c>
      <c r="C124" t="str">
        <f>MID($A125,1,FIND("Per",A125)-1)</f>
        <v xml:space="preserve">Texas Cotton </v>
      </c>
      <c r="D124" t="str">
        <f>_xlfn.LET(_xlpm.Searching,"OSFA",_xlpm.inStr,IFERROR(FIND(_xlpm.Searching,$A126)&gt;=1,FALSE),IF(AND(_xlpm.inStr,LEN(A126)&lt;=6),A127,""))</f>
        <v/>
      </c>
      <c r="E124" t="str">
        <f>_xlfn.LET(_xlpm.Searching,"55",_xlpm.inStr,IFERROR(FIND(_xlpm.Searching,$A126)&gt;=1,FALSE),IF(AND(_xlpm.inStr,LEN(A126)&lt;=6),A127,""))</f>
        <v/>
      </c>
      <c r="F124" t="str">
        <f>_xlfn.LET(_xlpm.Searching,"57",_xlpm.inStr,IFERROR(FIND(_xlpm.Searching,$A126)&gt;=1,FALSE),IF(AND(_xlpm.inStr,LEN(A126)&lt;=6),$A127,""))&amp;F125</f>
        <v>4</v>
      </c>
      <c r="G124" t="str">
        <f>_xlfn.LET(_xlpm.Searching,"59",_xlpm.inStr,IFERROR(FIND(_xlpm.Searching,$A126)&gt;=1,FALSE),IF(AND(_xlpm.inStr,LEN(A126)&lt;=6),$A127,""))&amp;G125&amp;G126</f>
        <v>9</v>
      </c>
      <c r="H124" t="str">
        <f>_xlfn.LET(_xlpm.Searching,"61",_xlpm.inStr,IFERROR(FIND(_xlpm.Searching,$A126)&gt;=1,FALSE),IF(AND(_xlpm.inStr,LEN(A126)&lt;=6),$A127,""))&amp;H125&amp;H126&amp;H127</f>
        <v>6</v>
      </c>
      <c r="I124" t="str">
        <f>_xlfn.LET(_xlpm.Searching,"63",_xlpm.inStr,IFERROR(FIND(_xlpm.Searching,$A126)&gt;=1,FALSE),IF(AND(_xlpm.inStr,LEN(A126)&lt;=6),$A127,""))&amp;I125&amp;I126&amp;I127&amp;I128</f>
        <v/>
      </c>
      <c r="J124" s="4">
        <f>MID(TRIM(RIGHT(A124,10)),1,LEN(TRIM(RIGHT(A124,10)))-3)*0.8</f>
        <v>10.32</v>
      </c>
    </row>
    <row r="125" spans="1:10" x14ac:dyDescent="0.25">
      <c r="A125" s="6" t="s">
        <v>64</v>
      </c>
      <c r="B125" t="str" cm="1">
        <f t="array" ref="B125">БУКВЫ(MID($A124,3,11))</f>
        <v>661110532</v>
      </c>
      <c r="C125" t="str">
        <f>C124</f>
        <v xml:space="preserve">Texas Cotton </v>
      </c>
      <c r="D125" s="2"/>
      <c r="E125" s="2"/>
      <c r="F125" t="str">
        <f>_xlfn.LET(_xlpm.Searching,"57",_xlpm.inStr,IFERROR(FIND(_xlpm.Searching,$A128)&gt;=1,FALSE),IF(AND(_xlpm.inStr,LEN(A128)&lt;=6),$A129,""))</f>
        <v/>
      </c>
      <c r="G125">
        <f>_xlfn.LET(_xlpm.Searching,"59",_xlpm.inStr,IFERROR(FIND(_xlpm.Searching,$A128)&gt;=1,FALSE),IF(AND(_xlpm.inStr,LEN(A128)&lt;=6),$A129,""))</f>
        <v>9</v>
      </c>
      <c r="H125" t="str">
        <f>_xlfn.LET(_xlpm.Searching,"61",_xlpm.inStr,IFERROR(FIND(_xlpm.Searching,$A128)&gt;=1,FALSE),IF(AND(_xlpm.inStr,LEN(A128)&lt;=6),$A129,""))</f>
        <v/>
      </c>
      <c r="I125" t="str">
        <f>_xlfn.LET(_xlpm.Searching,"63",_xlpm.inStr,IFERROR(FIND(_xlpm.Searching,$A128)&gt;=1,FALSE),IF(AND(_xlpm.inStr,LEN(A128)&lt;=6),$A129,""))</f>
        <v/>
      </c>
    </row>
    <row r="126" spans="1:10" x14ac:dyDescent="0.25">
      <c r="A126" s="6" t="s">
        <v>33</v>
      </c>
      <c r="B126" t="str" cm="1">
        <f t="array" ref="B126">БУКВЫ(MID($A124,3,11))</f>
        <v>661110532</v>
      </c>
      <c r="C126" t="str">
        <f t="shared" ref="C126:C128" si="8">C125</f>
        <v xml:space="preserve">Texas Cotton </v>
      </c>
      <c r="D126" s="2"/>
      <c r="E126" s="2"/>
      <c r="F126" s="2"/>
      <c r="G126" t="str">
        <f>_xlfn.LET(_xlpm.Searching,"59",_xlpm.inStr,IFERROR(FIND(_xlpm.Searching,$A130)&gt;=1,FALSE),IF(AND(_xlpm.inStr,LEN(A130)&lt;=6),$A131,""))</f>
        <v/>
      </c>
      <c r="H126">
        <f>_xlfn.LET(_xlpm.Searching,"61",_xlpm.inStr,IFERROR(FIND(_xlpm.Searching,$A130)&gt;=1,FALSE),IF(AND(_xlpm.inStr,LEN(A130)&lt;=6),$A131,""))</f>
        <v>6</v>
      </c>
      <c r="I126" t="str">
        <f>_xlfn.LET(_xlpm.Searching,"63",_xlpm.inStr,IFERROR(FIND(_xlpm.Searching,$A130)&gt;=1,FALSE),IF(AND(_xlpm.inStr,LEN(A130)&lt;=6),$A131,""))</f>
        <v/>
      </c>
    </row>
    <row r="127" spans="1:10" x14ac:dyDescent="0.25">
      <c r="A127" s="6">
        <v>4</v>
      </c>
      <c r="B127" t="str" cm="1">
        <f t="array" ref="B127">БУКВЫ(MID($A124,3,11))</f>
        <v>661110532</v>
      </c>
      <c r="C127" t="str">
        <f t="shared" si="8"/>
        <v xml:space="preserve">Texas Cotton </v>
      </c>
      <c r="D127" s="2"/>
      <c r="E127" s="2"/>
      <c r="F127" s="2"/>
      <c r="G127" s="2"/>
      <c r="H127" t="str">
        <f>_xlfn.LET(_xlpm.Searching,"61",_xlpm.inStr,IFERROR(FIND(_xlpm.Searching,$A132)&gt;=1,FALSE),IF(AND(_xlpm.inStr,LEN(A132)&lt;=6),$A133,""))</f>
        <v/>
      </c>
      <c r="I127" t="str">
        <f>_xlfn.LET(_xlpm.Searching,"63",_xlpm.inStr,IFERROR(FIND(_xlpm.Searching,$A132)&gt;=1,FALSE),IF(AND(_xlpm.inStr,LEN(A132)&lt;=6),$A133,""))</f>
        <v/>
      </c>
    </row>
    <row r="128" spans="1:10" x14ac:dyDescent="0.25">
      <c r="A128" s="6" t="s">
        <v>30</v>
      </c>
      <c r="B128" t="str" cm="1">
        <f t="array" ref="B128">БУКВЫ(MID($A124,3,11))</f>
        <v>661110532</v>
      </c>
      <c r="C128" t="str">
        <f t="shared" si="8"/>
        <v xml:space="preserve">Texas Cotton </v>
      </c>
      <c r="D128" s="2"/>
      <c r="E128" s="2"/>
      <c r="F128" s="2"/>
      <c r="G128" s="2"/>
      <c r="H128" s="2"/>
      <c r="I128" t="str">
        <f>_xlfn.LET(_xlpm.Searching,"63",_xlpm.inStr,IFERROR(FIND(_xlpm.Searching,$A134)&gt;=1,FALSE),IF(AND(_xlpm.inStr,LEN(A134)&lt;=6),$A135,""))</f>
        <v/>
      </c>
    </row>
    <row r="129" spans="1:10" x14ac:dyDescent="0.25">
      <c r="A129" s="6">
        <v>9</v>
      </c>
    </row>
    <row r="130" spans="1:10" x14ac:dyDescent="0.25">
      <c r="A130" s="6" t="s">
        <v>31</v>
      </c>
    </row>
    <row r="131" spans="1:10" x14ac:dyDescent="0.25">
      <c r="A131" s="6">
        <v>6</v>
      </c>
    </row>
    <row r="132" spans="1:10" x14ac:dyDescent="0.25">
      <c r="A132" s="6" t="s">
        <v>65</v>
      </c>
    </row>
    <row r="133" spans="1:10" x14ac:dyDescent="0.25">
      <c r="A133" s="6" t="s">
        <v>107</v>
      </c>
    </row>
    <row r="134" spans="1:10" x14ac:dyDescent="0.25">
      <c r="A134" s="6" t="s">
        <v>108</v>
      </c>
      <c r="B134" s="1" t="s">
        <v>1</v>
      </c>
      <c r="C134" s="1" t="s">
        <v>220</v>
      </c>
      <c r="D134" s="1" t="s">
        <v>0</v>
      </c>
      <c r="E134" s="1">
        <v>55</v>
      </c>
      <c r="F134" s="1">
        <v>57</v>
      </c>
      <c r="G134" s="1">
        <v>59</v>
      </c>
      <c r="H134" s="1">
        <v>61</v>
      </c>
      <c r="I134" s="1">
        <v>63</v>
      </c>
      <c r="J134" s="3" t="s">
        <v>2</v>
      </c>
    </row>
    <row r="135" spans="1:10" x14ac:dyDescent="0.25">
      <c r="A135" s="6" t="s">
        <v>109</v>
      </c>
      <c r="B135" t="str" cm="1">
        <f t="array" ref="B135">БУКВЫ(MID($A135,3,11))</f>
        <v>661110555</v>
      </c>
      <c r="C135" t="str">
        <f>MID($A136,1,FIND("Per",A136)-1)</f>
        <v xml:space="preserve">Texas Cotton </v>
      </c>
      <c r="D135" t="str">
        <f>_xlfn.LET(_xlpm.Searching,"OSFA",_xlpm.inStr,IFERROR(FIND(_xlpm.Searching,$A137)&gt;=1,FALSE),IF(AND(_xlpm.inStr,LEN(A137)&lt;=6),A138,""))</f>
        <v/>
      </c>
      <c r="E135" t="str">
        <f>_xlfn.LET(_xlpm.Searching,"55",_xlpm.inStr,IFERROR(FIND(_xlpm.Searching,$A137)&gt;=1,FALSE),IF(AND(_xlpm.inStr,LEN(A137)&lt;=6),A138,""))</f>
        <v/>
      </c>
      <c r="F135" t="str">
        <f>_xlfn.LET(_xlpm.Searching,"57",_xlpm.inStr,IFERROR(FIND(_xlpm.Searching,$A137)&gt;=1,FALSE),IF(AND(_xlpm.inStr,LEN(A137)&lt;=6),$A138,""))&amp;F136</f>
        <v>5</v>
      </c>
      <c r="G135" t="str">
        <f>_xlfn.LET(_xlpm.Searching,"59",_xlpm.inStr,IFERROR(FIND(_xlpm.Searching,$A137)&gt;=1,FALSE),IF(AND(_xlpm.inStr,LEN(A137)&lt;=6),$A138,""))&amp;G136&amp;G137</f>
        <v>6</v>
      </c>
      <c r="H135" t="str">
        <f>_xlfn.LET(_xlpm.Searching,"61",_xlpm.inStr,IFERROR(FIND(_xlpm.Searching,$A137)&gt;=1,FALSE),IF(AND(_xlpm.inStr,LEN(A137)&lt;=6),$A138,""))&amp;H136&amp;H137&amp;H138</f>
        <v>5</v>
      </c>
      <c r="I135" t="str">
        <f>_xlfn.LET(_xlpm.Searching,"63",_xlpm.inStr,IFERROR(FIND(_xlpm.Searching,$A137)&gt;=1,FALSE),IF(AND(_xlpm.inStr,LEN(A137)&lt;=6),$A138,""))&amp;I136&amp;I137&amp;I138&amp;I139</f>
        <v/>
      </c>
      <c r="J135" s="4">
        <f>MID(TRIM(RIGHT(A135,10)),1,LEN(TRIM(RIGHT(A135,10)))-3)*0.8</f>
        <v>10.32</v>
      </c>
    </row>
    <row r="136" spans="1:10" x14ac:dyDescent="0.25">
      <c r="A136" s="6" t="s">
        <v>64</v>
      </c>
      <c r="B136" t="str" cm="1">
        <f t="array" ref="B136">БУКВЫ(MID($A135,3,11))</f>
        <v>661110555</v>
      </c>
      <c r="C136" t="str">
        <f>C135</f>
        <v xml:space="preserve">Texas Cotton </v>
      </c>
      <c r="D136" s="2"/>
      <c r="E136" s="2"/>
      <c r="F136" t="str">
        <f>_xlfn.LET(_xlpm.Searching,"57",_xlpm.inStr,IFERROR(FIND(_xlpm.Searching,$A139)&gt;=1,FALSE),IF(AND(_xlpm.inStr,LEN(A139)&lt;=6),$A140,""))</f>
        <v/>
      </c>
      <c r="G136">
        <f>_xlfn.LET(_xlpm.Searching,"59",_xlpm.inStr,IFERROR(FIND(_xlpm.Searching,$A139)&gt;=1,FALSE),IF(AND(_xlpm.inStr,LEN(A139)&lt;=6),$A140,""))</f>
        <v>6</v>
      </c>
      <c r="H136" t="str">
        <f>_xlfn.LET(_xlpm.Searching,"61",_xlpm.inStr,IFERROR(FIND(_xlpm.Searching,$A139)&gt;=1,FALSE),IF(AND(_xlpm.inStr,LEN(A139)&lt;=6),$A140,""))</f>
        <v/>
      </c>
      <c r="I136" t="str">
        <f>_xlfn.LET(_xlpm.Searching,"63",_xlpm.inStr,IFERROR(FIND(_xlpm.Searching,$A139)&gt;=1,FALSE),IF(AND(_xlpm.inStr,LEN(A139)&lt;=6),$A140,""))</f>
        <v/>
      </c>
    </row>
    <row r="137" spans="1:10" x14ac:dyDescent="0.25">
      <c r="A137" s="6" t="s">
        <v>33</v>
      </c>
      <c r="B137" t="str" cm="1">
        <f t="array" ref="B137">БУКВЫ(MID($A135,3,11))</f>
        <v>661110555</v>
      </c>
      <c r="C137" t="str">
        <f t="shared" ref="C137:C139" si="9">C136</f>
        <v xml:space="preserve">Texas Cotton </v>
      </c>
      <c r="D137" s="2"/>
      <c r="E137" s="2"/>
      <c r="F137" s="2"/>
      <c r="G137" t="str">
        <f>_xlfn.LET(_xlpm.Searching,"59",_xlpm.inStr,IFERROR(FIND(_xlpm.Searching,$A141)&gt;=1,FALSE),IF(AND(_xlpm.inStr,LEN(A141)&lt;=6),$A142,""))</f>
        <v/>
      </c>
      <c r="H137">
        <f>_xlfn.LET(_xlpm.Searching,"61",_xlpm.inStr,IFERROR(FIND(_xlpm.Searching,$A141)&gt;=1,FALSE),IF(AND(_xlpm.inStr,LEN(A141)&lt;=6),$A142,""))</f>
        <v>5</v>
      </c>
      <c r="I137" t="str">
        <f>_xlfn.LET(_xlpm.Searching,"63",_xlpm.inStr,IFERROR(FIND(_xlpm.Searching,$A141)&gt;=1,FALSE),IF(AND(_xlpm.inStr,LEN(A141)&lt;=6),$A142,""))</f>
        <v/>
      </c>
    </row>
    <row r="138" spans="1:10" x14ac:dyDescent="0.25">
      <c r="A138" s="6">
        <v>5</v>
      </c>
      <c r="B138" t="str" cm="1">
        <f t="array" ref="B138">БУКВЫ(MID($A135,3,11))</f>
        <v>661110555</v>
      </c>
      <c r="C138" t="str">
        <f t="shared" si="9"/>
        <v xml:space="preserve">Texas Cotton </v>
      </c>
      <c r="D138" s="2"/>
      <c r="E138" s="2"/>
      <c r="F138" s="2"/>
      <c r="G138" s="2"/>
      <c r="H138" t="str">
        <f>_xlfn.LET(_xlpm.Searching,"61",_xlpm.inStr,IFERROR(FIND(_xlpm.Searching,$A143)&gt;=1,FALSE),IF(AND(_xlpm.inStr,LEN(A143)&lt;=6),$A144,""))</f>
        <v/>
      </c>
      <c r="I138" t="str">
        <f>_xlfn.LET(_xlpm.Searching,"63",_xlpm.inStr,IFERROR(FIND(_xlpm.Searching,$A143)&gt;=1,FALSE),IF(AND(_xlpm.inStr,LEN(A143)&lt;=6),$A144,""))</f>
        <v/>
      </c>
    </row>
    <row r="139" spans="1:10" x14ac:dyDescent="0.25">
      <c r="A139" s="6" t="s">
        <v>30</v>
      </c>
      <c r="B139" t="str" cm="1">
        <f t="array" ref="B139">БУКВЫ(MID($A135,3,11))</f>
        <v>661110555</v>
      </c>
      <c r="C139" t="str">
        <f t="shared" si="9"/>
        <v xml:space="preserve">Texas Cotton </v>
      </c>
      <c r="D139" s="2"/>
      <c r="E139" s="2"/>
      <c r="F139" s="2"/>
      <c r="G139" s="2"/>
      <c r="H139" s="2"/>
      <c r="I139" t="str">
        <f>_xlfn.LET(_xlpm.Searching,"63",_xlpm.inStr,IFERROR(FIND(_xlpm.Searching,$A145)&gt;=1,FALSE),IF(AND(_xlpm.inStr,LEN(A145)&lt;=6),$A146,""))</f>
        <v/>
      </c>
    </row>
    <row r="140" spans="1:10" x14ac:dyDescent="0.25">
      <c r="A140" s="6">
        <v>6</v>
      </c>
    </row>
    <row r="141" spans="1:10" x14ac:dyDescent="0.25">
      <c r="A141" s="6" t="s">
        <v>31</v>
      </c>
    </row>
    <row r="142" spans="1:10" x14ac:dyDescent="0.25">
      <c r="A142" s="6">
        <v>5</v>
      </c>
    </row>
    <row r="143" spans="1:10" x14ac:dyDescent="0.25">
      <c r="A143" s="6" t="s">
        <v>65</v>
      </c>
    </row>
    <row r="144" spans="1:10" x14ac:dyDescent="0.25">
      <c r="A144" s="6" t="s">
        <v>110</v>
      </c>
    </row>
    <row r="145" spans="1:1" x14ac:dyDescent="0.25">
      <c r="A145" s="6" t="s">
        <v>111</v>
      </c>
    </row>
    <row r="146" spans="1:1" x14ac:dyDescent="0.25">
      <c r="A146" s="6" t="s">
        <v>18</v>
      </c>
    </row>
    <row r="147" spans="1:1" x14ac:dyDescent="0.25">
      <c r="A147" s="6" t="s">
        <v>36</v>
      </c>
    </row>
    <row r="148" spans="1:1" x14ac:dyDescent="0.25">
      <c r="A148" s="6" t="s">
        <v>37</v>
      </c>
    </row>
    <row r="149" spans="1:1" x14ac:dyDescent="0.25">
      <c r="A149" s="6" t="s">
        <v>38</v>
      </c>
    </row>
    <row r="150" spans="1:1" x14ac:dyDescent="0.25">
      <c r="A150" s="6" t="s">
        <v>39</v>
      </c>
    </row>
    <row r="151" spans="1:1" x14ac:dyDescent="0.25">
      <c r="A151" s="6" t="s">
        <v>40</v>
      </c>
    </row>
    <row r="152" spans="1:1" x14ac:dyDescent="0.25">
      <c r="A152" s="6" t="s">
        <v>41</v>
      </c>
    </row>
    <row r="153" spans="1:1" x14ac:dyDescent="0.25">
      <c r="A153" s="6" t="s">
        <v>42</v>
      </c>
    </row>
    <row r="154" spans="1:1" x14ac:dyDescent="0.25">
      <c r="A154" s="6" t="s">
        <v>43</v>
      </c>
    </row>
    <row r="155" spans="1:1" x14ac:dyDescent="0.25">
      <c r="A155" s="6" t="s">
        <v>44</v>
      </c>
    </row>
    <row r="156" spans="1:1" x14ac:dyDescent="0.25">
      <c r="A156" s="6" t="s">
        <v>45</v>
      </c>
    </row>
    <row r="157" spans="1:1" x14ac:dyDescent="0.25">
      <c r="A157" s="6" t="s">
        <v>46</v>
      </c>
    </row>
    <row r="158" spans="1:1" x14ac:dyDescent="0.25">
      <c r="A158" s="6" t="s">
        <v>47</v>
      </c>
    </row>
    <row r="159" spans="1:1" x14ac:dyDescent="0.25">
      <c r="A159" s="6" t="s">
        <v>48</v>
      </c>
    </row>
    <row r="160" spans="1:1" x14ac:dyDescent="0.25">
      <c r="A160" s="6" t="s">
        <v>49</v>
      </c>
    </row>
    <row r="161" spans="1:10" x14ac:dyDescent="0.25">
      <c r="A161" s="6" t="s">
        <v>81</v>
      </c>
    </row>
    <row r="162" spans="1:10" x14ac:dyDescent="0.25">
      <c r="A162" s="6" t="s">
        <v>95</v>
      </c>
    </row>
    <row r="163" spans="1:10" x14ac:dyDescent="0.25">
      <c r="A163" s="6" t="s">
        <v>52</v>
      </c>
    </row>
    <row r="164" spans="1:10" x14ac:dyDescent="0.25">
      <c r="A164" s="6" t="s">
        <v>21</v>
      </c>
    </row>
    <row r="165" spans="1:10" x14ac:dyDescent="0.25">
      <c r="A165" s="6" t="s">
        <v>22</v>
      </c>
    </row>
    <row r="166" spans="1:10" x14ac:dyDescent="0.25">
      <c r="A166" s="6" t="s">
        <v>23</v>
      </c>
    </row>
    <row r="167" spans="1:10" x14ac:dyDescent="0.25">
      <c r="A167" s="6" t="s">
        <v>24</v>
      </c>
    </row>
    <row r="168" spans="1:10" x14ac:dyDescent="0.25">
      <c r="A168" s="6" t="s">
        <v>25</v>
      </c>
    </row>
    <row r="169" spans="1:10" x14ac:dyDescent="0.25">
      <c r="A169" s="6" t="s">
        <v>26</v>
      </c>
    </row>
    <row r="170" spans="1:10" x14ac:dyDescent="0.25">
      <c r="A170" s="6" t="s">
        <v>27</v>
      </c>
      <c r="B170" s="1" t="s">
        <v>1</v>
      </c>
      <c r="C170" s="1" t="s">
        <v>220</v>
      </c>
      <c r="D170" s="1" t="s">
        <v>0</v>
      </c>
      <c r="E170" s="1">
        <v>55</v>
      </c>
      <c r="F170" s="1">
        <v>57</v>
      </c>
      <c r="G170" s="1">
        <v>59</v>
      </c>
      <c r="H170" s="1">
        <v>61</v>
      </c>
      <c r="I170" s="1">
        <v>63</v>
      </c>
      <c r="J170" s="3" t="s">
        <v>2</v>
      </c>
    </row>
    <row r="171" spans="1:10" x14ac:dyDescent="0.25">
      <c r="A171" s="6" t="s">
        <v>112</v>
      </c>
      <c r="B171" t="str" cm="1">
        <f t="array" ref="B171">БУКВЫ(MID($A171,3,11))</f>
        <v>74311011</v>
      </c>
      <c r="C171" t="str">
        <f>MID($A172,1,FIND("Per",A172)-1)</f>
        <v xml:space="preserve">Army Cap Cotton </v>
      </c>
      <c r="D171" t="str">
        <f>_xlfn.LET(_xlpm.Searching,"OSFA",_xlpm.inStr,IFERROR(FIND(_xlpm.Searching,$A173)&gt;=1,FALSE),IF(AND(_xlpm.inStr,LEN(A173)&lt;=6),A174,""))</f>
        <v/>
      </c>
      <c r="E171" t="str">
        <f>_xlfn.LET(_xlpm.Searching,"55",_xlpm.inStr,IFERROR(FIND(_xlpm.Searching,$A173)&gt;=1,FALSE),IF(AND(_xlpm.inStr,LEN(A173)&lt;=6),A174,""))</f>
        <v/>
      </c>
      <c r="F171" t="str">
        <f>_xlfn.LET(_xlpm.Searching,"57",_xlpm.inStr,IFERROR(FIND(_xlpm.Searching,$A173)&gt;=1,FALSE),IF(AND(_xlpm.inStr,LEN(A173)&lt;=6),$A174,""))&amp;F172</f>
        <v>3</v>
      </c>
      <c r="G171" t="str">
        <f>_xlfn.LET(_xlpm.Searching,"59",_xlpm.inStr,IFERROR(FIND(_xlpm.Searching,$A173)&gt;=1,FALSE),IF(AND(_xlpm.inStr,LEN(A173)&lt;=6),$A174,""))&amp;G172&amp;G173</f>
        <v>8</v>
      </c>
      <c r="H171" t="str">
        <f>_xlfn.LET(_xlpm.Searching,"61",_xlpm.inStr,IFERROR(FIND(_xlpm.Searching,$A173)&gt;=1,FALSE),IF(AND(_xlpm.inStr,LEN(A173)&lt;=6),$A174,""))&amp;H172&amp;H173&amp;H174</f>
        <v>5</v>
      </c>
      <c r="I171" t="str">
        <f>_xlfn.LET(_xlpm.Searching,"63",_xlpm.inStr,IFERROR(FIND(_xlpm.Searching,$A173)&gt;=1,FALSE),IF(AND(_xlpm.inStr,LEN(A173)&lt;=6),$A174,""))&amp;I172&amp;I173&amp;I174&amp;I175</f>
        <v>4</v>
      </c>
      <c r="J171" s="4">
        <f>MID(TRIM(RIGHT(A171,10)),1,LEN(TRIM(RIGHT(A171,10)))-3)*0.8</f>
        <v>11.920000000000002</v>
      </c>
    </row>
    <row r="172" spans="1:10" x14ac:dyDescent="0.25">
      <c r="A172" s="6" t="s">
        <v>66</v>
      </c>
      <c r="B172" t="str" cm="1">
        <f t="array" ref="B172">БУКВЫ(MID($A171,3,11))</f>
        <v>74311011</v>
      </c>
      <c r="C172" t="str">
        <f>C171</f>
        <v xml:space="preserve">Army Cap Cotton </v>
      </c>
      <c r="D172" s="2"/>
      <c r="E172" s="2"/>
      <c r="F172" t="str">
        <f>_xlfn.LET(_xlpm.Searching,"57",_xlpm.inStr,IFERROR(FIND(_xlpm.Searching,$A175)&gt;=1,FALSE),IF(AND(_xlpm.inStr,LEN(A175)&lt;=6),$A176,""))</f>
        <v/>
      </c>
      <c r="G172">
        <f>_xlfn.LET(_xlpm.Searching,"59",_xlpm.inStr,IFERROR(FIND(_xlpm.Searching,$A175)&gt;=1,FALSE),IF(AND(_xlpm.inStr,LEN(A175)&lt;=6),$A176,""))</f>
        <v>8</v>
      </c>
      <c r="H172" t="str">
        <f>_xlfn.LET(_xlpm.Searching,"61",_xlpm.inStr,IFERROR(FIND(_xlpm.Searching,$A175)&gt;=1,FALSE),IF(AND(_xlpm.inStr,LEN(A175)&lt;=6),$A176,""))</f>
        <v/>
      </c>
      <c r="I172" t="str">
        <f>_xlfn.LET(_xlpm.Searching,"63",_xlpm.inStr,IFERROR(FIND(_xlpm.Searching,$A175)&gt;=1,FALSE),IF(AND(_xlpm.inStr,LEN(A175)&lt;=6),$A176,""))</f>
        <v/>
      </c>
    </row>
    <row r="173" spans="1:10" x14ac:dyDescent="0.25">
      <c r="A173" s="6" t="s">
        <v>33</v>
      </c>
      <c r="B173" t="str" cm="1">
        <f t="array" ref="B173">БУКВЫ(MID($A171,3,11))</f>
        <v>74311011</v>
      </c>
      <c r="C173" t="str">
        <f t="shared" ref="C173:C175" si="10">C172</f>
        <v xml:space="preserve">Army Cap Cotton </v>
      </c>
      <c r="D173" s="2"/>
      <c r="E173" s="2"/>
      <c r="F173" s="2"/>
      <c r="G173" t="str">
        <f>_xlfn.LET(_xlpm.Searching,"59",_xlpm.inStr,IFERROR(FIND(_xlpm.Searching,$A177)&gt;=1,FALSE),IF(AND(_xlpm.inStr,LEN(A177)&lt;=6),$A178,""))</f>
        <v/>
      </c>
      <c r="H173">
        <f>_xlfn.LET(_xlpm.Searching,"61",_xlpm.inStr,IFERROR(FIND(_xlpm.Searching,$A177)&gt;=1,FALSE),IF(AND(_xlpm.inStr,LEN(A177)&lt;=6),$A178,""))</f>
        <v>5</v>
      </c>
      <c r="I173" t="str">
        <f>_xlfn.LET(_xlpm.Searching,"63",_xlpm.inStr,IFERROR(FIND(_xlpm.Searching,$A177)&gt;=1,FALSE),IF(AND(_xlpm.inStr,LEN(A177)&lt;=6),$A178,""))</f>
        <v/>
      </c>
    </row>
    <row r="174" spans="1:10" x14ac:dyDescent="0.25">
      <c r="A174" s="6">
        <v>3</v>
      </c>
      <c r="B174" t="str" cm="1">
        <f t="array" ref="B174">БУКВЫ(MID($A171,3,11))</f>
        <v>74311011</v>
      </c>
      <c r="C174" t="str">
        <f t="shared" si="10"/>
        <v xml:space="preserve">Army Cap Cotton </v>
      </c>
      <c r="D174" s="2"/>
      <c r="E174" s="2"/>
      <c r="F174" s="2"/>
      <c r="G174" s="2"/>
      <c r="H174" t="str">
        <f>_xlfn.LET(_xlpm.Searching,"61",_xlpm.inStr,IFERROR(FIND(_xlpm.Searching,$A179)&gt;=1,FALSE),IF(AND(_xlpm.inStr,LEN(A179)&lt;=6),$A180,""))</f>
        <v/>
      </c>
      <c r="I174">
        <f>_xlfn.LET(_xlpm.Searching,"63",_xlpm.inStr,IFERROR(FIND(_xlpm.Searching,$A179)&gt;=1,FALSE),IF(AND(_xlpm.inStr,LEN(A179)&lt;=6),$A180,""))</f>
        <v>4</v>
      </c>
    </row>
    <row r="175" spans="1:10" x14ac:dyDescent="0.25">
      <c r="A175" s="6" t="s">
        <v>30</v>
      </c>
      <c r="B175" t="str" cm="1">
        <f t="array" ref="B175">БУКВЫ(MID($A171,3,11))</f>
        <v>74311011</v>
      </c>
      <c r="C175" t="str">
        <f t="shared" si="10"/>
        <v xml:space="preserve">Army Cap Cotton </v>
      </c>
      <c r="D175" s="2"/>
      <c r="E175" s="2"/>
      <c r="F175" s="2"/>
      <c r="G175" s="2"/>
      <c r="H175" s="2"/>
      <c r="I175" t="str">
        <f>_xlfn.LET(_xlpm.Searching,"63",_xlpm.inStr,IFERROR(FIND(_xlpm.Searching,$A181)&gt;=1,FALSE),IF(AND(_xlpm.inStr,LEN(A181)&lt;=6),$A182,""))</f>
        <v/>
      </c>
    </row>
    <row r="176" spans="1:10" x14ac:dyDescent="0.25">
      <c r="A176" s="6">
        <v>8</v>
      </c>
    </row>
    <row r="177" spans="1:10" x14ac:dyDescent="0.25">
      <c r="A177" s="6" t="s">
        <v>31</v>
      </c>
    </row>
    <row r="178" spans="1:10" x14ac:dyDescent="0.25">
      <c r="A178" s="6">
        <v>5</v>
      </c>
    </row>
    <row r="179" spans="1:10" x14ac:dyDescent="0.25">
      <c r="A179" s="6" t="s">
        <v>34</v>
      </c>
    </row>
    <row r="180" spans="1:10" x14ac:dyDescent="0.25">
      <c r="A180" s="6">
        <v>4</v>
      </c>
    </row>
    <row r="181" spans="1:10" x14ac:dyDescent="0.25">
      <c r="A181" s="6" t="s">
        <v>67</v>
      </c>
    </row>
    <row r="182" spans="1:10" x14ac:dyDescent="0.25">
      <c r="A182" s="6" t="s">
        <v>56</v>
      </c>
    </row>
    <row r="183" spans="1:10" x14ac:dyDescent="0.25">
      <c r="A183" s="6" t="s">
        <v>61</v>
      </c>
      <c r="B183" s="1" t="s">
        <v>1</v>
      </c>
      <c r="C183" s="1" t="s">
        <v>220</v>
      </c>
      <c r="D183" s="1" t="s">
        <v>0</v>
      </c>
      <c r="E183" s="1">
        <v>55</v>
      </c>
      <c r="F183" s="1">
        <v>57</v>
      </c>
      <c r="G183" s="1">
        <v>59</v>
      </c>
      <c r="H183" s="1">
        <v>61</v>
      </c>
      <c r="I183" s="1">
        <v>63</v>
      </c>
      <c r="J183" s="3" t="s">
        <v>2</v>
      </c>
    </row>
    <row r="184" spans="1:10" x14ac:dyDescent="0.25">
      <c r="A184" s="6" t="s">
        <v>113</v>
      </c>
      <c r="B184" t="str" cm="1">
        <f t="array" ref="B184">БУКВЫ(MID($A184,3,11))</f>
        <v>743110155</v>
      </c>
      <c r="C184" t="str">
        <f>MID($A185,1,FIND("Per",A185)-1)</f>
        <v xml:space="preserve">Army Cap Cotton </v>
      </c>
      <c r="D184" t="str">
        <f>_xlfn.LET(_xlpm.Searching,"OSFA",_xlpm.inStr,IFERROR(FIND(_xlpm.Searching,$A186)&gt;=1,FALSE),IF(AND(_xlpm.inStr,LEN(A186)&lt;=6),A187,""))</f>
        <v/>
      </c>
      <c r="E184">
        <f>_xlfn.LET(_xlpm.Searching,"55",_xlpm.inStr,IFERROR(FIND(_xlpm.Searching,$A186)&gt;=1,FALSE),IF(AND(_xlpm.inStr,LEN(A186)&lt;=6),A187,""))</f>
        <v>1</v>
      </c>
      <c r="F184" t="str">
        <f>_xlfn.LET(_xlpm.Searching,"57",_xlpm.inStr,IFERROR(FIND(_xlpm.Searching,$A186)&gt;=1,FALSE),IF(AND(_xlpm.inStr,LEN(A186)&lt;=6),$A187,""))&amp;F185</f>
        <v>4</v>
      </c>
      <c r="G184" t="str">
        <f>_xlfn.LET(_xlpm.Searching,"59",_xlpm.inStr,IFERROR(FIND(_xlpm.Searching,$A186)&gt;=1,FALSE),IF(AND(_xlpm.inStr,LEN(A186)&lt;=6),$A187,""))&amp;G185&amp;G186</f>
        <v>7</v>
      </c>
      <c r="H184" t="str">
        <f>_xlfn.LET(_xlpm.Searching,"61",_xlpm.inStr,IFERROR(FIND(_xlpm.Searching,$A186)&gt;=1,FALSE),IF(AND(_xlpm.inStr,LEN(A186)&lt;=6),$A187,""))&amp;H185&amp;H186&amp;H187</f>
        <v>5</v>
      </c>
      <c r="I184" t="str">
        <f>_xlfn.LET(_xlpm.Searching,"63",_xlpm.inStr,IFERROR(FIND(_xlpm.Searching,$A186)&gt;=1,FALSE),IF(AND(_xlpm.inStr,LEN(A186)&lt;=6),$A187,""))&amp;I185&amp;I186&amp;I187&amp;I188</f>
        <v>2</v>
      </c>
      <c r="J184" s="4">
        <f>MID(TRIM(RIGHT(A184,10)),1,LEN(TRIM(RIGHT(A184,10)))-3)*0.8</f>
        <v>11.920000000000002</v>
      </c>
    </row>
    <row r="185" spans="1:10" x14ac:dyDescent="0.25">
      <c r="A185" s="6" t="s">
        <v>66</v>
      </c>
      <c r="B185" t="str" cm="1">
        <f t="array" ref="B185">БУКВЫ(MID($A184,3,11))</f>
        <v>743110155</v>
      </c>
      <c r="C185" t="str">
        <f>C184</f>
        <v xml:space="preserve">Army Cap Cotton </v>
      </c>
      <c r="D185" s="2"/>
      <c r="E185" s="2"/>
      <c r="F185">
        <f>_xlfn.LET(_xlpm.Searching,"57",_xlpm.inStr,IFERROR(FIND(_xlpm.Searching,$A188)&gt;=1,FALSE),IF(AND(_xlpm.inStr,LEN(A188)&lt;=6),$A189,""))</f>
        <v>4</v>
      </c>
      <c r="G185" t="str">
        <f>_xlfn.LET(_xlpm.Searching,"59",_xlpm.inStr,IFERROR(FIND(_xlpm.Searching,$A188)&gt;=1,FALSE),IF(AND(_xlpm.inStr,LEN(A188)&lt;=6),$A189,""))</f>
        <v/>
      </c>
      <c r="H185" t="str">
        <f>_xlfn.LET(_xlpm.Searching,"61",_xlpm.inStr,IFERROR(FIND(_xlpm.Searching,$A188)&gt;=1,FALSE),IF(AND(_xlpm.inStr,LEN(A188)&lt;=6),$A189,""))</f>
        <v/>
      </c>
      <c r="I185" t="str">
        <f>_xlfn.LET(_xlpm.Searching,"63",_xlpm.inStr,IFERROR(FIND(_xlpm.Searching,$A188)&gt;=1,FALSE),IF(AND(_xlpm.inStr,LEN(A188)&lt;=6),$A189,""))</f>
        <v/>
      </c>
    </row>
    <row r="186" spans="1:10" x14ac:dyDescent="0.25">
      <c r="A186" s="6" t="s">
        <v>32</v>
      </c>
      <c r="B186" t="str" cm="1">
        <f t="array" ref="B186">БУКВЫ(MID($A184,3,11))</f>
        <v>743110155</v>
      </c>
      <c r="C186" t="str">
        <f t="shared" ref="C186:C188" si="11">C185</f>
        <v xml:space="preserve">Army Cap Cotton </v>
      </c>
      <c r="D186" s="2"/>
      <c r="E186" s="2"/>
      <c r="F186" s="2"/>
      <c r="G186">
        <f>_xlfn.LET(_xlpm.Searching,"59",_xlpm.inStr,IFERROR(FIND(_xlpm.Searching,$A190)&gt;=1,FALSE),IF(AND(_xlpm.inStr,LEN(A190)&lt;=6),$A191,""))</f>
        <v>7</v>
      </c>
      <c r="H186" t="str">
        <f>_xlfn.LET(_xlpm.Searching,"61",_xlpm.inStr,IFERROR(FIND(_xlpm.Searching,$A190)&gt;=1,FALSE),IF(AND(_xlpm.inStr,LEN(A190)&lt;=6),$A191,""))</f>
        <v/>
      </c>
      <c r="I186" t="str">
        <f>_xlfn.LET(_xlpm.Searching,"63",_xlpm.inStr,IFERROR(FIND(_xlpm.Searching,$A190)&gt;=1,FALSE),IF(AND(_xlpm.inStr,LEN(A190)&lt;=6),$A191,""))</f>
        <v/>
      </c>
    </row>
    <row r="187" spans="1:10" x14ac:dyDescent="0.25">
      <c r="A187" s="6">
        <v>1</v>
      </c>
      <c r="B187" t="str" cm="1">
        <f t="array" ref="B187">БУКВЫ(MID($A184,3,11))</f>
        <v>743110155</v>
      </c>
      <c r="C187" t="str">
        <f t="shared" si="11"/>
        <v xml:space="preserve">Army Cap Cotton </v>
      </c>
      <c r="D187" s="2"/>
      <c r="E187" s="2"/>
      <c r="F187" s="2"/>
      <c r="G187" s="2"/>
      <c r="H187">
        <f>_xlfn.LET(_xlpm.Searching,"61",_xlpm.inStr,IFERROR(FIND(_xlpm.Searching,$A192)&gt;=1,FALSE),IF(AND(_xlpm.inStr,LEN(A192)&lt;=6),$A193,""))</f>
        <v>5</v>
      </c>
      <c r="I187" t="str">
        <f>_xlfn.LET(_xlpm.Searching,"63",_xlpm.inStr,IFERROR(FIND(_xlpm.Searching,$A192)&gt;=1,FALSE),IF(AND(_xlpm.inStr,LEN(A192)&lt;=6),$A193,""))</f>
        <v/>
      </c>
    </row>
    <row r="188" spans="1:10" x14ac:dyDescent="0.25">
      <c r="A188" s="6" t="s">
        <v>33</v>
      </c>
      <c r="B188" t="str" cm="1">
        <f t="array" ref="B188">БУКВЫ(MID($A184,3,11))</f>
        <v>743110155</v>
      </c>
      <c r="C188" t="str">
        <f t="shared" si="11"/>
        <v xml:space="preserve">Army Cap Cotton </v>
      </c>
      <c r="D188" s="2"/>
      <c r="E188" s="2"/>
      <c r="F188" s="2"/>
      <c r="G188" s="2"/>
      <c r="H188" s="2"/>
      <c r="I188">
        <f>_xlfn.LET(_xlpm.Searching,"63",_xlpm.inStr,IFERROR(FIND(_xlpm.Searching,$A194)&gt;=1,FALSE),IF(AND(_xlpm.inStr,LEN(A194)&lt;=6),$A195,""))</f>
        <v>2</v>
      </c>
    </row>
    <row r="189" spans="1:10" x14ac:dyDescent="0.25">
      <c r="A189" s="6">
        <v>4</v>
      </c>
    </row>
    <row r="190" spans="1:10" x14ac:dyDescent="0.25">
      <c r="A190" s="6" t="s">
        <v>30</v>
      </c>
    </row>
    <row r="191" spans="1:10" x14ac:dyDescent="0.25">
      <c r="A191" s="6">
        <v>7</v>
      </c>
    </row>
    <row r="192" spans="1:10" x14ac:dyDescent="0.25">
      <c r="A192" s="6" t="s">
        <v>31</v>
      </c>
    </row>
    <row r="193" spans="1:10" x14ac:dyDescent="0.25">
      <c r="A193" s="6">
        <v>5</v>
      </c>
    </row>
    <row r="194" spans="1:10" x14ac:dyDescent="0.25">
      <c r="A194" s="6" t="s">
        <v>34</v>
      </c>
    </row>
    <row r="195" spans="1:10" x14ac:dyDescent="0.25">
      <c r="A195" s="6">
        <v>2</v>
      </c>
    </row>
    <row r="196" spans="1:10" x14ac:dyDescent="0.25">
      <c r="A196" s="6" t="s">
        <v>67</v>
      </c>
    </row>
    <row r="197" spans="1:10" x14ac:dyDescent="0.25">
      <c r="A197" s="6" t="s">
        <v>114</v>
      </c>
    </row>
    <row r="198" spans="1:10" x14ac:dyDescent="0.25">
      <c r="A198" s="6" t="s">
        <v>115</v>
      </c>
      <c r="B198" s="1" t="s">
        <v>1</v>
      </c>
      <c r="C198" s="1" t="s">
        <v>220</v>
      </c>
      <c r="D198" s="1" t="s">
        <v>0</v>
      </c>
      <c r="E198" s="1">
        <v>55</v>
      </c>
      <c r="F198" s="1">
        <v>57</v>
      </c>
      <c r="G198" s="1">
        <v>59</v>
      </c>
      <c r="H198" s="1">
        <v>61</v>
      </c>
      <c r="I198" s="1">
        <v>63</v>
      </c>
      <c r="J198" s="3" t="s">
        <v>2</v>
      </c>
    </row>
    <row r="199" spans="1:10" x14ac:dyDescent="0.25">
      <c r="A199" s="6" t="s">
        <v>116</v>
      </c>
      <c r="B199" t="str" cm="1">
        <f t="array" ref="B199">БУКВЫ(MID($A199,3,11))</f>
        <v>775119127</v>
      </c>
      <c r="C199" t="str">
        <f>MID($A200,1,FIND("Per",A200)-1)</f>
        <v xml:space="preserve">Trucker Cap Gambling Grifter </v>
      </c>
      <c r="D199">
        <f>_xlfn.LET(_xlpm.Searching,"OSFA",_xlpm.inStr,IFERROR(FIND(_xlpm.Searching,$A201)&gt;=1,FALSE),IF(AND(_xlpm.inStr,LEN(A201)&lt;=6),A202,""))</f>
        <v>150</v>
      </c>
      <c r="E199" t="str">
        <f>_xlfn.LET(_xlpm.Searching,"55",_xlpm.inStr,IFERROR(FIND(_xlpm.Searching,$A201)&gt;=1,FALSE),IF(AND(_xlpm.inStr,LEN(A201)&lt;=6),A202,""))</f>
        <v/>
      </c>
      <c r="F199" t="str">
        <f>_xlfn.LET(_xlpm.Searching,"57",_xlpm.inStr,IFERROR(FIND(_xlpm.Searching,$A201)&gt;=1,FALSE),IF(AND(_xlpm.inStr,LEN(A201)&lt;=6),$A202,""))&amp;F200</f>
        <v/>
      </c>
      <c r="G199" t="str">
        <f>_xlfn.LET(_xlpm.Searching,"59",_xlpm.inStr,IFERROR(FIND(_xlpm.Searching,$A201)&gt;=1,FALSE),IF(AND(_xlpm.inStr,LEN(A201)&lt;=6),$A202,""))&amp;G200&amp;G201</f>
        <v/>
      </c>
      <c r="H199" t="str">
        <f>_xlfn.LET(_xlpm.Searching,"61",_xlpm.inStr,IFERROR(FIND(_xlpm.Searching,$A201)&gt;=1,FALSE),IF(AND(_xlpm.inStr,LEN(A201)&lt;=6),$A202,""))&amp;H200&amp;H201&amp;H202</f>
        <v/>
      </c>
      <c r="I199" t="str">
        <f>_xlfn.LET(_xlpm.Searching,"63",_xlpm.inStr,IFERROR(FIND(_xlpm.Searching,$A201)&gt;=1,FALSE),IF(AND(_xlpm.inStr,LEN(A201)&lt;=6),$A202,""))&amp;I200&amp;I201&amp;I202&amp;I203</f>
        <v/>
      </c>
      <c r="J199" s="4">
        <f>MID(TRIM(RIGHT(A199,10)),1,LEN(TRIM(RIGHT(A199,10)))-3)*0.8</f>
        <v>11.920000000000002</v>
      </c>
    </row>
    <row r="200" spans="1:10" x14ac:dyDescent="0.25">
      <c r="A200" s="6" t="s">
        <v>117</v>
      </c>
      <c r="B200" t="str" cm="1">
        <f t="array" ref="B200">БУКВЫ(MID($A199,3,11))</f>
        <v>775119127</v>
      </c>
      <c r="C200" t="str">
        <f>C199</f>
        <v xml:space="preserve">Trucker Cap Gambling Grifter </v>
      </c>
      <c r="D200" s="2"/>
      <c r="E200" s="2"/>
      <c r="F200" t="str">
        <f>_xlfn.LET(_xlpm.Searching,"57",_xlpm.inStr,IFERROR(FIND(_xlpm.Searching,$A203)&gt;=1,FALSE),IF(AND(_xlpm.inStr,LEN(A203)&lt;=6),$A204,""))</f>
        <v/>
      </c>
      <c r="G200" t="str">
        <f>_xlfn.LET(_xlpm.Searching,"59",_xlpm.inStr,IFERROR(FIND(_xlpm.Searching,$A203)&gt;=1,FALSE),IF(AND(_xlpm.inStr,LEN(A203)&lt;=6),$A204,""))</f>
        <v/>
      </c>
      <c r="H200" t="str">
        <f>_xlfn.LET(_xlpm.Searching,"61",_xlpm.inStr,IFERROR(FIND(_xlpm.Searching,$A203)&gt;=1,FALSE),IF(AND(_xlpm.inStr,LEN(A203)&lt;=6),$A204,""))</f>
        <v/>
      </c>
      <c r="I200" t="str">
        <f>_xlfn.LET(_xlpm.Searching,"63",_xlpm.inStr,IFERROR(FIND(_xlpm.Searching,$A203)&gt;=1,FALSE),IF(AND(_xlpm.inStr,LEN(A203)&lt;=6),$A204,""))</f>
        <v/>
      </c>
    </row>
    <row r="201" spans="1:10" x14ac:dyDescent="0.25">
      <c r="A201" s="6" t="s">
        <v>0</v>
      </c>
      <c r="B201" t="str" cm="1">
        <f t="array" ref="B201">БУКВЫ(MID($A199,3,11))</f>
        <v>775119127</v>
      </c>
      <c r="C201" t="str">
        <f t="shared" ref="C201:C203" si="12">C200</f>
        <v xml:space="preserve">Trucker Cap Gambling Grifter </v>
      </c>
      <c r="D201" s="2"/>
      <c r="E201" s="2"/>
      <c r="F201" s="2"/>
      <c r="G201" t="str">
        <f>_xlfn.LET(_xlpm.Searching,"59",_xlpm.inStr,IFERROR(FIND(_xlpm.Searching,$A205)&gt;=1,FALSE),IF(AND(_xlpm.inStr,LEN(A205)&lt;=6),$A206,""))</f>
        <v/>
      </c>
      <c r="H201" t="str">
        <f>_xlfn.LET(_xlpm.Searching,"61",_xlpm.inStr,IFERROR(FIND(_xlpm.Searching,$A205)&gt;=1,FALSE),IF(AND(_xlpm.inStr,LEN(A205)&lt;=6),$A206,""))</f>
        <v/>
      </c>
      <c r="I201" t="str">
        <f>_xlfn.LET(_xlpm.Searching,"63",_xlpm.inStr,IFERROR(FIND(_xlpm.Searching,$A205)&gt;=1,FALSE),IF(AND(_xlpm.inStr,LEN(A205)&lt;=6),$A206,""))</f>
        <v/>
      </c>
    </row>
    <row r="202" spans="1:10" x14ac:dyDescent="0.25">
      <c r="A202" s="6">
        <v>150</v>
      </c>
      <c r="B202" t="str" cm="1">
        <f t="array" ref="B202">БУКВЫ(MID($A199,3,11))</f>
        <v>775119127</v>
      </c>
      <c r="C202" t="str">
        <f t="shared" si="12"/>
        <v xml:space="preserve">Trucker Cap Gambling Grifter </v>
      </c>
      <c r="D202" s="2"/>
      <c r="E202" s="2"/>
      <c r="F202" s="2"/>
      <c r="G202" s="2"/>
      <c r="H202" t="str">
        <f>_xlfn.LET(_xlpm.Searching,"61",_xlpm.inStr,IFERROR(FIND(_xlpm.Searching,$A207)&gt;=1,FALSE),IF(AND(_xlpm.inStr,LEN(A207)&lt;=6),$A208,""))</f>
        <v/>
      </c>
      <c r="I202" t="str">
        <f>_xlfn.LET(_xlpm.Searching,"63",_xlpm.inStr,IFERROR(FIND(_xlpm.Searching,$A207)&gt;=1,FALSE),IF(AND(_xlpm.inStr,LEN(A207)&lt;=6),$A208,""))</f>
        <v/>
      </c>
    </row>
    <row r="203" spans="1:10" x14ac:dyDescent="0.25">
      <c r="A203" s="6" t="s">
        <v>35</v>
      </c>
      <c r="B203" t="str" cm="1">
        <f t="array" ref="B203">БУКВЫ(MID($A199,3,11))</f>
        <v>775119127</v>
      </c>
      <c r="C203" t="str">
        <f t="shared" si="12"/>
        <v xml:space="preserve">Trucker Cap Gambling Grifter </v>
      </c>
      <c r="D203" s="2"/>
      <c r="E203" s="2"/>
      <c r="F203" s="2"/>
      <c r="G203" s="2"/>
      <c r="H203" s="2"/>
      <c r="I203" t="str">
        <f>_xlfn.LET(_xlpm.Searching,"63",_xlpm.inStr,IFERROR(FIND(_xlpm.Searching,$A209)&gt;=1,FALSE),IF(AND(_xlpm.inStr,LEN(A209)&lt;=6),$A210,""))</f>
        <v/>
      </c>
    </row>
    <row r="204" spans="1:10" x14ac:dyDescent="0.25">
      <c r="A204" s="6" t="s">
        <v>118</v>
      </c>
    </row>
    <row r="205" spans="1:10" x14ac:dyDescent="0.25">
      <c r="A205" s="6" t="s">
        <v>119</v>
      </c>
      <c r="B205" s="1" t="s">
        <v>1</v>
      </c>
      <c r="C205" s="1" t="s">
        <v>220</v>
      </c>
      <c r="D205" s="1" t="s">
        <v>0</v>
      </c>
      <c r="E205" s="1">
        <v>55</v>
      </c>
      <c r="F205" s="1">
        <v>57</v>
      </c>
      <c r="G205" s="1">
        <v>59</v>
      </c>
      <c r="H205" s="1">
        <v>61</v>
      </c>
      <c r="I205" s="1">
        <v>63</v>
      </c>
      <c r="J205" s="3" t="s">
        <v>2</v>
      </c>
    </row>
    <row r="206" spans="1:10" x14ac:dyDescent="0.25">
      <c r="A206" s="6" t="s">
        <v>120</v>
      </c>
      <c r="B206" t="str" cm="1">
        <f t="array" ref="B206">БУКВЫ(MID($A206,3,11))</f>
        <v>77131013</v>
      </c>
      <c r="C206" t="str">
        <f>MID($A207,1,FIND("Per",A207)-1)</f>
        <v xml:space="preserve">Baseball Cap Linen </v>
      </c>
      <c r="D206" t="str">
        <f>_xlfn.LET(_xlpm.Searching,"OSFA",_xlpm.inStr,IFERROR(FIND(_xlpm.Searching,$A208)&gt;=1,FALSE),IF(AND(_xlpm.inStr,LEN(A208)&lt;=6),A209,""))</f>
        <v/>
      </c>
      <c r="E206" t="str">
        <f>_xlfn.LET(_xlpm.Searching,"55",_xlpm.inStr,IFERROR(FIND(_xlpm.Searching,$A208)&gt;=1,FALSE),IF(AND(_xlpm.inStr,LEN(A208)&lt;=6),A209,""))</f>
        <v/>
      </c>
      <c r="F206" t="str">
        <f>_xlfn.LET(_xlpm.Searching,"57",_xlpm.inStr,IFERROR(FIND(_xlpm.Searching,$A208)&gt;=1,FALSE),IF(AND(_xlpm.inStr,LEN(A208)&lt;=6),$A209,""))&amp;F207</f>
        <v>4</v>
      </c>
      <c r="G206" t="str">
        <f>_xlfn.LET(_xlpm.Searching,"59",_xlpm.inStr,IFERROR(FIND(_xlpm.Searching,$A208)&gt;=1,FALSE),IF(AND(_xlpm.inStr,LEN(A208)&lt;=6),$A209,""))&amp;G207&amp;G208</f>
        <v>6</v>
      </c>
      <c r="H206" t="str">
        <f>_xlfn.LET(_xlpm.Searching,"61",_xlpm.inStr,IFERROR(FIND(_xlpm.Searching,$A208)&gt;=1,FALSE),IF(AND(_xlpm.inStr,LEN(A208)&lt;=6),$A209,""))&amp;H207&amp;H208&amp;H209</f>
        <v>4</v>
      </c>
      <c r="I206" t="str">
        <f>_xlfn.LET(_xlpm.Searching,"63",_xlpm.inStr,IFERROR(FIND(_xlpm.Searching,$A208)&gt;=1,FALSE),IF(AND(_xlpm.inStr,LEN(A208)&lt;=6),$A209,""))&amp;I207&amp;I208&amp;I209&amp;I210</f>
        <v/>
      </c>
      <c r="J206" s="4">
        <f>MID(TRIM(RIGHT(A206,10)),1,LEN(TRIM(RIGHT(A206,10)))-3)*0.8</f>
        <v>15.12</v>
      </c>
    </row>
    <row r="207" spans="1:10" x14ac:dyDescent="0.25">
      <c r="A207" s="6" t="s">
        <v>121</v>
      </c>
      <c r="B207" t="str" cm="1">
        <f t="array" ref="B207">БУКВЫ(MID($A206,3,11))</f>
        <v>77131013</v>
      </c>
      <c r="C207" t="str">
        <f>C206</f>
        <v xml:space="preserve">Baseball Cap Linen </v>
      </c>
      <c r="D207" s="2"/>
      <c r="E207" s="2"/>
      <c r="F207" t="str">
        <f>_xlfn.LET(_xlpm.Searching,"57",_xlpm.inStr,IFERROR(FIND(_xlpm.Searching,$A210)&gt;=1,FALSE),IF(AND(_xlpm.inStr,LEN(A210)&lt;=6),$A211,""))</f>
        <v/>
      </c>
      <c r="G207">
        <f>_xlfn.LET(_xlpm.Searching,"59",_xlpm.inStr,IFERROR(FIND(_xlpm.Searching,$A210)&gt;=1,FALSE),IF(AND(_xlpm.inStr,LEN(A210)&lt;=6),$A211,""))</f>
        <v>6</v>
      </c>
      <c r="H207" t="str">
        <f>_xlfn.LET(_xlpm.Searching,"61",_xlpm.inStr,IFERROR(FIND(_xlpm.Searching,$A210)&gt;=1,FALSE),IF(AND(_xlpm.inStr,LEN(A210)&lt;=6),$A211,""))</f>
        <v/>
      </c>
      <c r="I207" t="str">
        <f>_xlfn.LET(_xlpm.Searching,"63",_xlpm.inStr,IFERROR(FIND(_xlpm.Searching,$A210)&gt;=1,FALSE),IF(AND(_xlpm.inStr,LEN(A210)&lt;=6),$A211,""))</f>
        <v/>
      </c>
    </row>
    <row r="208" spans="1:10" x14ac:dyDescent="0.25">
      <c r="A208" s="6" t="s">
        <v>33</v>
      </c>
      <c r="B208" t="str" cm="1">
        <f t="array" ref="B208">БУКВЫ(MID($A206,3,11))</f>
        <v>77131013</v>
      </c>
      <c r="C208" t="str">
        <f t="shared" ref="C208:C210" si="13">C207</f>
        <v xml:space="preserve">Baseball Cap Linen </v>
      </c>
      <c r="D208" s="2"/>
      <c r="E208" s="2"/>
      <c r="F208" s="2"/>
      <c r="G208" t="str">
        <f>_xlfn.LET(_xlpm.Searching,"59",_xlpm.inStr,IFERROR(FIND(_xlpm.Searching,$A212)&gt;=1,FALSE),IF(AND(_xlpm.inStr,LEN(A212)&lt;=6),$A213,""))</f>
        <v/>
      </c>
      <c r="H208">
        <f>_xlfn.LET(_xlpm.Searching,"61",_xlpm.inStr,IFERROR(FIND(_xlpm.Searching,$A212)&gt;=1,FALSE),IF(AND(_xlpm.inStr,LEN(A212)&lt;=6),$A213,""))</f>
        <v>4</v>
      </c>
      <c r="I208" t="str">
        <f>_xlfn.LET(_xlpm.Searching,"63",_xlpm.inStr,IFERROR(FIND(_xlpm.Searching,$A212)&gt;=1,FALSE),IF(AND(_xlpm.inStr,LEN(A212)&lt;=6),$A213,""))</f>
        <v/>
      </c>
    </row>
    <row r="209" spans="1:17" x14ac:dyDescent="0.25">
      <c r="A209" s="6">
        <v>4</v>
      </c>
      <c r="B209" t="str" cm="1">
        <f t="array" ref="B209">БУКВЫ(MID($A206,3,11))</f>
        <v>77131013</v>
      </c>
      <c r="C209" t="str">
        <f t="shared" si="13"/>
        <v xml:space="preserve">Baseball Cap Linen </v>
      </c>
      <c r="D209" s="2"/>
      <c r="E209" s="2"/>
      <c r="F209" s="2"/>
      <c r="G209" s="2"/>
      <c r="H209" t="str">
        <f>_xlfn.LET(_xlpm.Searching,"61",_xlpm.inStr,IFERROR(FIND(_xlpm.Searching,$A214)&gt;=1,FALSE),IF(AND(_xlpm.inStr,LEN(A214)&lt;=6),$A215,""))</f>
        <v/>
      </c>
      <c r="I209" t="str">
        <f>_xlfn.LET(_xlpm.Searching,"63",_xlpm.inStr,IFERROR(FIND(_xlpm.Searching,$A214)&gt;=1,FALSE),IF(AND(_xlpm.inStr,LEN(A214)&lt;=6),$A215,""))</f>
        <v/>
      </c>
    </row>
    <row r="210" spans="1:17" x14ac:dyDescent="0.25">
      <c r="A210" s="6" t="s">
        <v>30</v>
      </c>
      <c r="B210" t="str" cm="1">
        <f t="array" ref="B210">БУКВЫ(MID($A206,3,11))</f>
        <v>77131013</v>
      </c>
      <c r="C210" t="str">
        <f t="shared" si="13"/>
        <v xml:space="preserve">Baseball Cap Linen </v>
      </c>
      <c r="D210" s="2"/>
      <c r="E210" s="2"/>
      <c r="F210" s="2"/>
      <c r="G210" s="2"/>
      <c r="H210" s="2"/>
      <c r="I210" t="str">
        <f>_xlfn.LET(_xlpm.Searching,"63",_xlpm.inStr,IFERROR(FIND(_xlpm.Searching,$A216)&gt;=1,FALSE),IF(AND(_xlpm.inStr,LEN(A216)&lt;=6),$A217,""))</f>
        <v/>
      </c>
    </row>
    <row r="211" spans="1:17" x14ac:dyDescent="0.25">
      <c r="A211" s="6">
        <v>6</v>
      </c>
    </row>
    <row r="212" spans="1:17" x14ac:dyDescent="0.25">
      <c r="A212" s="6" t="s">
        <v>31</v>
      </c>
    </row>
    <row r="213" spans="1:17" x14ac:dyDescent="0.25">
      <c r="A213" s="6">
        <v>4</v>
      </c>
    </row>
    <row r="214" spans="1:17" x14ac:dyDescent="0.25">
      <c r="A214" s="6" t="s">
        <v>122</v>
      </c>
    </row>
    <row r="215" spans="1:17" x14ac:dyDescent="0.25">
      <c r="A215" s="6" t="s">
        <v>123</v>
      </c>
    </row>
    <row r="216" spans="1:17" x14ac:dyDescent="0.25">
      <c r="A216" s="6" t="s">
        <v>124</v>
      </c>
      <c r="B216" s="1" t="s">
        <v>1</v>
      </c>
      <c r="C216" s="1" t="s">
        <v>220</v>
      </c>
      <c r="D216" s="1" t="s">
        <v>0</v>
      </c>
      <c r="E216" s="1">
        <v>55</v>
      </c>
      <c r="F216" s="1">
        <v>57</v>
      </c>
      <c r="G216" s="1">
        <v>59</v>
      </c>
      <c r="H216" s="1">
        <v>61</v>
      </c>
      <c r="I216" s="1">
        <v>63</v>
      </c>
      <c r="J216" s="3" t="s">
        <v>2</v>
      </c>
    </row>
    <row r="217" spans="1:17" x14ac:dyDescent="0.25">
      <c r="A217" s="6" t="s">
        <v>125</v>
      </c>
      <c r="B217" t="str" cm="1">
        <f t="array" ref="B217">БУКВЫ(MID($A217,3,11))</f>
        <v>68431162</v>
      </c>
      <c r="C217" t="str">
        <f>MID($A218,1,FIND("Per",A218)-1)</f>
        <v xml:space="preserve">Hatteras Linen </v>
      </c>
      <c r="D217" t="str">
        <f>_xlfn.LET(_xlpm.Searching,"OSFA",_xlpm.inStr,IFERROR(FIND(_xlpm.Searching,$A219)&gt;=1,FALSE),IF(AND(_xlpm.inStr,LEN(A219)&lt;=6),A220,""))</f>
        <v/>
      </c>
      <c r="E217">
        <f>_xlfn.LET(_xlpm.Searching,"55",_xlpm.inStr,IFERROR(FIND(_xlpm.Searching,$A219)&gt;=1,FALSE),IF(AND(_xlpm.inStr,LEN(A219)&lt;=6),A220,""))</f>
        <v>1</v>
      </c>
      <c r="F217" t="str">
        <f>_xlfn.LET(_xlpm.Searching,"57",_xlpm.inStr,IFERROR(FIND(_xlpm.Searching,$A219)&gt;=1,FALSE),IF(AND(_xlpm.inStr,LEN(A219)&lt;=6),$A220,""))&amp;F218</f>
        <v>5</v>
      </c>
      <c r="G217" t="str">
        <f>_xlfn.LET(_xlpm.Searching,"59",_xlpm.inStr,IFERROR(FIND(_xlpm.Searching,$A219)&gt;=1,FALSE),IF(AND(_xlpm.inStr,LEN(A219)&lt;=6),$A220,""))&amp;G218&amp;G219</f>
        <v>8</v>
      </c>
      <c r="H217" t="str">
        <f>_xlfn.LET(_xlpm.Searching,"61",_xlpm.inStr,IFERROR(FIND(_xlpm.Searching,$A219)&gt;=1,FALSE),IF(AND(_xlpm.inStr,LEN(A219)&lt;=6),$A220,""))&amp;H218&amp;H219&amp;H220</f>
        <v>5</v>
      </c>
      <c r="I217" t="str">
        <f>_xlfn.LET(_xlpm.Searching,"63",_xlpm.inStr,IFERROR(FIND(_xlpm.Searching,$A219)&gt;=1,FALSE),IF(AND(_xlpm.inStr,LEN(A219)&lt;=6),$A220,""))&amp;I218&amp;I219&amp;I220&amp;I221</f>
        <v>2</v>
      </c>
      <c r="J217" s="4">
        <f>MID(TRIM(RIGHT(A217,10)),1,LEN(TRIM(RIGHT(A217,10)))-3)*0.8</f>
        <v>23.92</v>
      </c>
    </row>
    <row r="218" spans="1:17" x14ac:dyDescent="0.25">
      <c r="A218" s="6" t="s">
        <v>126</v>
      </c>
      <c r="B218" t="str" cm="1">
        <f t="array" ref="B218">БУКВЫ(MID($A217,3,11))</f>
        <v>68431162</v>
      </c>
      <c r="C218" t="str">
        <f>C217</f>
        <v xml:space="preserve">Hatteras Linen </v>
      </c>
      <c r="D218" s="2"/>
      <c r="E218" s="2"/>
      <c r="F218">
        <f>_xlfn.LET(_xlpm.Searching,"57",_xlpm.inStr,IFERROR(FIND(_xlpm.Searching,$A221)&gt;=1,FALSE),IF(AND(_xlpm.inStr,LEN(A221)&lt;=6),$A222,""))</f>
        <v>5</v>
      </c>
      <c r="G218" t="str">
        <f>_xlfn.LET(_xlpm.Searching,"59",_xlpm.inStr,IFERROR(FIND(_xlpm.Searching,$A221)&gt;=1,FALSE),IF(AND(_xlpm.inStr,LEN(A221)&lt;=6),$A222,""))</f>
        <v/>
      </c>
      <c r="H218" t="str">
        <f>_xlfn.LET(_xlpm.Searching,"61",_xlpm.inStr,IFERROR(FIND(_xlpm.Searching,$A221)&gt;=1,FALSE),IF(AND(_xlpm.inStr,LEN(A221)&lt;=6),$A222,""))</f>
        <v/>
      </c>
      <c r="I218" t="str">
        <f>_xlfn.LET(_xlpm.Searching,"63",_xlpm.inStr,IFERROR(FIND(_xlpm.Searching,$A221)&gt;=1,FALSE),IF(AND(_xlpm.inStr,LEN(A221)&lt;=6),$A222,""))</f>
        <v/>
      </c>
    </row>
    <row r="219" spans="1:17" x14ac:dyDescent="0.25">
      <c r="A219" s="6" t="s">
        <v>32</v>
      </c>
      <c r="B219" t="str" cm="1">
        <f t="array" ref="B219">БУКВЫ(MID($A217,3,11))</f>
        <v>68431162</v>
      </c>
      <c r="C219" t="str">
        <f t="shared" ref="C219:C221" si="14">C218</f>
        <v xml:space="preserve">Hatteras Linen </v>
      </c>
      <c r="D219" s="2"/>
      <c r="E219" s="2"/>
      <c r="F219" s="2"/>
      <c r="G219">
        <f>_xlfn.LET(_xlpm.Searching,"59",_xlpm.inStr,IFERROR(FIND(_xlpm.Searching,$A223)&gt;=1,FALSE),IF(AND(_xlpm.inStr,LEN(A223)&lt;=6),$A224,""))</f>
        <v>8</v>
      </c>
      <c r="H219" t="str">
        <f>_xlfn.LET(_xlpm.Searching,"61",_xlpm.inStr,IFERROR(FIND(_xlpm.Searching,$A223)&gt;=1,FALSE),IF(AND(_xlpm.inStr,LEN(A223)&lt;=6),$A224,""))</f>
        <v/>
      </c>
      <c r="I219" t="str">
        <f>_xlfn.LET(_xlpm.Searching,"63",_xlpm.inStr,IFERROR(FIND(_xlpm.Searching,$A223)&gt;=1,FALSE),IF(AND(_xlpm.inStr,LEN(A223)&lt;=6),$A224,""))</f>
        <v/>
      </c>
    </row>
    <row r="220" spans="1:17" x14ac:dyDescent="0.25">
      <c r="A220" s="6">
        <v>1</v>
      </c>
      <c r="B220" t="str" cm="1">
        <f t="array" ref="B220">БУКВЫ(MID($A217,3,11))</f>
        <v>68431162</v>
      </c>
      <c r="C220" t="str">
        <f t="shared" si="14"/>
        <v xml:space="preserve">Hatteras Linen </v>
      </c>
      <c r="D220" s="2"/>
      <c r="E220" s="2"/>
      <c r="F220" s="2"/>
      <c r="G220" s="2"/>
      <c r="H220">
        <f>_xlfn.LET(_xlpm.Searching,"61",_xlpm.inStr,IFERROR(FIND(_xlpm.Searching,$A225)&gt;=1,FALSE),IF(AND(_xlpm.inStr,LEN(A225)&lt;=6),$A226,""))</f>
        <v>5</v>
      </c>
      <c r="I220" t="str">
        <f>_xlfn.LET(_xlpm.Searching,"63",_xlpm.inStr,IFERROR(FIND(_xlpm.Searching,$A225)&gt;=1,FALSE),IF(AND(_xlpm.inStr,LEN(A225)&lt;=6),$A226,""))</f>
        <v/>
      </c>
    </row>
    <row r="221" spans="1:17" x14ac:dyDescent="0.25">
      <c r="A221" s="6" t="s">
        <v>33</v>
      </c>
      <c r="B221" t="str" cm="1">
        <f t="array" ref="B221">БУКВЫ(MID($A217,3,11))</f>
        <v>68431162</v>
      </c>
      <c r="C221" t="str">
        <f t="shared" si="14"/>
        <v xml:space="preserve">Hatteras Linen </v>
      </c>
      <c r="D221" s="2"/>
      <c r="E221" s="2"/>
      <c r="F221" s="2"/>
      <c r="G221" s="2"/>
      <c r="H221" s="2"/>
      <c r="I221">
        <f>_xlfn.LET(_xlpm.Searching,"63",_xlpm.inStr,IFERROR(FIND(_xlpm.Searching,$A227)&gt;=1,FALSE),IF(AND(_xlpm.inStr,LEN(A227)&lt;=6),$A228,""))</f>
        <v>2</v>
      </c>
      <c r="L221" s="1"/>
      <c r="M221" s="1"/>
      <c r="N221" s="1"/>
      <c r="O221" s="1"/>
      <c r="P221" s="1"/>
      <c r="Q221" s="1"/>
    </row>
    <row r="222" spans="1:17" x14ac:dyDescent="0.25">
      <c r="A222" s="6">
        <v>5</v>
      </c>
    </row>
    <row r="223" spans="1:17" x14ac:dyDescent="0.25">
      <c r="A223" s="6" t="s">
        <v>30</v>
      </c>
    </row>
    <row r="224" spans="1:17" x14ac:dyDescent="0.25">
      <c r="A224" s="6">
        <v>8</v>
      </c>
    </row>
    <row r="225" spans="1:10" x14ac:dyDescent="0.25">
      <c r="A225" s="6" t="s">
        <v>31</v>
      </c>
    </row>
    <row r="226" spans="1:10" x14ac:dyDescent="0.25">
      <c r="A226" s="6">
        <v>5</v>
      </c>
    </row>
    <row r="227" spans="1:10" x14ac:dyDescent="0.25">
      <c r="A227" s="6" t="s">
        <v>34</v>
      </c>
    </row>
    <row r="228" spans="1:10" x14ac:dyDescent="0.25">
      <c r="A228" s="6">
        <v>2</v>
      </c>
    </row>
    <row r="229" spans="1:10" x14ac:dyDescent="0.25">
      <c r="A229" s="6" t="s">
        <v>127</v>
      </c>
    </row>
    <row r="230" spans="1:10" x14ac:dyDescent="0.25">
      <c r="A230" s="6" t="s">
        <v>128</v>
      </c>
    </row>
    <row r="231" spans="1:10" x14ac:dyDescent="0.25">
      <c r="A231" s="6" t="s">
        <v>129</v>
      </c>
      <c r="B231" s="1" t="s">
        <v>1</v>
      </c>
      <c r="C231" s="1" t="s">
        <v>220</v>
      </c>
      <c r="D231" s="1" t="s">
        <v>0</v>
      </c>
      <c r="E231" s="1">
        <v>55</v>
      </c>
      <c r="F231" s="1">
        <v>57</v>
      </c>
      <c r="G231" s="1">
        <v>59</v>
      </c>
      <c r="H231" s="1">
        <v>61</v>
      </c>
      <c r="I231" s="1">
        <v>63</v>
      </c>
      <c r="J231" s="3" t="s">
        <v>2</v>
      </c>
    </row>
    <row r="232" spans="1:10" x14ac:dyDescent="0.25">
      <c r="A232" s="6" t="s">
        <v>130</v>
      </c>
      <c r="B232" t="str" cm="1">
        <f t="array" ref="B232">БУКВЫ(MID($A232,3,11))</f>
        <v>68131036</v>
      </c>
      <c r="C232" t="str">
        <f>MID($A233,1,FIND("Per",A233)-1)</f>
        <v xml:space="preserve">8-Panel Cap Linen </v>
      </c>
      <c r="D232" t="str">
        <f>_xlfn.LET(_xlpm.Searching,"OSFA",_xlpm.inStr,IFERROR(FIND(_xlpm.Searching,$A234)&gt;=1,FALSE),IF(AND(_xlpm.inStr,LEN(A234)&lt;=6),A235,""))</f>
        <v/>
      </c>
      <c r="E232" t="str">
        <f>_xlfn.LET(_xlpm.Searching,"55",_xlpm.inStr,IFERROR(FIND(_xlpm.Searching,$A234)&gt;=1,FALSE),IF(AND(_xlpm.inStr,LEN(A234)&lt;=6),A235,""))</f>
        <v/>
      </c>
      <c r="F232" t="str">
        <f>_xlfn.LET(_xlpm.Searching,"57",_xlpm.inStr,IFERROR(FIND(_xlpm.Searching,$A234)&gt;=1,FALSE),IF(AND(_xlpm.inStr,LEN(A234)&lt;=6),$A235,""))&amp;F233</f>
        <v>4</v>
      </c>
      <c r="G232" t="str">
        <f>_xlfn.LET(_xlpm.Searching,"59",_xlpm.inStr,IFERROR(FIND(_xlpm.Searching,$A234)&gt;=1,FALSE),IF(AND(_xlpm.inStr,LEN(A234)&lt;=6),$A235,""))&amp;G233&amp;G234</f>
        <v>6</v>
      </c>
      <c r="H232" t="str">
        <f>_xlfn.LET(_xlpm.Searching,"61",_xlpm.inStr,IFERROR(FIND(_xlpm.Searching,$A234)&gt;=1,FALSE),IF(AND(_xlpm.inStr,LEN(A234)&lt;=6),$A235,""))&amp;H233&amp;H234&amp;H235</f>
        <v>4</v>
      </c>
      <c r="I232" t="str">
        <f>_xlfn.LET(_xlpm.Searching,"63",_xlpm.inStr,IFERROR(FIND(_xlpm.Searching,$A234)&gt;=1,FALSE),IF(AND(_xlpm.inStr,LEN(A234)&lt;=6),$A235,""))&amp;I233&amp;I234&amp;I235&amp;I236</f>
        <v>1</v>
      </c>
      <c r="J232" s="4">
        <f>MID(TRIM(RIGHT(A232,10)),1,LEN(TRIM(RIGHT(A232,10)))-3)*0.8</f>
        <v>30.32</v>
      </c>
    </row>
    <row r="233" spans="1:10" x14ac:dyDescent="0.25">
      <c r="A233" s="6" t="s">
        <v>131</v>
      </c>
      <c r="B233" t="str" cm="1">
        <f t="array" ref="B233">БУКВЫ(MID($A232,3,11))</f>
        <v>68131036</v>
      </c>
      <c r="C233" t="str">
        <f>C232</f>
        <v xml:space="preserve">8-Panel Cap Linen </v>
      </c>
      <c r="D233" s="2"/>
      <c r="E233" s="2"/>
      <c r="F233" t="str">
        <f>_xlfn.LET(_xlpm.Searching,"57",_xlpm.inStr,IFERROR(FIND(_xlpm.Searching,$A236)&gt;=1,FALSE),IF(AND(_xlpm.inStr,LEN(A236)&lt;=6),$A237,""))</f>
        <v/>
      </c>
      <c r="G233">
        <f>_xlfn.LET(_xlpm.Searching,"59",_xlpm.inStr,IFERROR(FIND(_xlpm.Searching,$A236)&gt;=1,FALSE),IF(AND(_xlpm.inStr,LEN(A236)&lt;=6),$A237,""))</f>
        <v>6</v>
      </c>
      <c r="H233" t="str">
        <f>_xlfn.LET(_xlpm.Searching,"61",_xlpm.inStr,IFERROR(FIND(_xlpm.Searching,$A236)&gt;=1,FALSE),IF(AND(_xlpm.inStr,LEN(A236)&lt;=6),$A237,""))</f>
        <v/>
      </c>
      <c r="I233" t="str">
        <f>_xlfn.LET(_xlpm.Searching,"63",_xlpm.inStr,IFERROR(FIND(_xlpm.Searching,$A236)&gt;=1,FALSE),IF(AND(_xlpm.inStr,LEN(A236)&lt;=6),$A237,""))</f>
        <v/>
      </c>
    </row>
    <row r="234" spans="1:10" x14ac:dyDescent="0.25">
      <c r="A234" s="6" t="s">
        <v>33</v>
      </c>
      <c r="B234" t="str" cm="1">
        <f t="array" ref="B234">БУКВЫ(MID($A232,3,11))</f>
        <v>68131036</v>
      </c>
      <c r="C234" t="str">
        <f t="shared" ref="C234:C236" si="15">C233</f>
        <v xml:space="preserve">8-Panel Cap Linen </v>
      </c>
      <c r="D234" s="2"/>
      <c r="E234" s="2"/>
      <c r="F234" s="2"/>
      <c r="G234" t="str">
        <f>_xlfn.LET(_xlpm.Searching,"59",_xlpm.inStr,IFERROR(FIND(_xlpm.Searching,$A238)&gt;=1,FALSE),IF(AND(_xlpm.inStr,LEN(A238)&lt;=6),$A239,""))</f>
        <v/>
      </c>
      <c r="H234">
        <f>_xlfn.LET(_xlpm.Searching,"61",_xlpm.inStr,IFERROR(FIND(_xlpm.Searching,$A238)&gt;=1,FALSE),IF(AND(_xlpm.inStr,LEN(A238)&lt;=6),$A239,""))</f>
        <v>4</v>
      </c>
      <c r="I234" t="str">
        <f>_xlfn.LET(_xlpm.Searching,"63",_xlpm.inStr,IFERROR(FIND(_xlpm.Searching,$A238)&gt;=1,FALSE),IF(AND(_xlpm.inStr,LEN(A238)&lt;=6),$A239,""))</f>
        <v/>
      </c>
    </row>
    <row r="235" spans="1:10" x14ac:dyDescent="0.25">
      <c r="A235" s="6">
        <v>4</v>
      </c>
      <c r="B235" t="str" cm="1">
        <f t="array" ref="B235">БУКВЫ(MID($A232,3,11))</f>
        <v>68131036</v>
      </c>
      <c r="C235" t="str">
        <f t="shared" si="15"/>
        <v xml:space="preserve">8-Panel Cap Linen </v>
      </c>
      <c r="D235" s="2"/>
      <c r="E235" s="2"/>
      <c r="F235" s="2"/>
      <c r="G235" s="2"/>
      <c r="H235" t="str">
        <f>_xlfn.LET(_xlpm.Searching,"61",_xlpm.inStr,IFERROR(FIND(_xlpm.Searching,$A240)&gt;=1,FALSE),IF(AND(_xlpm.inStr,LEN(A240)&lt;=6),$A241,""))</f>
        <v/>
      </c>
      <c r="I235">
        <f>_xlfn.LET(_xlpm.Searching,"63",_xlpm.inStr,IFERROR(FIND(_xlpm.Searching,$A240)&gt;=1,FALSE),IF(AND(_xlpm.inStr,LEN(A240)&lt;=6),$A241,""))</f>
        <v>1</v>
      </c>
    </row>
    <row r="236" spans="1:10" x14ac:dyDescent="0.25">
      <c r="A236" s="6" t="s">
        <v>30</v>
      </c>
      <c r="B236" t="str" cm="1">
        <f t="array" ref="B236">БУКВЫ(MID($A232,3,11))</f>
        <v>68131036</v>
      </c>
      <c r="C236" t="str">
        <f t="shared" si="15"/>
        <v xml:space="preserve">8-Panel Cap Linen </v>
      </c>
      <c r="D236" s="2"/>
      <c r="E236" s="2"/>
      <c r="F236" s="2"/>
      <c r="G236" s="2"/>
      <c r="H236" s="2"/>
      <c r="I236" t="str">
        <f>_xlfn.LET(_xlpm.Searching,"63",_xlpm.inStr,IFERROR(FIND(_xlpm.Searching,$A242)&gt;=1,FALSE),IF(AND(_xlpm.inStr,LEN(A242)&lt;=6),$A243,""))</f>
        <v/>
      </c>
    </row>
    <row r="237" spans="1:10" x14ac:dyDescent="0.25">
      <c r="A237" s="6">
        <v>6</v>
      </c>
    </row>
    <row r="238" spans="1:10" x14ac:dyDescent="0.25">
      <c r="A238" s="6" t="s">
        <v>31</v>
      </c>
    </row>
    <row r="239" spans="1:10" x14ac:dyDescent="0.25">
      <c r="A239" s="6">
        <v>4</v>
      </c>
    </row>
    <row r="240" spans="1:10" x14ac:dyDescent="0.25">
      <c r="A240" s="6" t="s">
        <v>34</v>
      </c>
    </row>
    <row r="241" spans="1:1" x14ac:dyDescent="0.25">
      <c r="A241" s="6">
        <v>1</v>
      </c>
    </row>
    <row r="242" spans="1:1" x14ac:dyDescent="0.25">
      <c r="A242" s="6" t="s">
        <v>132</v>
      </c>
    </row>
    <row r="243" spans="1:1" x14ac:dyDescent="0.25">
      <c r="A243" s="6" t="s">
        <v>133</v>
      </c>
    </row>
    <row r="244" spans="1:1" x14ac:dyDescent="0.25">
      <c r="A244" s="6" t="s">
        <v>134</v>
      </c>
    </row>
    <row r="245" spans="1:1" x14ac:dyDescent="0.25">
      <c r="A245" s="6" t="s">
        <v>18</v>
      </c>
    </row>
    <row r="246" spans="1:1" x14ac:dyDescent="0.25">
      <c r="A246" s="6" t="s">
        <v>36</v>
      </c>
    </row>
    <row r="247" spans="1:1" x14ac:dyDescent="0.25">
      <c r="A247" s="6" t="s">
        <v>37</v>
      </c>
    </row>
    <row r="248" spans="1:1" x14ac:dyDescent="0.25">
      <c r="A248" s="6" t="s">
        <v>38</v>
      </c>
    </row>
    <row r="249" spans="1:1" x14ac:dyDescent="0.25">
      <c r="A249" s="6" t="s">
        <v>39</v>
      </c>
    </row>
    <row r="250" spans="1:1" x14ac:dyDescent="0.25">
      <c r="A250" s="6" t="s">
        <v>40</v>
      </c>
    </row>
    <row r="251" spans="1:1" x14ac:dyDescent="0.25">
      <c r="A251" s="6" t="s">
        <v>41</v>
      </c>
    </row>
    <row r="252" spans="1:1" x14ac:dyDescent="0.25">
      <c r="A252" s="6" t="s">
        <v>42</v>
      </c>
    </row>
    <row r="253" spans="1:1" x14ac:dyDescent="0.25">
      <c r="A253" s="6" t="s">
        <v>43</v>
      </c>
    </row>
    <row r="254" spans="1:1" x14ac:dyDescent="0.25">
      <c r="A254" s="6" t="s">
        <v>44</v>
      </c>
    </row>
    <row r="255" spans="1:1" x14ac:dyDescent="0.25">
      <c r="A255" s="6" t="s">
        <v>45</v>
      </c>
    </row>
    <row r="256" spans="1:1" x14ac:dyDescent="0.25">
      <c r="A256" s="6" t="s">
        <v>46</v>
      </c>
    </row>
    <row r="257" spans="1:10" x14ac:dyDescent="0.25">
      <c r="A257" s="6" t="s">
        <v>47</v>
      </c>
    </row>
    <row r="258" spans="1:10" x14ac:dyDescent="0.25">
      <c r="A258" s="6" t="s">
        <v>48</v>
      </c>
    </row>
    <row r="259" spans="1:10" x14ac:dyDescent="0.25">
      <c r="A259" s="6" t="s">
        <v>49</v>
      </c>
    </row>
    <row r="260" spans="1:10" x14ac:dyDescent="0.25">
      <c r="A260" s="6" t="s">
        <v>81</v>
      </c>
    </row>
    <row r="261" spans="1:10" x14ac:dyDescent="0.25">
      <c r="A261" s="6" t="s">
        <v>95</v>
      </c>
    </row>
    <row r="262" spans="1:10" x14ac:dyDescent="0.25">
      <c r="A262" s="6" t="s">
        <v>55</v>
      </c>
    </row>
    <row r="263" spans="1:10" x14ac:dyDescent="0.25">
      <c r="A263" s="6" t="s">
        <v>21</v>
      </c>
    </row>
    <row r="264" spans="1:10" x14ac:dyDescent="0.25">
      <c r="A264" s="6" t="s">
        <v>22</v>
      </c>
    </row>
    <row r="265" spans="1:10" x14ac:dyDescent="0.25">
      <c r="A265" s="6" t="s">
        <v>23</v>
      </c>
    </row>
    <row r="266" spans="1:10" x14ac:dyDescent="0.25">
      <c r="A266" s="6" t="s">
        <v>24</v>
      </c>
    </row>
    <row r="267" spans="1:10" x14ac:dyDescent="0.25">
      <c r="A267" s="6" t="s">
        <v>25</v>
      </c>
    </row>
    <row r="268" spans="1:10" x14ac:dyDescent="0.25">
      <c r="A268" s="6" t="s">
        <v>26</v>
      </c>
    </row>
    <row r="269" spans="1:10" x14ac:dyDescent="0.25">
      <c r="A269" s="6" t="s">
        <v>27</v>
      </c>
      <c r="B269" s="1" t="s">
        <v>1</v>
      </c>
      <c r="C269" s="1" t="s">
        <v>220</v>
      </c>
      <c r="D269" s="1" t="s">
        <v>0</v>
      </c>
      <c r="E269" s="1">
        <v>55</v>
      </c>
      <c r="F269" s="1">
        <v>57</v>
      </c>
      <c r="G269" s="1">
        <v>59</v>
      </c>
      <c r="H269" s="1">
        <v>61</v>
      </c>
      <c r="I269" s="1">
        <v>63</v>
      </c>
      <c r="J269" s="3" t="s">
        <v>2</v>
      </c>
    </row>
    <row r="270" spans="1:10" x14ac:dyDescent="0.25">
      <c r="A270" s="6" t="s">
        <v>135</v>
      </c>
      <c r="B270" t="str" cm="1">
        <f t="array" ref="B270">БУКВЫ(MID($A270,3,12))</f>
        <v>6840407267</v>
      </c>
      <c r="C270" t="str">
        <f>MID($A271,1,FIND("Per",A271)-1)</f>
        <v xml:space="preserve">Hatteras Virgin Wool/Silk </v>
      </c>
      <c r="D270" t="str">
        <f>_xlfn.LET(_xlpm.Searching,"OSFA",_xlpm.inStr,IFERROR(FIND(_xlpm.Searching,$A272)&gt;=1,FALSE),IF(AND(_xlpm.inStr,LEN(A272)&lt;=6),A273,""))</f>
        <v/>
      </c>
      <c r="E270" t="str">
        <f>_xlfn.LET(_xlpm.Searching,"55",_xlpm.inStr,IFERROR(FIND(_xlpm.Searching,$A272)&gt;=1,FALSE),IF(AND(_xlpm.inStr,LEN(A272)&lt;=6),A273,""))</f>
        <v/>
      </c>
      <c r="F270" t="str">
        <f>_xlfn.LET(_xlpm.Searching,"57",_xlpm.inStr,IFERROR(FIND(_xlpm.Searching,$A272)&gt;=1,FALSE),IF(AND(_xlpm.inStr,LEN(A272)&lt;=6),$A273,""))&amp;F271</f>
        <v>1</v>
      </c>
      <c r="G270" t="str">
        <f>_xlfn.LET(_xlpm.Searching,"59",_xlpm.inStr,IFERROR(FIND(_xlpm.Searching,$A272)&gt;=1,FALSE),IF(AND(_xlpm.inStr,LEN(A272)&lt;=6),$A273,""))&amp;G271&amp;G272</f>
        <v>2</v>
      </c>
      <c r="H270" t="str">
        <f>_xlfn.LET(_xlpm.Searching,"61",_xlpm.inStr,IFERROR(FIND(_xlpm.Searching,$A272)&gt;=1,FALSE),IF(AND(_xlpm.inStr,LEN(A272)&lt;=6),$A273,""))&amp;H271&amp;H272&amp;H273</f>
        <v>1</v>
      </c>
      <c r="I270" t="str">
        <f>_xlfn.LET(_xlpm.Searching,"63",_xlpm.inStr,IFERROR(FIND(_xlpm.Searching,$A272)&gt;=1,FALSE),IF(AND(_xlpm.inStr,LEN(A272)&lt;=6),$A273,""))&amp;I271&amp;I272&amp;I273&amp;I274</f>
        <v/>
      </c>
      <c r="J270" s="4">
        <f>MID(TRIM(RIGHT(A270,10)),1,LEN(TRIM(RIGHT(A270,10)))-3)*0.8</f>
        <v>39.92</v>
      </c>
    </row>
    <row r="271" spans="1:10" x14ac:dyDescent="0.25">
      <c r="A271" s="6" t="s">
        <v>136</v>
      </c>
      <c r="B271" t="str">
        <f>B270</f>
        <v>6840407267</v>
      </c>
      <c r="C271" t="str">
        <f>C270</f>
        <v xml:space="preserve">Hatteras Virgin Wool/Silk </v>
      </c>
      <c r="D271" s="2"/>
      <c r="E271" s="2"/>
      <c r="F271" t="str">
        <f>_xlfn.LET(_xlpm.Searching,"57",_xlpm.inStr,IFERROR(FIND(_xlpm.Searching,$A274)&gt;=1,FALSE),IF(AND(_xlpm.inStr,LEN(A274)&lt;=6),$A275,""))</f>
        <v/>
      </c>
      <c r="G271">
        <f>_xlfn.LET(_xlpm.Searching,"59",_xlpm.inStr,IFERROR(FIND(_xlpm.Searching,$A274)&gt;=1,FALSE),IF(AND(_xlpm.inStr,LEN(A274)&lt;=6),$A275,""))</f>
        <v>2</v>
      </c>
      <c r="H271" t="str">
        <f>_xlfn.LET(_xlpm.Searching,"61",_xlpm.inStr,IFERROR(FIND(_xlpm.Searching,$A274)&gt;=1,FALSE),IF(AND(_xlpm.inStr,LEN(A274)&lt;=6),$A275,""))</f>
        <v/>
      </c>
      <c r="I271" t="str">
        <f>_xlfn.LET(_xlpm.Searching,"63",_xlpm.inStr,IFERROR(FIND(_xlpm.Searching,$A274)&gt;=1,FALSE),IF(AND(_xlpm.inStr,LEN(A274)&lt;=6),$A275,""))</f>
        <v/>
      </c>
    </row>
    <row r="272" spans="1:10" x14ac:dyDescent="0.25">
      <c r="A272" s="6" t="s">
        <v>33</v>
      </c>
      <c r="B272" t="str">
        <f t="shared" ref="B272:B274" si="16">B271</f>
        <v>6840407267</v>
      </c>
      <c r="C272" t="str">
        <f t="shared" ref="C272:C274" si="17">C271</f>
        <v xml:space="preserve">Hatteras Virgin Wool/Silk </v>
      </c>
      <c r="D272" s="2"/>
      <c r="E272" s="2"/>
      <c r="F272" s="2"/>
      <c r="G272" t="str">
        <f>_xlfn.LET(_xlpm.Searching,"59",_xlpm.inStr,IFERROR(FIND(_xlpm.Searching,$A276)&gt;=1,FALSE),IF(AND(_xlpm.inStr,LEN(A276)&lt;=6),$A277,""))</f>
        <v/>
      </c>
      <c r="H272">
        <f>_xlfn.LET(_xlpm.Searching,"61",_xlpm.inStr,IFERROR(FIND(_xlpm.Searching,$A276)&gt;=1,FALSE),IF(AND(_xlpm.inStr,LEN(A276)&lt;=6),$A277,""))</f>
        <v>1</v>
      </c>
      <c r="I272" t="str">
        <f>_xlfn.LET(_xlpm.Searching,"63",_xlpm.inStr,IFERROR(FIND(_xlpm.Searching,$A276)&gt;=1,FALSE),IF(AND(_xlpm.inStr,LEN(A276)&lt;=6),$A277,""))</f>
        <v/>
      </c>
    </row>
    <row r="273" spans="1:10" x14ac:dyDescent="0.25">
      <c r="A273" s="6">
        <v>1</v>
      </c>
      <c r="B273" t="str">
        <f t="shared" si="16"/>
        <v>6840407267</v>
      </c>
      <c r="C273" t="str">
        <f t="shared" si="17"/>
        <v xml:space="preserve">Hatteras Virgin Wool/Silk </v>
      </c>
      <c r="D273" s="2"/>
      <c r="E273" s="2"/>
      <c r="F273" s="2"/>
      <c r="G273" s="2"/>
      <c r="H273" t="str">
        <f>_xlfn.LET(_xlpm.Searching,"61",_xlpm.inStr,IFERROR(FIND(_xlpm.Searching,$A278)&gt;=1,FALSE),IF(AND(_xlpm.inStr,LEN(A278)&lt;=6),$A279,""))</f>
        <v/>
      </c>
      <c r="I273" t="str">
        <f>_xlfn.LET(_xlpm.Searching,"63",_xlpm.inStr,IFERROR(FIND(_xlpm.Searching,$A278)&gt;=1,FALSE),IF(AND(_xlpm.inStr,LEN(A278)&lt;=6),$A279,""))</f>
        <v/>
      </c>
    </row>
    <row r="274" spans="1:10" x14ac:dyDescent="0.25">
      <c r="A274" s="6" t="s">
        <v>30</v>
      </c>
      <c r="B274" t="str">
        <f t="shared" si="16"/>
        <v>6840407267</v>
      </c>
      <c r="C274" t="str">
        <f t="shared" si="17"/>
        <v xml:space="preserve">Hatteras Virgin Wool/Silk </v>
      </c>
      <c r="D274" s="2"/>
      <c r="E274" s="2"/>
      <c r="F274" s="2"/>
      <c r="G274" s="2"/>
      <c r="H274" s="2"/>
      <c r="I274" t="str">
        <f>_xlfn.LET(_xlpm.Searching,"63",_xlpm.inStr,IFERROR(FIND(_xlpm.Searching,$A280)&gt;=1,FALSE),IF(AND(_xlpm.inStr,LEN(A280)&lt;=6),$A281,""))</f>
        <v/>
      </c>
    </row>
    <row r="275" spans="1:10" x14ac:dyDescent="0.25">
      <c r="A275" s="6">
        <v>2</v>
      </c>
    </row>
    <row r="276" spans="1:10" x14ac:dyDescent="0.25">
      <c r="A276" s="6" t="s">
        <v>31</v>
      </c>
    </row>
    <row r="277" spans="1:10" x14ac:dyDescent="0.25">
      <c r="A277" s="6">
        <v>1</v>
      </c>
    </row>
    <row r="278" spans="1:10" x14ac:dyDescent="0.25">
      <c r="A278" s="6" t="s">
        <v>137</v>
      </c>
    </row>
    <row r="279" spans="1:10" x14ac:dyDescent="0.25">
      <c r="A279" s="6" t="s">
        <v>138</v>
      </c>
    </row>
    <row r="280" spans="1:10" x14ac:dyDescent="0.25">
      <c r="A280" s="6" t="s">
        <v>139</v>
      </c>
      <c r="B280" s="1" t="s">
        <v>1</v>
      </c>
      <c r="C280" s="1" t="s">
        <v>220</v>
      </c>
      <c r="D280" s="1" t="s">
        <v>0</v>
      </c>
      <c r="E280" s="1">
        <v>55</v>
      </c>
      <c r="F280" s="1">
        <v>57</v>
      </c>
      <c r="G280" s="1">
        <v>59</v>
      </c>
      <c r="H280" s="1">
        <v>61</v>
      </c>
      <c r="I280" s="1">
        <v>63</v>
      </c>
      <c r="J280" s="3" t="s">
        <v>2</v>
      </c>
    </row>
    <row r="281" spans="1:10" x14ac:dyDescent="0.25">
      <c r="A281" s="6" t="s">
        <v>140</v>
      </c>
      <c r="B281" t="str" cm="1">
        <f t="array" ref="B281">БУКВЫ(MID($A281,3,12))</f>
        <v>6382504322</v>
      </c>
      <c r="C281" t="str">
        <f>MID($A282,1,FIND("Per",A282)-1)</f>
        <v xml:space="preserve">Driver Cap Silk/Virgin Wool </v>
      </c>
      <c r="D281" t="str">
        <f>_xlfn.LET(_xlpm.Searching,"OSFA",_xlpm.inStr,IFERROR(FIND(_xlpm.Searching,$A283)&gt;=1,FALSE),IF(AND(_xlpm.inStr,LEN(A283)&lt;=6),A284,""))</f>
        <v/>
      </c>
      <c r="E281" t="str">
        <f>_xlfn.LET(_xlpm.Searching,"55",_xlpm.inStr,IFERROR(FIND(_xlpm.Searching,$A283)&gt;=1,FALSE),IF(AND(_xlpm.inStr,LEN(A283)&lt;=6),A284,""))</f>
        <v/>
      </c>
      <c r="F281" t="str">
        <f>_xlfn.LET(_xlpm.Searching,"57",_xlpm.inStr,IFERROR(FIND(_xlpm.Searching,$A283)&gt;=1,FALSE),IF(AND(_xlpm.inStr,LEN(A283)&lt;=6),$A284,""))&amp;F282</f>
        <v>2</v>
      </c>
      <c r="G281" t="str">
        <f>_xlfn.LET(_xlpm.Searching,"59",_xlpm.inStr,IFERROR(FIND(_xlpm.Searching,$A283)&gt;=1,FALSE),IF(AND(_xlpm.inStr,LEN(A283)&lt;=6),$A284,""))&amp;G282&amp;G283</f>
        <v>4</v>
      </c>
      <c r="H281" t="str">
        <f>_xlfn.LET(_xlpm.Searching,"61",_xlpm.inStr,IFERROR(FIND(_xlpm.Searching,$A283)&gt;=1,FALSE),IF(AND(_xlpm.inStr,LEN(A283)&lt;=6),$A284,""))&amp;H282&amp;H283&amp;H284</f>
        <v>3</v>
      </c>
      <c r="I281" t="str">
        <f>_xlfn.LET(_xlpm.Searching,"63",_xlpm.inStr,IFERROR(FIND(_xlpm.Searching,$A283)&gt;=1,FALSE),IF(AND(_xlpm.inStr,LEN(A283)&lt;=6),$A284,""))&amp;I282&amp;I283&amp;I284&amp;I285</f>
        <v/>
      </c>
      <c r="J281" s="4">
        <f>MID(TRIM(RIGHT(A281,10)),1,LEN(TRIM(RIGHT(A281,10)))-3)*0.8</f>
        <v>39.92</v>
      </c>
    </row>
    <row r="282" spans="1:10" x14ac:dyDescent="0.25">
      <c r="A282" s="6" t="s">
        <v>141</v>
      </c>
      <c r="B282" t="str">
        <f>B281</f>
        <v>6382504322</v>
      </c>
      <c r="C282" t="str">
        <f>C281</f>
        <v xml:space="preserve">Driver Cap Silk/Virgin Wool </v>
      </c>
      <c r="D282" s="2"/>
      <c r="E282" s="2"/>
      <c r="F282" t="str">
        <f>_xlfn.LET(_xlpm.Searching,"57",_xlpm.inStr,IFERROR(FIND(_xlpm.Searching,$A285)&gt;=1,FALSE),IF(AND(_xlpm.inStr,LEN(A285)&lt;=6),$A286,""))</f>
        <v/>
      </c>
      <c r="G282">
        <f>_xlfn.LET(_xlpm.Searching,"59",_xlpm.inStr,IFERROR(FIND(_xlpm.Searching,$A285)&gt;=1,FALSE),IF(AND(_xlpm.inStr,LEN(A285)&lt;=6),$A286,""))</f>
        <v>4</v>
      </c>
      <c r="H282" t="str">
        <f>_xlfn.LET(_xlpm.Searching,"61",_xlpm.inStr,IFERROR(FIND(_xlpm.Searching,$A285)&gt;=1,FALSE),IF(AND(_xlpm.inStr,LEN(A285)&lt;=6),$A286,""))</f>
        <v/>
      </c>
      <c r="I282" t="str">
        <f>_xlfn.LET(_xlpm.Searching,"63",_xlpm.inStr,IFERROR(FIND(_xlpm.Searching,$A285)&gt;=1,FALSE),IF(AND(_xlpm.inStr,LEN(A285)&lt;=6),$A286,""))</f>
        <v/>
      </c>
    </row>
    <row r="283" spans="1:10" x14ac:dyDescent="0.25">
      <c r="A283" s="6" t="s">
        <v>33</v>
      </c>
      <c r="B283" t="str">
        <f t="shared" ref="B283:C285" si="18">B282</f>
        <v>6382504322</v>
      </c>
      <c r="C283" t="str">
        <f t="shared" si="18"/>
        <v xml:space="preserve">Driver Cap Silk/Virgin Wool </v>
      </c>
      <c r="D283" s="2"/>
      <c r="E283" s="2"/>
      <c r="F283" s="2"/>
      <c r="G283" t="str">
        <f>_xlfn.LET(_xlpm.Searching,"59",_xlpm.inStr,IFERROR(FIND(_xlpm.Searching,$A287)&gt;=1,FALSE),IF(AND(_xlpm.inStr,LEN(A287)&lt;=6),$A288,""))</f>
        <v/>
      </c>
      <c r="H283">
        <f>_xlfn.LET(_xlpm.Searching,"61",_xlpm.inStr,IFERROR(FIND(_xlpm.Searching,$A287)&gt;=1,FALSE),IF(AND(_xlpm.inStr,LEN(A287)&lt;=6),$A288,""))</f>
        <v>3</v>
      </c>
      <c r="I283" t="str">
        <f>_xlfn.LET(_xlpm.Searching,"63",_xlpm.inStr,IFERROR(FIND(_xlpm.Searching,$A287)&gt;=1,FALSE),IF(AND(_xlpm.inStr,LEN(A287)&lt;=6),$A288,""))</f>
        <v/>
      </c>
    </row>
    <row r="284" spans="1:10" x14ac:dyDescent="0.25">
      <c r="A284" s="6">
        <v>2</v>
      </c>
      <c r="B284" t="str">
        <f t="shared" si="18"/>
        <v>6382504322</v>
      </c>
      <c r="C284" t="str">
        <f t="shared" si="18"/>
        <v xml:space="preserve">Driver Cap Silk/Virgin Wool </v>
      </c>
      <c r="D284" s="2"/>
      <c r="E284" s="2"/>
      <c r="F284" s="2"/>
      <c r="G284" s="2"/>
      <c r="H284" t="str">
        <f>_xlfn.LET(_xlpm.Searching,"61",_xlpm.inStr,IFERROR(FIND(_xlpm.Searching,$A289)&gt;=1,FALSE),IF(AND(_xlpm.inStr,LEN(A289)&lt;=6),$A290,""))</f>
        <v/>
      </c>
      <c r="I284" t="str">
        <f>_xlfn.LET(_xlpm.Searching,"63",_xlpm.inStr,IFERROR(FIND(_xlpm.Searching,$A289)&gt;=1,FALSE),IF(AND(_xlpm.inStr,LEN(A289)&lt;=6),$A290,""))</f>
        <v/>
      </c>
    </row>
    <row r="285" spans="1:10" x14ac:dyDescent="0.25">
      <c r="A285" s="6" t="s">
        <v>30</v>
      </c>
      <c r="B285" t="str">
        <f t="shared" si="18"/>
        <v>6382504322</v>
      </c>
      <c r="C285" t="str">
        <f t="shared" si="18"/>
        <v xml:space="preserve">Driver Cap Silk/Virgin Wool </v>
      </c>
      <c r="D285" s="2"/>
      <c r="E285" s="2"/>
      <c r="F285" s="2"/>
      <c r="G285" s="2"/>
      <c r="H285" s="2"/>
      <c r="I285" t="str">
        <f>_xlfn.LET(_xlpm.Searching,"63",_xlpm.inStr,IFERROR(FIND(_xlpm.Searching,$A291)&gt;=1,FALSE),IF(AND(_xlpm.inStr,LEN(A291)&lt;=6),$A292,""))</f>
        <v/>
      </c>
    </row>
    <row r="286" spans="1:10" x14ac:dyDescent="0.25">
      <c r="A286" s="6">
        <v>4</v>
      </c>
    </row>
    <row r="287" spans="1:10" x14ac:dyDescent="0.25">
      <c r="A287" s="6" t="s">
        <v>31</v>
      </c>
    </row>
    <row r="288" spans="1:10" x14ac:dyDescent="0.25">
      <c r="A288" s="6">
        <v>3</v>
      </c>
    </row>
    <row r="289" spans="1:10" x14ac:dyDescent="0.25">
      <c r="A289" s="6" t="s">
        <v>137</v>
      </c>
    </row>
    <row r="290" spans="1:10" x14ac:dyDescent="0.25">
      <c r="A290" s="6" t="s">
        <v>142</v>
      </c>
    </row>
    <row r="291" spans="1:10" x14ac:dyDescent="0.25">
      <c r="A291" s="6" t="s">
        <v>143</v>
      </c>
      <c r="B291" s="1" t="s">
        <v>1</v>
      </c>
      <c r="C291" s="1" t="s">
        <v>220</v>
      </c>
      <c r="D291" s="1" t="s">
        <v>0</v>
      </c>
      <c r="E291" s="1">
        <v>55</v>
      </c>
      <c r="F291" s="1">
        <v>57</v>
      </c>
      <c r="G291" s="1">
        <v>59</v>
      </c>
      <c r="H291" s="1">
        <v>61</v>
      </c>
      <c r="I291" s="1">
        <v>63</v>
      </c>
      <c r="J291" s="3" t="s">
        <v>2</v>
      </c>
    </row>
    <row r="292" spans="1:10" x14ac:dyDescent="0.25">
      <c r="A292" s="6" t="s">
        <v>144</v>
      </c>
      <c r="B292" t="str" cm="1">
        <f t="array" ref="B292">БУКВЫ(MID($A292,3,12))</f>
        <v>6842504322</v>
      </c>
      <c r="C292" t="str">
        <f>MID($A293,1,FIND("Per",A293)-1)</f>
        <v xml:space="preserve">Hatteras Silk/Virgin Wool </v>
      </c>
      <c r="D292" t="str">
        <f>_xlfn.LET(_xlpm.Searching,"OSFA",_xlpm.inStr,IFERROR(FIND(_xlpm.Searching,$A294)&gt;=1,FALSE),IF(AND(_xlpm.inStr,LEN(A294)&lt;=6),A295,""))</f>
        <v/>
      </c>
      <c r="E292" t="str">
        <f>_xlfn.LET(_xlpm.Searching,"55",_xlpm.inStr,IFERROR(FIND(_xlpm.Searching,$A294)&gt;=1,FALSE),IF(AND(_xlpm.inStr,LEN(A294)&lt;=6),A295,""))</f>
        <v/>
      </c>
      <c r="F292" t="str">
        <f>_xlfn.LET(_xlpm.Searching,"57",_xlpm.inStr,IFERROR(FIND(_xlpm.Searching,$A294)&gt;=1,FALSE),IF(AND(_xlpm.inStr,LEN(A294)&lt;=6),$A295,""))&amp;F293</f>
        <v>2</v>
      </c>
      <c r="G292" t="str">
        <f>_xlfn.LET(_xlpm.Searching,"59",_xlpm.inStr,IFERROR(FIND(_xlpm.Searching,$A294)&gt;=1,FALSE),IF(AND(_xlpm.inStr,LEN(A294)&lt;=6),$A295,""))&amp;G293&amp;G294</f>
        <v>4</v>
      </c>
      <c r="H292" t="str">
        <f>_xlfn.LET(_xlpm.Searching,"61",_xlpm.inStr,IFERROR(FIND(_xlpm.Searching,$A294)&gt;=1,FALSE),IF(AND(_xlpm.inStr,LEN(A294)&lt;=6),$A295,""))&amp;H293&amp;H294&amp;H295</f>
        <v>3</v>
      </c>
      <c r="I292" t="str">
        <f>_xlfn.LET(_xlpm.Searching,"63",_xlpm.inStr,IFERROR(FIND(_xlpm.Searching,$A294)&gt;=1,FALSE),IF(AND(_xlpm.inStr,LEN(A294)&lt;=6),$A295,""))&amp;I293&amp;I294&amp;I295&amp;I296</f>
        <v/>
      </c>
      <c r="J292" s="4">
        <f>MID(TRIM(RIGHT(A292,10)),1,LEN(TRIM(RIGHT(A292,10)))-3)*0.8</f>
        <v>39.92</v>
      </c>
    </row>
    <row r="293" spans="1:10" x14ac:dyDescent="0.25">
      <c r="A293" s="6" t="s">
        <v>145</v>
      </c>
      <c r="B293" t="str">
        <f>B292</f>
        <v>6842504322</v>
      </c>
      <c r="C293" t="str">
        <f>C292</f>
        <v xml:space="preserve">Hatteras Silk/Virgin Wool </v>
      </c>
      <c r="D293" s="2"/>
      <c r="E293" s="2"/>
      <c r="F293" t="str">
        <f>_xlfn.LET(_xlpm.Searching,"57",_xlpm.inStr,IFERROR(FIND(_xlpm.Searching,$A296)&gt;=1,FALSE),IF(AND(_xlpm.inStr,LEN(A296)&lt;=6),$A297,""))</f>
        <v/>
      </c>
      <c r="G293">
        <f>_xlfn.LET(_xlpm.Searching,"59",_xlpm.inStr,IFERROR(FIND(_xlpm.Searching,$A296)&gt;=1,FALSE),IF(AND(_xlpm.inStr,LEN(A296)&lt;=6),$A297,""))</f>
        <v>4</v>
      </c>
      <c r="H293" t="str">
        <f>_xlfn.LET(_xlpm.Searching,"61",_xlpm.inStr,IFERROR(FIND(_xlpm.Searching,$A296)&gt;=1,FALSE),IF(AND(_xlpm.inStr,LEN(A296)&lt;=6),$A297,""))</f>
        <v/>
      </c>
      <c r="I293" t="str">
        <f>_xlfn.LET(_xlpm.Searching,"63",_xlpm.inStr,IFERROR(FIND(_xlpm.Searching,$A296)&gt;=1,FALSE),IF(AND(_xlpm.inStr,LEN(A296)&lt;=6),$A297,""))</f>
        <v/>
      </c>
    </row>
    <row r="294" spans="1:10" x14ac:dyDescent="0.25">
      <c r="A294" s="6" t="s">
        <v>33</v>
      </c>
      <c r="B294" t="str">
        <f t="shared" ref="B294:C296" si="19">B293</f>
        <v>6842504322</v>
      </c>
      <c r="C294" t="str">
        <f t="shared" si="19"/>
        <v xml:space="preserve">Hatteras Silk/Virgin Wool </v>
      </c>
      <c r="D294" s="2"/>
      <c r="E294" s="2"/>
      <c r="F294" s="2"/>
      <c r="G294" t="str">
        <f>_xlfn.LET(_xlpm.Searching,"59",_xlpm.inStr,IFERROR(FIND(_xlpm.Searching,$A298)&gt;=1,FALSE),IF(AND(_xlpm.inStr,LEN(A298)&lt;=6),$A299,""))</f>
        <v/>
      </c>
      <c r="H294">
        <f>_xlfn.LET(_xlpm.Searching,"61",_xlpm.inStr,IFERROR(FIND(_xlpm.Searching,$A298)&gt;=1,FALSE),IF(AND(_xlpm.inStr,LEN(A298)&lt;=6),$A299,""))</f>
        <v>3</v>
      </c>
      <c r="I294" t="str">
        <f>_xlfn.LET(_xlpm.Searching,"63",_xlpm.inStr,IFERROR(FIND(_xlpm.Searching,$A298)&gt;=1,FALSE),IF(AND(_xlpm.inStr,LEN(A298)&lt;=6),$A299,""))</f>
        <v/>
      </c>
    </row>
    <row r="295" spans="1:10" x14ac:dyDescent="0.25">
      <c r="A295" s="6">
        <v>2</v>
      </c>
      <c r="B295" t="str">
        <f t="shared" si="19"/>
        <v>6842504322</v>
      </c>
      <c r="C295" t="str">
        <f t="shared" si="19"/>
        <v xml:space="preserve">Hatteras Silk/Virgin Wool </v>
      </c>
      <c r="D295" s="2"/>
      <c r="E295" s="2"/>
      <c r="F295" s="2"/>
      <c r="G295" s="2"/>
      <c r="H295" t="str">
        <f>_xlfn.LET(_xlpm.Searching,"61",_xlpm.inStr,IFERROR(FIND(_xlpm.Searching,$A300)&gt;=1,FALSE),IF(AND(_xlpm.inStr,LEN(A300)&lt;=6),$A301,""))</f>
        <v/>
      </c>
      <c r="I295" t="str">
        <f>_xlfn.LET(_xlpm.Searching,"63",_xlpm.inStr,IFERROR(FIND(_xlpm.Searching,$A300)&gt;=1,FALSE),IF(AND(_xlpm.inStr,LEN(A300)&lt;=6),$A301,""))</f>
        <v/>
      </c>
    </row>
    <row r="296" spans="1:10" x14ac:dyDescent="0.25">
      <c r="A296" s="6" t="s">
        <v>30</v>
      </c>
      <c r="B296" t="str">
        <f t="shared" si="19"/>
        <v>6842504322</v>
      </c>
      <c r="C296" t="str">
        <f t="shared" si="19"/>
        <v xml:space="preserve">Hatteras Silk/Virgin Wool </v>
      </c>
      <c r="D296" s="2"/>
      <c r="E296" s="2"/>
      <c r="F296" s="2"/>
      <c r="G296" s="2"/>
      <c r="H296" s="2"/>
      <c r="I296" t="str">
        <f>_xlfn.LET(_xlpm.Searching,"63",_xlpm.inStr,IFERROR(FIND(_xlpm.Searching,$A302)&gt;=1,FALSE),IF(AND(_xlpm.inStr,LEN(A302)&lt;=6),$A303,""))</f>
        <v/>
      </c>
    </row>
    <row r="297" spans="1:10" x14ac:dyDescent="0.25">
      <c r="A297" s="6">
        <v>4</v>
      </c>
    </row>
    <row r="298" spans="1:10" x14ac:dyDescent="0.25">
      <c r="A298" s="6" t="s">
        <v>31</v>
      </c>
    </row>
    <row r="299" spans="1:10" x14ac:dyDescent="0.25">
      <c r="A299" s="6">
        <v>3</v>
      </c>
    </row>
    <row r="300" spans="1:10" x14ac:dyDescent="0.25">
      <c r="A300" s="6" t="s">
        <v>137</v>
      </c>
    </row>
    <row r="301" spans="1:10" x14ac:dyDescent="0.25">
      <c r="A301" s="6" t="s">
        <v>142</v>
      </c>
    </row>
    <row r="302" spans="1:10" x14ac:dyDescent="0.25">
      <c r="A302" s="6" t="s">
        <v>143</v>
      </c>
      <c r="B302" s="1" t="s">
        <v>1</v>
      </c>
      <c r="C302" s="1" t="s">
        <v>220</v>
      </c>
      <c r="D302" s="1" t="s">
        <v>0</v>
      </c>
      <c r="E302" s="1">
        <v>55</v>
      </c>
      <c r="F302" s="1">
        <v>57</v>
      </c>
      <c r="G302" s="1">
        <v>59</v>
      </c>
      <c r="H302" s="1">
        <v>61</v>
      </c>
      <c r="I302" s="1">
        <v>63</v>
      </c>
      <c r="J302" s="3" t="s">
        <v>2</v>
      </c>
    </row>
    <row r="303" spans="1:10" x14ac:dyDescent="0.25">
      <c r="A303" s="6" t="s">
        <v>146</v>
      </c>
      <c r="B303" t="str" cm="1">
        <f t="array" ref="B303">БУКВЫ(MID($A303,3,12))</f>
        <v>118710163</v>
      </c>
      <c r="C303" t="str">
        <f>MID($A304,1,FIND("Per",A304)-1)</f>
        <v xml:space="preserve">Player Pigskin </v>
      </c>
      <c r="D303" t="str">
        <f>_xlfn.LET(_xlpm.Searching,"OSFA",_xlpm.inStr,IFERROR(FIND(_xlpm.Searching,$A305)&gt;=1,FALSE),IF(AND(_xlpm.inStr,LEN(A305)&lt;=6),A306,""))</f>
        <v/>
      </c>
      <c r="E303" t="str">
        <f>_xlfn.LET(_xlpm.Searching,"55",_xlpm.inStr,IFERROR(FIND(_xlpm.Searching,$A305)&gt;=1,FALSE),IF(AND(_xlpm.inStr,LEN(A305)&lt;=6),A306,""))</f>
        <v/>
      </c>
      <c r="F303" t="str">
        <f>_xlfn.LET(_xlpm.Searching,"57",_xlpm.inStr,IFERROR(FIND(_xlpm.Searching,$A305)&gt;=1,FALSE),IF(AND(_xlpm.inStr,LEN(A305)&lt;=6),$A306,""))&amp;F304</f>
        <v>8</v>
      </c>
      <c r="G303" t="str">
        <f>_xlfn.LET(_xlpm.Searching,"59",_xlpm.inStr,IFERROR(FIND(_xlpm.Searching,$A305)&gt;=1,FALSE),IF(AND(_xlpm.inStr,LEN(A305)&lt;=6),$A306,""))&amp;G304&amp;G305</f>
        <v>9</v>
      </c>
      <c r="H303" t="str">
        <f>_xlfn.LET(_xlpm.Searching,"61",_xlpm.inStr,IFERROR(FIND(_xlpm.Searching,$A305)&gt;=1,FALSE),IF(AND(_xlpm.inStr,LEN(A305)&lt;=6),$A306,""))&amp;H304&amp;H305&amp;H306</f>
        <v/>
      </c>
      <c r="I303" t="str">
        <f>_xlfn.LET(_xlpm.Searching,"63",_xlpm.inStr,IFERROR(FIND(_xlpm.Searching,$A305)&gt;=1,FALSE),IF(AND(_xlpm.inStr,LEN(A305)&lt;=6),$A306,""))&amp;I304&amp;I305&amp;I306&amp;I307</f>
        <v/>
      </c>
      <c r="J303" s="4">
        <f>MID(TRIM(RIGHT(A303,10)),1,LEN(TRIM(RIGHT(A303,10)))-3)*0.8</f>
        <v>45.6</v>
      </c>
    </row>
    <row r="304" spans="1:10" x14ac:dyDescent="0.25">
      <c r="A304" s="6" t="s">
        <v>147</v>
      </c>
      <c r="B304" t="str">
        <f>B303</f>
        <v>118710163</v>
      </c>
      <c r="C304" t="str">
        <f>C303</f>
        <v xml:space="preserve">Player Pigskin </v>
      </c>
      <c r="D304" s="2"/>
      <c r="E304" s="2"/>
      <c r="F304" t="str">
        <f>_xlfn.LET(_xlpm.Searching,"57",_xlpm.inStr,IFERROR(FIND(_xlpm.Searching,$A307)&gt;=1,FALSE),IF(AND(_xlpm.inStr,LEN(A307)&lt;=6),$A308,""))</f>
        <v/>
      </c>
      <c r="G304">
        <f>_xlfn.LET(_xlpm.Searching,"59",_xlpm.inStr,IFERROR(FIND(_xlpm.Searching,$A307)&gt;=1,FALSE),IF(AND(_xlpm.inStr,LEN(A307)&lt;=6),$A308,""))</f>
        <v>9</v>
      </c>
      <c r="H304" t="str">
        <f>_xlfn.LET(_xlpm.Searching,"61",_xlpm.inStr,IFERROR(FIND(_xlpm.Searching,$A307)&gt;=1,FALSE),IF(AND(_xlpm.inStr,LEN(A307)&lt;=6),$A308,""))</f>
        <v/>
      </c>
      <c r="I304" t="str">
        <f>_xlfn.LET(_xlpm.Searching,"63",_xlpm.inStr,IFERROR(FIND(_xlpm.Searching,$A307)&gt;=1,FALSE),IF(AND(_xlpm.inStr,LEN(A307)&lt;=6),$A308,""))</f>
        <v/>
      </c>
    </row>
    <row r="305" spans="1:10" x14ac:dyDescent="0.25">
      <c r="A305" s="6" t="s">
        <v>33</v>
      </c>
      <c r="B305" t="str">
        <f t="shared" ref="B305:C307" si="20">B304</f>
        <v>118710163</v>
      </c>
      <c r="C305" t="str">
        <f t="shared" si="20"/>
        <v xml:space="preserve">Player Pigskin </v>
      </c>
      <c r="D305" s="2"/>
      <c r="E305" s="2"/>
      <c r="F305" s="2"/>
      <c r="G305" t="str">
        <f>_xlfn.LET(_xlpm.Searching,"59",_xlpm.inStr,IFERROR(FIND(_xlpm.Searching,$A309)&gt;=1,FALSE),IF(AND(_xlpm.inStr,LEN(A309)&lt;=6),$A310,""))</f>
        <v/>
      </c>
      <c r="H305" t="str">
        <f>_xlfn.LET(_xlpm.Searching,"61",_xlpm.inStr,IFERROR(FIND(_xlpm.Searching,$A309)&gt;=1,FALSE),IF(AND(_xlpm.inStr,LEN(A309)&lt;=6),$A310,""))</f>
        <v/>
      </c>
      <c r="I305" t="str">
        <f>_xlfn.LET(_xlpm.Searching,"63",_xlpm.inStr,IFERROR(FIND(_xlpm.Searching,$A309)&gt;=1,FALSE),IF(AND(_xlpm.inStr,LEN(A309)&lt;=6),$A310,""))</f>
        <v/>
      </c>
    </row>
    <row r="306" spans="1:10" x14ac:dyDescent="0.25">
      <c r="A306" s="6">
        <v>8</v>
      </c>
      <c r="B306" t="str">
        <f t="shared" si="20"/>
        <v>118710163</v>
      </c>
      <c r="C306" t="str">
        <f t="shared" si="20"/>
        <v xml:space="preserve">Player Pigskin </v>
      </c>
      <c r="D306" s="2"/>
      <c r="E306" s="2"/>
      <c r="F306" s="2"/>
      <c r="G306" s="2"/>
      <c r="H306" t="str">
        <f>_xlfn.LET(_xlpm.Searching,"61",_xlpm.inStr,IFERROR(FIND(_xlpm.Searching,$A311)&gt;=1,FALSE),IF(AND(_xlpm.inStr,LEN(A311)&lt;=6),$A312,""))</f>
        <v/>
      </c>
      <c r="I306" t="str">
        <f>_xlfn.LET(_xlpm.Searching,"63",_xlpm.inStr,IFERROR(FIND(_xlpm.Searching,$A311)&gt;=1,FALSE),IF(AND(_xlpm.inStr,LEN(A311)&lt;=6),$A312,""))</f>
        <v/>
      </c>
    </row>
    <row r="307" spans="1:10" x14ac:dyDescent="0.25">
      <c r="A307" s="6" t="s">
        <v>30</v>
      </c>
      <c r="B307" t="str">
        <f t="shared" si="20"/>
        <v>118710163</v>
      </c>
      <c r="C307" t="str">
        <f t="shared" si="20"/>
        <v xml:space="preserve">Player Pigskin </v>
      </c>
      <c r="D307" s="2"/>
      <c r="E307" s="2"/>
      <c r="F307" s="2"/>
      <c r="G307" s="2"/>
      <c r="H307" s="2"/>
      <c r="I307" t="str">
        <f>_xlfn.LET(_xlpm.Searching,"63",_xlpm.inStr,IFERROR(FIND(_xlpm.Searching,$A313)&gt;=1,FALSE),IF(AND(_xlpm.inStr,LEN(A313)&lt;=6),$A314,""))</f>
        <v/>
      </c>
    </row>
    <row r="308" spans="1:10" x14ac:dyDescent="0.25">
      <c r="A308" s="6">
        <v>9</v>
      </c>
    </row>
    <row r="309" spans="1:10" x14ac:dyDescent="0.25">
      <c r="A309" s="6" t="s">
        <v>148</v>
      </c>
    </row>
    <row r="310" spans="1:10" x14ac:dyDescent="0.25">
      <c r="A310" s="6" t="s">
        <v>149</v>
      </c>
    </row>
    <row r="311" spans="1:10" x14ac:dyDescent="0.25">
      <c r="A311" s="6" t="s">
        <v>150</v>
      </c>
      <c r="B311" s="1" t="s">
        <v>1</v>
      </c>
      <c r="C311" s="1" t="s">
        <v>220</v>
      </c>
      <c r="D311" s="1" t="s">
        <v>0</v>
      </c>
      <c r="E311" s="1">
        <v>55</v>
      </c>
      <c r="F311" s="1">
        <v>57</v>
      </c>
      <c r="G311" s="1">
        <v>59</v>
      </c>
      <c r="H311" s="1">
        <v>61</v>
      </c>
      <c r="I311" s="1">
        <v>63</v>
      </c>
      <c r="J311" s="3" t="s">
        <v>2</v>
      </c>
    </row>
    <row r="312" spans="1:10" x14ac:dyDescent="0.25">
      <c r="A312" s="6" t="s">
        <v>151</v>
      </c>
      <c r="B312" t="str" cm="1">
        <f t="array" ref="B312">БУКВЫ(MID($A312,3,12))</f>
        <v>749710562</v>
      </c>
      <c r="C312" t="str">
        <f>MID($A313,1,FIND("Per",A313)-1)</f>
        <v xml:space="preserve">Army Cap Pigskin </v>
      </c>
      <c r="D312">
        <f>_xlfn.LET(_xlpm.Searching,"OSFA",_xlpm.inStr,IFERROR(FIND(_xlpm.Searching,$A314)&gt;=1,FALSE),IF(AND(_xlpm.inStr,LEN(A314)&lt;=6),A315,""))</f>
        <v>10</v>
      </c>
      <c r="E312" t="str">
        <f>_xlfn.LET(_xlpm.Searching,"55",_xlpm.inStr,IFERROR(FIND(_xlpm.Searching,$A314)&gt;=1,FALSE),IF(AND(_xlpm.inStr,LEN(A314)&lt;=6),A315,""))</f>
        <v/>
      </c>
      <c r="F312" t="str">
        <f>_xlfn.LET(_xlpm.Searching,"57",_xlpm.inStr,IFERROR(FIND(_xlpm.Searching,$A314)&gt;=1,FALSE),IF(AND(_xlpm.inStr,LEN(A314)&lt;=6),$A315,""))&amp;F313</f>
        <v/>
      </c>
      <c r="G312" t="str">
        <f>_xlfn.LET(_xlpm.Searching,"59",_xlpm.inStr,IFERROR(FIND(_xlpm.Searching,$A314)&gt;=1,FALSE),IF(AND(_xlpm.inStr,LEN(A314)&lt;=6),$A315,""))&amp;G313&amp;G314</f>
        <v/>
      </c>
      <c r="H312" t="str">
        <f>_xlfn.LET(_xlpm.Searching,"61",_xlpm.inStr,IFERROR(FIND(_xlpm.Searching,$A314)&gt;=1,FALSE),IF(AND(_xlpm.inStr,LEN(A314)&lt;=6),$A315,""))&amp;H313&amp;H314&amp;H315</f>
        <v/>
      </c>
      <c r="I312" t="str">
        <f>_xlfn.LET(_xlpm.Searching,"63",_xlpm.inStr,IFERROR(FIND(_xlpm.Searching,$A314)&gt;=1,FALSE),IF(AND(_xlpm.inStr,LEN(A314)&lt;=6),$A315,""))&amp;I313&amp;I314&amp;I315&amp;I316</f>
        <v/>
      </c>
      <c r="J312" s="4">
        <f>MID(TRIM(RIGHT(A312,10)),1,LEN(TRIM(RIGHT(A312,10)))-3)*0.8</f>
        <v>21.52</v>
      </c>
    </row>
    <row r="313" spans="1:10" x14ac:dyDescent="0.25">
      <c r="A313" s="6" t="s">
        <v>152</v>
      </c>
      <c r="B313" t="str">
        <f>B312</f>
        <v>749710562</v>
      </c>
      <c r="C313" t="str">
        <f>C312</f>
        <v xml:space="preserve">Army Cap Pigskin </v>
      </c>
      <c r="D313" s="2"/>
      <c r="E313" s="2"/>
      <c r="F313" t="str">
        <f>_xlfn.LET(_xlpm.Searching,"57",_xlpm.inStr,IFERROR(FIND(_xlpm.Searching,$A316)&gt;=1,FALSE),IF(AND(_xlpm.inStr,LEN(A316)&lt;=6),$A317,""))</f>
        <v/>
      </c>
      <c r="G313" t="str">
        <f>_xlfn.LET(_xlpm.Searching,"59",_xlpm.inStr,IFERROR(FIND(_xlpm.Searching,$A316)&gt;=1,FALSE),IF(AND(_xlpm.inStr,LEN(A316)&lt;=6),$A317,""))</f>
        <v/>
      </c>
      <c r="H313" t="str">
        <f>_xlfn.LET(_xlpm.Searching,"61",_xlpm.inStr,IFERROR(FIND(_xlpm.Searching,$A316)&gt;=1,FALSE),IF(AND(_xlpm.inStr,LEN(A316)&lt;=6),$A317,""))</f>
        <v/>
      </c>
      <c r="I313" t="str">
        <f>_xlfn.LET(_xlpm.Searching,"63",_xlpm.inStr,IFERROR(FIND(_xlpm.Searching,$A316)&gt;=1,FALSE),IF(AND(_xlpm.inStr,LEN(A316)&lt;=6),$A317,""))</f>
        <v/>
      </c>
    </row>
    <row r="314" spans="1:10" x14ac:dyDescent="0.25">
      <c r="A314" s="6" t="s">
        <v>0</v>
      </c>
      <c r="B314" t="str">
        <f t="shared" ref="B314:C316" si="21">B313</f>
        <v>749710562</v>
      </c>
      <c r="C314" t="str">
        <f t="shared" si="21"/>
        <v xml:space="preserve">Army Cap Pigskin </v>
      </c>
      <c r="D314" s="2"/>
      <c r="E314" s="2"/>
      <c r="F314" s="2"/>
      <c r="G314" t="str">
        <f>_xlfn.LET(_xlpm.Searching,"59",_xlpm.inStr,IFERROR(FIND(_xlpm.Searching,$A318)&gt;=1,FALSE),IF(AND(_xlpm.inStr,LEN(A318)&lt;=6),$A319,""))</f>
        <v/>
      </c>
      <c r="H314" t="str">
        <f>_xlfn.LET(_xlpm.Searching,"61",_xlpm.inStr,IFERROR(FIND(_xlpm.Searching,$A318)&gt;=1,FALSE),IF(AND(_xlpm.inStr,LEN(A318)&lt;=6),$A319,""))</f>
        <v/>
      </c>
      <c r="I314" t="str">
        <f>_xlfn.LET(_xlpm.Searching,"63",_xlpm.inStr,IFERROR(FIND(_xlpm.Searching,$A318)&gt;=1,FALSE),IF(AND(_xlpm.inStr,LEN(A318)&lt;=6),$A319,""))</f>
        <v/>
      </c>
    </row>
    <row r="315" spans="1:10" x14ac:dyDescent="0.25">
      <c r="A315" s="6">
        <v>10</v>
      </c>
      <c r="B315" t="str">
        <f t="shared" si="21"/>
        <v>749710562</v>
      </c>
      <c r="C315" t="str">
        <f t="shared" si="21"/>
        <v xml:space="preserve">Army Cap Pigskin </v>
      </c>
      <c r="D315" s="2"/>
      <c r="E315" s="2"/>
      <c r="F315" s="2"/>
      <c r="G315" s="2"/>
      <c r="H315" t="str">
        <f>_xlfn.LET(_xlpm.Searching,"61",_xlpm.inStr,IFERROR(FIND(_xlpm.Searching,$A320)&gt;=1,FALSE),IF(AND(_xlpm.inStr,LEN(A320)&lt;=6),$A321,""))</f>
        <v/>
      </c>
      <c r="I315" t="str">
        <f>_xlfn.LET(_xlpm.Searching,"63",_xlpm.inStr,IFERROR(FIND(_xlpm.Searching,$A320)&gt;=1,FALSE),IF(AND(_xlpm.inStr,LEN(A320)&lt;=6),$A321,""))</f>
        <v/>
      </c>
    </row>
    <row r="316" spans="1:10" x14ac:dyDescent="0.25">
      <c r="A316" s="6" t="s">
        <v>153</v>
      </c>
      <c r="B316" t="str">
        <f t="shared" si="21"/>
        <v>749710562</v>
      </c>
      <c r="C316" t="str">
        <f t="shared" si="21"/>
        <v xml:space="preserve">Army Cap Pigskin </v>
      </c>
      <c r="D316" s="2"/>
      <c r="E316" s="2"/>
      <c r="F316" s="2"/>
      <c r="G316" s="2"/>
      <c r="H316" s="2"/>
      <c r="I316" t="str">
        <f>_xlfn.LET(_xlpm.Searching,"63",_xlpm.inStr,IFERROR(FIND(_xlpm.Searching,$A322)&gt;=1,FALSE),IF(AND(_xlpm.inStr,LEN(A322)&lt;=6),$A323,""))</f>
        <v/>
      </c>
    </row>
    <row r="317" spans="1:10" x14ac:dyDescent="0.25">
      <c r="A317" s="6" t="s">
        <v>154</v>
      </c>
    </row>
    <row r="318" spans="1:10" x14ac:dyDescent="0.25">
      <c r="A318" s="6" t="s">
        <v>155</v>
      </c>
      <c r="B318" s="1" t="s">
        <v>1</v>
      </c>
      <c r="C318" s="1" t="s">
        <v>220</v>
      </c>
      <c r="D318" s="1" t="s">
        <v>0</v>
      </c>
      <c r="E318" s="1">
        <v>55</v>
      </c>
      <c r="F318" s="1">
        <v>57</v>
      </c>
      <c r="G318" s="1">
        <v>59</v>
      </c>
      <c r="H318" s="1">
        <v>61</v>
      </c>
      <c r="I318" s="1">
        <v>63</v>
      </c>
      <c r="J318" s="3" t="s">
        <v>2</v>
      </c>
    </row>
    <row r="319" spans="1:10" x14ac:dyDescent="0.25">
      <c r="A319" s="6" t="s">
        <v>156</v>
      </c>
      <c r="B319" t="str" cm="1">
        <f t="array" ref="B319">БУКВЫ(MID($A319,3,12))</f>
        <v>28111012</v>
      </c>
      <c r="C319" t="str">
        <f>MID($A320,1,FIND("Per",A320)-1)</f>
        <v xml:space="preserve">Bucket Delave Organic Cotton </v>
      </c>
      <c r="D319" t="str">
        <f>_xlfn.LET(_xlpm.Searching,"OSFA",_xlpm.inStr,IFERROR(FIND(_xlpm.Searching,$A321)&gt;=1,FALSE),IF(AND(_xlpm.inStr,LEN(A321)&lt;=6),A322,""))</f>
        <v/>
      </c>
      <c r="E319" t="str">
        <f>_xlfn.LET(_xlpm.Searching,"55",_xlpm.inStr,IFERROR(FIND(_xlpm.Searching,$A321)&gt;=1,FALSE),IF(AND(_xlpm.inStr,LEN(A321)&lt;=6),A322,""))</f>
        <v/>
      </c>
      <c r="F319" t="str">
        <f>_xlfn.LET(_xlpm.Searching,"57",_xlpm.inStr,IFERROR(FIND(_xlpm.Searching,$A321)&gt;=1,FALSE),IF(AND(_xlpm.inStr,LEN(A321)&lt;=6),$A322,""))&amp;F320</f>
        <v/>
      </c>
      <c r="G319" t="str">
        <f>_xlfn.LET(_xlpm.Searching,"59",_xlpm.inStr,IFERROR(FIND(_xlpm.Searching,$A321)&gt;=1,FALSE),IF(AND(_xlpm.inStr,LEN(A321)&lt;=6),$A322,""))&amp;G320&amp;G321</f>
        <v>4</v>
      </c>
      <c r="H319" t="str">
        <f>_xlfn.LET(_xlpm.Searching,"61",_xlpm.inStr,IFERROR(FIND(_xlpm.Searching,$A321)&gt;=1,FALSE),IF(AND(_xlpm.inStr,LEN(A321)&lt;=6),$A322,""))&amp;H320&amp;H321&amp;H322</f>
        <v>4</v>
      </c>
      <c r="I319" t="str">
        <f>_xlfn.LET(_xlpm.Searching,"63",_xlpm.inStr,IFERROR(FIND(_xlpm.Searching,$A321)&gt;=1,FALSE),IF(AND(_xlpm.inStr,LEN(A321)&lt;=6),$A322,""))&amp;I320&amp;I321&amp;I322&amp;I323</f>
        <v>2</v>
      </c>
      <c r="J319" s="4">
        <f>MID(TRIM(RIGHT(A319,10)),1,LEN(TRIM(RIGHT(A319,10)))-3)*0.8</f>
        <v>21.52</v>
      </c>
    </row>
    <row r="320" spans="1:10" x14ac:dyDescent="0.25">
      <c r="A320" s="6" t="s">
        <v>157</v>
      </c>
      <c r="B320" t="str">
        <f>B319</f>
        <v>28111012</v>
      </c>
      <c r="C320" t="str">
        <f>C319</f>
        <v xml:space="preserve">Bucket Delave Organic Cotton </v>
      </c>
      <c r="D320" s="2"/>
      <c r="E320" s="2"/>
      <c r="F320" t="str">
        <f>_xlfn.LET(_xlpm.Searching,"57",_xlpm.inStr,IFERROR(FIND(_xlpm.Searching,$A323)&gt;=1,FALSE),IF(AND(_xlpm.inStr,LEN(A323)&lt;=6),$A324,""))</f>
        <v/>
      </c>
      <c r="G320" t="str">
        <f>_xlfn.LET(_xlpm.Searching,"59",_xlpm.inStr,IFERROR(FIND(_xlpm.Searching,$A323)&gt;=1,FALSE),IF(AND(_xlpm.inStr,LEN(A323)&lt;=6),$A324,""))</f>
        <v/>
      </c>
      <c r="H320">
        <f>_xlfn.LET(_xlpm.Searching,"61",_xlpm.inStr,IFERROR(FIND(_xlpm.Searching,$A323)&gt;=1,FALSE),IF(AND(_xlpm.inStr,LEN(A323)&lt;=6),$A324,""))</f>
        <v>4</v>
      </c>
      <c r="I320" t="str">
        <f>_xlfn.LET(_xlpm.Searching,"63",_xlpm.inStr,IFERROR(FIND(_xlpm.Searching,$A323)&gt;=1,FALSE),IF(AND(_xlpm.inStr,LEN(A323)&lt;=6),$A324,""))</f>
        <v/>
      </c>
    </row>
    <row r="321" spans="1:9" x14ac:dyDescent="0.25">
      <c r="A321" s="6" t="s">
        <v>30</v>
      </c>
      <c r="B321" t="str">
        <f t="shared" ref="B321:C323" si="22">B320</f>
        <v>28111012</v>
      </c>
      <c r="C321" t="str">
        <f t="shared" si="22"/>
        <v xml:space="preserve">Bucket Delave Organic Cotton </v>
      </c>
      <c r="D321" s="2"/>
      <c r="E321" s="2"/>
      <c r="F321" s="2"/>
      <c r="G321" t="str">
        <f>_xlfn.LET(_xlpm.Searching,"59",_xlpm.inStr,IFERROR(FIND(_xlpm.Searching,$A325)&gt;=1,FALSE),IF(AND(_xlpm.inStr,LEN(A325)&lt;=6),$A326,""))</f>
        <v/>
      </c>
      <c r="H321" t="str">
        <f>_xlfn.LET(_xlpm.Searching,"61",_xlpm.inStr,IFERROR(FIND(_xlpm.Searching,$A325)&gt;=1,FALSE),IF(AND(_xlpm.inStr,LEN(A325)&lt;=6),$A326,""))</f>
        <v/>
      </c>
      <c r="I321">
        <f>_xlfn.LET(_xlpm.Searching,"63",_xlpm.inStr,IFERROR(FIND(_xlpm.Searching,$A325)&gt;=1,FALSE),IF(AND(_xlpm.inStr,LEN(A325)&lt;=6),$A326,""))</f>
        <v>2</v>
      </c>
    </row>
    <row r="322" spans="1:9" x14ac:dyDescent="0.25">
      <c r="A322" s="6">
        <v>4</v>
      </c>
      <c r="B322" t="str">
        <f t="shared" si="22"/>
        <v>28111012</v>
      </c>
      <c r="C322" t="str">
        <f t="shared" si="22"/>
        <v xml:space="preserve">Bucket Delave Organic Cotton </v>
      </c>
      <c r="D322" s="2"/>
      <c r="E322" s="2"/>
      <c r="F322" s="2"/>
      <c r="G322" s="2"/>
      <c r="H322" t="str">
        <f>_xlfn.LET(_xlpm.Searching,"61",_xlpm.inStr,IFERROR(FIND(_xlpm.Searching,$A327)&gt;=1,FALSE),IF(AND(_xlpm.inStr,LEN(A327)&lt;=6),$A328,""))</f>
        <v/>
      </c>
      <c r="I322" t="str">
        <f>_xlfn.LET(_xlpm.Searching,"63",_xlpm.inStr,IFERROR(FIND(_xlpm.Searching,$A327)&gt;=1,FALSE),IF(AND(_xlpm.inStr,LEN(A327)&lt;=6),$A328,""))</f>
        <v/>
      </c>
    </row>
    <row r="323" spans="1:9" x14ac:dyDescent="0.25">
      <c r="A323" s="6" t="s">
        <v>31</v>
      </c>
      <c r="B323" t="str">
        <f t="shared" si="22"/>
        <v>28111012</v>
      </c>
      <c r="C323" t="str">
        <f t="shared" si="22"/>
        <v xml:space="preserve">Bucket Delave Organic Cotton </v>
      </c>
      <c r="D323" s="2"/>
      <c r="E323" s="2"/>
      <c r="F323" s="2"/>
      <c r="G323" s="2"/>
      <c r="H323" s="2"/>
      <c r="I323" t="str">
        <f>_xlfn.LET(_xlpm.Searching,"63",_xlpm.inStr,IFERROR(FIND(_xlpm.Searching,$A329)&gt;=1,FALSE),IF(AND(_xlpm.inStr,LEN(A329)&lt;=6),$A330,""))</f>
        <v/>
      </c>
    </row>
    <row r="324" spans="1:9" x14ac:dyDescent="0.25">
      <c r="A324" s="6">
        <v>4</v>
      </c>
    </row>
    <row r="325" spans="1:9" x14ac:dyDescent="0.25">
      <c r="A325" s="6" t="s">
        <v>34</v>
      </c>
    </row>
    <row r="326" spans="1:9" x14ac:dyDescent="0.25">
      <c r="A326" s="6">
        <v>2</v>
      </c>
    </row>
    <row r="327" spans="1:9" x14ac:dyDescent="0.25">
      <c r="A327" s="6" t="s">
        <v>158</v>
      </c>
    </row>
    <row r="328" spans="1:9" x14ac:dyDescent="0.25">
      <c r="A328" s="6" t="s">
        <v>154</v>
      </c>
    </row>
    <row r="329" spans="1:9" x14ac:dyDescent="0.25">
      <c r="A329" s="6" t="s">
        <v>155</v>
      </c>
    </row>
    <row r="330" spans="1:9" x14ac:dyDescent="0.25">
      <c r="A330" s="6" t="s">
        <v>18</v>
      </c>
    </row>
    <row r="331" spans="1:9" x14ac:dyDescent="0.25">
      <c r="A331" s="6" t="s">
        <v>36</v>
      </c>
    </row>
    <row r="332" spans="1:9" x14ac:dyDescent="0.25">
      <c r="A332" s="6" t="s">
        <v>37</v>
      </c>
    </row>
    <row r="333" spans="1:9" x14ac:dyDescent="0.25">
      <c r="A333" s="6" t="s">
        <v>38</v>
      </c>
    </row>
    <row r="334" spans="1:9" x14ac:dyDescent="0.25">
      <c r="A334" s="6" t="s">
        <v>39</v>
      </c>
    </row>
    <row r="335" spans="1:9" x14ac:dyDescent="0.25">
      <c r="A335" s="6" t="s">
        <v>40</v>
      </c>
    </row>
    <row r="336" spans="1:9" x14ac:dyDescent="0.25">
      <c r="A336" s="6" t="s">
        <v>41</v>
      </c>
    </row>
    <row r="337" spans="1:1" x14ac:dyDescent="0.25">
      <c r="A337" s="6" t="s">
        <v>42</v>
      </c>
    </row>
    <row r="338" spans="1:1" x14ac:dyDescent="0.25">
      <c r="A338" s="6" t="s">
        <v>43</v>
      </c>
    </row>
    <row r="339" spans="1:1" x14ac:dyDescent="0.25">
      <c r="A339" s="6" t="s">
        <v>44</v>
      </c>
    </row>
    <row r="340" spans="1:1" x14ac:dyDescent="0.25">
      <c r="A340" s="6" t="s">
        <v>45</v>
      </c>
    </row>
    <row r="341" spans="1:1" x14ac:dyDescent="0.25">
      <c r="A341" s="6" t="s">
        <v>46</v>
      </c>
    </row>
    <row r="342" spans="1:1" x14ac:dyDescent="0.25">
      <c r="A342" s="6" t="s">
        <v>47</v>
      </c>
    </row>
    <row r="343" spans="1:1" x14ac:dyDescent="0.25">
      <c r="A343" s="6" t="s">
        <v>48</v>
      </c>
    </row>
    <row r="344" spans="1:1" x14ac:dyDescent="0.25">
      <c r="A344" s="6" t="s">
        <v>49</v>
      </c>
    </row>
    <row r="345" spans="1:1" x14ac:dyDescent="0.25">
      <c r="A345" s="6" t="s">
        <v>81</v>
      </c>
    </row>
    <row r="346" spans="1:1" x14ac:dyDescent="0.25">
      <c r="A346" s="6" t="s">
        <v>95</v>
      </c>
    </row>
    <row r="347" spans="1:1" x14ac:dyDescent="0.25">
      <c r="A347" s="6" t="s">
        <v>58</v>
      </c>
    </row>
    <row r="348" spans="1:1" x14ac:dyDescent="0.25">
      <c r="A348" s="6" t="s">
        <v>21</v>
      </c>
    </row>
    <row r="349" spans="1:1" x14ac:dyDescent="0.25">
      <c r="A349" s="6" t="s">
        <v>22</v>
      </c>
    </row>
    <row r="350" spans="1:1" x14ac:dyDescent="0.25">
      <c r="A350" s="6" t="s">
        <v>23</v>
      </c>
    </row>
    <row r="351" spans="1:1" x14ac:dyDescent="0.25">
      <c r="A351" s="6" t="s">
        <v>24</v>
      </c>
    </row>
    <row r="352" spans="1:1" x14ac:dyDescent="0.25">
      <c r="A352" s="6" t="s">
        <v>25</v>
      </c>
    </row>
    <row r="353" spans="1:10" x14ac:dyDescent="0.25">
      <c r="A353" s="6" t="s">
        <v>26</v>
      </c>
    </row>
    <row r="354" spans="1:10" x14ac:dyDescent="0.25">
      <c r="A354" s="6" t="s">
        <v>27</v>
      </c>
      <c r="B354" s="1" t="s">
        <v>1</v>
      </c>
      <c r="C354" s="1" t="s">
        <v>220</v>
      </c>
      <c r="D354" s="1" t="s">
        <v>0</v>
      </c>
      <c r="E354" s="1">
        <v>55</v>
      </c>
      <c r="F354" s="1">
        <v>57</v>
      </c>
      <c r="G354" s="1">
        <v>59</v>
      </c>
      <c r="H354" s="1">
        <v>61</v>
      </c>
      <c r="I354" s="1">
        <v>63</v>
      </c>
      <c r="J354" s="3" t="s">
        <v>2</v>
      </c>
    </row>
    <row r="355" spans="1:10" x14ac:dyDescent="0.25">
      <c r="A355" s="6" t="s">
        <v>159</v>
      </c>
      <c r="B355" t="str" cm="1">
        <f t="array" ref="B355">БУКВЫ(MID($A355,3,11))</f>
        <v>28111011</v>
      </c>
      <c r="C355" t="str">
        <f>MID($A356,1,FIND("Per",A356)-1)</f>
        <v xml:space="preserve">Bucket Delave Organic Cotton </v>
      </c>
      <c r="D355" t="str">
        <f>_xlfn.LET(_xlpm.Searching,"OSFA",_xlpm.inStr,IFERROR(FIND(_xlpm.Searching,$A357)&gt;=1,FALSE),IF(AND(_xlpm.inStr,LEN(A357)&lt;=6),A358,""))</f>
        <v/>
      </c>
      <c r="E355" t="str">
        <f>_xlfn.LET(_xlpm.Searching,"55",_xlpm.inStr,IFERROR(FIND(_xlpm.Searching,$A357)&gt;=1,FALSE),IF(AND(_xlpm.inStr,LEN(A357)&lt;=6),A358,""))</f>
        <v/>
      </c>
      <c r="F355" t="str">
        <f>_xlfn.LET(_xlpm.Searching,"57",_xlpm.inStr,IFERROR(FIND(_xlpm.Searching,$A357)&gt;=1,FALSE),IF(AND(_xlpm.inStr,LEN(A357)&lt;=6),$A358,""))&amp;F356</f>
        <v>2</v>
      </c>
      <c r="G355" t="str">
        <f>_xlfn.LET(_xlpm.Searching,"59",_xlpm.inStr,IFERROR(FIND(_xlpm.Searching,$A357)&gt;=1,FALSE),IF(AND(_xlpm.inStr,LEN(A357)&lt;=6),$A358,""))&amp;G356&amp;G357</f>
        <v>8</v>
      </c>
      <c r="H355" t="str">
        <f>_xlfn.LET(_xlpm.Searching,"61",_xlpm.inStr,IFERROR(FIND(_xlpm.Searching,$A357)&gt;=1,FALSE),IF(AND(_xlpm.inStr,LEN(A357)&lt;=6),$A358,""))&amp;H356&amp;H357&amp;H358</f>
        <v>10</v>
      </c>
      <c r="I355" t="str">
        <f>_xlfn.LET(_xlpm.Searching,"63",_xlpm.inStr,IFERROR(FIND(_xlpm.Searching,$A357)&gt;=1,FALSE),IF(AND(_xlpm.inStr,LEN(A357)&lt;=6),$A358,""))&amp;I356&amp;I357&amp;I358&amp;I359</f>
        <v>5</v>
      </c>
      <c r="J355" s="4">
        <f>MID(TRIM(RIGHT(A355,10)),1,LEN(TRIM(RIGHT(A355,10)))-3)*0.8</f>
        <v>21.52</v>
      </c>
    </row>
    <row r="356" spans="1:10" x14ac:dyDescent="0.25">
      <c r="A356" s="6" t="s">
        <v>157</v>
      </c>
      <c r="B356" t="str" cm="1">
        <f t="array" ref="B356">БУКВЫ(MID($A355,3,11))</f>
        <v>28111011</v>
      </c>
      <c r="C356" t="str">
        <f>C355</f>
        <v xml:space="preserve">Bucket Delave Organic Cotton </v>
      </c>
      <c r="D356" s="2"/>
      <c r="E356" s="2"/>
      <c r="F356" t="str">
        <f>_xlfn.LET(_xlpm.Searching,"57",_xlpm.inStr,IFERROR(FIND(_xlpm.Searching,$A359)&gt;=1,FALSE),IF(AND(_xlpm.inStr,LEN(A359)&lt;=6),$A360,""))</f>
        <v/>
      </c>
      <c r="G356">
        <f>_xlfn.LET(_xlpm.Searching,"59",_xlpm.inStr,IFERROR(FIND(_xlpm.Searching,$A359)&gt;=1,FALSE),IF(AND(_xlpm.inStr,LEN(A359)&lt;=6),$A360,""))</f>
        <v>8</v>
      </c>
      <c r="H356" t="str">
        <f>_xlfn.LET(_xlpm.Searching,"61",_xlpm.inStr,IFERROR(FIND(_xlpm.Searching,$A359)&gt;=1,FALSE),IF(AND(_xlpm.inStr,LEN(A359)&lt;=6),$A360,""))</f>
        <v/>
      </c>
      <c r="I356" t="str">
        <f>_xlfn.LET(_xlpm.Searching,"63",_xlpm.inStr,IFERROR(FIND(_xlpm.Searching,$A359)&gt;=1,FALSE),IF(AND(_xlpm.inStr,LEN(A359)&lt;=6),$A360,""))</f>
        <v/>
      </c>
    </row>
    <row r="357" spans="1:10" x14ac:dyDescent="0.25">
      <c r="A357" s="6" t="s">
        <v>33</v>
      </c>
      <c r="B357" t="str" cm="1">
        <f t="array" ref="B357">БУКВЫ(MID($A355,3,11))</f>
        <v>28111011</v>
      </c>
      <c r="C357" t="str">
        <f t="shared" ref="C357:C359" si="23">C356</f>
        <v xml:space="preserve">Bucket Delave Organic Cotton </v>
      </c>
      <c r="D357" s="2"/>
      <c r="E357" s="2"/>
      <c r="F357" s="2"/>
      <c r="G357" t="str">
        <f>_xlfn.LET(_xlpm.Searching,"59",_xlpm.inStr,IFERROR(FIND(_xlpm.Searching,$A361)&gt;=1,FALSE),IF(AND(_xlpm.inStr,LEN(A361)&lt;=6),$A362,""))</f>
        <v/>
      </c>
      <c r="H357">
        <f>_xlfn.LET(_xlpm.Searching,"61",_xlpm.inStr,IFERROR(FIND(_xlpm.Searching,$A361)&gt;=1,FALSE),IF(AND(_xlpm.inStr,LEN(A361)&lt;=6),$A362,""))</f>
        <v>10</v>
      </c>
      <c r="I357" t="str">
        <f>_xlfn.LET(_xlpm.Searching,"63",_xlpm.inStr,IFERROR(FIND(_xlpm.Searching,$A361)&gt;=1,FALSE),IF(AND(_xlpm.inStr,LEN(A361)&lt;=6),$A362,""))</f>
        <v/>
      </c>
    </row>
    <row r="358" spans="1:10" x14ac:dyDescent="0.25">
      <c r="A358" s="6">
        <v>2</v>
      </c>
      <c r="B358" t="str" cm="1">
        <f t="array" ref="B358">БУКВЫ(MID($A355,3,11))</f>
        <v>28111011</v>
      </c>
      <c r="C358" t="str">
        <f t="shared" si="23"/>
        <v xml:space="preserve">Bucket Delave Organic Cotton </v>
      </c>
      <c r="D358" s="2"/>
      <c r="E358" s="2"/>
      <c r="F358" s="2"/>
      <c r="G358" s="2"/>
      <c r="H358" t="str">
        <f>_xlfn.LET(_xlpm.Searching,"61",_xlpm.inStr,IFERROR(FIND(_xlpm.Searching,$A363)&gt;=1,FALSE),IF(AND(_xlpm.inStr,LEN(A363)&lt;=6),$A364,""))</f>
        <v/>
      </c>
      <c r="I358">
        <f>_xlfn.LET(_xlpm.Searching,"63",_xlpm.inStr,IFERROR(FIND(_xlpm.Searching,$A363)&gt;=1,FALSE),IF(AND(_xlpm.inStr,LEN(A363)&lt;=6),$A364,""))</f>
        <v>5</v>
      </c>
    </row>
    <row r="359" spans="1:10" x14ac:dyDescent="0.25">
      <c r="A359" s="6" t="s">
        <v>30</v>
      </c>
      <c r="B359" t="str" cm="1">
        <f t="array" ref="B359">БУКВЫ(MID($A355,3,11))</f>
        <v>28111011</v>
      </c>
      <c r="C359" t="str">
        <f t="shared" si="23"/>
        <v xml:space="preserve">Bucket Delave Organic Cotton </v>
      </c>
      <c r="D359" s="2"/>
      <c r="E359" s="2"/>
      <c r="F359" s="2"/>
      <c r="G359" s="2"/>
      <c r="H359" s="2"/>
      <c r="I359" t="str">
        <f>_xlfn.LET(_xlpm.Searching,"63",_xlpm.inStr,IFERROR(FIND(_xlpm.Searching,$A365)&gt;=1,FALSE),IF(AND(_xlpm.inStr,LEN(A365)&lt;=6),$A366,""))</f>
        <v/>
      </c>
    </row>
    <row r="360" spans="1:10" x14ac:dyDescent="0.25">
      <c r="A360" s="6">
        <v>8</v>
      </c>
    </row>
    <row r="361" spans="1:10" x14ac:dyDescent="0.25">
      <c r="A361" s="6" t="s">
        <v>31</v>
      </c>
    </row>
    <row r="362" spans="1:10" x14ac:dyDescent="0.25">
      <c r="A362" s="6">
        <v>10</v>
      </c>
    </row>
    <row r="363" spans="1:10" x14ac:dyDescent="0.25">
      <c r="A363" s="6" t="s">
        <v>34</v>
      </c>
    </row>
    <row r="364" spans="1:10" x14ac:dyDescent="0.25">
      <c r="A364" s="6">
        <v>5</v>
      </c>
    </row>
    <row r="365" spans="1:10" x14ac:dyDescent="0.25">
      <c r="A365" s="6" t="s">
        <v>158</v>
      </c>
    </row>
    <row r="366" spans="1:10" x14ac:dyDescent="0.25">
      <c r="A366" s="6" t="s">
        <v>160</v>
      </c>
    </row>
    <row r="367" spans="1:10" x14ac:dyDescent="0.25">
      <c r="A367" s="6" t="s">
        <v>161</v>
      </c>
      <c r="B367" s="1" t="s">
        <v>1</v>
      </c>
      <c r="C367" s="1" t="s">
        <v>220</v>
      </c>
      <c r="D367" s="1" t="s">
        <v>0</v>
      </c>
      <c r="E367" s="1">
        <v>55</v>
      </c>
      <c r="F367" s="1">
        <v>57</v>
      </c>
      <c r="G367" s="1">
        <v>59</v>
      </c>
      <c r="H367" s="1">
        <v>61</v>
      </c>
      <c r="I367" s="1">
        <v>63</v>
      </c>
      <c r="J367" s="3" t="s">
        <v>2</v>
      </c>
    </row>
    <row r="368" spans="1:10" x14ac:dyDescent="0.25">
      <c r="A368" s="6" t="s">
        <v>162</v>
      </c>
      <c r="B368" t="str" cm="1">
        <f t="array" ref="B368">БУКВЫ(MID($A368,3,11))</f>
        <v>77511945</v>
      </c>
      <c r="C368" t="str">
        <f>MID($A369,1,FIND("Per",A369)-1)</f>
        <v xml:space="preserve">Trucker Cap Sun </v>
      </c>
      <c r="D368">
        <f>_xlfn.LET(_xlpm.Searching,"OSFA",_xlpm.inStr,IFERROR(FIND(_xlpm.Searching,$A370)&gt;=1,FALSE),IF(AND(_xlpm.inStr,LEN(A370)&lt;=6),A371,""))</f>
        <v>115</v>
      </c>
      <c r="E368" t="str">
        <f>_xlfn.LET(_xlpm.Searching,"55",_xlpm.inStr,IFERROR(FIND(_xlpm.Searching,$A370)&gt;=1,FALSE),IF(AND(_xlpm.inStr,LEN(A370)&lt;=6),A371,""))</f>
        <v/>
      </c>
      <c r="F368" t="str">
        <f>_xlfn.LET(_xlpm.Searching,"57",_xlpm.inStr,IFERROR(FIND(_xlpm.Searching,$A370)&gt;=1,FALSE),IF(AND(_xlpm.inStr,LEN(A370)&lt;=6),$A371,""))&amp;F369</f>
        <v/>
      </c>
      <c r="G368" t="str">
        <f>_xlfn.LET(_xlpm.Searching,"59",_xlpm.inStr,IFERROR(FIND(_xlpm.Searching,$A370)&gt;=1,FALSE),IF(AND(_xlpm.inStr,LEN(A370)&lt;=6),$A371,""))&amp;G369&amp;G370</f>
        <v/>
      </c>
      <c r="H368" t="str">
        <f>_xlfn.LET(_xlpm.Searching,"61",_xlpm.inStr,IFERROR(FIND(_xlpm.Searching,$A370)&gt;=1,FALSE),IF(AND(_xlpm.inStr,LEN(A370)&lt;=6),$A371,""))&amp;H369&amp;H370&amp;H371</f>
        <v/>
      </c>
      <c r="I368" t="str">
        <f>_xlfn.LET(_xlpm.Searching,"63",_xlpm.inStr,IFERROR(FIND(_xlpm.Searching,$A370)&gt;=1,FALSE),IF(AND(_xlpm.inStr,LEN(A370)&lt;=6),$A371,""))&amp;I369&amp;I370&amp;I371&amp;I372</f>
        <v/>
      </c>
      <c r="J368" s="4">
        <f>MID(TRIM(RIGHT(A368,10)),1,LEN(TRIM(RIGHT(A368,10)))-3)*0.8</f>
        <v>11.920000000000002</v>
      </c>
    </row>
    <row r="369" spans="1:10" x14ac:dyDescent="0.25">
      <c r="A369" s="6" t="s">
        <v>163</v>
      </c>
      <c r="B369" t="str" cm="1">
        <f t="array" ref="B369">БУКВЫ(MID($A368,3,11))</f>
        <v>77511945</v>
      </c>
      <c r="C369" t="str">
        <f>C368</f>
        <v xml:space="preserve">Trucker Cap Sun </v>
      </c>
      <c r="D369" s="2"/>
      <c r="E369" s="2"/>
      <c r="F369" t="str">
        <f>_xlfn.LET(_xlpm.Searching,"57",_xlpm.inStr,IFERROR(FIND(_xlpm.Searching,$A372)&gt;=1,FALSE),IF(AND(_xlpm.inStr,LEN(A372)&lt;=6),$A373,""))</f>
        <v/>
      </c>
      <c r="G369" t="str">
        <f>_xlfn.LET(_xlpm.Searching,"59",_xlpm.inStr,IFERROR(FIND(_xlpm.Searching,$A372)&gt;=1,FALSE),IF(AND(_xlpm.inStr,LEN(A372)&lt;=6),$A373,""))</f>
        <v/>
      </c>
      <c r="H369" t="str">
        <f>_xlfn.LET(_xlpm.Searching,"61",_xlpm.inStr,IFERROR(FIND(_xlpm.Searching,$A372)&gt;=1,FALSE),IF(AND(_xlpm.inStr,LEN(A372)&lt;=6),$A373,""))</f>
        <v/>
      </c>
      <c r="I369" t="str">
        <f>_xlfn.LET(_xlpm.Searching,"63",_xlpm.inStr,IFERROR(FIND(_xlpm.Searching,$A372)&gt;=1,FALSE),IF(AND(_xlpm.inStr,LEN(A372)&lt;=6),$A373,""))</f>
        <v/>
      </c>
    </row>
    <row r="370" spans="1:10" x14ac:dyDescent="0.25">
      <c r="A370" s="6" t="s">
        <v>0</v>
      </c>
      <c r="B370" t="str" cm="1">
        <f t="array" ref="B370">БУКВЫ(MID($A368,3,11))</f>
        <v>77511945</v>
      </c>
      <c r="C370" t="str">
        <f t="shared" ref="C370:C372" si="24">C369</f>
        <v xml:space="preserve">Trucker Cap Sun </v>
      </c>
      <c r="D370" s="2"/>
      <c r="E370" s="2"/>
      <c r="F370" s="2"/>
      <c r="G370" t="str">
        <f>_xlfn.LET(_xlpm.Searching,"59",_xlpm.inStr,IFERROR(FIND(_xlpm.Searching,$A374)&gt;=1,FALSE),IF(AND(_xlpm.inStr,LEN(A374)&lt;=6),$A375,""))</f>
        <v/>
      </c>
      <c r="H370" t="str">
        <f>_xlfn.LET(_xlpm.Searching,"61",_xlpm.inStr,IFERROR(FIND(_xlpm.Searching,$A374)&gt;=1,FALSE),IF(AND(_xlpm.inStr,LEN(A374)&lt;=6),$A375,""))</f>
        <v/>
      </c>
      <c r="I370" t="str">
        <f>_xlfn.LET(_xlpm.Searching,"63",_xlpm.inStr,IFERROR(FIND(_xlpm.Searching,$A374)&gt;=1,FALSE),IF(AND(_xlpm.inStr,LEN(A374)&lt;=6),$A375,""))</f>
        <v/>
      </c>
    </row>
    <row r="371" spans="1:10" x14ac:dyDescent="0.25">
      <c r="A371" s="6">
        <v>115</v>
      </c>
      <c r="B371" t="str" cm="1">
        <f t="array" ref="B371">БУКВЫ(MID($A368,3,11))</f>
        <v>77511945</v>
      </c>
      <c r="C371" t="str">
        <f t="shared" si="24"/>
        <v xml:space="preserve">Trucker Cap Sun </v>
      </c>
      <c r="D371" s="2"/>
      <c r="E371" s="2"/>
      <c r="F371" s="2"/>
      <c r="G371" s="2"/>
      <c r="H371" t="str">
        <f>_xlfn.LET(_xlpm.Searching,"61",_xlpm.inStr,IFERROR(FIND(_xlpm.Searching,$A376)&gt;=1,FALSE),IF(AND(_xlpm.inStr,LEN(A376)&lt;=6),$A377,""))</f>
        <v/>
      </c>
      <c r="I371" t="str">
        <f>_xlfn.LET(_xlpm.Searching,"63",_xlpm.inStr,IFERROR(FIND(_xlpm.Searching,$A376)&gt;=1,FALSE),IF(AND(_xlpm.inStr,LEN(A376)&lt;=6),$A377,""))</f>
        <v/>
      </c>
    </row>
    <row r="372" spans="1:10" x14ac:dyDescent="0.25">
      <c r="A372" s="6" t="s">
        <v>35</v>
      </c>
      <c r="B372" t="str" cm="1">
        <f t="array" ref="B372">БУКВЫ(MID($A368,3,11))</f>
        <v>77511945</v>
      </c>
      <c r="C372" t="str">
        <f t="shared" si="24"/>
        <v xml:space="preserve">Trucker Cap Sun </v>
      </c>
      <c r="D372" s="2"/>
      <c r="E372" s="2"/>
      <c r="F372" s="2"/>
      <c r="G372" s="2"/>
      <c r="H372" s="2"/>
      <c r="I372" t="str">
        <f>_xlfn.LET(_xlpm.Searching,"63",_xlpm.inStr,IFERROR(FIND(_xlpm.Searching,$A378)&gt;=1,FALSE),IF(AND(_xlpm.inStr,LEN(A378)&lt;=6),$A379,""))</f>
        <v/>
      </c>
    </row>
    <row r="373" spans="1:10" x14ac:dyDescent="0.25">
      <c r="A373" s="6" t="s">
        <v>51</v>
      </c>
    </row>
    <row r="374" spans="1:10" x14ac:dyDescent="0.25">
      <c r="A374" s="6" t="s">
        <v>164</v>
      </c>
      <c r="B374" s="1" t="s">
        <v>1</v>
      </c>
      <c r="C374" s="1" t="s">
        <v>220</v>
      </c>
      <c r="D374" s="1" t="s">
        <v>0</v>
      </c>
      <c r="E374" s="1">
        <v>55</v>
      </c>
      <c r="F374" s="1">
        <v>57</v>
      </c>
      <c r="G374" s="1">
        <v>59</v>
      </c>
      <c r="H374" s="1">
        <v>61</v>
      </c>
      <c r="I374" s="1">
        <v>63</v>
      </c>
      <c r="J374" s="3" t="s">
        <v>2</v>
      </c>
    </row>
    <row r="375" spans="1:10" x14ac:dyDescent="0.25">
      <c r="A375" s="6" t="s">
        <v>165</v>
      </c>
      <c r="B375" t="str" cm="1">
        <f t="array" ref="B375">БУКВЫ(MID($A375,3,11))</f>
        <v>28111016</v>
      </c>
      <c r="C375" t="str">
        <f>MID($A376,1,FIND("Per",A376)-1)</f>
        <v xml:space="preserve">Bucket Delave Organic Cotton </v>
      </c>
      <c r="D375" t="str">
        <f>_xlfn.LET(_xlpm.Searching,"OSFA",_xlpm.inStr,IFERROR(FIND(_xlpm.Searching,$A377)&gt;=1,FALSE),IF(AND(_xlpm.inStr,LEN(A377)&lt;=6),A378,""))</f>
        <v/>
      </c>
      <c r="E375" t="str">
        <f>_xlfn.LET(_xlpm.Searching,"55",_xlpm.inStr,IFERROR(FIND(_xlpm.Searching,$A377)&gt;=1,FALSE),IF(AND(_xlpm.inStr,LEN(A377)&lt;=6),A378,""))</f>
        <v/>
      </c>
      <c r="F375" t="str">
        <f>_xlfn.LET(_xlpm.Searching,"57",_xlpm.inStr,IFERROR(FIND(_xlpm.Searching,$A377)&gt;=1,FALSE),IF(AND(_xlpm.inStr,LEN(A377)&lt;=6),$A378,""))&amp;F376</f>
        <v>2</v>
      </c>
      <c r="G375" t="str">
        <f>_xlfn.LET(_xlpm.Searching,"59",_xlpm.inStr,IFERROR(FIND(_xlpm.Searching,$A377)&gt;=1,FALSE),IF(AND(_xlpm.inStr,LEN(A377)&lt;=6),$A378,""))&amp;G376&amp;G377</f>
        <v>6</v>
      </c>
      <c r="H375" t="str">
        <f>_xlfn.LET(_xlpm.Searching,"61",_xlpm.inStr,IFERROR(FIND(_xlpm.Searching,$A377)&gt;=1,FALSE),IF(AND(_xlpm.inStr,LEN(A377)&lt;=6),$A378,""))&amp;H376&amp;H377&amp;H378</f>
        <v>6</v>
      </c>
      <c r="I375" t="str">
        <f>_xlfn.LET(_xlpm.Searching,"63",_xlpm.inStr,IFERROR(FIND(_xlpm.Searching,$A377)&gt;=1,FALSE),IF(AND(_xlpm.inStr,LEN(A377)&lt;=6),$A378,""))&amp;I376&amp;I377&amp;I378&amp;I379</f>
        <v>3</v>
      </c>
      <c r="J375" s="4">
        <f>MID(TRIM(RIGHT(A375,10)),1,LEN(TRIM(RIGHT(A375,10)))-3)*0.8</f>
        <v>21.52</v>
      </c>
    </row>
    <row r="376" spans="1:10" x14ac:dyDescent="0.25">
      <c r="A376" s="6" t="s">
        <v>157</v>
      </c>
      <c r="B376" t="str" cm="1">
        <f t="array" ref="B376">БУКВЫ(MID($A375,3,11))</f>
        <v>28111016</v>
      </c>
      <c r="C376" t="str">
        <f>C375</f>
        <v xml:space="preserve">Bucket Delave Organic Cotton </v>
      </c>
      <c r="D376" s="2"/>
      <c r="E376" s="2"/>
      <c r="F376" t="str">
        <f>_xlfn.LET(_xlpm.Searching,"57",_xlpm.inStr,IFERROR(FIND(_xlpm.Searching,$A379)&gt;=1,FALSE),IF(AND(_xlpm.inStr,LEN(A379)&lt;=6),$A380,""))</f>
        <v/>
      </c>
      <c r="G376">
        <f>_xlfn.LET(_xlpm.Searching,"59",_xlpm.inStr,IFERROR(FIND(_xlpm.Searching,$A379)&gt;=1,FALSE),IF(AND(_xlpm.inStr,LEN(A379)&lt;=6),$A380,""))</f>
        <v>6</v>
      </c>
      <c r="H376" t="str">
        <f>_xlfn.LET(_xlpm.Searching,"61",_xlpm.inStr,IFERROR(FIND(_xlpm.Searching,$A379)&gt;=1,FALSE),IF(AND(_xlpm.inStr,LEN(A379)&lt;=6),$A380,""))</f>
        <v/>
      </c>
      <c r="I376" t="str">
        <f>_xlfn.LET(_xlpm.Searching,"63",_xlpm.inStr,IFERROR(FIND(_xlpm.Searching,$A379)&gt;=1,FALSE),IF(AND(_xlpm.inStr,LEN(A379)&lt;=6),$A380,""))</f>
        <v/>
      </c>
    </row>
    <row r="377" spans="1:10" x14ac:dyDescent="0.25">
      <c r="A377" s="6" t="s">
        <v>33</v>
      </c>
      <c r="B377" t="str" cm="1">
        <f t="array" ref="B377">БУКВЫ(MID($A375,3,11))</f>
        <v>28111016</v>
      </c>
      <c r="C377" t="str">
        <f t="shared" ref="C377:C379" si="25">C376</f>
        <v xml:space="preserve">Bucket Delave Organic Cotton </v>
      </c>
      <c r="D377" s="2"/>
      <c r="E377" s="2"/>
      <c r="F377" s="2"/>
      <c r="G377" t="str">
        <f>_xlfn.LET(_xlpm.Searching,"59",_xlpm.inStr,IFERROR(FIND(_xlpm.Searching,$A381)&gt;=1,FALSE),IF(AND(_xlpm.inStr,LEN(A381)&lt;=6),$A382,""))</f>
        <v/>
      </c>
      <c r="H377">
        <f>_xlfn.LET(_xlpm.Searching,"61",_xlpm.inStr,IFERROR(FIND(_xlpm.Searching,$A381)&gt;=1,FALSE),IF(AND(_xlpm.inStr,LEN(A381)&lt;=6),$A382,""))</f>
        <v>6</v>
      </c>
      <c r="I377" t="str">
        <f>_xlfn.LET(_xlpm.Searching,"63",_xlpm.inStr,IFERROR(FIND(_xlpm.Searching,$A381)&gt;=1,FALSE),IF(AND(_xlpm.inStr,LEN(A381)&lt;=6),$A382,""))</f>
        <v/>
      </c>
    </row>
    <row r="378" spans="1:10" x14ac:dyDescent="0.25">
      <c r="A378" s="6">
        <v>2</v>
      </c>
      <c r="B378" t="str" cm="1">
        <f t="array" ref="B378">БУКВЫ(MID($A375,3,11))</f>
        <v>28111016</v>
      </c>
      <c r="C378" t="str">
        <f t="shared" si="25"/>
        <v xml:space="preserve">Bucket Delave Organic Cotton </v>
      </c>
      <c r="D378" s="2"/>
      <c r="E378" s="2"/>
      <c r="F378" s="2"/>
      <c r="G378" s="2"/>
      <c r="H378" t="str">
        <f>_xlfn.LET(_xlpm.Searching,"61",_xlpm.inStr,IFERROR(FIND(_xlpm.Searching,$A383)&gt;=1,FALSE),IF(AND(_xlpm.inStr,LEN(A383)&lt;=6),$A384,""))</f>
        <v/>
      </c>
      <c r="I378">
        <f>_xlfn.LET(_xlpm.Searching,"63",_xlpm.inStr,IFERROR(FIND(_xlpm.Searching,$A383)&gt;=1,FALSE),IF(AND(_xlpm.inStr,LEN(A383)&lt;=6),$A384,""))</f>
        <v>3</v>
      </c>
    </row>
    <row r="379" spans="1:10" x14ac:dyDescent="0.25">
      <c r="A379" s="6" t="s">
        <v>30</v>
      </c>
      <c r="B379" t="str" cm="1">
        <f t="array" ref="B379">БУКВЫ(MID($A375,3,11))</f>
        <v>28111016</v>
      </c>
      <c r="C379" t="str">
        <f t="shared" si="25"/>
        <v xml:space="preserve">Bucket Delave Organic Cotton </v>
      </c>
      <c r="D379" s="2"/>
      <c r="E379" s="2"/>
      <c r="F379" s="2"/>
      <c r="G379" s="2"/>
      <c r="H379" s="2"/>
      <c r="I379" t="str">
        <f>_xlfn.LET(_xlpm.Searching,"63",_xlpm.inStr,IFERROR(FIND(_xlpm.Searching,$A385)&gt;=1,FALSE),IF(AND(_xlpm.inStr,LEN(A385)&lt;=6),$A386,""))</f>
        <v/>
      </c>
    </row>
    <row r="380" spans="1:10" x14ac:dyDescent="0.25">
      <c r="A380" s="6">
        <v>6</v>
      </c>
    </row>
    <row r="381" spans="1:10" x14ac:dyDescent="0.25">
      <c r="A381" s="6" t="s">
        <v>31</v>
      </c>
    </row>
    <row r="382" spans="1:10" x14ac:dyDescent="0.25">
      <c r="A382" s="6">
        <v>6</v>
      </c>
    </row>
    <row r="383" spans="1:10" x14ac:dyDescent="0.25">
      <c r="A383" s="6" t="s">
        <v>34</v>
      </c>
    </row>
    <row r="384" spans="1:10" x14ac:dyDescent="0.25">
      <c r="A384" s="6">
        <v>3</v>
      </c>
    </row>
    <row r="385" spans="1:10" x14ac:dyDescent="0.25">
      <c r="A385" s="6" t="s">
        <v>158</v>
      </c>
    </row>
    <row r="386" spans="1:10" x14ac:dyDescent="0.25">
      <c r="A386" s="6" t="s">
        <v>166</v>
      </c>
    </row>
    <row r="387" spans="1:10" x14ac:dyDescent="0.25">
      <c r="A387" s="6" t="s">
        <v>167</v>
      </c>
      <c r="B387" s="1" t="s">
        <v>1</v>
      </c>
      <c r="C387" s="1" t="s">
        <v>220</v>
      </c>
      <c r="D387" s="1" t="s">
        <v>0</v>
      </c>
      <c r="E387" s="1">
        <v>55</v>
      </c>
      <c r="F387" s="1">
        <v>57</v>
      </c>
      <c r="G387" s="1">
        <v>59</v>
      </c>
      <c r="H387" s="1">
        <v>61</v>
      </c>
      <c r="I387" s="1">
        <v>63</v>
      </c>
      <c r="J387" s="3" t="s">
        <v>2</v>
      </c>
    </row>
    <row r="388" spans="1:10" x14ac:dyDescent="0.25">
      <c r="A388" s="6" t="s">
        <v>168</v>
      </c>
      <c r="B388" t="str" cm="1">
        <f t="array" ref="B388">БУКВЫ(MID($A388,3,11))</f>
        <v>281110161</v>
      </c>
      <c r="C388" t="str">
        <f>MID($A389,1,FIND("Per",A389)-1)</f>
        <v xml:space="preserve">Bucket Delave Organic Cotton </v>
      </c>
      <c r="D388" t="str">
        <f>_xlfn.LET(_xlpm.Searching,"OSFA",_xlpm.inStr,IFERROR(FIND(_xlpm.Searching,$A390)&gt;=1,FALSE),IF(AND(_xlpm.inStr,LEN(A390)&lt;=6),A391,""))</f>
        <v/>
      </c>
      <c r="E388" t="str">
        <f>_xlfn.LET(_xlpm.Searching,"55",_xlpm.inStr,IFERROR(FIND(_xlpm.Searching,$A390)&gt;=1,FALSE),IF(AND(_xlpm.inStr,LEN(A390)&lt;=6),A391,""))</f>
        <v/>
      </c>
      <c r="F388" t="str">
        <f>_xlfn.LET(_xlpm.Searching,"57",_xlpm.inStr,IFERROR(FIND(_xlpm.Searching,$A390)&gt;=1,FALSE),IF(AND(_xlpm.inStr,LEN(A390)&lt;=6),$A391,""))&amp;F389</f>
        <v/>
      </c>
      <c r="G388" t="str">
        <f>_xlfn.LET(_xlpm.Searching,"59",_xlpm.inStr,IFERROR(FIND(_xlpm.Searching,$A390)&gt;=1,FALSE),IF(AND(_xlpm.inStr,LEN(A390)&lt;=6),$A391,""))&amp;G389&amp;G390</f>
        <v>13</v>
      </c>
      <c r="H388" t="str">
        <f>_xlfn.LET(_xlpm.Searching,"61",_xlpm.inStr,IFERROR(FIND(_xlpm.Searching,$A390)&gt;=1,FALSE),IF(AND(_xlpm.inStr,LEN(A390)&lt;=6),$A391,""))&amp;H389&amp;H390&amp;H391</f>
        <v>13</v>
      </c>
      <c r="I388" t="str">
        <f>_xlfn.LET(_xlpm.Searching,"63",_xlpm.inStr,IFERROR(FIND(_xlpm.Searching,$A390)&gt;=1,FALSE),IF(AND(_xlpm.inStr,LEN(A390)&lt;=6),$A391,""))&amp;I389&amp;I390&amp;I391&amp;I392</f>
        <v>6</v>
      </c>
      <c r="J388" s="4">
        <f>MID(TRIM(RIGHT(A388,10)),1,LEN(TRIM(RIGHT(A388,10)))-3)*0.8</f>
        <v>21.52</v>
      </c>
    </row>
    <row r="389" spans="1:10" x14ac:dyDescent="0.25">
      <c r="A389" s="6" t="s">
        <v>157</v>
      </c>
      <c r="B389" t="str" cm="1">
        <f t="array" ref="B389">БУКВЫ(MID($A388,3,11))</f>
        <v>281110161</v>
      </c>
      <c r="C389" t="str">
        <f>C388</f>
        <v xml:space="preserve">Bucket Delave Organic Cotton </v>
      </c>
      <c r="D389" s="2"/>
      <c r="E389" s="2"/>
      <c r="F389" t="str">
        <f>_xlfn.LET(_xlpm.Searching,"57",_xlpm.inStr,IFERROR(FIND(_xlpm.Searching,$A392)&gt;=1,FALSE),IF(AND(_xlpm.inStr,LEN(A392)&lt;=6),$A393,""))</f>
        <v/>
      </c>
      <c r="G389" t="str">
        <f>_xlfn.LET(_xlpm.Searching,"59",_xlpm.inStr,IFERROR(FIND(_xlpm.Searching,$A392)&gt;=1,FALSE),IF(AND(_xlpm.inStr,LEN(A392)&lt;=6),$A393,""))</f>
        <v/>
      </c>
      <c r="H389">
        <f>_xlfn.LET(_xlpm.Searching,"61",_xlpm.inStr,IFERROR(FIND(_xlpm.Searching,$A392)&gt;=1,FALSE),IF(AND(_xlpm.inStr,LEN(A392)&lt;=6),$A393,""))</f>
        <v>13</v>
      </c>
      <c r="I389" t="str">
        <f>_xlfn.LET(_xlpm.Searching,"63",_xlpm.inStr,IFERROR(FIND(_xlpm.Searching,$A392)&gt;=1,FALSE),IF(AND(_xlpm.inStr,LEN(A392)&lt;=6),$A393,""))</f>
        <v/>
      </c>
    </row>
    <row r="390" spans="1:10" x14ac:dyDescent="0.25">
      <c r="A390" s="6" t="s">
        <v>30</v>
      </c>
      <c r="B390" t="str" cm="1">
        <f t="array" ref="B390">БУКВЫ(MID($A388,3,11))</f>
        <v>281110161</v>
      </c>
      <c r="C390" t="str">
        <f t="shared" ref="C390:C392" si="26">C389</f>
        <v xml:space="preserve">Bucket Delave Organic Cotton </v>
      </c>
      <c r="D390" s="2"/>
      <c r="E390" s="2"/>
      <c r="F390" s="2"/>
      <c r="G390" t="str">
        <f>_xlfn.LET(_xlpm.Searching,"59",_xlpm.inStr,IFERROR(FIND(_xlpm.Searching,$A394)&gt;=1,FALSE),IF(AND(_xlpm.inStr,LEN(A394)&lt;=6),$A395,""))</f>
        <v/>
      </c>
      <c r="H390" t="str">
        <f>_xlfn.LET(_xlpm.Searching,"61",_xlpm.inStr,IFERROR(FIND(_xlpm.Searching,$A394)&gt;=1,FALSE),IF(AND(_xlpm.inStr,LEN(A394)&lt;=6),$A395,""))</f>
        <v/>
      </c>
      <c r="I390">
        <f>_xlfn.LET(_xlpm.Searching,"63",_xlpm.inStr,IFERROR(FIND(_xlpm.Searching,$A394)&gt;=1,FALSE),IF(AND(_xlpm.inStr,LEN(A394)&lt;=6),$A395,""))</f>
        <v>6</v>
      </c>
    </row>
    <row r="391" spans="1:10" x14ac:dyDescent="0.25">
      <c r="A391" s="6">
        <v>13</v>
      </c>
      <c r="B391" t="str" cm="1">
        <f t="array" ref="B391">БУКВЫ(MID($A388,3,11))</f>
        <v>281110161</v>
      </c>
      <c r="C391" t="str">
        <f t="shared" si="26"/>
        <v xml:space="preserve">Bucket Delave Organic Cotton </v>
      </c>
      <c r="D391" s="2"/>
      <c r="E391" s="2"/>
      <c r="F391" s="2"/>
      <c r="G391" s="2"/>
      <c r="H391" t="str">
        <f>_xlfn.LET(_xlpm.Searching,"61",_xlpm.inStr,IFERROR(FIND(_xlpm.Searching,$A396)&gt;=1,FALSE),IF(AND(_xlpm.inStr,LEN(A396)&lt;=6),$A397,""))</f>
        <v/>
      </c>
      <c r="I391" t="str">
        <f>_xlfn.LET(_xlpm.Searching,"63",_xlpm.inStr,IFERROR(FIND(_xlpm.Searching,$A396)&gt;=1,FALSE),IF(AND(_xlpm.inStr,LEN(A396)&lt;=6),$A397,""))</f>
        <v/>
      </c>
    </row>
    <row r="392" spans="1:10" x14ac:dyDescent="0.25">
      <c r="A392" s="6" t="s">
        <v>31</v>
      </c>
      <c r="B392" t="str" cm="1">
        <f t="array" ref="B392">БУКВЫ(MID($A388,3,11))</f>
        <v>281110161</v>
      </c>
      <c r="C392" t="str">
        <f t="shared" si="26"/>
        <v xml:space="preserve">Bucket Delave Organic Cotton </v>
      </c>
      <c r="D392" s="2"/>
      <c r="E392" s="2"/>
      <c r="F392" s="2"/>
      <c r="G392" s="2"/>
      <c r="H392" s="2"/>
      <c r="I392" t="str">
        <f>_xlfn.LET(_xlpm.Searching,"63",_xlpm.inStr,IFERROR(FIND(_xlpm.Searching,$A398)&gt;=1,FALSE),IF(AND(_xlpm.inStr,LEN(A398)&lt;=6),$A399,""))</f>
        <v/>
      </c>
    </row>
    <row r="393" spans="1:10" x14ac:dyDescent="0.25">
      <c r="A393" s="6">
        <v>13</v>
      </c>
    </row>
    <row r="394" spans="1:10" x14ac:dyDescent="0.25">
      <c r="A394" s="6" t="s">
        <v>34</v>
      </c>
    </row>
    <row r="395" spans="1:10" x14ac:dyDescent="0.25">
      <c r="A395" s="6">
        <v>6</v>
      </c>
    </row>
    <row r="396" spans="1:10" x14ac:dyDescent="0.25">
      <c r="A396" s="6" t="s">
        <v>158</v>
      </c>
    </row>
    <row r="397" spans="1:10" x14ac:dyDescent="0.25">
      <c r="A397" s="6" t="s">
        <v>169</v>
      </c>
    </row>
    <row r="398" spans="1:10" x14ac:dyDescent="0.25">
      <c r="A398" s="6" t="s">
        <v>170</v>
      </c>
      <c r="B398" s="1" t="s">
        <v>1</v>
      </c>
      <c r="C398" s="1" t="s">
        <v>220</v>
      </c>
      <c r="D398" s="1" t="s">
        <v>0</v>
      </c>
      <c r="E398" s="1">
        <v>55</v>
      </c>
      <c r="F398" s="1">
        <v>57</v>
      </c>
      <c r="G398" s="1">
        <v>59</v>
      </c>
      <c r="H398" s="1">
        <v>61</v>
      </c>
      <c r="I398" s="1">
        <v>63</v>
      </c>
      <c r="J398" s="3" t="s">
        <v>2</v>
      </c>
    </row>
    <row r="399" spans="1:10" x14ac:dyDescent="0.25">
      <c r="A399" s="6" t="s">
        <v>171</v>
      </c>
      <c r="B399" t="str" cm="1">
        <f t="array" ref="B399">БУКВЫ(MID($A399,3,11))</f>
        <v>74911016</v>
      </c>
      <c r="C399" t="str">
        <f>MID($A400,1,FIND("Per",A400)-1)</f>
        <v xml:space="preserve">Army Cap Cotton </v>
      </c>
      <c r="D399" t="str">
        <f>_xlfn.LET(_xlpm.Searching,"OSFA",_xlpm.inStr,IFERROR(FIND(_xlpm.Searching,$A401)&gt;=1,FALSE),IF(AND(_xlpm.inStr,LEN(A401)&lt;=6),A402,""))</f>
        <v/>
      </c>
      <c r="E399" t="str">
        <f>_xlfn.LET(_xlpm.Searching,"55",_xlpm.inStr,IFERROR(FIND(_xlpm.Searching,$A401)&gt;=1,FALSE),IF(AND(_xlpm.inStr,LEN(A401)&lt;=6),A402,""))</f>
        <v/>
      </c>
      <c r="F399" t="str">
        <f>_xlfn.LET(_xlpm.Searching,"57",_xlpm.inStr,IFERROR(FIND(_xlpm.Searching,$A401)&gt;=1,FALSE),IF(AND(_xlpm.inStr,LEN(A401)&lt;=6),$A402,""))&amp;F400</f>
        <v>2</v>
      </c>
      <c r="G399" t="str">
        <f>_xlfn.LET(_xlpm.Searching,"59",_xlpm.inStr,IFERROR(FIND(_xlpm.Searching,$A401)&gt;=1,FALSE),IF(AND(_xlpm.inStr,LEN(A401)&lt;=6),$A402,""))&amp;G400&amp;G401</f>
        <v>7</v>
      </c>
      <c r="H399" t="str">
        <f>_xlfn.LET(_xlpm.Searching,"61",_xlpm.inStr,IFERROR(FIND(_xlpm.Searching,$A401)&gt;=1,FALSE),IF(AND(_xlpm.inStr,LEN(A401)&lt;=6),$A402,""))&amp;H400&amp;H401&amp;H402</f>
        <v>7</v>
      </c>
      <c r="I399" t="str">
        <f>_xlfn.LET(_xlpm.Searching,"63",_xlpm.inStr,IFERROR(FIND(_xlpm.Searching,$A401)&gt;=1,FALSE),IF(AND(_xlpm.inStr,LEN(A401)&lt;=6),$A402,""))&amp;I400&amp;I401&amp;I402&amp;I403</f>
        <v/>
      </c>
      <c r="J399" s="4">
        <f>MID(TRIM(RIGHT(A399,10)),1,LEN(TRIM(RIGHT(A399,10)))-3)*0.8</f>
        <v>11.920000000000002</v>
      </c>
    </row>
    <row r="400" spans="1:10" x14ac:dyDescent="0.25">
      <c r="A400" s="6" t="s">
        <v>66</v>
      </c>
      <c r="B400" t="str" cm="1">
        <f t="array" ref="B400">БУКВЫ(MID($A399,3,11))</f>
        <v>74911016</v>
      </c>
      <c r="C400" t="str">
        <f>C399</f>
        <v xml:space="preserve">Army Cap Cotton </v>
      </c>
      <c r="D400" s="2"/>
      <c r="E400" s="2"/>
      <c r="F400" t="str">
        <f>_xlfn.LET(_xlpm.Searching,"57",_xlpm.inStr,IFERROR(FIND(_xlpm.Searching,$A403)&gt;=1,FALSE),IF(AND(_xlpm.inStr,LEN(A403)&lt;=6),$A404,""))</f>
        <v/>
      </c>
      <c r="G400">
        <f>_xlfn.LET(_xlpm.Searching,"59",_xlpm.inStr,IFERROR(FIND(_xlpm.Searching,$A403)&gt;=1,FALSE),IF(AND(_xlpm.inStr,LEN(A403)&lt;=6),$A404,""))</f>
        <v>7</v>
      </c>
      <c r="H400" t="str">
        <f>_xlfn.LET(_xlpm.Searching,"61",_xlpm.inStr,IFERROR(FIND(_xlpm.Searching,$A403)&gt;=1,FALSE),IF(AND(_xlpm.inStr,LEN(A403)&lt;=6),$A404,""))</f>
        <v/>
      </c>
      <c r="I400" t="str">
        <f>_xlfn.LET(_xlpm.Searching,"63",_xlpm.inStr,IFERROR(FIND(_xlpm.Searching,$A403)&gt;=1,FALSE),IF(AND(_xlpm.inStr,LEN(A403)&lt;=6),$A404,""))</f>
        <v/>
      </c>
    </row>
    <row r="401" spans="1:10" x14ac:dyDescent="0.25">
      <c r="A401" s="6" t="s">
        <v>33</v>
      </c>
      <c r="B401" t="str" cm="1">
        <f t="array" ref="B401">БУКВЫ(MID($A399,3,11))</f>
        <v>74911016</v>
      </c>
      <c r="C401" t="str">
        <f t="shared" ref="C401:C403" si="27">C400</f>
        <v xml:space="preserve">Army Cap Cotton </v>
      </c>
      <c r="D401" s="2"/>
      <c r="E401" s="2"/>
      <c r="F401" s="2"/>
      <c r="G401" t="str">
        <f>_xlfn.LET(_xlpm.Searching,"59",_xlpm.inStr,IFERROR(FIND(_xlpm.Searching,$A405)&gt;=1,FALSE),IF(AND(_xlpm.inStr,LEN(A405)&lt;=6),$A406,""))</f>
        <v/>
      </c>
      <c r="H401">
        <f>_xlfn.LET(_xlpm.Searching,"61",_xlpm.inStr,IFERROR(FIND(_xlpm.Searching,$A405)&gt;=1,FALSE),IF(AND(_xlpm.inStr,LEN(A405)&lt;=6),$A406,""))</f>
        <v>7</v>
      </c>
      <c r="I401" t="str">
        <f>_xlfn.LET(_xlpm.Searching,"63",_xlpm.inStr,IFERROR(FIND(_xlpm.Searching,$A405)&gt;=1,FALSE),IF(AND(_xlpm.inStr,LEN(A405)&lt;=6),$A406,""))</f>
        <v/>
      </c>
    </row>
    <row r="402" spans="1:10" x14ac:dyDescent="0.25">
      <c r="A402" s="6">
        <v>2</v>
      </c>
      <c r="B402" t="str" cm="1">
        <f t="array" ref="B402">БУКВЫ(MID($A399,3,11))</f>
        <v>74911016</v>
      </c>
      <c r="C402" t="str">
        <f t="shared" si="27"/>
        <v xml:space="preserve">Army Cap Cotton </v>
      </c>
      <c r="D402" s="2"/>
      <c r="E402" s="2"/>
      <c r="F402" s="2"/>
      <c r="G402" s="2"/>
      <c r="H402" t="str">
        <f>_xlfn.LET(_xlpm.Searching,"61",_xlpm.inStr,IFERROR(FIND(_xlpm.Searching,$A407)&gt;=1,FALSE),IF(AND(_xlpm.inStr,LEN(A407)&lt;=6),$A408,""))</f>
        <v/>
      </c>
      <c r="I402" t="str">
        <f>_xlfn.LET(_xlpm.Searching,"63",_xlpm.inStr,IFERROR(FIND(_xlpm.Searching,$A407)&gt;=1,FALSE),IF(AND(_xlpm.inStr,LEN(A407)&lt;=6),$A408,""))</f>
        <v/>
      </c>
    </row>
    <row r="403" spans="1:10" x14ac:dyDescent="0.25">
      <c r="A403" s="6" t="s">
        <v>30</v>
      </c>
      <c r="B403" t="str" cm="1">
        <f t="array" ref="B403">БУКВЫ(MID($A399,3,11))</f>
        <v>74911016</v>
      </c>
      <c r="C403" t="str">
        <f t="shared" si="27"/>
        <v xml:space="preserve">Army Cap Cotton </v>
      </c>
      <c r="D403" s="2"/>
      <c r="E403" s="2"/>
      <c r="F403" s="2"/>
      <c r="G403" s="2"/>
      <c r="H403" s="2"/>
      <c r="I403" t="str">
        <f>_xlfn.LET(_xlpm.Searching,"63",_xlpm.inStr,IFERROR(FIND(_xlpm.Searching,$A409)&gt;=1,FALSE),IF(AND(_xlpm.inStr,LEN(A409)&lt;=6),$A410,""))</f>
        <v/>
      </c>
    </row>
    <row r="404" spans="1:10" x14ac:dyDescent="0.25">
      <c r="A404" s="6">
        <v>7</v>
      </c>
    </row>
    <row r="405" spans="1:10" x14ac:dyDescent="0.25">
      <c r="A405" s="6" t="s">
        <v>31</v>
      </c>
    </row>
    <row r="406" spans="1:10" x14ac:dyDescent="0.25">
      <c r="A406" s="6">
        <v>7</v>
      </c>
    </row>
    <row r="407" spans="1:10" x14ac:dyDescent="0.25">
      <c r="A407" s="6" t="s">
        <v>172</v>
      </c>
    </row>
    <row r="408" spans="1:10" x14ac:dyDescent="0.25">
      <c r="A408" s="6" t="s">
        <v>173</v>
      </c>
    </row>
    <row r="409" spans="1:10" x14ac:dyDescent="0.25">
      <c r="A409" s="6" t="s">
        <v>57</v>
      </c>
      <c r="B409" s="1" t="s">
        <v>1</v>
      </c>
      <c r="C409" s="1" t="s">
        <v>220</v>
      </c>
      <c r="D409" s="1" t="s">
        <v>0</v>
      </c>
      <c r="E409" s="1">
        <v>55</v>
      </c>
      <c r="F409" s="1">
        <v>57</v>
      </c>
      <c r="G409" s="1">
        <v>59</v>
      </c>
      <c r="H409" s="1">
        <v>61</v>
      </c>
      <c r="I409" s="1">
        <v>63</v>
      </c>
      <c r="J409" s="3" t="s">
        <v>2</v>
      </c>
    </row>
    <row r="410" spans="1:10" x14ac:dyDescent="0.25">
      <c r="A410" s="6" t="s">
        <v>174</v>
      </c>
      <c r="B410" t="str" cm="1">
        <f t="array" ref="B410">БУКВЫ(MID($A410,3,11))</f>
        <v>25411046</v>
      </c>
      <c r="C410" t="str">
        <f>MID($A411,1,FIND("Per",A411)-1)</f>
        <v xml:space="preserve">Traveller Waxed Cotton </v>
      </c>
      <c r="D410" t="str">
        <f>_xlfn.LET(_xlpm.Searching,"OSFA",_xlpm.inStr,IFERROR(FIND(_xlpm.Searching,$A412)&gt;=1,FALSE),IF(AND(_xlpm.inStr,LEN(A412)&lt;=6),A413,""))</f>
        <v/>
      </c>
      <c r="E410" t="str">
        <f>_xlfn.LET(_xlpm.Searching,"55",_xlpm.inStr,IFERROR(FIND(_xlpm.Searching,$A412)&gt;=1,FALSE),IF(AND(_xlpm.inStr,LEN(A412)&lt;=6),A413,""))</f>
        <v/>
      </c>
      <c r="F410" t="str">
        <f>_xlfn.LET(_xlpm.Searching,"57",_xlpm.inStr,IFERROR(FIND(_xlpm.Searching,$A412)&gt;=1,FALSE),IF(AND(_xlpm.inStr,LEN(A412)&lt;=6),$A413,""))&amp;F411</f>
        <v>8</v>
      </c>
      <c r="G410" t="str">
        <f>_xlfn.LET(_xlpm.Searching,"59",_xlpm.inStr,IFERROR(FIND(_xlpm.Searching,$A412)&gt;=1,FALSE),IF(AND(_xlpm.inStr,LEN(A412)&lt;=6),$A413,""))&amp;G411&amp;G412</f>
        <v>8</v>
      </c>
      <c r="H410" t="str">
        <f>_xlfn.LET(_xlpm.Searching,"61",_xlpm.inStr,IFERROR(FIND(_xlpm.Searching,$A412)&gt;=1,FALSE),IF(AND(_xlpm.inStr,LEN(A412)&lt;=6),$A413,""))&amp;H411&amp;H412&amp;H413</f>
        <v>6</v>
      </c>
      <c r="I410" t="str">
        <f>_xlfn.LET(_xlpm.Searching,"63",_xlpm.inStr,IFERROR(FIND(_xlpm.Searching,$A412)&gt;=1,FALSE),IF(AND(_xlpm.inStr,LEN(A412)&lt;=6),$A413,""))&amp;I411&amp;I412&amp;I413&amp;I414</f>
        <v>6</v>
      </c>
      <c r="J410" s="4">
        <f>MID(TRIM(RIGHT(A410,10)),1,LEN(TRIM(RIGHT(A410,10)))-3)*0.8</f>
        <v>21.52</v>
      </c>
    </row>
    <row r="411" spans="1:10" x14ac:dyDescent="0.25">
      <c r="A411" s="6" t="s">
        <v>175</v>
      </c>
      <c r="B411" t="str" cm="1">
        <f t="array" ref="B411">БУКВЫ(MID($A410,3,11))</f>
        <v>25411046</v>
      </c>
      <c r="C411" t="str">
        <f>C410</f>
        <v xml:space="preserve">Traveller Waxed Cotton </v>
      </c>
      <c r="D411" s="2"/>
      <c r="E411" s="2"/>
      <c r="F411" t="str">
        <f>_xlfn.LET(_xlpm.Searching,"57",_xlpm.inStr,IFERROR(FIND(_xlpm.Searching,$A414)&gt;=1,FALSE),IF(AND(_xlpm.inStr,LEN(A414)&lt;=6),$A415,""))</f>
        <v/>
      </c>
      <c r="G411">
        <f>_xlfn.LET(_xlpm.Searching,"59",_xlpm.inStr,IFERROR(FIND(_xlpm.Searching,$A414)&gt;=1,FALSE),IF(AND(_xlpm.inStr,LEN(A414)&lt;=6),$A415,""))</f>
        <v>8</v>
      </c>
      <c r="H411" t="str">
        <f>_xlfn.LET(_xlpm.Searching,"61",_xlpm.inStr,IFERROR(FIND(_xlpm.Searching,$A414)&gt;=1,FALSE),IF(AND(_xlpm.inStr,LEN(A414)&lt;=6),$A415,""))</f>
        <v/>
      </c>
      <c r="I411" t="str">
        <f>_xlfn.LET(_xlpm.Searching,"63",_xlpm.inStr,IFERROR(FIND(_xlpm.Searching,$A414)&gt;=1,FALSE),IF(AND(_xlpm.inStr,LEN(A414)&lt;=6),$A415,""))</f>
        <v/>
      </c>
    </row>
    <row r="412" spans="1:10" x14ac:dyDescent="0.25">
      <c r="A412" s="6" t="s">
        <v>33</v>
      </c>
      <c r="B412" t="str" cm="1">
        <f t="array" ref="B412">БУКВЫ(MID($A410,3,11))</f>
        <v>25411046</v>
      </c>
      <c r="C412" t="str">
        <f t="shared" ref="C412:C414" si="28">C411</f>
        <v xml:space="preserve">Traveller Waxed Cotton </v>
      </c>
      <c r="D412" s="2"/>
      <c r="E412" s="2"/>
      <c r="F412" s="2"/>
      <c r="G412" t="str">
        <f>_xlfn.LET(_xlpm.Searching,"59",_xlpm.inStr,IFERROR(FIND(_xlpm.Searching,$A416)&gt;=1,FALSE),IF(AND(_xlpm.inStr,LEN(A416)&lt;=6),$A417,""))</f>
        <v/>
      </c>
      <c r="H412">
        <f>_xlfn.LET(_xlpm.Searching,"61",_xlpm.inStr,IFERROR(FIND(_xlpm.Searching,$A416)&gt;=1,FALSE),IF(AND(_xlpm.inStr,LEN(A416)&lt;=6),$A417,""))</f>
        <v>6</v>
      </c>
      <c r="I412" t="str">
        <f>_xlfn.LET(_xlpm.Searching,"63",_xlpm.inStr,IFERROR(FIND(_xlpm.Searching,$A416)&gt;=1,FALSE),IF(AND(_xlpm.inStr,LEN(A416)&lt;=6),$A417,""))</f>
        <v/>
      </c>
    </row>
    <row r="413" spans="1:10" x14ac:dyDescent="0.25">
      <c r="A413" s="6">
        <v>8</v>
      </c>
      <c r="B413" t="str" cm="1">
        <f t="array" ref="B413">БУКВЫ(MID($A410,3,11))</f>
        <v>25411046</v>
      </c>
      <c r="C413" t="str">
        <f t="shared" si="28"/>
        <v xml:space="preserve">Traveller Waxed Cotton </v>
      </c>
      <c r="D413" s="2"/>
      <c r="E413" s="2"/>
      <c r="F413" s="2"/>
      <c r="G413" s="2"/>
      <c r="H413" t="str">
        <f>_xlfn.LET(_xlpm.Searching,"61",_xlpm.inStr,IFERROR(FIND(_xlpm.Searching,$A418)&gt;=1,FALSE),IF(AND(_xlpm.inStr,LEN(A418)&lt;=6),$A419,""))</f>
        <v/>
      </c>
      <c r="I413">
        <f>_xlfn.LET(_xlpm.Searching,"63",_xlpm.inStr,IFERROR(FIND(_xlpm.Searching,$A418)&gt;=1,FALSE),IF(AND(_xlpm.inStr,LEN(A418)&lt;=6),$A419,""))</f>
        <v>6</v>
      </c>
    </row>
    <row r="414" spans="1:10" x14ac:dyDescent="0.25">
      <c r="A414" s="6" t="s">
        <v>30</v>
      </c>
      <c r="B414" t="str" cm="1">
        <f t="array" ref="B414">БУКВЫ(MID($A410,3,11))</f>
        <v>25411046</v>
      </c>
      <c r="C414" t="str">
        <f t="shared" si="28"/>
        <v xml:space="preserve">Traveller Waxed Cotton </v>
      </c>
      <c r="D414" s="2"/>
      <c r="E414" s="2"/>
      <c r="F414" s="2"/>
      <c r="G414" s="2"/>
      <c r="H414" s="2"/>
      <c r="I414" t="str">
        <f>_xlfn.LET(_xlpm.Searching,"63",_xlpm.inStr,IFERROR(FIND(_xlpm.Searching,$A420)&gt;=1,FALSE),IF(AND(_xlpm.inStr,LEN(A420)&lt;=6),$A421,""))</f>
        <v/>
      </c>
    </row>
    <row r="415" spans="1:10" x14ac:dyDescent="0.25">
      <c r="A415" s="6">
        <v>8</v>
      </c>
    </row>
    <row r="416" spans="1:10" x14ac:dyDescent="0.25">
      <c r="A416" s="6" t="s">
        <v>31</v>
      </c>
    </row>
    <row r="417" spans="1:1" x14ac:dyDescent="0.25">
      <c r="A417" s="6">
        <v>6</v>
      </c>
    </row>
    <row r="418" spans="1:1" x14ac:dyDescent="0.25">
      <c r="A418" s="6" t="s">
        <v>34</v>
      </c>
    </row>
    <row r="419" spans="1:1" x14ac:dyDescent="0.25">
      <c r="A419" s="6">
        <v>6</v>
      </c>
    </row>
    <row r="420" spans="1:1" x14ac:dyDescent="0.25">
      <c r="A420" s="6" t="s">
        <v>176</v>
      </c>
    </row>
    <row r="421" spans="1:1" x14ac:dyDescent="0.25">
      <c r="A421" s="6" t="s">
        <v>177</v>
      </c>
    </row>
    <row r="422" spans="1:1" x14ac:dyDescent="0.25">
      <c r="A422" s="6" t="s">
        <v>178</v>
      </c>
    </row>
    <row r="423" spans="1:1" x14ac:dyDescent="0.25">
      <c r="A423" s="6" t="s">
        <v>18</v>
      </c>
    </row>
    <row r="424" spans="1:1" x14ac:dyDescent="0.25">
      <c r="A424" s="6" t="s">
        <v>36</v>
      </c>
    </row>
    <row r="425" spans="1:1" x14ac:dyDescent="0.25">
      <c r="A425" s="6" t="s">
        <v>37</v>
      </c>
    </row>
    <row r="426" spans="1:1" x14ac:dyDescent="0.25">
      <c r="A426" s="6" t="s">
        <v>38</v>
      </c>
    </row>
    <row r="427" spans="1:1" x14ac:dyDescent="0.25">
      <c r="A427" s="6" t="s">
        <v>39</v>
      </c>
    </row>
    <row r="428" spans="1:1" x14ac:dyDescent="0.25">
      <c r="A428" s="6" t="s">
        <v>40</v>
      </c>
    </row>
    <row r="429" spans="1:1" x14ac:dyDescent="0.25">
      <c r="A429" s="6" t="s">
        <v>41</v>
      </c>
    </row>
    <row r="430" spans="1:1" x14ac:dyDescent="0.25">
      <c r="A430" s="6" t="s">
        <v>42</v>
      </c>
    </row>
    <row r="431" spans="1:1" x14ac:dyDescent="0.25">
      <c r="A431" s="6" t="s">
        <v>43</v>
      </c>
    </row>
    <row r="432" spans="1:1" x14ac:dyDescent="0.25">
      <c r="A432" s="6" t="s">
        <v>44</v>
      </c>
    </row>
    <row r="433" spans="1:10" x14ac:dyDescent="0.25">
      <c r="A433" s="6" t="s">
        <v>45</v>
      </c>
    </row>
    <row r="434" spans="1:10" x14ac:dyDescent="0.25">
      <c r="A434" s="6" t="s">
        <v>46</v>
      </c>
    </row>
    <row r="435" spans="1:10" x14ac:dyDescent="0.25">
      <c r="A435" s="6" t="s">
        <v>47</v>
      </c>
    </row>
    <row r="436" spans="1:10" x14ac:dyDescent="0.25">
      <c r="A436" s="6" t="s">
        <v>48</v>
      </c>
    </row>
    <row r="437" spans="1:10" x14ac:dyDescent="0.25">
      <c r="A437" s="6" t="s">
        <v>49</v>
      </c>
    </row>
    <row r="438" spans="1:10" x14ac:dyDescent="0.25">
      <c r="A438" s="6" t="s">
        <v>81</v>
      </c>
    </row>
    <row r="439" spans="1:10" x14ac:dyDescent="0.25">
      <c r="A439" s="6" t="s">
        <v>95</v>
      </c>
    </row>
    <row r="440" spans="1:10" x14ac:dyDescent="0.25">
      <c r="A440" s="6" t="s">
        <v>60</v>
      </c>
    </row>
    <row r="441" spans="1:10" x14ac:dyDescent="0.25">
      <c r="A441" s="6" t="s">
        <v>21</v>
      </c>
    </row>
    <row r="442" spans="1:10" x14ac:dyDescent="0.25">
      <c r="A442" s="6" t="s">
        <v>22</v>
      </c>
    </row>
    <row r="443" spans="1:10" x14ac:dyDescent="0.25">
      <c r="A443" s="6" t="s">
        <v>23</v>
      </c>
    </row>
    <row r="444" spans="1:10" x14ac:dyDescent="0.25">
      <c r="A444" s="6" t="s">
        <v>24</v>
      </c>
    </row>
    <row r="445" spans="1:10" x14ac:dyDescent="0.25">
      <c r="A445" s="6" t="s">
        <v>25</v>
      </c>
    </row>
    <row r="446" spans="1:10" x14ac:dyDescent="0.25">
      <c r="A446" s="6" t="s">
        <v>26</v>
      </c>
    </row>
    <row r="447" spans="1:10" x14ac:dyDescent="0.25">
      <c r="A447" s="6" t="s">
        <v>27</v>
      </c>
      <c r="B447" s="1" t="s">
        <v>1</v>
      </c>
      <c r="C447" s="1" t="s">
        <v>220</v>
      </c>
      <c r="D447" s="1" t="s">
        <v>0</v>
      </c>
      <c r="E447" s="1">
        <v>55</v>
      </c>
      <c r="F447" s="1">
        <v>57</v>
      </c>
      <c r="G447" s="1">
        <v>59</v>
      </c>
      <c r="H447" s="1">
        <v>61</v>
      </c>
      <c r="I447" s="1">
        <v>63</v>
      </c>
      <c r="J447" s="3" t="s">
        <v>2</v>
      </c>
    </row>
    <row r="448" spans="1:10" x14ac:dyDescent="0.25">
      <c r="A448" s="6" t="s">
        <v>179</v>
      </c>
      <c r="B448" t="str" cm="1">
        <f t="array" ref="B448">БУКВЫ(MID($A448,3,11))</f>
        <v>254110923</v>
      </c>
      <c r="C448" t="str">
        <f>MID($A449,1,FIND("Per",A449)-1)</f>
        <v xml:space="preserve">Traveller Cotton </v>
      </c>
      <c r="D448" t="str">
        <f>_xlfn.LET(_xlpm.Searching,"OSFA",_xlpm.inStr,IFERROR(FIND(_xlpm.Searching,$A450)&gt;=1,FALSE),IF(AND(_xlpm.inStr,LEN(A450)&lt;=6),A451,""))</f>
        <v/>
      </c>
      <c r="E448" t="str">
        <f>_xlfn.LET(_xlpm.Searching,"55",_xlpm.inStr,IFERROR(FIND(_xlpm.Searching,$A450)&gt;=1,FALSE),IF(AND(_xlpm.inStr,LEN(A450)&lt;=6),A451,""))</f>
        <v/>
      </c>
      <c r="F448" t="str">
        <f>_xlfn.LET(_xlpm.Searching,"57",_xlpm.inStr,IFERROR(FIND(_xlpm.Searching,$A450)&gt;=1,FALSE),IF(AND(_xlpm.inStr,LEN(A450)&lt;=6),$A451,""))&amp;F449</f>
        <v>3</v>
      </c>
      <c r="G448" t="str">
        <f>_xlfn.LET(_xlpm.Searching,"59",_xlpm.inStr,IFERROR(FIND(_xlpm.Searching,$A450)&gt;=1,FALSE),IF(AND(_xlpm.inStr,LEN(A450)&lt;=6),$A451,""))&amp;G449&amp;G450</f>
        <v>5</v>
      </c>
      <c r="H448" t="str">
        <f>_xlfn.LET(_xlpm.Searching,"61",_xlpm.inStr,IFERROR(FIND(_xlpm.Searching,$A450)&gt;=1,FALSE),IF(AND(_xlpm.inStr,LEN(A450)&lt;=6),$A451,""))&amp;H449&amp;H450&amp;H451</f>
        <v>5</v>
      </c>
      <c r="I448" t="str">
        <f>_xlfn.LET(_xlpm.Searching,"63",_xlpm.inStr,IFERROR(FIND(_xlpm.Searching,$A450)&gt;=1,FALSE),IF(AND(_xlpm.inStr,LEN(A450)&lt;=6),$A451,""))&amp;I449&amp;I450&amp;I451&amp;I452</f>
        <v>3</v>
      </c>
      <c r="J448" s="4">
        <f>MID(TRIM(RIGHT(A448,10)),1,LEN(TRIM(RIGHT(A448,10)))-3)*0.8</f>
        <v>18.32</v>
      </c>
    </row>
    <row r="449" spans="1:10" x14ac:dyDescent="0.25">
      <c r="A449" s="6" t="s">
        <v>180</v>
      </c>
      <c r="B449" t="str" cm="1">
        <f t="array" ref="B449">БУКВЫ(MID($A448,3,11))</f>
        <v>254110923</v>
      </c>
      <c r="C449" t="str">
        <f>C448</f>
        <v xml:space="preserve">Traveller Cotton </v>
      </c>
      <c r="D449" s="2"/>
      <c r="E449" s="2"/>
      <c r="F449" t="str">
        <f>_xlfn.LET(_xlpm.Searching,"57",_xlpm.inStr,IFERROR(FIND(_xlpm.Searching,$A452)&gt;=1,FALSE),IF(AND(_xlpm.inStr,LEN(A452)&lt;=6),$A453,""))</f>
        <v/>
      </c>
      <c r="G449">
        <f>_xlfn.LET(_xlpm.Searching,"59",_xlpm.inStr,IFERROR(FIND(_xlpm.Searching,$A452)&gt;=1,FALSE),IF(AND(_xlpm.inStr,LEN(A452)&lt;=6),$A453,""))</f>
        <v>5</v>
      </c>
      <c r="H449" t="str">
        <f>_xlfn.LET(_xlpm.Searching,"61",_xlpm.inStr,IFERROR(FIND(_xlpm.Searching,$A452)&gt;=1,FALSE),IF(AND(_xlpm.inStr,LEN(A452)&lt;=6),$A453,""))</f>
        <v/>
      </c>
      <c r="I449" t="str">
        <f>_xlfn.LET(_xlpm.Searching,"63",_xlpm.inStr,IFERROR(FIND(_xlpm.Searching,$A452)&gt;=1,FALSE),IF(AND(_xlpm.inStr,LEN(A452)&lt;=6),$A453,""))</f>
        <v/>
      </c>
    </row>
    <row r="450" spans="1:10" x14ac:dyDescent="0.25">
      <c r="A450" s="6" t="s">
        <v>33</v>
      </c>
      <c r="B450" t="str" cm="1">
        <f t="array" ref="B450">БУКВЫ(MID($A448,3,11))</f>
        <v>254110923</v>
      </c>
      <c r="C450" t="str">
        <f t="shared" ref="C450:C452" si="29">C449</f>
        <v xml:space="preserve">Traveller Cotton </v>
      </c>
      <c r="D450" s="2"/>
      <c r="E450" s="2"/>
      <c r="F450" s="2"/>
      <c r="G450" t="str">
        <f>_xlfn.LET(_xlpm.Searching,"59",_xlpm.inStr,IFERROR(FIND(_xlpm.Searching,$A454)&gt;=1,FALSE),IF(AND(_xlpm.inStr,LEN(A454)&lt;=6),$A455,""))</f>
        <v/>
      </c>
      <c r="H450">
        <f>_xlfn.LET(_xlpm.Searching,"61",_xlpm.inStr,IFERROR(FIND(_xlpm.Searching,$A454)&gt;=1,FALSE),IF(AND(_xlpm.inStr,LEN(A454)&lt;=6),$A455,""))</f>
        <v>5</v>
      </c>
      <c r="I450" t="str">
        <f>_xlfn.LET(_xlpm.Searching,"63",_xlpm.inStr,IFERROR(FIND(_xlpm.Searching,$A454)&gt;=1,FALSE),IF(AND(_xlpm.inStr,LEN(A454)&lt;=6),$A455,""))</f>
        <v/>
      </c>
    </row>
    <row r="451" spans="1:10" x14ac:dyDescent="0.25">
      <c r="A451" s="6">
        <v>3</v>
      </c>
      <c r="B451" t="str" cm="1">
        <f t="array" ref="B451">БУКВЫ(MID($A448,3,11))</f>
        <v>254110923</v>
      </c>
      <c r="C451" t="str">
        <f t="shared" si="29"/>
        <v xml:space="preserve">Traveller Cotton </v>
      </c>
      <c r="D451" s="2"/>
      <c r="E451" s="2"/>
      <c r="F451" s="2"/>
      <c r="G451" s="2"/>
      <c r="H451" t="str">
        <f>_xlfn.LET(_xlpm.Searching,"61",_xlpm.inStr,IFERROR(FIND(_xlpm.Searching,$A456)&gt;=1,FALSE),IF(AND(_xlpm.inStr,LEN(A456)&lt;=6),$A457,""))</f>
        <v/>
      </c>
      <c r="I451">
        <f>_xlfn.LET(_xlpm.Searching,"63",_xlpm.inStr,IFERROR(FIND(_xlpm.Searching,$A456)&gt;=1,FALSE),IF(AND(_xlpm.inStr,LEN(A456)&lt;=6),$A457,""))</f>
        <v>3</v>
      </c>
    </row>
    <row r="452" spans="1:10" x14ac:dyDescent="0.25">
      <c r="A452" s="6" t="s">
        <v>30</v>
      </c>
      <c r="B452" t="str" cm="1">
        <f t="array" ref="B452">БУКВЫ(MID($A448,3,11))</f>
        <v>254110923</v>
      </c>
      <c r="C452" t="str">
        <f t="shared" si="29"/>
        <v xml:space="preserve">Traveller Cotton </v>
      </c>
      <c r="D452" s="2"/>
      <c r="E452" s="2"/>
      <c r="F452" s="2"/>
      <c r="G452" s="2"/>
      <c r="H452" s="2"/>
      <c r="I452" t="str">
        <f>_xlfn.LET(_xlpm.Searching,"63",_xlpm.inStr,IFERROR(FIND(_xlpm.Searching,$A458)&gt;=1,FALSE),IF(AND(_xlpm.inStr,LEN(A458)&lt;=6),$A459,""))</f>
        <v/>
      </c>
    </row>
    <row r="453" spans="1:10" x14ac:dyDescent="0.25">
      <c r="A453" s="6">
        <v>5</v>
      </c>
    </row>
    <row r="454" spans="1:10" x14ac:dyDescent="0.25">
      <c r="A454" s="6" t="s">
        <v>31</v>
      </c>
    </row>
    <row r="455" spans="1:10" x14ac:dyDescent="0.25">
      <c r="A455" s="6">
        <v>5</v>
      </c>
    </row>
    <row r="456" spans="1:10" x14ac:dyDescent="0.25">
      <c r="A456" s="6" t="s">
        <v>34</v>
      </c>
    </row>
    <row r="457" spans="1:10" x14ac:dyDescent="0.25">
      <c r="A457" s="6">
        <v>3</v>
      </c>
    </row>
    <row r="458" spans="1:10" x14ac:dyDescent="0.25">
      <c r="A458" s="6" t="s">
        <v>181</v>
      </c>
    </row>
    <row r="459" spans="1:10" x14ac:dyDescent="0.25">
      <c r="A459" s="6" t="s">
        <v>182</v>
      </c>
    </row>
    <row r="460" spans="1:10" x14ac:dyDescent="0.25">
      <c r="A460" s="6" t="s">
        <v>183</v>
      </c>
      <c r="B460" s="1" t="s">
        <v>1</v>
      </c>
      <c r="C460" s="1" t="s">
        <v>220</v>
      </c>
      <c r="D460" s="1" t="s">
        <v>0</v>
      </c>
      <c r="E460" s="1">
        <v>55</v>
      </c>
      <c r="F460" s="1">
        <v>57</v>
      </c>
      <c r="G460" s="1">
        <v>59</v>
      </c>
      <c r="H460" s="1">
        <v>61</v>
      </c>
      <c r="I460" s="1">
        <v>63</v>
      </c>
      <c r="J460" s="3" t="s">
        <v>2</v>
      </c>
    </row>
    <row r="461" spans="1:10" x14ac:dyDescent="0.25">
      <c r="A461" s="6" t="s">
        <v>184</v>
      </c>
      <c r="B461" t="str" cm="1">
        <f t="array" ref="B461">БУКВЫ(MID($A461,3,11))</f>
        <v>775611257</v>
      </c>
      <c r="C461" t="str">
        <f>MID($A462,1,FIND("Per",A462)-1)</f>
        <v xml:space="preserve">Trucker Cap Hiking </v>
      </c>
      <c r="D461">
        <f>_xlfn.LET(_xlpm.Searching,"OSFA",_xlpm.inStr,IFERROR(FIND(_xlpm.Searching,$A463)&gt;=1,FALSE),IF(AND(_xlpm.inStr,LEN(A463)&lt;=6),A464,""))</f>
        <v>74</v>
      </c>
      <c r="E461" t="str">
        <f>_xlfn.LET(_xlpm.Searching,"55",_xlpm.inStr,IFERROR(FIND(_xlpm.Searching,$A463)&gt;=1,FALSE),IF(AND(_xlpm.inStr,LEN(A463)&lt;=6),A464,""))</f>
        <v/>
      </c>
      <c r="F461" t="str">
        <f>_xlfn.LET(_xlpm.Searching,"57",_xlpm.inStr,IFERROR(FIND(_xlpm.Searching,$A463)&gt;=1,FALSE),IF(AND(_xlpm.inStr,LEN(A463)&lt;=6),$A464,""))&amp;F462</f>
        <v/>
      </c>
      <c r="G461" t="str">
        <f>_xlfn.LET(_xlpm.Searching,"59",_xlpm.inStr,IFERROR(FIND(_xlpm.Searching,$A463)&gt;=1,FALSE),IF(AND(_xlpm.inStr,LEN(A463)&lt;=6),$A464,""))&amp;G462&amp;G463</f>
        <v/>
      </c>
      <c r="H461" t="str">
        <f>_xlfn.LET(_xlpm.Searching,"61",_xlpm.inStr,IFERROR(FIND(_xlpm.Searching,$A463)&gt;=1,FALSE),IF(AND(_xlpm.inStr,LEN(A463)&lt;=6),$A464,""))&amp;H462&amp;H463&amp;H464</f>
        <v/>
      </c>
      <c r="I461" t="str">
        <f>_xlfn.LET(_xlpm.Searching,"63",_xlpm.inStr,IFERROR(FIND(_xlpm.Searching,$A463)&gt;=1,FALSE),IF(AND(_xlpm.inStr,LEN(A463)&lt;=6),$A464,""))&amp;I462&amp;I463&amp;I464&amp;I465</f>
        <v/>
      </c>
      <c r="J461" s="4">
        <f>MID(TRIM(RIGHT(A461,10)),1,LEN(TRIM(RIGHT(A461,10)))-3)*0.8</f>
        <v>11.920000000000002</v>
      </c>
    </row>
    <row r="462" spans="1:10" x14ac:dyDescent="0.25">
      <c r="A462" s="6" t="s">
        <v>185</v>
      </c>
      <c r="B462" t="str" cm="1">
        <f t="array" ref="B462">БУКВЫ(MID($A461,3,11))</f>
        <v>775611257</v>
      </c>
      <c r="C462" t="str">
        <f>C461</f>
        <v xml:space="preserve">Trucker Cap Hiking </v>
      </c>
      <c r="D462" s="2"/>
      <c r="E462" s="2"/>
      <c r="F462" t="str">
        <f>_xlfn.LET(_xlpm.Searching,"57",_xlpm.inStr,IFERROR(FIND(_xlpm.Searching,$A465)&gt;=1,FALSE),IF(AND(_xlpm.inStr,LEN(A465)&lt;=6),$A466,""))</f>
        <v/>
      </c>
      <c r="G462" t="str">
        <f>_xlfn.LET(_xlpm.Searching,"59",_xlpm.inStr,IFERROR(FIND(_xlpm.Searching,$A465)&gt;=1,FALSE),IF(AND(_xlpm.inStr,LEN(A465)&lt;=6),$A466,""))</f>
        <v/>
      </c>
      <c r="H462" t="str">
        <f>_xlfn.LET(_xlpm.Searching,"61",_xlpm.inStr,IFERROR(FIND(_xlpm.Searching,$A465)&gt;=1,FALSE),IF(AND(_xlpm.inStr,LEN(A465)&lt;=6),$A466,""))</f>
        <v/>
      </c>
      <c r="I462" t="str">
        <f>_xlfn.LET(_xlpm.Searching,"63",_xlpm.inStr,IFERROR(FIND(_xlpm.Searching,$A465)&gt;=1,FALSE),IF(AND(_xlpm.inStr,LEN(A465)&lt;=6),$A466,""))</f>
        <v/>
      </c>
    </row>
    <row r="463" spans="1:10" x14ac:dyDescent="0.25">
      <c r="A463" s="6" t="s">
        <v>0</v>
      </c>
      <c r="B463" t="str" cm="1">
        <f t="array" ref="B463">БУКВЫ(MID($A461,3,11))</f>
        <v>775611257</v>
      </c>
      <c r="C463" t="str">
        <f t="shared" ref="C463:C465" si="30">C462</f>
        <v xml:space="preserve">Trucker Cap Hiking </v>
      </c>
      <c r="D463" s="2"/>
      <c r="E463" s="2"/>
      <c r="F463" s="2"/>
      <c r="G463" t="str">
        <f>_xlfn.LET(_xlpm.Searching,"59",_xlpm.inStr,IFERROR(FIND(_xlpm.Searching,$A467)&gt;=1,FALSE),IF(AND(_xlpm.inStr,LEN(A467)&lt;=6),$A468,""))</f>
        <v/>
      </c>
      <c r="H463" t="str">
        <f>_xlfn.LET(_xlpm.Searching,"61",_xlpm.inStr,IFERROR(FIND(_xlpm.Searching,$A467)&gt;=1,FALSE),IF(AND(_xlpm.inStr,LEN(A467)&lt;=6),$A468,""))</f>
        <v/>
      </c>
      <c r="I463" t="str">
        <f>_xlfn.LET(_xlpm.Searching,"63",_xlpm.inStr,IFERROR(FIND(_xlpm.Searching,$A467)&gt;=1,FALSE),IF(AND(_xlpm.inStr,LEN(A467)&lt;=6),$A468,""))</f>
        <v/>
      </c>
    </row>
    <row r="464" spans="1:10" x14ac:dyDescent="0.25">
      <c r="A464" s="6">
        <v>74</v>
      </c>
      <c r="B464" t="str" cm="1">
        <f t="array" ref="B464">БУКВЫ(MID($A461,3,11))</f>
        <v>775611257</v>
      </c>
      <c r="C464" t="str">
        <f t="shared" si="30"/>
        <v xml:space="preserve">Trucker Cap Hiking </v>
      </c>
      <c r="D464" s="2"/>
      <c r="E464" s="2"/>
      <c r="F464" s="2"/>
      <c r="G464" s="2"/>
      <c r="H464" t="str">
        <f>_xlfn.LET(_xlpm.Searching,"61",_xlpm.inStr,IFERROR(FIND(_xlpm.Searching,$A469)&gt;=1,FALSE),IF(AND(_xlpm.inStr,LEN(A469)&lt;=6),$A470,""))</f>
        <v/>
      </c>
      <c r="I464" t="str">
        <f>_xlfn.LET(_xlpm.Searching,"63",_xlpm.inStr,IFERROR(FIND(_xlpm.Searching,$A469)&gt;=1,FALSE),IF(AND(_xlpm.inStr,LEN(A469)&lt;=6),$A470,""))</f>
        <v/>
      </c>
    </row>
    <row r="465" spans="1:10" x14ac:dyDescent="0.25">
      <c r="A465" s="6" t="s">
        <v>35</v>
      </c>
      <c r="B465" t="str" cm="1">
        <f t="array" ref="B465">БУКВЫ(MID($A461,3,11))</f>
        <v>775611257</v>
      </c>
      <c r="C465" t="str">
        <f t="shared" si="30"/>
        <v xml:space="preserve">Trucker Cap Hiking </v>
      </c>
      <c r="D465" s="2"/>
      <c r="E465" s="2"/>
      <c r="F465" s="2"/>
      <c r="G465" s="2"/>
      <c r="H465" s="2"/>
      <c r="I465" t="str">
        <f>_xlfn.LET(_xlpm.Searching,"63",_xlpm.inStr,IFERROR(FIND(_xlpm.Searching,$A471)&gt;=1,FALSE),IF(AND(_xlpm.inStr,LEN(A471)&lt;=6),$A472,""))</f>
        <v/>
      </c>
    </row>
    <row r="466" spans="1:10" ht="15.75" thickBot="1" x14ac:dyDescent="0.3">
      <c r="A466" s="6" t="s">
        <v>186</v>
      </c>
    </row>
    <row r="467" spans="1:10" x14ac:dyDescent="0.25">
      <c r="A467" s="6" t="s">
        <v>187</v>
      </c>
      <c r="B467" s="22" t="s">
        <v>1</v>
      </c>
      <c r="C467" s="23" t="s">
        <v>220</v>
      </c>
      <c r="D467" s="23" t="s">
        <v>0</v>
      </c>
      <c r="E467" s="23">
        <v>55</v>
      </c>
      <c r="F467" s="23">
        <v>57</v>
      </c>
      <c r="G467" s="23">
        <v>59</v>
      </c>
      <c r="H467" s="23">
        <v>61</v>
      </c>
      <c r="I467" s="23">
        <v>63</v>
      </c>
      <c r="J467" s="24" t="s">
        <v>2</v>
      </c>
    </row>
    <row r="468" spans="1:10" x14ac:dyDescent="0.25">
      <c r="A468" s="6" t="s">
        <v>188</v>
      </c>
      <c r="B468" s="25" t="str" cm="1">
        <f t="array" ref="B468">БУКВЫ(MID($A468,3,11))</f>
        <v>775611257</v>
      </c>
      <c r="C468" s="26" t="str">
        <f>MID($A469,1,FIND("Per",A469)-1)</f>
        <v xml:space="preserve">Trucker Cap Hiking </v>
      </c>
      <c r="D468" s="26">
        <f>_xlfn.LET(_xlpm.Searching,"OSFA",_xlpm.inStr,IFERROR(FIND(_xlpm.Searching,$A470)&gt;=1,FALSE),IF(AND(_xlpm.inStr,LEN(A470)&lt;=6),A471,""))</f>
        <v>56</v>
      </c>
      <c r="E468" s="26" t="str">
        <f>_xlfn.LET(_xlpm.Searching,"55",_xlpm.inStr,IFERROR(FIND(_xlpm.Searching,$A470)&gt;=1,FALSE),IF(AND(_xlpm.inStr,LEN(A470)&lt;=6),A471,""))</f>
        <v/>
      </c>
      <c r="F468" s="26" t="str">
        <f>_xlfn.LET(_xlpm.Searching,"57",_xlpm.inStr,IFERROR(FIND(_xlpm.Searching,$A470)&gt;=1,FALSE),IF(AND(_xlpm.inStr,LEN(A470)&lt;=6),$A471,""))&amp;F469</f>
        <v/>
      </c>
      <c r="G468" s="26" t="str">
        <f>_xlfn.LET(_xlpm.Searching,"59",_xlpm.inStr,IFERROR(FIND(_xlpm.Searching,$A470)&gt;=1,FALSE),IF(AND(_xlpm.inStr,LEN(A470)&lt;=6),$A471,""))&amp;G469&amp;G470</f>
        <v/>
      </c>
      <c r="H468" s="26" t="str">
        <f>_xlfn.LET(_xlpm.Searching,"61",_xlpm.inStr,IFERROR(FIND(_xlpm.Searching,$A470)&gt;=1,FALSE),IF(AND(_xlpm.inStr,LEN(A470)&lt;=6),$A471,""))&amp;H469&amp;H470&amp;H471</f>
        <v/>
      </c>
      <c r="I468" s="26" t="str">
        <f>_xlfn.LET(_xlpm.Searching,"63",_xlpm.inStr,IFERROR(FIND(_xlpm.Searching,$A470)&gt;=1,FALSE),IF(AND(_xlpm.inStr,LEN(A470)&lt;=6),$A471,""))&amp;I469&amp;I470&amp;I471&amp;I472</f>
        <v/>
      </c>
      <c r="J468" s="27">
        <f>MID(TRIM(RIGHT(A468,10)),1,LEN(TRIM(RIGHT(A468,10)))-3)*0.8</f>
        <v>11.920000000000002</v>
      </c>
    </row>
    <row r="469" spans="1:10" x14ac:dyDescent="0.25">
      <c r="A469" s="6" t="s">
        <v>185</v>
      </c>
      <c r="B469" s="25" t="str" cm="1">
        <f t="array" ref="B469">БУКВЫ(MID($A468,3,11))</f>
        <v>775611257</v>
      </c>
      <c r="C469" s="26" t="str">
        <f>C468</f>
        <v xml:space="preserve">Trucker Cap Hiking </v>
      </c>
      <c r="D469" s="28"/>
      <c r="E469" s="28"/>
      <c r="F469" s="26" t="str">
        <f>_xlfn.LET(_xlpm.Searching,"57",_xlpm.inStr,IFERROR(FIND(_xlpm.Searching,$A472)&gt;=1,FALSE),IF(AND(_xlpm.inStr,LEN(A472)&lt;=6),$A473,""))</f>
        <v/>
      </c>
      <c r="G469" s="26" t="str">
        <f>_xlfn.LET(_xlpm.Searching,"59",_xlpm.inStr,IFERROR(FIND(_xlpm.Searching,$A472)&gt;=1,FALSE),IF(AND(_xlpm.inStr,LEN(A472)&lt;=6),$A473,""))</f>
        <v/>
      </c>
      <c r="H469" s="26" t="str">
        <f>_xlfn.LET(_xlpm.Searching,"61",_xlpm.inStr,IFERROR(FIND(_xlpm.Searching,$A472)&gt;=1,FALSE),IF(AND(_xlpm.inStr,LEN(A472)&lt;=6),$A473,""))</f>
        <v/>
      </c>
      <c r="I469" s="26" t="str">
        <f>_xlfn.LET(_xlpm.Searching,"63",_xlpm.inStr,IFERROR(FIND(_xlpm.Searching,$A472)&gt;=1,FALSE),IF(AND(_xlpm.inStr,LEN(A472)&lt;=6),$A473,""))</f>
        <v/>
      </c>
      <c r="J469" s="27"/>
    </row>
    <row r="470" spans="1:10" x14ac:dyDescent="0.25">
      <c r="A470" s="6" t="s">
        <v>0</v>
      </c>
      <c r="B470" s="25" t="str" cm="1">
        <f t="array" ref="B470">БУКВЫ(MID($A468,3,11))</f>
        <v>775611257</v>
      </c>
      <c r="C470" s="26" t="str">
        <f t="shared" ref="C470:C472" si="31">C469</f>
        <v xml:space="preserve">Trucker Cap Hiking </v>
      </c>
      <c r="D470" s="28"/>
      <c r="E470" s="28"/>
      <c r="F470" s="28"/>
      <c r="G470" s="26" t="str">
        <f>_xlfn.LET(_xlpm.Searching,"59",_xlpm.inStr,IFERROR(FIND(_xlpm.Searching,$A474)&gt;=1,FALSE),IF(AND(_xlpm.inStr,LEN(A474)&lt;=6),$A475,""))</f>
        <v/>
      </c>
      <c r="H470" s="26" t="str">
        <f>_xlfn.LET(_xlpm.Searching,"61",_xlpm.inStr,IFERROR(FIND(_xlpm.Searching,$A474)&gt;=1,FALSE),IF(AND(_xlpm.inStr,LEN(A474)&lt;=6),$A475,""))</f>
        <v/>
      </c>
      <c r="I470" s="26" t="str">
        <f>_xlfn.LET(_xlpm.Searching,"63",_xlpm.inStr,IFERROR(FIND(_xlpm.Searching,$A474)&gt;=1,FALSE),IF(AND(_xlpm.inStr,LEN(A474)&lt;=6),$A475,""))</f>
        <v/>
      </c>
      <c r="J470" s="27"/>
    </row>
    <row r="471" spans="1:10" x14ac:dyDescent="0.25">
      <c r="A471" s="6">
        <v>56</v>
      </c>
      <c r="B471" s="25" t="str" cm="1">
        <f t="array" ref="B471">БУКВЫ(MID($A468,3,11))</f>
        <v>775611257</v>
      </c>
      <c r="C471" s="26" t="str">
        <f t="shared" si="31"/>
        <v xml:space="preserve">Trucker Cap Hiking </v>
      </c>
      <c r="D471" s="28"/>
      <c r="E471" s="28"/>
      <c r="F471" s="28"/>
      <c r="G471" s="28"/>
      <c r="H471" s="26" t="str">
        <f>_xlfn.LET(_xlpm.Searching,"61",_xlpm.inStr,IFERROR(FIND(_xlpm.Searching,$A476)&gt;=1,FALSE),IF(AND(_xlpm.inStr,LEN(A476)&lt;=6),$A477,""))</f>
        <v/>
      </c>
      <c r="I471" s="26" t="str">
        <f>_xlfn.LET(_xlpm.Searching,"63",_xlpm.inStr,IFERROR(FIND(_xlpm.Searching,$A476)&gt;=1,FALSE),IF(AND(_xlpm.inStr,LEN(A476)&lt;=6),$A477,""))</f>
        <v/>
      </c>
      <c r="J471" s="27"/>
    </row>
    <row r="472" spans="1:10" ht="15.75" thickBot="1" x14ac:dyDescent="0.3">
      <c r="A472" s="6" t="s">
        <v>35</v>
      </c>
      <c r="B472" s="29" t="str" cm="1">
        <f t="array" ref="B472">БУКВЫ(MID($A468,3,11))</f>
        <v>775611257</v>
      </c>
      <c r="C472" s="30" t="str">
        <f t="shared" si="31"/>
        <v xml:space="preserve">Trucker Cap Hiking </v>
      </c>
      <c r="D472" s="31"/>
      <c r="E472" s="31"/>
      <c r="F472" s="31"/>
      <c r="G472" s="31"/>
      <c r="H472" s="31"/>
      <c r="I472" s="30" t="str">
        <f>_xlfn.LET(_xlpm.Searching,"63",_xlpm.inStr,IFERROR(FIND(_xlpm.Searching,$A478)&gt;=1,FALSE),IF(AND(_xlpm.inStr,LEN(A478)&lt;=6),$A479,""))</f>
        <v/>
      </c>
      <c r="J472" s="32"/>
    </row>
    <row r="473" spans="1:10" x14ac:dyDescent="0.25">
      <c r="A473" s="6" t="s">
        <v>189</v>
      </c>
    </row>
    <row r="474" spans="1:10" x14ac:dyDescent="0.25">
      <c r="A474" s="6" t="s">
        <v>53</v>
      </c>
      <c r="B474" s="1" t="s">
        <v>1</v>
      </c>
      <c r="C474" s="1" t="s">
        <v>220</v>
      </c>
      <c r="D474" s="1" t="s">
        <v>0</v>
      </c>
      <c r="E474" s="1">
        <v>55</v>
      </c>
      <c r="F474" s="1">
        <v>57</v>
      </c>
      <c r="G474" s="1">
        <v>59</v>
      </c>
      <c r="H474" s="1">
        <v>61</v>
      </c>
      <c r="I474" s="1">
        <v>63</v>
      </c>
      <c r="J474" s="3" t="s">
        <v>2</v>
      </c>
    </row>
    <row r="475" spans="1:10" x14ac:dyDescent="0.25">
      <c r="A475" s="6" t="s">
        <v>190</v>
      </c>
      <c r="B475" t="str" cm="1">
        <f t="array" ref="B475">БУКВЫ(MID($A475,3,11))</f>
        <v>778510189</v>
      </c>
      <c r="C475" t="str">
        <f>MID($A476,1,FIND("Per",A476)-1)</f>
        <v xml:space="preserve">Baseball Cap Toothpick Rebel </v>
      </c>
      <c r="D475">
        <f>_xlfn.LET(_xlpm.Searching,"OSFA",_xlpm.inStr,IFERROR(FIND(_xlpm.Searching,$A477)&gt;=1,FALSE),IF(AND(_xlpm.inStr,LEN(A477)&lt;=6),A478,""))</f>
        <v>5</v>
      </c>
      <c r="E475" t="str">
        <f>_xlfn.LET(_xlpm.Searching,"55",_xlpm.inStr,IFERROR(FIND(_xlpm.Searching,$A477)&gt;=1,FALSE),IF(AND(_xlpm.inStr,LEN(A477)&lt;=6),A478,""))</f>
        <v/>
      </c>
      <c r="F475" t="str">
        <f>_xlfn.LET(_xlpm.Searching,"57",_xlpm.inStr,IFERROR(FIND(_xlpm.Searching,$A477)&gt;=1,FALSE),IF(AND(_xlpm.inStr,LEN(A477)&lt;=6),$A478,""))&amp;F476</f>
        <v/>
      </c>
      <c r="G475" t="str">
        <f>_xlfn.LET(_xlpm.Searching,"59",_xlpm.inStr,IFERROR(FIND(_xlpm.Searching,$A477)&gt;=1,FALSE),IF(AND(_xlpm.inStr,LEN(A477)&lt;=6),$A478,""))&amp;G476&amp;G477</f>
        <v/>
      </c>
      <c r="H475" t="str">
        <f>_xlfn.LET(_xlpm.Searching,"61",_xlpm.inStr,IFERROR(FIND(_xlpm.Searching,$A477)&gt;=1,FALSE),IF(AND(_xlpm.inStr,LEN(A477)&lt;=6),$A478,""))&amp;H476&amp;H477&amp;H478</f>
        <v/>
      </c>
      <c r="I475" t="str">
        <f>_xlfn.LET(_xlpm.Searching,"63",_xlpm.inStr,IFERROR(FIND(_xlpm.Searching,$A477)&gt;=1,FALSE),IF(AND(_xlpm.inStr,LEN(A477)&lt;=6),$A478,""))&amp;I476&amp;I477&amp;I478&amp;I479</f>
        <v/>
      </c>
      <c r="J475" s="4">
        <f>MID(TRIM(RIGHT(A475,10)),1,LEN(TRIM(RIGHT(A475,10)))-3)*0.8</f>
        <v>11.920000000000002</v>
      </c>
    </row>
    <row r="476" spans="1:10" x14ac:dyDescent="0.25">
      <c r="A476" s="6" t="s">
        <v>191</v>
      </c>
      <c r="B476" t="str" cm="1">
        <f t="array" ref="B476">БУКВЫ(MID($A475,3,11))</f>
        <v>778510189</v>
      </c>
      <c r="C476" t="str">
        <f>C475</f>
        <v xml:space="preserve">Baseball Cap Toothpick Rebel </v>
      </c>
      <c r="D476" s="2"/>
      <c r="E476" s="2"/>
      <c r="F476" t="str">
        <f>_xlfn.LET(_xlpm.Searching,"57",_xlpm.inStr,IFERROR(FIND(_xlpm.Searching,$A479)&gt;=1,FALSE),IF(AND(_xlpm.inStr,LEN(A479)&lt;=6),$A480,""))</f>
        <v/>
      </c>
      <c r="G476" t="str">
        <f>_xlfn.LET(_xlpm.Searching,"59",_xlpm.inStr,IFERROR(FIND(_xlpm.Searching,$A479)&gt;=1,FALSE),IF(AND(_xlpm.inStr,LEN(A479)&lt;=6),$A480,""))</f>
        <v/>
      </c>
      <c r="H476" t="str">
        <f>_xlfn.LET(_xlpm.Searching,"61",_xlpm.inStr,IFERROR(FIND(_xlpm.Searching,$A479)&gt;=1,FALSE),IF(AND(_xlpm.inStr,LEN(A479)&lt;=6),$A480,""))</f>
        <v/>
      </c>
      <c r="I476" t="str">
        <f>_xlfn.LET(_xlpm.Searching,"63",_xlpm.inStr,IFERROR(FIND(_xlpm.Searching,$A479)&gt;=1,FALSE),IF(AND(_xlpm.inStr,LEN(A479)&lt;=6),$A480,""))</f>
        <v/>
      </c>
    </row>
    <row r="477" spans="1:10" x14ac:dyDescent="0.25">
      <c r="A477" s="6" t="s">
        <v>0</v>
      </c>
      <c r="B477" t="str" cm="1">
        <f t="array" ref="B477">БУКВЫ(MID($A475,3,11))</f>
        <v>778510189</v>
      </c>
      <c r="C477" t="str">
        <f t="shared" ref="C477:C479" si="32">C476</f>
        <v xml:space="preserve">Baseball Cap Toothpick Rebel </v>
      </c>
      <c r="D477" s="2"/>
      <c r="E477" s="2"/>
      <c r="F477" s="2"/>
      <c r="G477" t="str">
        <f>_xlfn.LET(_xlpm.Searching,"59",_xlpm.inStr,IFERROR(FIND(_xlpm.Searching,$A481)&gt;=1,FALSE),IF(AND(_xlpm.inStr,LEN(A481)&lt;=6),$A482,""))</f>
        <v/>
      </c>
      <c r="H477" t="str">
        <f>_xlfn.LET(_xlpm.Searching,"61",_xlpm.inStr,IFERROR(FIND(_xlpm.Searching,$A481)&gt;=1,FALSE),IF(AND(_xlpm.inStr,LEN(A481)&lt;=6),$A482,""))</f>
        <v/>
      </c>
      <c r="I477" t="str">
        <f>_xlfn.LET(_xlpm.Searching,"63",_xlpm.inStr,IFERROR(FIND(_xlpm.Searching,$A481)&gt;=1,FALSE),IF(AND(_xlpm.inStr,LEN(A481)&lt;=6),$A482,""))</f>
        <v/>
      </c>
    </row>
    <row r="478" spans="1:10" x14ac:dyDescent="0.25">
      <c r="A478" s="6">
        <v>5</v>
      </c>
      <c r="B478" t="str" cm="1">
        <f t="array" ref="B478">БУКВЫ(MID($A475,3,11))</f>
        <v>778510189</v>
      </c>
      <c r="C478" t="str">
        <f t="shared" si="32"/>
        <v xml:space="preserve">Baseball Cap Toothpick Rebel </v>
      </c>
      <c r="D478" s="2"/>
      <c r="E478" s="2"/>
      <c r="F478" s="2"/>
      <c r="G478" s="2"/>
      <c r="H478" t="str">
        <f>_xlfn.LET(_xlpm.Searching,"61",_xlpm.inStr,IFERROR(FIND(_xlpm.Searching,$A483)&gt;=1,FALSE),IF(AND(_xlpm.inStr,LEN(A483)&lt;=6),$A484,""))</f>
        <v/>
      </c>
      <c r="I478" t="str">
        <f>_xlfn.LET(_xlpm.Searching,"63",_xlpm.inStr,IFERROR(FIND(_xlpm.Searching,$A483)&gt;=1,FALSE),IF(AND(_xlpm.inStr,LEN(A483)&lt;=6),$A484,""))</f>
        <v/>
      </c>
    </row>
    <row r="479" spans="1:10" x14ac:dyDescent="0.25">
      <c r="A479" s="6" t="s">
        <v>192</v>
      </c>
      <c r="B479" t="str" cm="1">
        <f t="array" ref="B479">БУКВЫ(MID($A475,3,11))</f>
        <v>778510189</v>
      </c>
      <c r="C479" t="str">
        <f t="shared" si="32"/>
        <v xml:space="preserve">Baseball Cap Toothpick Rebel </v>
      </c>
      <c r="D479" s="2"/>
      <c r="E479" s="2"/>
      <c r="F479" s="2"/>
      <c r="G479" s="2"/>
      <c r="H479" s="2"/>
      <c r="I479" t="str">
        <f>_xlfn.LET(_xlpm.Searching,"63",_xlpm.inStr,IFERROR(FIND(_xlpm.Searching,$A485)&gt;=1,FALSE),IF(AND(_xlpm.inStr,LEN(A485)&lt;=6),$A486,""))</f>
        <v/>
      </c>
    </row>
    <row r="480" spans="1:10" x14ac:dyDescent="0.25">
      <c r="A480" s="6" t="s">
        <v>193</v>
      </c>
    </row>
    <row r="481" spans="1:10" x14ac:dyDescent="0.25">
      <c r="A481" s="6" t="s">
        <v>194</v>
      </c>
      <c r="B481" s="1" t="s">
        <v>1</v>
      </c>
      <c r="C481" s="1" t="s">
        <v>220</v>
      </c>
      <c r="D481" s="1" t="s">
        <v>0</v>
      </c>
      <c r="E481" s="1">
        <v>55</v>
      </c>
      <c r="F481" s="1">
        <v>57</v>
      </c>
      <c r="G481" s="1">
        <v>59</v>
      </c>
      <c r="H481" s="1">
        <v>61</v>
      </c>
      <c r="I481" s="1">
        <v>63</v>
      </c>
      <c r="J481" s="3" t="s">
        <v>2</v>
      </c>
    </row>
    <row r="482" spans="1:10" x14ac:dyDescent="0.25">
      <c r="A482" s="6" t="s">
        <v>195</v>
      </c>
      <c r="B482" t="str" cm="1">
        <f t="array" ref="B482">БУКВЫ(MID($A482,3,11))</f>
        <v>775119625</v>
      </c>
      <c r="C482" t="str">
        <f>MID($A483,1,FIND("Per",A483)-1)</f>
        <v xml:space="preserve">Trucker Cap Chrome </v>
      </c>
      <c r="D482">
        <f>_xlfn.LET(_xlpm.Searching,"OSFA",_xlpm.inStr,IFERROR(FIND(_xlpm.Searching,$A484)&gt;=1,FALSE),IF(AND(_xlpm.inStr,LEN(A484)&lt;=6),A485,""))</f>
        <v>115</v>
      </c>
      <c r="E482" t="str">
        <f>_xlfn.LET(_xlpm.Searching,"55",_xlpm.inStr,IFERROR(FIND(_xlpm.Searching,$A484)&gt;=1,FALSE),IF(AND(_xlpm.inStr,LEN(A484)&lt;=6),A485,""))</f>
        <v/>
      </c>
      <c r="F482" t="str">
        <f>_xlfn.LET(_xlpm.Searching,"57",_xlpm.inStr,IFERROR(FIND(_xlpm.Searching,$A484)&gt;=1,FALSE),IF(AND(_xlpm.inStr,LEN(A484)&lt;=6),$A485,""))&amp;F483</f>
        <v/>
      </c>
      <c r="G482" t="str">
        <f>_xlfn.LET(_xlpm.Searching,"59",_xlpm.inStr,IFERROR(FIND(_xlpm.Searching,$A484)&gt;=1,FALSE),IF(AND(_xlpm.inStr,LEN(A484)&lt;=6),$A485,""))&amp;G483&amp;G484</f>
        <v/>
      </c>
      <c r="H482" t="str">
        <f>_xlfn.LET(_xlpm.Searching,"61",_xlpm.inStr,IFERROR(FIND(_xlpm.Searching,$A484)&gt;=1,FALSE),IF(AND(_xlpm.inStr,LEN(A484)&lt;=6),$A485,""))&amp;H483&amp;H484&amp;H485</f>
        <v/>
      </c>
      <c r="I482" t="str">
        <f>_xlfn.LET(_xlpm.Searching,"63",_xlpm.inStr,IFERROR(FIND(_xlpm.Searching,$A484)&gt;=1,FALSE),IF(AND(_xlpm.inStr,LEN(A484)&lt;=6),$A485,""))&amp;I483&amp;I484&amp;I485&amp;I486</f>
        <v/>
      </c>
      <c r="J482" s="4">
        <f>MID(TRIM(RIGHT(A482,10)),1,LEN(TRIM(RIGHT(A482,10)))-3)*0.8</f>
        <v>11.920000000000002</v>
      </c>
    </row>
    <row r="483" spans="1:10" x14ac:dyDescent="0.25">
      <c r="A483" s="6" t="s">
        <v>196</v>
      </c>
      <c r="B483" t="str" cm="1">
        <f t="array" ref="B483">БУКВЫ(MID($A482,3,11))</f>
        <v>775119625</v>
      </c>
      <c r="C483" t="str">
        <f>C482</f>
        <v xml:space="preserve">Trucker Cap Chrome </v>
      </c>
      <c r="D483" s="2"/>
      <c r="E483" s="2"/>
      <c r="F483" t="str">
        <f>_xlfn.LET(_xlpm.Searching,"57",_xlpm.inStr,IFERROR(FIND(_xlpm.Searching,$A486)&gt;=1,FALSE),IF(AND(_xlpm.inStr,LEN(A486)&lt;=6),$A487,""))</f>
        <v/>
      </c>
      <c r="G483" t="str">
        <f>_xlfn.LET(_xlpm.Searching,"59",_xlpm.inStr,IFERROR(FIND(_xlpm.Searching,$A486)&gt;=1,FALSE),IF(AND(_xlpm.inStr,LEN(A486)&lt;=6),$A487,""))</f>
        <v/>
      </c>
      <c r="H483" t="str">
        <f>_xlfn.LET(_xlpm.Searching,"61",_xlpm.inStr,IFERROR(FIND(_xlpm.Searching,$A486)&gt;=1,FALSE),IF(AND(_xlpm.inStr,LEN(A486)&lt;=6),$A487,""))</f>
        <v/>
      </c>
      <c r="I483" t="str">
        <f>_xlfn.LET(_xlpm.Searching,"63",_xlpm.inStr,IFERROR(FIND(_xlpm.Searching,$A486)&gt;=1,FALSE),IF(AND(_xlpm.inStr,LEN(A486)&lt;=6),$A487,""))</f>
        <v/>
      </c>
    </row>
    <row r="484" spans="1:10" x14ac:dyDescent="0.25">
      <c r="A484" s="6" t="s">
        <v>0</v>
      </c>
      <c r="B484" t="str" cm="1">
        <f t="array" ref="B484">БУКВЫ(MID($A482,3,11))</f>
        <v>775119625</v>
      </c>
      <c r="C484" t="str">
        <f t="shared" ref="C484:C486" si="33">C483</f>
        <v xml:space="preserve">Trucker Cap Chrome </v>
      </c>
      <c r="D484" s="2"/>
      <c r="E484" s="2"/>
      <c r="F484" s="2"/>
      <c r="G484" t="str">
        <f>_xlfn.LET(_xlpm.Searching,"59",_xlpm.inStr,IFERROR(FIND(_xlpm.Searching,$A488)&gt;=1,FALSE),IF(AND(_xlpm.inStr,LEN(A488)&lt;=6),$A489,""))</f>
        <v/>
      </c>
      <c r="H484" t="str">
        <f>_xlfn.LET(_xlpm.Searching,"61",_xlpm.inStr,IFERROR(FIND(_xlpm.Searching,$A488)&gt;=1,FALSE),IF(AND(_xlpm.inStr,LEN(A488)&lt;=6),$A489,""))</f>
        <v/>
      </c>
      <c r="I484" t="str">
        <f>_xlfn.LET(_xlpm.Searching,"63",_xlpm.inStr,IFERROR(FIND(_xlpm.Searching,$A488)&gt;=1,FALSE),IF(AND(_xlpm.inStr,LEN(A488)&lt;=6),$A489,""))</f>
        <v/>
      </c>
    </row>
    <row r="485" spans="1:10" x14ac:dyDescent="0.25">
      <c r="A485" s="6">
        <v>115</v>
      </c>
      <c r="B485" t="str" cm="1">
        <f t="array" ref="B485">БУКВЫ(MID($A482,3,11))</f>
        <v>775119625</v>
      </c>
      <c r="C485" t="str">
        <f t="shared" si="33"/>
        <v xml:space="preserve">Trucker Cap Chrome </v>
      </c>
      <c r="D485" s="2"/>
      <c r="E485" s="2"/>
      <c r="F485" s="2"/>
      <c r="G485" s="2"/>
      <c r="H485" t="str">
        <f>_xlfn.LET(_xlpm.Searching,"61",_xlpm.inStr,IFERROR(FIND(_xlpm.Searching,$A490)&gt;=1,FALSE),IF(AND(_xlpm.inStr,LEN(A490)&lt;=6),$A491,""))</f>
        <v/>
      </c>
      <c r="I485" t="str">
        <f>_xlfn.LET(_xlpm.Searching,"63",_xlpm.inStr,IFERROR(FIND(_xlpm.Searching,$A490)&gt;=1,FALSE),IF(AND(_xlpm.inStr,LEN(A490)&lt;=6),$A491,""))</f>
        <v/>
      </c>
    </row>
    <row r="486" spans="1:10" x14ac:dyDescent="0.25">
      <c r="A486" s="6" t="s">
        <v>35</v>
      </c>
      <c r="B486" t="str" cm="1">
        <f t="array" ref="B486">БУКВЫ(MID($A482,3,11))</f>
        <v>775119625</v>
      </c>
      <c r="C486" t="str">
        <f t="shared" si="33"/>
        <v xml:space="preserve">Trucker Cap Chrome </v>
      </c>
      <c r="D486" s="2"/>
      <c r="E486" s="2"/>
      <c r="F486" s="2"/>
      <c r="G486" s="2"/>
      <c r="H486" s="2"/>
      <c r="I486" t="str">
        <f>_xlfn.LET(_xlpm.Searching,"63",_xlpm.inStr,IFERROR(FIND(_xlpm.Searching,$A492)&gt;=1,FALSE),IF(AND(_xlpm.inStr,LEN(A492)&lt;=6),$A493,""))</f>
        <v/>
      </c>
    </row>
    <row r="487" spans="1:10" x14ac:dyDescent="0.25">
      <c r="A487" s="6" t="s">
        <v>51</v>
      </c>
    </row>
    <row r="488" spans="1:10" x14ac:dyDescent="0.25">
      <c r="A488" s="6" t="s">
        <v>164</v>
      </c>
      <c r="B488" s="1" t="s">
        <v>1</v>
      </c>
      <c r="C488" s="1" t="s">
        <v>220</v>
      </c>
      <c r="D488" s="1" t="s">
        <v>0</v>
      </c>
      <c r="E488" s="1">
        <v>55</v>
      </c>
      <c r="F488" s="1">
        <v>57</v>
      </c>
      <c r="G488" s="1">
        <v>59</v>
      </c>
      <c r="H488" s="1">
        <v>61</v>
      </c>
      <c r="I488" s="1">
        <v>63</v>
      </c>
      <c r="J488" s="3" t="s">
        <v>2</v>
      </c>
    </row>
    <row r="489" spans="1:10" x14ac:dyDescent="0.25">
      <c r="A489" s="6" t="s">
        <v>197</v>
      </c>
      <c r="B489" t="str" cm="1">
        <f t="array" ref="B489">БУКВЫ(MID($A489,3,11))</f>
        <v>775610628</v>
      </c>
      <c r="C489" t="str">
        <f>MID($A490,1,FIND("Per",A490)-1)</f>
        <v xml:space="preserve">Trucker Cap Fishermen´s Bay </v>
      </c>
      <c r="D489">
        <f>_xlfn.LET(_xlpm.Searching,"OSFA",_xlpm.inStr,IFERROR(FIND(_xlpm.Searching,$A491)&gt;=1,FALSE),IF(AND(_xlpm.inStr,LEN(A491)&lt;=6),A492,""))</f>
        <v>105</v>
      </c>
      <c r="E489" t="str">
        <f>_xlfn.LET(_xlpm.Searching,"55",_xlpm.inStr,IFERROR(FIND(_xlpm.Searching,$A491)&gt;=1,FALSE),IF(AND(_xlpm.inStr,LEN(A491)&lt;=6),A492,""))</f>
        <v/>
      </c>
      <c r="F489" t="str">
        <f>_xlfn.LET(_xlpm.Searching,"57",_xlpm.inStr,IFERROR(FIND(_xlpm.Searching,$A491)&gt;=1,FALSE),IF(AND(_xlpm.inStr,LEN(A491)&lt;=6),$A492,""))&amp;F490</f>
        <v/>
      </c>
      <c r="G489" t="str">
        <f>_xlfn.LET(_xlpm.Searching,"59",_xlpm.inStr,IFERROR(FIND(_xlpm.Searching,$A491)&gt;=1,FALSE),IF(AND(_xlpm.inStr,LEN(A491)&lt;=6),$A492,""))&amp;G490&amp;G491</f>
        <v/>
      </c>
      <c r="H489" t="str">
        <f>_xlfn.LET(_xlpm.Searching,"61",_xlpm.inStr,IFERROR(FIND(_xlpm.Searching,$A491)&gt;=1,FALSE),IF(AND(_xlpm.inStr,LEN(A491)&lt;=6),$A492,""))&amp;H490&amp;H491&amp;H492</f>
        <v/>
      </c>
      <c r="I489" t="str">
        <f>_xlfn.LET(_xlpm.Searching,"63",_xlpm.inStr,IFERROR(FIND(_xlpm.Searching,$A491)&gt;=1,FALSE),IF(AND(_xlpm.inStr,LEN(A491)&lt;=6),$A492,""))&amp;I490&amp;I491&amp;I492&amp;I493</f>
        <v/>
      </c>
      <c r="J489" s="4">
        <f>MID(TRIM(RIGHT(A489,10)),1,LEN(TRIM(RIGHT(A489,10)))-3)*0.8</f>
        <v>11.920000000000002</v>
      </c>
    </row>
    <row r="490" spans="1:10" x14ac:dyDescent="0.25">
      <c r="A490" s="6" t="s">
        <v>198</v>
      </c>
      <c r="B490" t="str" cm="1">
        <f t="array" ref="B490">БУКВЫ(MID($A489,3,11))</f>
        <v>775610628</v>
      </c>
      <c r="C490" t="str">
        <f>C489</f>
        <v xml:space="preserve">Trucker Cap Fishermen´s Bay </v>
      </c>
      <c r="D490" s="2"/>
      <c r="E490" s="2"/>
      <c r="F490" t="str">
        <f>_xlfn.LET(_xlpm.Searching,"57",_xlpm.inStr,IFERROR(FIND(_xlpm.Searching,$A493)&gt;=1,FALSE),IF(AND(_xlpm.inStr,LEN(A493)&lt;=6),$A494,""))</f>
        <v/>
      </c>
      <c r="G490" t="str">
        <f>_xlfn.LET(_xlpm.Searching,"59",_xlpm.inStr,IFERROR(FIND(_xlpm.Searching,$A493)&gt;=1,FALSE),IF(AND(_xlpm.inStr,LEN(A493)&lt;=6),$A494,""))</f>
        <v/>
      </c>
      <c r="H490" t="str">
        <f>_xlfn.LET(_xlpm.Searching,"61",_xlpm.inStr,IFERROR(FIND(_xlpm.Searching,$A493)&gt;=1,FALSE),IF(AND(_xlpm.inStr,LEN(A493)&lt;=6),$A494,""))</f>
        <v/>
      </c>
      <c r="I490" t="str">
        <f>_xlfn.LET(_xlpm.Searching,"63",_xlpm.inStr,IFERROR(FIND(_xlpm.Searching,$A493)&gt;=1,FALSE),IF(AND(_xlpm.inStr,LEN(A493)&lt;=6),$A494,""))</f>
        <v/>
      </c>
    </row>
    <row r="491" spans="1:10" x14ac:dyDescent="0.25">
      <c r="A491" s="6" t="s">
        <v>0</v>
      </c>
      <c r="B491" t="str" cm="1">
        <f t="array" ref="B491">БУКВЫ(MID($A489,3,11))</f>
        <v>775610628</v>
      </c>
      <c r="C491" t="str">
        <f t="shared" ref="C491:C493" si="34">C490</f>
        <v xml:space="preserve">Trucker Cap Fishermen´s Bay </v>
      </c>
      <c r="D491" s="2"/>
      <c r="E491" s="2"/>
      <c r="F491" s="2"/>
      <c r="G491" t="str">
        <f>_xlfn.LET(_xlpm.Searching,"59",_xlpm.inStr,IFERROR(FIND(_xlpm.Searching,$A495)&gt;=1,FALSE),IF(AND(_xlpm.inStr,LEN(A495)&lt;=6),$A496,""))</f>
        <v/>
      </c>
      <c r="H491" t="str">
        <f>_xlfn.LET(_xlpm.Searching,"61",_xlpm.inStr,IFERROR(FIND(_xlpm.Searching,$A495)&gt;=1,FALSE),IF(AND(_xlpm.inStr,LEN(A495)&lt;=6),$A496,""))</f>
        <v/>
      </c>
      <c r="I491" t="str">
        <f>_xlfn.LET(_xlpm.Searching,"63",_xlpm.inStr,IFERROR(FIND(_xlpm.Searching,$A495)&gt;=1,FALSE),IF(AND(_xlpm.inStr,LEN(A495)&lt;=6),$A496,""))</f>
        <v/>
      </c>
    </row>
    <row r="492" spans="1:10" x14ac:dyDescent="0.25">
      <c r="A492" s="6">
        <v>105</v>
      </c>
      <c r="B492" t="str" cm="1">
        <f t="array" ref="B492">БУКВЫ(MID($A489,3,11))</f>
        <v>775610628</v>
      </c>
      <c r="C492" t="str">
        <f t="shared" si="34"/>
        <v xml:space="preserve">Trucker Cap Fishermen´s Bay </v>
      </c>
      <c r="D492" s="2"/>
      <c r="E492" s="2"/>
      <c r="F492" s="2"/>
      <c r="G492" s="2"/>
      <c r="H492" t="str">
        <f>_xlfn.LET(_xlpm.Searching,"61",_xlpm.inStr,IFERROR(FIND(_xlpm.Searching,$A497)&gt;=1,FALSE),IF(AND(_xlpm.inStr,LEN(A497)&lt;=6),$A498,""))</f>
        <v/>
      </c>
      <c r="I492" t="str">
        <f>_xlfn.LET(_xlpm.Searching,"63",_xlpm.inStr,IFERROR(FIND(_xlpm.Searching,$A497)&gt;=1,FALSE),IF(AND(_xlpm.inStr,LEN(A497)&lt;=6),$A498,""))</f>
        <v/>
      </c>
    </row>
    <row r="493" spans="1:10" x14ac:dyDescent="0.25">
      <c r="A493" s="6" t="s">
        <v>35</v>
      </c>
      <c r="B493" t="str" cm="1">
        <f t="array" ref="B493">БУКВЫ(MID($A489,3,11))</f>
        <v>775610628</v>
      </c>
      <c r="C493" t="str">
        <f t="shared" si="34"/>
        <v xml:space="preserve">Trucker Cap Fishermen´s Bay </v>
      </c>
      <c r="D493" s="2"/>
      <c r="E493" s="2"/>
      <c r="F493" s="2"/>
      <c r="G493" s="2"/>
      <c r="H493" s="2"/>
      <c r="I493" t="str">
        <f>_xlfn.LET(_xlpm.Searching,"63",_xlpm.inStr,IFERROR(FIND(_xlpm.Searching,$A499)&gt;=1,FALSE),IF(AND(_xlpm.inStr,LEN(A499)&lt;=6),$A500,""))</f>
        <v/>
      </c>
    </row>
    <row r="494" spans="1:10" x14ac:dyDescent="0.25">
      <c r="A494" s="6" t="s">
        <v>199</v>
      </c>
    </row>
    <row r="495" spans="1:10" x14ac:dyDescent="0.25">
      <c r="A495" s="6" t="s">
        <v>200</v>
      </c>
    </row>
    <row r="496" spans="1:10" x14ac:dyDescent="0.25">
      <c r="A496" s="6" t="s">
        <v>18</v>
      </c>
    </row>
    <row r="497" spans="1:1" x14ac:dyDescent="0.25">
      <c r="A497" s="6" t="s">
        <v>36</v>
      </c>
    </row>
    <row r="498" spans="1:1" x14ac:dyDescent="0.25">
      <c r="A498" s="6" t="s">
        <v>37</v>
      </c>
    </row>
    <row r="499" spans="1:1" x14ac:dyDescent="0.25">
      <c r="A499" s="6" t="s">
        <v>38</v>
      </c>
    </row>
    <row r="500" spans="1:1" x14ac:dyDescent="0.25">
      <c r="A500" s="6" t="s">
        <v>39</v>
      </c>
    </row>
    <row r="501" spans="1:1" x14ac:dyDescent="0.25">
      <c r="A501" s="6" t="s">
        <v>40</v>
      </c>
    </row>
    <row r="502" spans="1:1" x14ac:dyDescent="0.25">
      <c r="A502" s="6" t="s">
        <v>41</v>
      </c>
    </row>
    <row r="503" spans="1:1" x14ac:dyDescent="0.25">
      <c r="A503" s="6" t="s">
        <v>42</v>
      </c>
    </row>
    <row r="504" spans="1:1" x14ac:dyDescent="0.25">
      <c r="A504" s="6" t="s">
        <v>43</v>
      </c>
    </row>
    <row r="505" spans="1:1" x14ac:dyDescent="0.25">
      <c r="A505" s="6" t="s">
        <v>44</v>
      </c>
    </row>
    <row r="506" spans="1:1" x14ac:dyDescent="0.25">
      <c r="A506" s="6" t="s">
        <v>45</v>
      </c>
    </row>
    <row r="507" spans="1:1" x14ac:dyDescent="0.25">
      <c r="A507" s="6" t="s">
        <v>46</v>
      </c>
    </row>
    <row r="508" spans="1:1" x14ac:dyDescent="0.25">
      <c r="A508" s="6" t="s">
        <v>47</v>
      </c>
    </row>
    <row r="509" spans="1:1" x14ac:dyDescent="0.25">
      <c r="A509" s="6" t="s">
        <v>48</v>
      </c>
    </row>
    <row r="510" spans="1:1" x14ac:dyDescent="0.25">
      <c r="A510" s="6" t="s">
        <v>49</v>
      </c>
    </row>
    <row r="511" spans="1:1" x14ac:dyDescent="0.25">
      <c r="A511" s="6" t="s">
        <v>81</v>
      </c>
    </row>
    <row r="512" spans="1:1" x14ac:dyDescent="0.25">
      <c r="A512" s="6" t="s">
        <v>95</v>
      </c>
    </row>
    <row r="513" spans="1:10" x14ac:dyDescent="0.25">
      <c r="A513" s="6" t="s">
        <v>68</v>
      </c>
    </row>
    <row r="514" spans="1:10" x14ac:dyDescent="0.25">
      <c r="A514" s="6" t="s">
        <v>21</v>
      </c>
    </row>
    <row r="515" spans="1:10" x14ac:dyDescent="0.25">
      <c r="A515" s="6" t="s">
        <v>22</v>
      </c>
    </row>
    <row r="516" spans="1:10" x14ac:dyDescent="0.25">
      <c r="A516" s="6" t="s">
        <v>23</v>
      </c>
    </row>
    <row r="517" spans="1:10" x14ac:dyDescent="0.25">
      <c r="A517" s="6" t="s">
        <v>24</v>
      </c>
    </row>
    <row r="518" spans="1:10" x14ac:dyDescent="0.25">
      <c r="A518" s="6" t="s">
        <v>25</v>
      </c>
    </row>
    <row r="519" spans="1:10" x14ac:dyDescent="0.25">
      <c r="A519" s="6" t="s">
        <v>26</v>
      </c>
    </row>
    <row r="520" spans="1:10" x14ac:dyDescent="0.25">
      <c r="A520" s="6" t="s">
        <v>27</v>
      </c>
      <c r="B520" s="1" t="s">
        <v>1</v>
      </c>
      <c r="C520" s="1" t="s">
        <v>220</v>
      </c>
      <c r="D520" s="1" t="s">
        <v>0</v>
      </c>
      <c r="E520" s="1">
        <v>55</v>
      </c>
      <c r="F520" s="1">
        <v>57</v>
      </c>
      <c r="G520" s="1">
        <v>59</v>
      </c>
      <c r="H520" s="1">
        <v>61</v>
      </c>
      <c r="I520" s="1">
        <v>63</v>
      </c>
      <c r="J520" s="3" t="s">
        <v>2</v>
      </c>
    </row>
    <row r="521" spans="1:10" x14ac:dyDescent="0.25">
      <c r="A521" t="s">
        <v>201</v>
      </c>
      <c r="B521" t="str" cm="1">
        <f t="array" ref="B521">БУКВЫ(MID($A521,3,11))</f>
        <v>775611337</v>
      </c>
      <c r="C521" t="str">
        <f>MID($A522,1,FIND("Per",A522)-1)</f>
        <v xml:space="preserve">Trucker Cap Animal Nature </v>
      </c>
      <c r="D521">
        <f>_xlfn.LET(_xlpm.Searching,"OSFA",_xlpm.inStr,IFERROR(FIND(_xlpm.Searching,$A523)&gt;=1,FALSE),IF(AND(_xlpm.inStr,LEN(A523)&lt;=6),A524,""))</f>
        <v>90</v>
      </c>
      <c r="E521" t="str">
        <f>_xlfn.LET(_xlpm.Searching,"55",_xlpm.inStr,IFERROR(FIND(_xlpm.Searching,$A523)&gt;=1,FALSE),IF(AND(_xlpm.inStr,LEN(A523)&lt;=6),A524,""))</f>
        <v/>
      </c>
      <c r="F521" t="str">
        <f>_xlfn.LET(_xlpm.Searching,"57",_xlpm.inStr,IFERROR(FIND(_xlpm.Searching,$A523)&gt;=1,FALSE),IF(AND(_xlpm.inStr,LEN(A523)&lt;=6),$A524,""))&amp;F522</f>
        <v/>
      </c>
      <c r="G521" t="str">
        <f>_xlfn.LET(_xlpm.Searching,"59",_xlpm.inStr,IFERROR(FIND(_xlpm.Searching,$A523)&gt;=1,FALSE),IF(AND(_xlpm.inStr,LEN(A523)&lt;=6),$A524,""))&amp;G522&amp;G523</f>
        <v/>
      </c>
      <c r="H521" t="str">
        <f>_xlfn.LET(_xlpm.Searching,"61",_xlpm.inStr,IFERROR(FIND(_xlpm.Searching,$A523)&gt;=1,FALSE),IF(AND(_xlpm.inStr,LEN(A523)&lt;=6),$A524,""))&amp;H522&amp;H523&amp;H524</f>
        <v/>
      </c>
      <c r="I521" t="str">
        <f>_xlfn.LET(_xlpm.Searching,"63",_xlpm.inStr,IFERROR(FIND(_xlpm.Searching,$A523)&gt;=1,FALSE),IF(AND(_xlpm.inStr,LEN(A523)&lt;=6),$A524,""))&amp;I522&amp;I523&amp;I524&amp;I525</f>
        <v/>
      </c>
      <c r="J521" s="4">
        <f>MID(TRIM(RIGHT(A521,10)),1,LEN(TRIM(RIGHT(A521,10)))-3)*0.8</f>
        <v>11.920000000000002</v>
      </c>
    </row>
    <row r="522" spans="1:10" x14ac:dyDescent="0.25">
      <c r="A522" t="s">
        <v>202</v>
      </c>
      <c r="B522" t="str" cm="1">
        <f t="array" ref="B522">БУКВЫ(MID($A521,3,11))</f>
        <v>775611337</v>
      </c>
      <c r="C522" t="str">
        <f>C521</f>
        <v xml:space="preserve">Trucker Cap Animal Nature </v>
      </c>
      <c r="D522" s="2"/>
      <c r="E522" s="2"/>
      <c r="F522" t="str">
        <f>_xlfn.LET(_xlpm.Searching,"57",_xlpm.inStr,IFERROR(FIND(_xlpm.Searching,$A525)&gt;=1,FALSE),IF(AND(_xlpm.inStr,LEN(A525)&lt;=6),$A526,""))</f>
        <v/>
      </c>
      <c r="G522" t="str">
        <f>_xlfn.LET(_xlpm.Searching,"59",_xlpm.inStr,IFERROR(FIND(_xlpm.Searching,$A525)&gt;=1,FALSE),IF(AND(_xlpm.inStr,LEN(A525)&lt;=6),$A526,""))</f>
        <v/>
      </c>
      <c r="H522" t="str">
        <f>_xlfn.LET(_xlpm.Searching,"61",_xlpm.inStr,IFERROR(FIND(_xlpm.Searching,$A525)&gt;=1,FALSE),IF(AND(_xlpm.inStr,LEN(A525)&lt;=6),$A526,""))</f>
        <v/>
      </c>
      <c r="I522" t="str">
        <f>_xlfn.LET(_xlpm.Searching,"63",_xlpm.inStr,IFERROR(FIND(_xlpm.Searching,$A525)&gt;=1,FALSE),IF(AND(_xlpm.inStr,LEN(A525)&lt;=6),$A526,""))</f>
        <v/>
      </c>
    </row>
    <row r="523" spans="1:10" x14ac:dyDescent="0.25">
      <c r="A523" t="s">
        <v>0</v>
      </c>
      <c r="B523" t="str" cm="1">
        <f t="array" ref="B523">БУКВЫ(MID($A521,3,11))</f>
        <v>775611337</v>
      </c>
      <c r="C523" t="str">
        <f t="shared" ref="C523:C525" si="35">C522</f>
        <v xml:space="preserve">Trucker Cap Animal Nature </v>
      </c>
      <c r="D523" s="2"/>
      <c r="E523" s="2"/>
      <c r="F523" s="2"/>
      <c r="G523" t="str">
        <f>_xlfn.LET(_xlpm.Searching,"59",_xlpm.inStr,IFERROR(FIND(_xlpm.Searching,$A527)&gt;=1,FALSE),IF(AND(_xlpm.inStr,LEN(A527)&lt;=6),$A528,""))</f>
        <v/>
      </c>
      <c r="H523" t="str">
        <f>_xlfn.LET(_xlpm.Searching,"61",_xlpm.inStr,IFERROR(FIND(_xlpm.Searching,$A527)&gt;=1,FALSE),IF(AND(_xlpm.inStr,LEN(A527)&lt;=6),$A528,""))</f>
        <v/>
      </c>
      <c r="I523" t="str">
        <f>_xlfn.LET(_xlpm.Searching,"63",_xlpm.inStr,IFERROR(FIND(_xlpm.Searching,$A527)&gt;=1,FALSE),IF(AND(_xlpm.inStr,LEN(A527)&lt;=6),$A528,""))</f>
        <v/>
      </c>
    </row>
    <row r="524" spans="1:10" x14ac:dyDescent="0.25">
      <c r="A524">
        <v>90</v>
      </c>
      <c r="B524" t="str" cm="1">
        <f t="array" ref="B524">БУКВЫ(MID($A521,3,11))</f>
        <v>775611337</v>
      </c>
      <c r="C524" t="str">
        <f t="shared" si="35"/>
        <v xml:space="preserve">Trucker Cap Animal Nature </v>
      </c>
      <c r="D524" s="2"/>
      <c r="E524" s="2"/>
      <c r="F524" s="2"/>
      <c r="G524" s="2"/>
      <c r="H524" t="str">
        <f>_xlfn.LET(_xlpm.Searching,"61",_xlpm.inStr,IFERROR(FIND(_xlpm.Searching,$A529)&gt;=1,FALSE),IF(AND(_xlpm.inStr,LEN(A529)&lt;=6),$A530,""))</f>
        <v/>
      </c>
      <c r="I524" t="str">
        <f>_xlfn.LET(_xlpm.Searching,"63",_xlpm.inStr,IFERROR(FIND(_xlpm.Searching,$A529)&gt;=1,FALSE),IF(AND(_xlpm.inStr,LEN(A529)&lt;=6),$A530,""))</f>
        <v/>
      </c>
    </row>
    <row r="525" spans="1:10" x14ac:dyDescent="0.25">
      <c r="A525" t="s">
        <v>35</v>
      </c>
      <c r="B525" t="str" cm="1">
        <f t="array" ref="B525">БУКВЫ(MID($A521,3,11))</f>
        <v>775611337</v>
      </c>
      <c r="C525" t="str">
        <f t="shared" si="35"/>
        <v xml:space="preserve">Trucker Cap Animal Nature </v>
      </c>
      <c r="D525" s="2"/>
      <c r="E525" s="2"/>
      <c r="F525" s="2"/>
      <c r="G525" s="2"/>
      <c r="H525" s="2"/>
      <c r="I525" t="str">
        <f>_xlfn.LET(_xlpm.Searching,"63",_xlpm.inStr,IFERROR(FIND(_xlpm.Searching,$A531)&gt;=1,FALSE),IF(AND(_xlpm.inStr,LEN(A531)&lt;=6),$A532,""))</f>
        <v/>
      </c>
    </row>
    <row r="526" spans="1:10" x14ac:dyDescent="0.25">
      <c r="A526" t="s">
        <v>59</v>
      </c>
    </row>
    <row r="527" spans="1:10" x14ac:dyDescent="0.25">
      <c r="A527" t="s">
        <v>203</v>
      </c>
      <c r="B527" s="1" t="s">
        <v>1</v>
      </c>
      <c r="C527" s="1" t="s">
        <v>220</v>
      </c>
      <c r="D527" s="1" t="s">
        <v>0</v>
      </c>
      <c r="E527" s="1">
        <v>55</v>
      </c>
      <c r="F527" s="1">
        <v>57</v>
      </c>
      <c r="G527" s="1">
        <v>59</v>
      </c>
      <c r="H527" s="1">
        <v>61</v>
      </c>
      <c r="I527" s="1">
        <v>63</v>
      </c>
      <c r="J527" s="3" t="s">
        <v>2</v>
      </c>
    </row>
    <row r="528" spans="1:10" x14ac:dyDescent="0.25">
      <c r="A528" t="s">
        <v>204</v>
      </c>
      <c r="B528" t="str" cm="1">
        <f t="array" ref="B528">БУКВЫ(MID($A528,3,11))</f>
        <v>775611428</v>
      </c>
      <c r="C528" t="str">
        <f>MID($A529,1,FIND("Per",A529)-1)</f>
        <v xml:space="preserve">Trucker Cap Canoe </v>
      </c>
      <c r="D528">
        <f>_xlfn.LET(_xlpm.Searching,"OSFA",_xlpm.inStr,IFERROR(FIND(_xlpm.Searching,$A530)&gt;=1,FALSE),IF(AND(_xlpm.inStr,LEN(A530)&lt;=6),A531,""))</f>
        <v>130</v>
      </c>
      <c r="E528" t="str">
        <f>_xlfn.LET(_xlpm.Searching,"55",_xlpm.inStr,IFERROR(FIND(_xlpm.Searching,$A530)&gt;=1,FALSE),IF(AND(_xlpm.inStr,LEN(A530)&lt;=6),A531,""))</f>
        <v/>
      </c>
      <c r="F528" t="str">
        <f>_xlfn.LET(_xlpm.Searching,"57",_xlpm.inStr,IFERROR(FIND(_xlpm.Searching,$A530)&gt;=1,FALSE),IF(AND(_xlpm.inStr,LEN(A530)&lt;=6),$A531,""))&amp;F529</f>
        <v/>
      </c>
      <c r="G528" t="str">
        <f>_xlfn.LET(_xlpm.Searching,"59",_xlpm.inStr,IFERROR(FIND(_xlpm.Searching,$A530)&gt;=1,FALSE),IF(AND(_xlpm.inStr,LEN(A530)&lt;=6),$A531,""))&amp;G529&amp;G530</f>
        <v/>
      </c>
      <c r="H528" t="str">
        <f>_xlfn.LET(_xlpm.Searching,"61",_xlpm.inStr,IFERROR(FIND(_xlpm.Searching,$A530)&gt;=1,FALSE),IF(AND(_xlpm.inStr,LEN(A530)&lt;=6),$A531,""))&amp;H529&amp;H530&amp;H531</f>
        <v/>
      </c>
      <c r="I528" t="str">
        <f>_xlfn.LET(_xlpm.Searching,"63",_xlpm.inStr,IFERROR(FIND(_xlpm.Searching,$A530)&gt;=1,FALSE),IF(AND(_xlpm.inStr,LEN(A530)&lt;=6),$A531,""))&amp;I529&amp;I530&amp;I531&amp;I532</f>
        <v/>
      </c>
      <c r="J528" s="4">
        <f>MID(TRIM(RIGHT(A528,10)),1,LEN(TRIM(RIGHT(A528,10)))-3)*0.8</f>
        <v>11.920000000000002</v>
      </c>
    </row>
    <row r="529" spans="1:10" x14ac:dyDescent="0.25">
      <c r="A529" t="s">
        <v>205</v>
      </c>
      <c r="B529" t="str" cm="1">
        <f t="array" ref="B529">БУКВЫ(MID($A528,3,11))</f>
        <v>775611428</v>
      </c>
      <c r="C529" t="str">
        <f>C528</f>
        <v xml:space="preserve">Trucker Cap Canoe </v>
      </c>
      <c r="D529" s="2"/>
      <c r="E529" s="2"/>
      <c r="F529" t="str">
        <f>_xlfn.LET(_xlpm.Searching,"57",_xlpm.inStr,IFERROR(FIND(_xlpm.Searching,$A532)&gt;=1,FALSE),IF(AND(_xlpm.inStr,LEN(A532)&lt;=6),$A533,""))</f>
        <v/>
      </c>
      <c r="G529" t="str">
        <f>_xlfn.LET(_xlpm.Searching,"59",_xlpm.inStr,IFERROR(FIND(_xlpm.Searching,$A532)&gt;=1,FALSE),IF(AND(_xlpm.inStr,LEN(A532)&lt;=6),$A533,""))</f>
        <v/>
      </c>
      <c r="H529" t="str">
        <f>_xlfn.LET(_xlpm.Searching,"61",_xlpm.inStr,IFERROR(FIND(_xlpm.Searching,$A532)&gt;=1,FALSE),IF(AND(_xlpm.inStr,LEN(A532)&lt;=6),$A533,""))</f>
        <v/>
      </c>
      <c r="I529" t="str">
        <f>_xlfn.LET(_xlpm.Searching,"63",_xlpm.inStr,IFERROR(FIND(_xlpm.Searching,$A532)&gt;=1,FALSE),IF(AND(_xlpm.inStr,LEN(A532)&lt;=6),$A533,""))</f>
        <v/>
      </c>
    </row>
    <row r="530" spans="1:10" x14ac:dyDescent="0.25">
      <c r="A530" t="s">
        <v>0</v>
      </c>
      <c r="B530" t="str" cm="1">
        <f t="array" ref="B530">БУКВЫ(MID($A528,3,11))</f>
        <v>775611428</v>
      </c>
      <c r="C530" t="str">
        <f t="shared" ref="C530:C532" si="36">C529</f>
        <v xml:space="preserve">Trucker Cap Canoe </v>
      </c>
      <c r="D530" s="2"/>
      <c r="E530" s="2"/>
      <c r="F530" s="2"/>
      <c r="G530" t="str">
        <f>_xlfn.LET(_xlpm.Searching,"59",_xlpm.inStr,IFERROR(FIND(_xlpm.Searching,$A534)&gt;=1,FALSE),IF(AND(_xlpm.inStr,LEN(A534)&lt;=6),$A535,""))</f>
        <v/>
      </c>
      <c r="H530" t="str">
        <f>_xlfn.LET(_xlpm.Searching,"61",_xlpm.inStr,IFERROR(FIND(_xlpm.Searching,$A534)&gt;=1,FALSE),IF(AND(_xlpm.inStr,LEN(A534)&lt;=6),$A535,""))</f>
        <v/>
      </c>
      <c r="I530" t="str">
        <f>_xlfn.LET(_xlpm.Searching,"63",_xlpm.inStr,IFERROR(FIND(_xlpm.Searching,$A534)&gt;=1,FALSE),IF(AND(_xlpm.inStr,LEN(A534)&lt;=6),$A535,""))</f>
        <v/>
      </c>
    </row>
    <row r="531" spans="1:10" x14ac:dyDescent="0.25">
      <c r="A531">
        <v>130</v>
      </c>
      <c r="B531" t="str" cm="1">
        <f t="array" ref="B531">БУКВЫ(MID($A528,3,11))</f>
        <v>775611428</v>
      </c>
      <c r="C531" t="str">
        <f t="shared" si="36"/>
        <v xml:space="preserve">Trucker Cap Canoe </v>
      </c>
      <c r="D531" s="2"/>
      <c r="E531" s="2"/>
      <c r="F531" s="2"/>
      <c r="G531" s="2"/>
      <c r="H531" t="str">
        <f>_xlfn.LET(_xlpm.Searching,"61",_xlpm.inStr,IFERROR(FIND(_xlpm.Searching,$A536)&gt;=1,FALSE),IF(AND(_xlpm.inStr,LEN(A536)&lt;=6),$A537,""))</f>
        <v/>
      </c>
      <c r="I531" t="str">
        <f>_xlfn.LET(_xlpm.Searching,"63",_xlpm.inStr,IFERROR(FIND(_xlpm.Searching,$A536)&gt;=1,FALSE),IF(AND(_xlpm.inStr,LEN(A536)&lt;=6),$A537,""))</f>
        <v/>
      </c>
    </row>
    <row r="532" spans="1:10" x14ac:dyDescent="0.25">
      <c r="A532" t="s">
        <v>35</v>
      </c>
      <c r="B532" t="str" cm="1">
        <f t="array" ref="B532">БУКВЫ(MID($A528,3,11))</f>
        <v>775611428</v>
      </c>
      <c r="C532" t="str">
        <f t="shared" si="36"/>
        <v xml:space="preserve">Trucker Cap Canoe </v>
      </c>
      <c r="D532" s="2"/>
      <c r="E532" s="2"/>
      <c r="F532" s="2"/>
      <c r="G532" s="2"/>
      <c r="H532" s="2"/>
      <c r="I532" t="str">
        <f>_xlfn.LET(_xlpm.Searching,"63",_xlpm.inStr,IFERROR(FIND(_xlpm.Searching,$A538)&gt;=1,FALSE),IF(AND(_xlpm.inStr,LEN(A538)&lt;=6),$A539,""))</f>
        <v/>
      </c>
    </row>
    <row r="533" spans="1:10" x14ac:dyDescent="0.25">
      <c r="A533" t="s">
        <v>54</v>
      </c>
    </row>
    <row r="534" spans="1:10" x14ac:dyDescent="0.25">
      <c r="A534" t="s">
        <v>206</v>
      </c>
      <c r="B534" s="1" t="s">
        <v>1</v>
      </c>
      <c r="C534" s="1" t="s">
        <v>220</v>
      </c>
      <c r="D534" s="1" t="s">
        <v>0</v>
      </c>
      <c r="E534" s="1">
        <v>55</v>
      </c>
      <c r="F534" s="1">
        <v>57</v>
      </c>
      <c r="G534" s="1">
        <v>59</v>
      </c>
      <c r="H534" s="1">
        <v>61</v>
      </c>
      <c r="I534" s="1">
        <v>63</v>
      </c>
      <c r="J534" s="3" t="s">
        <v>2</v>
      </c>
    </row>
    <row r="535" spans="1:10" x14ac:dyDescent="0.25">
      <c r="A535" t="s">
        <v>207</v>
      </c>
      <c r="B535" t="str" cm="1">
        <f t="array" ref="B535">БУКВЫ(MID($A535,3,11))</f>
        <v>77211105</v>
      </c>
      <c r="C535" t="str">
        <f>MID($A536,1,FIND("Per",A536)-1)</f>
        <v xml:space="preserve">Baseball Cap Cotton </v>
      </c>
      <c r="D535">
        <f>_xlfn.LET(_xlpm.Searching,"OSFA",_xlpm.inStr,IFERROR(FIND(_xlpm.Searching,$A537)&gt;=1,FALSE),IF(AND(_xlpm.inStr,LEN(A537)&lt;=6),A538,""))</f>
        <v>10</v>
      </c>
      <c r="E535" t="str">
        <f>_xlfn.LET(_xlpm.Searching,"55",_xlpm.inStr,IFERROR(FIND(_xlpm.Searching,$A537)&gt;=1,FALSE),IF(AND(_xlpm.inStr,LEN(A537)&lt;=6),A538,""))</f>
        <v/>
      </c>
      <c r="F535" t="str">
        <f>_xlfn.LET(_xlpm.Searching,"57",_xlpm.inStr,IFERROR(FIND(_xlpm.Searching,$A537)&gt;=1,FALSE),IF(AND(_xlpm.inStr,LEN(A537)&lt;=6),$A538,""))&amp;F536</f>
        <v/>
      </c>
      <c r="G535" t="str">
        <f>_xlfn.LET(_xlpm.Searching,"59",_xlpm.inStr,IFERROR(FIND(_xlpm.Searching,$A537)&gt;=1,FALSE),IF(AND(_xlpm.inStr,LEN(A537)&lt;=6),$A538,""))&amp;G536&amp;G537</f>
        <v/>
      </c>
      <c r="H535" t="str">
        <f>_xlfn.LET(_xlpm.Searching,"61",_xlpm.inStr,IFERROR(FIND(_xlpm.Searching,$A537)&gt;=1,FALSE),IF(AND(_xlpm.inStr,LEN(A537)&lt;=6),$A538,""))&amp;H536&amp;H537&amp;H538</f>
        <v/>
      </c>
      <c r="I535" t="str">
        <f>_xlfn.LET(_xlpm.Searching,"63",_xlpm.inStr,IFERROR(FIND(_xlpm.Searching,$A537)&gt;=1,FALSE),IF(AND(_xlpm.inStr,LEN(A537)&lt;=6),$A538,""))&amp;I536&amp;I537&amp;I538&amp;I539</f>
        <v/>
      </c>
      <c r="J535" s="4">
        <f>MID(TRIM(RIGHT(A535,10)),1,LEN(TRIM(RIGHT(A535,10)))-3)*0.8</f>
        <v>11.920000000000002</v>
      </c>
    </row>
    <row r="536" spans="1:10" x14ac:dyDescent="0.25">
      <c r="A536" t="s">
        <v>62</v>
      </c>
      <c r="B536" t="str" cm="1">
        <f t="array" ref="B536">БУКВЫ(MID($A535,3,11))</f>
        <v>77211105</v>
      </c>
      <c r="C536" t="str">
        <f>C535</f>
        <v xml:space="preserve">Baseball Cap Cotton </v>
      </c>
      <c r="D536" s="2"/>
      <c r="E536" s="2"/>
      <c r="F536" t="str">
        <f>_xlfn.LET(_xlpm.Searching,"57",_xlpm.inStr,IFERROR(FIND(_xlpm.Searching,$A539)&gt;=1,FALSE),IF(AND(_xlpm.inStr,LEN(A539)&lt;=6),$A540,""))</f>
        <v/>
      </c>
      <c r="G536" t="str">
        <f>_xlfn.LET(_xlpm.Searching,"59",_xlpm.inStr,IFERROR(FIND(_xlpm.Searching,$A539)&gt;=1,FALSE),IF(AND(_xlpm.inStr,LEN(A539)&lt;=6),$A540,""))</f>
        <v/>
      </c>
      <c r="H536" t="str">
        <f>_xlfn.LET(_xlpm.Searching,"61",_xlpm.inStr,IFERROR(FIND(_xlpm.Searching,$A539)&gt;=1,FALSE),IF(AND(_xlpm.inStr,LEN(A539)&lt;=6),$A540,""))</f>
        <v/>
      </c>
      <c r="I536" t="str">
        <f>_xlfn.LET(_xlpm.Searching,"63",_xlpm.inStr,IFERROR(FIND(_xlpm.Searching,$A539)&gt;=1,FALSE),IF(AND(_xlpm.inStr,LEN(A539)&lt;=6),$A540,""))</f>
        <v/>
      </c>
    </row>
    <row r="537" spans="1:10" x14ac:dyDescent="0.25">
      <c r="A537" t="s">
        <v>0</v>
      </c>
      <c r="B537" t="str" cm="1">
        <f t="array" ref="B537">БУКВЫ(MID($A535,3,11))</f>
        <v>77211105</v>
      </c>
      <c r="C537" t="str">
        <f t="shared" ref="C537:C539" si="37">C536</f>
        <v xml:space="preserve">Baseball Cap Cotton </v>
      </c>
      <c r="D537" s="2"/>
      <c r="E537" s="2"/>
      <c r="F537" s="2"/>
      <c r="G537" t="str">
        <f>_xlfn.LET(_xlpm.Searching,"59",_xlpm.inStr,IFERROR(FIND(_xlpm.Searching,$A541)&gt;=1,FALSE),IF(AND(_xlpm.inStr,LEN(A541)&lt;=6),$A542,""))</f>
        <v/>
      </c>
      <c r="H537" t="str">
        <f>_xlfn.LET(_xlpm.Searching,"61",_xlpm.inStr,IFERROR(FIND(_xlpm.Searching,$A541)&gt;=1,FALSE),IF(AND(_xlpm.inStr,LEN(A541)&lt;=6),$A542,""))</f>
        <v/>
      </c>
      <c r="I537" t="str">
        <f>_xlfn.LET(_xlpm.Searching,"63",_xlpm.inStr,IFERROR(FIND(_xlpm.Searching,$A541)&gt;=1,FALSE),IF(AND(_xlpm.inStr,LEN(A541)&lt;=6),$A542,""))</f>
        <v/>
      </c>
    </row>
    <row r="538" spans="1:10" x14ac:dyDescent="0.25">
      <c r="A538">
        <v>10</v>
      </c>
      <c r="B538" t="str" cm="1">
        <f t="array" ref="B538">БУКВЫ(MID($A535,3,11))</f>
        <v>77211105</v>
      </c>
      <c r="C538" t="str">
        <f t="shared" si="37"/>
        <v xml:space="preserve">Baseball Cap Cotton </v>
      </c>
      <c r="D538" s="2"/>
      <c r="E538" s="2"/>
      <c r="F538" s="2"/>
      <c r="G538" s="2"/>
      <c r="H538" t="str">
        <f>_xlfn.LET(_xlpm.Searching,"61",_xlpm.inStr,IFERROR(FIND(_xlpm.Searching,$A543)&gt;=1,FALSE),IF(AND(_xlpm.inStr,LEN(A543)&lt;=6),$A544,""))</f>
        <v/>
      </c>
      <c r="I538" t="str">
        <f>_xlfn.LET(_xlpm.Searching,"63",_xlpm.inStr,IFERROR(FIND(_xlpm.Searching,$A543)&gt;=1,FALSE),IF(AND(_xlpm.inStr,LEN(A543)&lt;=6),$A544,""))</f>
        <v/>
      </c>
    </row>
    <row r="539" spans="1:10" x14ac:dyDescent="0.25">
      <c r="A539" t="s">
        <v>35</v>
      </c>
      <c r="B539" t="str" cm="1">
        <f t="array" ref="B539">БУКВЫ(MID($A535,3,11))</f>
        <v>77211105</v>
      </c>
      <c r="C539" t="str">
        <f t="shared" si="37"/>
        <v xml:space="preserve">Baseball Cap Cotton </v>
      </c>
      <c r="D539" s="2"/>
      <c r="E539" s="2"/>
      <c r="F539" s="2"/>
      <c r="G539" s="2"/>
      <c r="H539" s="2"/>
      <c r="I539" t="str">
        <f>_xlfn.LET(_xlpm.Searching,"63",_xlpm.inStr,IFERROR(FIND(_xlpm.Searching,$A545)&gt;=1,FALSE),IF(AND(_xlpm.inStr,LEN(A545)&lt;=6),$A546,""))</f>
        <v/>
      </c>
    </row>
    <row r="540" spans="1:10" x14ac:dyDescent="0.25">
      <c r="A540" t="s">
        <v>63</v>
      </c>
    </row>
    <row r="541" spans="1:10" x14ac:dyDescent="0.25">
      <c r="A541" t="s">
        <v>208</v>
      </c>
      <c r="B541" s="1" t="s">
        <v>1</v>
      </c>
      <c r="C541" s="1" t="s">
        <v>220</v>
      </c>
      <c r="D541" s="1" t="s">
        <v>0</v>
      </c>
      <c r="E541" s="1">
        <v>55</v>
      </c>
      <c r="F541" s="1">
        <v>57</v>
      </c>
      <c r="G541" s="1">
        <v>59</v>
      </c>
      <c r="H541" s="1">
        <v>61</v>
      </c>
      <c r="I541" s="1">
        <v>63</v>
      </c>
      <c r="J541" s="3" t="s">
        <v>2</v>
      </c>
    </row>
    <row r="542" spans="1:10" x14ac:dyDescent="0.25">
      <c r="A542" t="s">
        <v>209</v>
      </c>
      <c r="B542" t="str" cm="1">
        <f t="array" ref="B542">БУКВЫ(MID($A542,3,11))</f>
        <v>77211226</v>
      </c>
      <c r="C542" t="str">
        <f>MID($A543,1,FIND("Per",A543)-1)</f>
        <v xml:space="preserve">Baseball Cap Duck </v>
      </c>
      <c r="D542">
        <f>_xlfn.LET(_xlpm.Searching,"OSFA",_xlpm.inStr,IFERROR(FIND(_xlpm.Searching,$A544)&gt;=1,FALSE),IF(AND(_xlpm.inStr,LEN(A544)&lt;=6),A545,""))</f>
        <v>40</v>
      </c>
      <c r="E542" t="str">
        <f>_xlfn.LET(_xlpm.Searching,"55",_xlpm.inStr,IFERROR(FIND(_xlpm.Searching,$A544)&gt;=1,FALSE),IF(AND(_xlpm.inStr,LEN(A544)&lt;=6),A545,""))</f>
        <v/>
      </c>
      <c r="F542" t="str">
        <f>_xlfn.LET(_xlpm.Searching,"57",_xlpm.inStr,IFERROR(FIND(_xlpm.Searching,$A544)&gt;=1,FALSE),IF(AND(_xlpm.inStr,LEN(A544)&lt;=6),$A545,""))&amp;F543</f>
        <v/>
      </c>
      <c r="G542" t="str">
        <f>_xlfn.LET(_xlpm.Searching,"59",_xlpm.inStr,IFERROR(FIND(_xlpm.Searching,$A544)&gt;=1,FALSE),IF(AND(_xlpm.inStr,LEN(A544)&lt;=6),$A545,""))&amp;G543&amp;G544</f>
        <v/>
      </c>
      <c r="H542" t="str">
        <f>_xlfn.LET(_xlpm.Searching,"61",_xlpm.inStr,IFERROR(FIND(_xlpm.Searching,$A544)&gt;=1,FALSE),IF(AND(_xlpm.inStr,LEN(A544)&lt;=6),$A545,""))&amp;H543&amp;H544&amp;H545</f>
        <v/>
      </c>
      <c r="I542" t="str">
        <f>_xlfn.LET(_xlpm.Searching,"63",_xlpm.inStr,IFERROR(FIND(_xlpm.Searching,$A544)&gt;=1,FALSE),IF(AND(_xlpm.inStr,LEN(A544)&lt;=6),$A545,""))&amp;I543&amp;I544&amp;I545&amp;I546</f>
        <v/>
      </c>
      <c r="J542" s="4">
        <f>MID(TRIM(RIGHT(A542,10)),1,LEN(TRIM(RIGHT(A542,10)))-3)*0.8</f>
        <v>15.12</v>
      </c>
    </row>
    <row r="543" spans="1:10" x14ac:dyDescent="0.25">
      <c r="A543" t="s">
        <v>210</v>
      </c>
      <c r="B543" t="str" cm="1">
        <f t="array" ref="B543">БУКВЫ(MID($A542,3,11))</f>
        <v>77211226</v>
      </c>
      <c r="C543" t="str">
        <f>C542</f>
        <v xml:space="preserve">Baseball Cap Duck </v>
      </c>
      <c r="D543" s="2"/>
      <c r="E543" s="2"/>
      <c r="F543" t="str">
        <f>_xlfn.LET(_xlpm.Searching,"57",_xlpm.inStr,IFERROR(FIND(_xlpm.Searching,$A546)&gt;=1,FALSE),IF(AND(_xlpm.inStr,LEN(A546)&lt;=6),$A547,""))</f>
        <v/>
      </c>
      <c r="G543" t="str">
        <f>_xlfn.LET(_xlpm.Searching,"59",_xlpm.inStr,IFERROR(FIND(_xlpm.Searching,$A546)&gt;=1,FALSE),IF(AND(_xlpm.inStr,LEN(A546)&lt;=6),$A547,""))</f>
        <v/>
      </c>
      <c r="H543" t="str">
        <f>_xlfn.LET(_xlpm.Searching,"61",_xlpm.inStr,IFERROR(FIND(_xlpm.Searching,$A546)&gt;=1,FALSE),IF(AND(_xlpm.inStr,LEN(A546)&lt;=6),$A547,""))</f>
        <v/>
      </c>
      <c r="I543" t="str">
        <f>_xlfn.LET(_xlpm.Searching,"63",_xlpm.inStr,IFERROR(FIND(_xlpm.Searching,$A546)&gt;=1,FALSE),IF(AND(_xlpm.inStr,LEN(A546)&lt;=6),$A547,""))</f>
        <v/>
      </c>
    </row>
    <row r="544" spans="1:10" x14ac:dyDescent="0.25">
      <c r="A544" t="s">
        <v>0</v>
      </c>
      <c r="B544" t="str" cm="1">
        <f t="array" ref="B544">БУКВЫ(MID($A542,3,11))</f>
        <v>77211226</v>
      </c>
      <c r="C544" t="str">
        <f t="shared" ref="C544:C546" si="38">C543</f>
        <v xml:space="preserve">Baseball Cap Duck </v>
      </c>
      <c r="D544" s="2"/>
      <c r="E544" s="2"/>
      <c r="F544" s="2"/>
      <c r="G544" t="str">
        <f>_xlfn.LET(_xlpm.Searching,"59",_xlpm.inStr,IFERROR(FIND(_xlpm.Searching,$A548)&gt;=1,FALSE),IF(AND(_xlpm.inStr,LEN(A548)&lt;=6),$A549,""))</f>
        <v/>
      </c>
      <c r="H544" t="str">
        <f>_xlfn.LET(_xlpm.Searching,"61",_xlpm.inStr,IFERROR(FIND(_xlpm.Searching,$A548)&gt;=1,FALSE),IF(AND(_xlpm.inStr,LEN(A548)&lt;=6),$A549,""))</f>
        <v/>
      </c>
      <c r="I544" t="str">
        <f>_xlfn.LET(_xlpm.Searching,"63",_xlpm.inStr,IFERROR(FIND(_xlpm.Searching,$A548)&gt;=1,FALSE),IF(AND(_xlpm.inStr,LEN(A548)&lt;=6),$A549,""))</f>
        <v/>
      </c>
    </row>
    <row r="545" spans="1:9" x14ac:dyDescent="0.25">
      <c r="A545">
        <v>40</v>
      </c>
      <c r="B545" t="str" cm="1">
        <f t="array" ref="B545">БУКВЫ(MID($A542,3,11))</f>
        <v>77211226</v>
      </c>
      <c r="C545" t="str">
        <f t="shared" si="38"/>
        <v xml:space="preserve">Baseball Cap Duck </v>
      </c>
      <c r="D545" s="2"/>
      <c r="E545" s="2"/>
      <c r="F545" s="2"/>
      <c r="G545" s="2"/>
      <c r="H545" t="str">
        <f>_xlfn.LET(_xlpm.Searching,"61",_xlpm.inStr,IFERROR(FIND(_xlpm.Searching,$A550)&gt;=1,FALSE),IF(AND(_xlpm.inStr,LEN(A550)&lt;=6),$A551,""))</f>
        <v/>
      </c>
      <c r="I545" t="str">
        <f>_xlfn.LET(_xlpm.Searching,"63",_xlpm.inStr,IFERROR(FIND(_xlpm.Searching,$A550)&gt;=1,FALSE),IF(AND(_xlpm.inStr,LEN(A550)&lt;=6),$A551,""))</f>
        <v/>
      </c>
    </row>
    <row r="546" spans="1:9" x14ac:dyDescent="0.25">
      <c r="A546" t="s">
        <v>67</v>
      </c>
      <c r="B546" t="str" cm="1">
        <f t="array" ref="B546">БУКВЫ(MID($A542,3,11))</f>
        <v>77211226</v>
      </c>
      <c r="C546" t="str">
        <f t="shared" si="38"/>
        <v xml:space="preserve">Baseball Cap Duck </v>
      </c>
      <c r="D546" s="2"/>
      <c r="E546" s="2"/>
      <c r="F546" s="2"/>
      <c r="G546" s="2"/>
      <c r="H546" s="2"/>
      <c r="I546" t="str">
        <f>_xlfn.LET(_xlpm.Searching,"63",_xlpm.inStr,IFERROR(FIND(_xlpm.Searching,$A552)&gt;=1,FALSE),IF(AND(_xlpm.inStr,LEN(A552)&lt;=6),$A553,""))</f>
        <v/>
      </c>
    </row>
    <row r="547" spans="1:9" x14ac:dyDescent="0.25">
      <c r="A547" t="s">
        <v>211</v>
      </c>
    </row>
    <row r="548" spans="1:9" x14ac:dyDescent="0.25">
      <c r="A548" t="s">
        <v>212</v>
      </c>
    </row>
    <row r="549" spans="1:9" x14ac:dyDescent="0.25">
      <c r="A549" t="s">
        <v>213</v>
      </c>
    </row>
    <row r="550" spans="1:9" x14ac:dyDescent="0.25">
      <c r="A550" t="s">
        <v>214</v>
      </c>
    </row>
    <row r="551" spans="1:9" x14ac:dyDescent="0.25">
      <c r="A551" t="s">
        <v>70</v>
      </c>
    </row>
    <row r="552" spans="1:9" x14ac:dyDescent="0.25">
      <c r="A552" t="s">
        <v>215</v>
      </c>
    </row>
    <row r="553" spans="1:9" x14ac:dyDescent="0.25">
      <c r="A553" t="s">
        <v>71</v>
      </c>
    </row>
    <row r="554" spans="1:9" x14ac:dyDescent="0.25">
      <c r="A554" t="s">
        <v>216</v>
      </c>
    </row>
    <row r="555" spans="1:9" x14ac:dyDescent="0.25">
      <c r="A555" t="s">
        <v>73</v>
      </c>
    </row>
    <row r="556" spans="1:9" x14ac:dyDescent="0.25">
      <c r="A556" t="s">
        <v>217</v>
      </c>
    </row>
    <row r="557" spans="1:9" x14ac:dyDescent="0.25">
      <c r="A557" t="s">
        <v>218</v>
      </c>
    </row>
    <row r="558" spans="1:9" x14ac:dyDescent="0.25">
      <c r="A558" t="s">
        <v>74</v>
      </c>
    </row>
    <row r="559" spans="1:9" x14ac:dyDescent="0.25">
      <c r="A559" t="s">
        <v>75</v>
      </c>
    </row>
    <row r="560" spans="1:9" x14ac:dyDescent="0.25">
      <c r="A560" t="s">
        <v>219</v>
      </c>
    </row>
    <row r="561" spans="1:1" x14ac:dyDescent="0.25">
      <c r="A561" t="s">
        <v>76</v>
      </c>
    </row>
    <row r="562" spans="1:1" x14ac:dyDescent="0.25">
      <c r="A562" t="s">
        <v>18</v>
      </c>
    </row>
    <row r="563" spans="1:1" x14ac:dyDescent="0.25">
      <c r="A563" t="s">
        <v>36</v>
      </c>
    </row>
    <row r="564" spans="1:1" x14ac:dyDescent="0.25">
      <c r="A564" t="s">
        <v>37</v>
      </c>
    </row>
    <row r="565" spans="1:1" x14ac:dyDescent="0.25">
      <c r="A565" t="s">
        <v>38</v>
      </c>
    </row>
    <row r="566" spans="1:1" x14ac:dyDescent="0.25">
      <c r="A566" t="s">
        <v>39</v>
      </c>
    </row>
    <row r="567" spans="1:1" x14ac:dyDescent="0.25">
      <c r="A567" t="s">
        <v>40</v>
      </c>
    </row>
    <row r="568" spans="1:1" x14ac:dyDescent="0.25">
      <c r="A568" t="s">
        <v>41</v>
      </c>
    </row>
    <row r="569" spans="1:1" x14ac:dyDescent="0.25">
      <c r="A569" t="s">
        <v>42</v>
      </c>
    </row>
    <row r="570" spans="1:1" x14ac:dyDescent="0.25">
      <c r="A570" t="s">
        <v>43</v>
      </c>
    </row>
    <row r="571" spans="1:1" x14ac:dyDescent="0.25">
      <c r="A571" t="s">
        <v>44</v>
      </c>
    </row>
    <row r="572" spans="1:1" x14ac:dyDescent="0.25">
      <c r="A572" t="s">
        <v>45</v>
      </c>
    </row>
    <row r="573" spans="1:1" x14ac:dyDescent="0.25">
      <c r="A573" t="s">
        <v>46</v>
      </c>
    </row>
    <row r="574" spans="1:1" x14ac:dyDescent="0.25">
      <c r="A574" t="s">
        <v>47</v>
      </c>
    </row>
    <row r="575" spans="1:1" x14ac:dyDescent="0.25">
      <c r="A575" t="s">
        <v>48</v>
      </c>
    </row>
    <row r="576" spans="1:1" x14ac:dyDescent="0.25">
      <c r="A576" t="s">
        <v>49</v>
      </c>
    </row>
    <row r="577" spans="1:1" x14ac:dyDescent="0.25">
      <c r="A577" t="s">
        <v>81</v>
      </c>
    </row>
    <row r="578" spans="1:1" x14ac:dyDescent="0.25">
      <c r="A578" t="s">
        <v>95</v>
      </c>
    </row>
    <row r="579" spans="1:1" x14ac:dyDescent="0.25">
      <c r="A579" t="s">
        <v>72</v>
      </c>
    </row>
    <row r="580" spans="1:1" x14ac:dyDescent="0.25">
      <c r="A580" t="s">
        <v>21</v>
      </c>
    </row>
    <row r="581" spans="1:1" x14ac:dyDescent="0.25">
      <c r="A581" t="s">
        <v>22</v>
      </c>
    </row>
    <row r="582" spans="1:1" x14ac:dyDescent="0.25">
      <c r="A582" t="s">
        <v>23</v>
      </c>
    </row>
    <row r="583" spans="1:1" x14ac:dyDescent="0.25">
      <c r="A583" t="s">
        <v>24</v>
      </c>
    </row>
    <row r="584" spans="1:1" x14ac:dyDescent="0.25">
      <c r="A584" t="s">
        <v>25</v>
      </c>
    </row>
    <row r="585" spans="1:1" x14ac:dyDescent="0.25">
      <c r="A585" t="s">
        <v>26</v>
      </c>
    </row>
    <row r="586" spans="1:1" x14ac:dyDescent="0.25">
      <c r="A586" t="s">
        <v>27</v>
      </c>
    </row>
    <row r="587" spans="1:1" x14ac:dyDescent="0.25">
      <c r="A587" t="s">
        <v>77</v>
      </c>
    </row>
    <row r="588" spans="1:1" x14ac:dyDescent="0.25">
      <c r="A588" t="s">
        <v>78</v>
      </c>
    </row>
    <row r="589" spans="1:1" x14ac:dyDescent="0.25">
      <c r="A589" t="s">
        <v>18</v>
      </c>
    </row>
    <row r="590" spans="1:1" x14ac:dyDescent="0.25">
      <c r="A590" t="s">
        <v>36</v>
      </c>
    </row>
    <row r="591" spans="1:1" x14ac:dyDescent="0.25">
      <c r="A591" t="s">
        <v>37</v>
      </c>
    </row>
    <row r="592" spans="1:1" x14ac:dyDescent="0.25">
      <c r="A592" t="s">
        <v>38</v>
      </c>
    </row>
    <row r="593" spans="1:1" x14ac:dyDescent="0.25">
      <c r="A593" t="s">
        <v>39</v>
      </c>
    </row>
    <row r="594" spans="1:1" x14ac:dyDescent="0.25">
      <c r="A594" t="s">
        <v>40</v>
      </c>
    </row>
    <row r="595" spans="1:1" x14ac:dyDescent="0.25">
      <c r="A595" t="s">
        <v>41</v>
      </c>
    </row>
    <row r="596" spans="1:1" x14ac:dyDescent="0.25">
      <c r="A596" t="s">
        <v>42</v>
      </c>
    </row>
    <row r="597" spans="1:1" x14ac:dyDescent="0.25">
      <c r="A597" t="s">
        <v>43</v>
      </c>
    </row>
    <row r="598" spans="1:1" x14ac:dyDescent="0.25">
      <c r="A598" t="s">
        <v>44</v>
      </c>
    </row>
    <row r="599" spans="1:1" x14ac:dyDescent="0.25">
      <c r="A599" t="s">
        <v>45</v>
      </c>
    </row>
    <row r="600" spans="1:1" x14ac:dyDescent="0.25">
      <c r="A600" t="s">
        <v>46</v>
      </c>
    </row>
    <row r="601" spans="1:1" x14ac:dyDescent="0.25">
      <c r="A601" t="s">
        <v>47</v>
      </c>
    </row>
    <row r="602" spans="1:1" x14ac:dyDescent="0.25">
      <c r="A602" t="s">
        <v>48</v>
      </c>
    </row>
    <row r="603" spans="1:1" x14ac:dyDescent="0.25">
      <c r="A603" t="s">
        <v>49</v>
      </c>
    </row>
  </sheetData>
  <conditionalFormatting sqref="A1:A1048576">
    <cfRule type="expression" dxfId="2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K39"/>
  <sheetViews>
    <sheetView topLeftCell="A2" workbookViewId="0">
      <selection activeCell="A31" sqref="A31"/>
    </sheetView>
  </sheetViews>
  <sheetFormatPr defaultRowHeight="15" x14ac:dyDescent="0.25"/>
  <cols>
    <col min="1" max="1" width="10.7109375" style="11" customWidth="1"/>
    <col min="2" max="2" width="28.140625" style="11" bestFit="1" customWidth="1"/>
    <col min="3" max="8" width="10.7109375" style="17" customWidth="1"/>
    <col min="9" max="9" width="10.7109375" style="4" customWidth="1"/>
    <col min="10" max="10" width="10.7109375" customWidth="1"/>
  </cols>
  <sheetData>
    <row r="1" spans="1:11" s="1" customFormat="1" hidden="1" x14ac:dyDescent="0.25">
      <c r="A1" s="15" cm="1">
        <f t="array" ref="A1:A38">_xlfn.UNIQUE(Calculation!B:B,0,0)</f>
        <v>0</v>
      </c>
      <c r="B1" s="15"/>
      <c r="C1" s="16"/>
      <c r="D1" s="16"/>
      <c r="E1" s="16"/>
      <c r="F1" s="16"/>
      <c r="G1" s="16"/>
      <c r="H1" s="16"/>
      <c r="I1" s="13"/>
      <c r="J1" s="14"/>
    </row>
    <row r="2" spans="1:11" x14ac:dyDescent="0.25">
      <c r="A2" s="19" t="str">
        <v>Article</v>
      </c>
      <c r="B2" s="19" t="str">
        <f>_xlfn.XLOOKUP($A2,Calculation!$B:$B,Calculation!C:C,"ERR",0)</f>
        <v>Name</v>
      </c>
      <c r="C2" s="19" t="str">
        <f>_xlfn.XLOOKUP($A2,Calculation!$B:$B,Calculation!D:D,"ERR",0)</f>
        <v>OSFA</v>
      </c>
      <c r="D2" s="19">
        <f>IFERROR(VALUE(_xlfn.XLOOKUP($A2,Calculation!$B:$B,Calculation!E:E,"ERR",0)),"")</f>
        <v>55</v>
      </c>
      <c r="E2" s="19">
        <f>IFERROR(VALUE(_xlfn.XLOOKUP($A2,Calculation!$B:$B,Calculation!F:F,"ERR",0)),"")</f>
        <v>57</v>
      </c>
      <c r="F2" s="19">
        <f>_xlfn.XLOOKUP($A2,Calculation!$B:$B,Calculation!G:G,"ERR",0)</f>
        <v>59</v>
      </c>
      <c r="G2" s="19">
        <f>_xlfn.XLOOKUP($A2,Calculation!$B:$B,Calculation!H:H,"ERR",0)</f>
        <v>61</v>
      </c>
      <c r="H2" s="19">
        <f>_xlfn.XLOOKUP($A2,Calculation!$B:$B,Calculation!I:I,"ERR",0)</f>
        <v>63</v>
      </c>
      <c r="I2" s="20" t="str">
        <f>_xlfn.XLOOKUP($A2,Calculation!$B:$B,Calculation!J:J,"ERR",0)</f>
        <v>Price</v>
      </c>
      <c r="J2" s="21" t="s">
        <v>79</v>
      </c>
    </row>
    <row r="3" spans="1:11" s="6" customFormat="1" x14ac:dyDescent="0.25">
      <c r="A3" s="12" t="str">
        <v>181390499</v>
      </c>
      <c r="B3" s="17" t="str">
        <f>_xlfn.XLOOKUP($A3,Calculation!$B:$B,Calculation!C:C,"ERR",0)</f>
        <v xml:space="preserve">Bucket Linen </v>
      </c>
      <c r="C3" s="17" t="str">
        <f>IFERROR(VALUE(_xlfn.XLOOKUP($A3,Calculation!$B:$B,Calculation!D:D,"ERR",0)),"")</f>
        <v/>
      </c>
      <c r="D3" s="17" t="str">
        <f>IFERROR(VALUE(_xlfn.XLOOKUP($A3,Calculation!$B:$B,Calculation!E:E,"ERR",0)),"")</f>
        <v/>
      </c>
      <c r="E3" s="17">
        <f>IFERROR(VALUE(_xlfn.XLOOKUP($A3,Calculation!$B:$B,Calculation!F:F,"ERR",0)),"")</f>
        <v>2</v>
      </c>
      <c r="F3" s="18">
        <f>IFERROR(VALUE(_xlfn.XLOOKUP($A3,Calculation!$B:$B,Calculation!G:G,"ERR",0)),"")</f>
        <v>4</v>
      </c>
      <c r="G3" s="18">
        <f>IFERROR(VALUE(_xlfn.XLOOKUP($A3,Calculation!$B:$B,Calculation!H:H,"ERR",0)),"")</f>
        <v>2</v>
      </c>
      <c r="H3" s="18" t="str">
        <f>IFERROR(VALUE(_xlfn.XLOOKUP($A3,Calculation!$B:$B,Calculation!I:I,"ERR",0)),"")</f>
        <v/>
      </c>
      <c r="I3" s="10">
        <f>VALUE(_xlfn.XLOOKUP($A3,Calculation!$B:$B,Calculation!J:J,"ERR",0))</f>
        <v>30.32</v>
      </c>
      <c r="J3" s="7">
        <f>SUM(C3:H3)*I3</f>
        <v>242.56</v>
      </c>
      <c r="K3" s="6" t="b">
        <f>SUM(C3:H3)=VLOOKUP(A3,Лист2!A:H,8,0)</f>
        <v>1</v>
      </c>
    </row>
    <row r="4" spans="1:11" x14ac:dyDescent="0.25">
      <c r="A4" s="11" t="str">
        <v>77811153</v>
      </c>
      <c r="B4" s="17" t="str">
        <f>_xlfn.XLOOKUP($A4,Calculation!$B:$B,Calculation!C:C,"ERR",0)</f>
        <v xml:space="preserve">Baseball Cap Shaka Cotton </v>
      </c>
      <c r="C4" s="17">
        <f>IFERROR(VALUE(_xlfn.XLOOKUP($A4,Calculation!$B:$B,Calculation!D:D,"ERR",0)),"")</f>
        <v>12</v>
      </c>
      <c r="D4" s="17" t="str">
        <f>IFERROR(VALUE(_xlfn.XLOOKUP($A4,Calculation!$B:$B,Calculation!E:E,"ERR",0)),"")</f>
        <v/>
      </c>
      <c r="E4" s="17" t="str">
        <f>IFERROR(VALUE(_xlfn.XLOOKUP($A4,Calculation!$B:$B,Calculation!F:F,"ERR",0)),"")</f>
        <v/>
      </c>
      <c r="F4" s="18" t="str">
        <f>IFERROR(VALUE(_xlfn.XLOOKUP($A4,Calculation!$B:$B,Calculation!G:G,"ERR",0)),"")</f>
        <v/>
      </c>
      <c r="G4" s="18" t="str">
        <f>IFERROR(VALUE(_xlfn.XLOOKUP($A4,Calculation!$B:$B,Calculation!H:H,"ERR",0)),"")</f>
        <v/>
      </c>
      <c r="H4" s="18" t="str">
        <f>IFERROR(VALUE(_xlfn.XLOOKUP($A4,Calculation!$B:$B,Calculation!I:I,"ERR",0)),"")</f>
        <v/>
      </c>
      <c r="I4" s="10">
        <f>VALUE(_xlfn.XLOOKUP($A4,Calculation!$B:$B,Calculation!J:J,"ERR",0))</f>
        <v>11.920000000000002</v>
      </c>
      <c r="J4" s="7">
        <f t="shared" ref="J4:J30" si="0">SUM(C4:H4)*I4</f>
        <v>143.04000000000002</v>
      </c>
      <c r="K4" s="6" t="b">
        <f>SUM(C4:H4)=VLOOKUP(A4,Лист2!A:H,8,0)</f>
        <v>1</v>
      </c>
    </row>
    <row r="5" spans="1:11" x14ac:dyDescent="0.25">
      <c r="A5" s="11" t="str">
        <v>77811158</v>
      </c>
      <c r="B5" s="17" t="str">
        <f>_xlfn.XLOOKUP($A5,Calculation!$B:$B,Calculation!C:C,"ERR",0)</f>
        <v xml:space="preserve">Baseball Cap Shaka Cotton </v>
      </c>
      <c r="C5" s="17">
        <f>IFERROR(VALUE(_xlfn.XLOOKUP($A5,Calculation!$B:$B,Calculation!D:D,"ERR",0)),"")</f>
        <v>6</v>
      </c>
      <c r="D5" s="17" t="str">
        <f>IFERROR(VALUE(_xlfn.XLOOKUP($A5,Calculation!$B:$B,Calculation!E:E,"ERR",0)),"")</f>
        <v/>
      </c>
      <c r="E5" s="17" t="str">
        <f>IFERROR(VALUE(_xlfn.XLOOKUP($A5,Calculation!$B:$B,Calculation!F:F,"ERR",0)),"")</f>
        <v/>
      </c>
      <c r="F5" s="18" t="str">
        <f>IFERROR(VALUE(_xlfn.XLOOKUP($A5,Calculation!$B:$B,Calculation!G:G,"ERR",0)),"")</f>
        <v/>
      </c>
      <c r="G5" s="18" t="str">
        <f>IFERROR(VALUE(_xlfn.XLOOKUP($A5,Calculation!$B:$B,Calculation!H:H,"ERR",0)),"")</f>
        <v/>
      </c>
      <c r="H5" s="18" t="str">
        <f>IFERROR(VALUE(_xlfn.XLOOKUP($A5,Calculation!$B:$B,Calculation!I:I,"ERR",0)),"")</f>
        <v/>
      </c>
      <c r="I5" s="10">
        <f>VALUE(_xlfn.XLOOKUP($A5,Calculation!$B:$B,Calculation!J:J,"ERR",0))</f>
        <v>11.920000000000002</v>
      </c>
      <c r="J5" s="7">
        <f t="shared" si="0"/>
        <v>71.52000000000001</v>
      </c>
      <c r="K5" s="6" t="b">
        <f>SUM(C5:H5)=VLOOKUP(A5,Лист2!A:H,8,0)</f>
        <v>1</v>
      </c>
    </row>
    <row r="6" spans="1:11" x14ac:dyDescent="0.25">
      <c r="A6" s="11" t="str">
        <v>778111875</v>
      </c>
      <c r="B6" s="17" t="str">
        <f>_xlfn.XLOOKUP($A6,Calculation!$B:$B,Calculation!C:C,"ERR",0)</f>
        <v xml:space="preserve">Baseball Cap Camo Cotton </v>
      </c>
      <c r="C6" s="17">
        <f>IFERROR(VALUE(_xlfn.XLOOKUP($A6,Calculation!$B:$B,Calculation!D:D,"ERR",0)),"")</f>
        <v>6</v>
      </c>
      <c r="D6" s="17" t="str">
        <f>IFERROR(VALUE(_xlfn.XLOOKUP($A6,Calculation!$B:$B,Calculation!E:E,"ERR",0)),"")</f>
        <v/>
      </c>
      <c r="E6" s="17" t="str">
        <f>IFERROR(VALUE(_xlfn.XLOOKUP($A6,Calculation!$B:$B,Calculation!F:F,"ERR",0)),"")</f>
        <v/>
      </c>
      <c r="F6" s="18" t="str">
        <f>IFERROR(VALUE(_xlfn.XLOOKUP($A6,Calculation!$B:$B,Calculation!G:G,"ERR",0)),"")</f>
        <v/>
      </c>
      <c r="G6" s="18" t="str">
        <f>IFERROR(VALUE(_xlfn.XLOOKUP($A6,Calculation!$B:$B,Calculation!H:H,"ERR",0)),"")</f>
        <v/>
      </c>
      <c r="H6" s="18" t="str">
        <f>IFERROR(VALUE(_xlfn.XLOOKUP($A6,Calculation!$B:$B,Calculation!I:I,"ERR",0)),"")</f>
        <v/>
      </c>
      <c r="I6" s="10">
        <f>VALUE(_xlfn.XLOOKUP($A6,Calculation!$B:$B,Calculation!J:J,"ERR",0))</f>
        <v>11.920000000000002</v>
      </c>
      <c r="J6" s="7">
        <f t="shared" si="0"/>
        <v>71.52000000000001</v>
      </c>
      <c r="K6" s="6" t="b">
        <f>SUM(C6:H6)=VLOOKUP(A6,Лист2!A:H,8,0)</f>
        <v>1</v>
      </c>
    </row>
    <row r="7" spans="1:11" x14ac:dyDescent="0.25">
      <c r="A7" s="11" t="str">
        <v>778112031</v>
      </c>
      <c r="B7" s="17" t="str">
        <f>_xlfn.XLOOKUP($A7,Calculation!$B:$B,Calculation!C:C,"ERR",0)</f>
        <v xml:space="preserve">Baseball Cap Cotton </v>
      </c>
      <c r="C7" s="17">
        <f>IFERROR(VALUE(_xlfn.XLOOKUP($A7,Calculation!$B:$B,Calculation!D:D,"ERR",0)),"")</f>
        <v>6</v>
      </c>
      <c r="D7" s="17" t="str">
        <f>IFERROR(VALUE(_xlfn.XLOOKUP($A7,Calculation!$B:$B,Calculation!E:E,"ERR",0)),"")</f>
        <v/>
      </c>
      <c r="E7" s="17" t="str">
        <f>IFERROR(VALUE(_xlfn.XLOOKUP($A7,Calculation!$B:$B,Calculation!F:F,"ERR",0)),"")</f>
        <v/>
      </c>
      <c r="F7" s="18" t="str">
        <f>IFERROR(VALUE(_xlfn.XLOOKUP($A7,Calculation!$B:$B,Calculation!G:G,"ERR",0)),"")</f>
        <v/>
      </c>
      <c r="G7" s="18" t="str">
        <f>IFERROR(VALUE(_xlfn.XLOOKUP($A7,Calculation!$B:$B,Calculation!H:H,"ERR",0)),"")</f>
        <v/>
      </c>
      <c r="H7" s="18" t="str">
        <f>IFERROR(VALUE(_xlfn.XLOOKUP($A7,Calculation!$B:$B,Calculation!I:I,"ERR",0)),"")</f>
        <v/>
      </c>
      <c r="I7" s="10">
        <f>VALUE(_xlfn.XLOOKUP($A7,Calculation!$B:$B,Calculation!J:J,"ERR",0))</f>
        <v>11.920000000000002</v>
      </c>
      <c r="J7" s="7">
        <f t="shared" si="0"/>
        <v>71.52000000000001</v>
      </c>
      <c r="K7" s="6" t="b">
        <f>SUM(C7:H7)=VLOOKUP(A7,Лист2!A:H,8,0)</f>
        <v>1</v>
      </c>
    </row>
    <row r="8" spans="1:11" x14ac:dyDescent="0.25">
      <c r="A8" s="11" t="str">
        <v>66111302</v>
      </c>
      <c r="B8" s="17" t="str">
        <f>_xlfn.XLOOKUP($A8,Calculation!$B:$B,Calculation!C:C,"ERR",0)</f>
        <v xml:space="preserve">Texas Denim </v>
      </c>
      <c r="C8" s="17" t="str">
        <f>IFERROR(VALUE(_xlfn.XLOOKUP($A8,Calculation!$B:$B,Calculation!D:D,"ERR",0)),"")</f>
        <v/>
      </c>
      <c r="D8" s="17">
        <f>IFERROR(VALUE(_xlfn.XLOOKUP($A8,Calculation!$B:$B,Calculation!E:E,"ERR",0)),"")</f>
        <v>1</v>
      </c>
      <c r="E8" s="17">
        <f>IFERROR(VALUE(_xlfn.XLOOKUP($A8,Calculation!$B:$B,Calculation!F:F,"ERR",0)),"")</f>
        <v>5</v>
      </c>
      <c r="F8" s="18">
        <f>IFERROR(VALUE(_xlfn.XLOOKUP($A8,Calculation!$B:$B,Calculation!G:G,"ERR",0)),"")</f>
        <v>7</v>
      </c>
      <c r="G8" s="18">
        <f>IFERROR(VALUE(_xlfn.XLOOKUP($A8,Calculation!$B:$B,Calculation!H:H,"ERR",0)),"")</f>
        <v>5</v>
      </c>
      <c r="H8" s="18">
        <f>IFERROR(VALUE(_xlfn.XLOOKUP($A8,Calculation!$B:$B,Calculation!I:I,"ERR",0)),"")</f>
        <v>3</v>
      </c>
      <c r="I8" s="10">
        <f>VALUE(_xlfn.XLOOKUP($A8,Calculation!$B:$B,Calculation!J:J,"ERR",0))</f>
        <v>18.32</v>
      </c>
      <c r="J8" s="7">
        <f t="shared" si="0"/>
        <v>384.72</v>
      </c>
      <c r="K8" s="6" t="b">
        <f>SUM(C8:H8)=VLOOKUP(A8,Лист2!A:H,8,0)</f>
        <v>1</v>
      </c>
    </row>
    <row r="9" spans="1:11" x14ac:dyDescent="0.25">
      <c r="A9" s="11" t="str">
        <v>66111052</v>
      </c>
      <c r="B9" s="17" t="str">
        <f>_xlfn.XLOOKUP($A9,Calculation!$B:$B,Calculation!C:C,"ERR",0)</f>
        <v xml:space="preserve">Texas Cotton </v>
      </c>
      <c r="C9" s="17" t="str">
        <f>IFERROR(VALUE(_xlfn.XLOOKUP($A9,Calculation!$B:$B,Calculation!D:D,"ERR",0)),"")</f>
        <v/>
      </c>
      <c r="D9" s="17" t="str">
        <f>IFERROR(VALUE(_xlfn.XLOOKUP($A9,Calculation!$B:$B,Calculation!E:E,"ERR",0)),"")</f>
        <v/>
      </c>
      <c r="E9" s="17">
        <f>IFERROR(VALUE(_xlfn.XLOOKUP($A9,Calculation!$B:$B,Calculation!F:F,"ERR",0)),"")</f>
        <v>5</v>
      </c>
      <c r="F9" s="18">
        <f>IFERROR(VALUE(_xlfn.XLOOKUP($A9,Calculation!$B:$B,Calculation!G:G,"ERR",0)),"")</f>
        <v>5</v>
      </c>
      <c r="G9" s="18" t="str">
        <f>IFERROR(VALUE(_xlfn.XLOOKUP($A9,Calculation!$B:$B,Calculation!H:H,"ERR",0)),"")</f>
        <v/>
      </c>
      <c r="H9" s="18" t="str">
        <f>IFERROR(VALUE(_xlfn.XLOOKUP($A9,Calculation!$B:$B,Calculation!I:I,"ERR",0)),"")</f>
        <v/>
      </c>
      <c r="I9" s="10">
        <f>VALUE(_xlfn.XLOOKUP($A9,Calculation!$B:$B,Calculation!J:J,"ERR",0))</f>
        <v>10.32</v>
      </c>
      <c r="J9" s="7">
        <f t="shared" si="0"/>
        <v>103.2</v>
      </c>
      <c r="K9" s="6" t="b">
        <f>SUM(C9:H9)=VLOOKUP(A9,Лист2!A:H,8,0)</f>
        <v>1</v>
      </c>
    </row>
    <row r="10" spans="1:11" x14ac:dyDescent="0.25">
      <c r="A10" s="11" t="str">
        <v>661110532</v>
      </c>
      <c r="B10" s="17" t="str">
        <f>_xlfn.XLOOKUP($A10,Calculation!$B:$B,Calculation!C:C,"ERR",0)</f>
        <v xml:space="preserve">Texas Cotton </v>
      </c>
      <c r="C10" s="17" t="str">
        <f>IFERROR(VALUE(_xlfn.XLOOKUP($A10,Calculation!$B:$B,Calculation!D:D,"ERR",0)),"")</f>
        <v/>
      </c>
      <c r="D10" s="17" t="str">
        <f>IFERROR(VALUE(_xlfn.XLOOKUP($A10,Calculation!$B:$B,Calculation!E:E,"ERR",0)),"")</f>
        <v/>
      </c>
      <c r="E10" s="17">
        <f>IFERROR(VALUE(_xlfn.XLOOKUP($A10,Calculation!$B:$B,Calculation!F:F,"ERR",0)),"")</f>
        <v>4</v>
      </c>
      <c r="F10" s="18">
        <f>IFERROR(VALUE(_xlfn.XLOOKUP($A10,Calculation!$B:$B,Calculation!G:G,"ERR",0)),"")</f>
        <v>9</v>
      </c>
      <c r="G10" s="18">
        <f>IFERROR(VALUE(_xlfn.XLOOKUP($A10,Calculation!$B:$B,Calculation!H:H,"ERR",0)),"")</f>
        <v>6</v>
      </c>
      <c r="H10" s="18" t="str">
        <f>IFERROR(VALUE(_xlfn.XLOOKUP($A10,Calculation!$B:$B,Calculation!I:I,"ERR",0)),"")</f>
        <v/>
      </c>
      <c r="I10" s="10">
        <f>VALUE(_xlfn.XLOOKUP($A10,Calculation!$B:$B,Calculation!J:J,"ERR",0))</f>
        <v>10.32</v>
      </c>
      <c r="J10" s="7">
        <f t="shared" si="0"/>
        <v>196.08</v>
      </c>
      <c r="K10" s="6" t="b">
        <f>SUM(C10:H10)=VLOOKUP(A10,Лист2!A:H,8,0)</f>
        <v>1</v>
      </c>
    </row>
    <row r="11" spans="1:11" x14ac:dyDescent="0.25">
      <c r="A11" s="11" t="str">
        <v>661110555</v>
      </c>
      <c r="B11" s="17" t="str">
        <f>_xlfn.XLOOKUP($A11,Calculation!$B:$B,Calculation!C:C,"ERR",0)</f>
        <v xml:space="preserve">Texas Cotton </v>
      </c>
      <c r="C11" s="17" t="str">
        <f>IFERROR(VALUE(_xlfn.XLOOKUP($A11,Calculation!$B:$B,Calculation!D:D,"ERR",0)),"")</f>
        <v/>
      </c>
      <c r="D11" s="17" t="str">
        <f>IFERROR(VALUE(_xlfn.XLOOKUP($A11,Calculation!$B:$B,Calculation!E:E,"ERR",0)),"")</f>
        <v/>
      </c>
      <c r="E11" s="17">
        <f>IFERROR(VALUE(_xlfn.XLOOKUP($A11,Calculation!$B:$B,Calculation!F:F,"ERR",0)),"")</f>
        <v>5</v>
      </c>
      <c r="F11" s="18">
        <f>IFERROR(VALUE(_xlfn.XLOOKUP($A11,Calculation!$B:$B,Calculation!G:G,"ERR",0)),"")</f>
        <v>6</v>
      </c>
      <c r="G11" s="18">
        <f>IFERROR(VALUE(_xlfn.XLOOKUP($A11,Calculation!$B:$B,Calculation!H:H,"ERR",0)),"")</f>
        <v>5</v>
      </c>
      <c r="H11" s="18" t="str">
        <f>IFERROR(VALUE(_xlfn.XLOOKUP($A11,Calculation!$B:$B,Calculation!I:I,"ERR",0)),"")</f>
        <v/>
      </c>
      <c r="I11" s="10">
        <f>VALUE(_xlfn.XLOOKUP($A11,Calculation!$B:$B,Calculation!J:J,"ERR",0))</f>
        <v>10.32</v>
      </c>
      <c r="J11" s="7">
        <f t="shared" si="0"/>
        <v>165.12</v>
      </c>
      <c r="K11" s="6" t="b">
        <f>SUM(C11:H11)=VLOOKUP(A11,Лист2!A:H,8,0)</f>
        <v>1</v>
      </c>
    </row>
    <row r="12" spans="1:11" x14ac:dyDescent="0.25">
      <c r="A12" s="11" t="str">
        <v>74311011</v>
      </c>
      <c r="B12" s="17" t="str">
        <f>_xlfn.XLOOKUP($A12,Calculation!$B:$B,Calculation!C:C,"ERR",0)</f>
        <v xml:space="preserve">Army Cap Cotton </v>
      </c>
      <c r="C12" s="17" t="str">
        <f>IFERROR(VALUE(_xlfn.XLOOKUP($A12,Calculation!$B:$B,Calculation!D:D,"ERR",0)),"")</f>
        <v/>
      </c>
      <c r="D12" s="17" t="str">
        <f>IFERROR(VALUE(_xlfn.XLOOKUP($A12,Calculation!$B:$B,Calculation!E:E,"ERR",0)),"")</f>
        <v/>
      </c>
      <c r="E12" s="17">
        <f>IFERROR(VALUE(_xlfn.XLOOKUP($A12,Calculation!$B:$B,Calculation!F:F,"ERR",0)),"")</f>
        <v>3</v>
      </c>
      <c r="F12" s="18">
        <f>IFERROR(VALUE(_xlfn.XLOOKUP($A12,Calculation!$B:$B,Calculation!G:G,"ERR",0)),"")</f>
        <v>8</v>
      </c>
      <c r="G12" s="18">
        <f>IFERROR(VALUE(_xlfn.XLOOKUP($A12,Calculation!$B:$B,Calculation!H:H,"ERR",0)),"")</f>
        <v>5</v>
      </c>
      <c r="H12" s="18">
        <f>IFERROR(VALUE(_xlfn.XLOOKUP($A12,Calculation!$B:$B,Calculation!I:I,"ERR",0)),"")</f>
        <v>4</v>
      </c>
      <c r="I12" s="10">
        <f>VALUE(_xlfn.XLOOKUP($A12,Calculation!$B:$B,Calculation!J:J,"ERR",0))</f>
        <v>11.920000000000002</v>
      </c>
      <c r="J12" s="7">
        <f t="shared" si="0"/>
        <v>238.40000000000003</v>
      </c>
      <c r="K12" s="6" t="b">
        <f>SUM(C12:H12)=VLOOKUP(A12,Лист2!A:H,8,0)</f>
        <v>1</v>
      </c>
    </row>
    <row r="13" spans="1:11" x14ac:dyDescent="0.25">
      <c r="A13" s="11" t="str">
        <v>743110155</v>
      </c>
      <c r="B13" s="17" t="str">
        <f>_xlfn.XLOOKUP($A13,Calculation!$B:$B,Calculation!C:C,"ERR",0)</f>
        <v xml:space="preserve">Army Cap Cotton </v>
      </c>
      <c r="C13" s="17" t="str">
        <f>IFERROR(VALUE(_xlfn.XLOOKUP($A13,Calculation!$B:$B,Calculation!D:D,"ERR",0)),"")</f>
        <v/>
      </c>
      <c r="D13" s="17">
        <f>IFERROR(VALUE(_xlfn.XLOOKUP($A13,Calculation!$B:$B,Calculation!E:E,"ERR",0)),"")</f>
        <v>1</v>
      </c>
      <c r="E13" s="17">
        <f>IFERROR(VALUE(_xlfn.XLOOKUP($A13,Calculation!$B:$B,Calculation!F:F,"ERR",0)),"")</f>
        <v>4</v>
      </c>
      <c r="F13" s="18">
        <f>IFERROR(VALUE(_xlfn.XLOOKUP($A13,Calculation!$B:$B,Calculation!G:G,"ERR",0)),"")</f>
        <v>7</v>
      </c>
      <c r="G13" s="18">
        <f>IFERROR(VALUE(_xlfn.XLOOKUP($A13,Calculation!$B:$B,Calculation!H:H,"ERR",0)),"")</f>
        <v>5</v>
      </c>
      <c r="H13" s="18">
        <f>IFERROR(VALUE(_xlfn.XLOOKUP($A13,Calculation!$B:$B,Calculation!I:I,"ERR",0)),"")</f>
        <v>2</v>
      </c>
      <c r="I13" s="10">
        <f>VALUE(_xlfn.XLOOKUP($A13,Calculation!$B:$B,Calculation!J:J,"ERR",0))</f>
        <v>11.920000000000002</v>
      </c>
      <c r="J13" s="7">
        <f t="shared" si="0"/>
        <v>226.48000000000002</v>
      </c>
      <c r="K13" s="6" t="b">
        <f>SUM(C13:H13)=VLOOKUP(A13,Лист2!A:H,8,0)</f>
        <v>1</v>
      </c>
    </row>
    <row r="14" spans="1:11" x14ac:dyDescent="0.25">
      <c r="A14" s="11" t="str">
        <v>775119127</v>
      </c>
      <c r="B14" s="17" t="str">
        <f>_xlfn.XLOOKUP($A14,Calculation!$B:$B,Calculation!C:C,"ERR",0)</f>
        <v xml:space="preserve">Trucker Cap Gambling Grifter </v>
      </c>
      <c r="C14" s="17">
        <f>IFERROR(VALUE(_xlfn.XLOOKUP($A14,Calculation!$B:$B,Calculation!D:D,"ERR",0)),"")</f>
        <v>150</v>
      </c>
      <c r="D14" s="17" t="str">
        <f>IFERROR(VALUE(_xlfn.XLOOKUP($A14,Calculation!$B:$B,Calculation!E:E,"ERR",0)),"")</f>
        <v/>
      </c>
      <c r="E14" s="17" t="str">
        <f>IFERROR(VALUE(_xlfn.XLOOKUP($A14,Calculation!$B:$B,Calculation!F:F,"ERR",0)),"")</f>
        <v/>
      </c>
      <c r="F14" s="18" t="str">
        <f>IFERROR(VALUE(_xlfn.XLOOKUP($A14,Calculation!$B:$B,Calculation!G:G,"ERR",0)),"")</f>
        <v/>
      </c>
      <c r="G14" s="18" t="str">
        <f>IFERROR(VALUE(_xlfn.XLOOKUP($A14,Calculation!$B:$B,Calculation!H:H,"ERR",0)),"")</f>
        <v/>
      </c>
      <c r="H14" s="18" t="str">
        <f>IFERROR(VALUE(_xlfn.XLOOKUP($A14,Calculation!$B:$B,Calculation!I:I,"ERR",0)),"")</f>
        <v/>
      </c>
      <c r="I14" s="10">
        <f>VALUE(_xlfn.XLOOKUP($A14,Calculation!$B:$B,Calculation!J:J,"ERR",0))</f>
        <v>11.920000000000002</v>
      </c>
      <c r="J14" s="7">
        <f t="shared" si="0"/>
        <v>1788.0000000000002</v>
      </c>
      <c r="K14" s="6" t="b">
        <f>SUM(C14:H14)=VLOOKUP(A14,Лист2!A:H,8,0)</f>
        <v>1</v>
      </c>
    </row>
    <row r="15" spans="1:11" x14ac:dyDescent="0.25">
      <c r="A15" s="11" t="str">
        <v>77131013</v>
      </c>
      <c r="B15" s="17" t="str">
        <f>_xlfn.XLOOKUP($A15,Calculation!$B:$B,Calculation!C:C,"ERR",0)</f>
        <v xml:space="preserve">Baseball Cap Linen </v>
      </c>
      <c r="C15" s="17" t="str">
        <f>IFERROR(VALUE(_xlfn.XLOOKUP($A15,Calculation!$B:$B,Calculation!D:D,"ERR",0)),"")</f>
        <v/>
      </c>
      <c r="D15" s="17" t="str">
        <f>IFERROR(VALUE(_xlfn.XLOOKUP($A15,Calculation!$B:$B,Calculation!E:E,"ERR",0)),"")</f>
        <v/>
      </c>
      <c r="E15" s="17">
        <f>IFERROR(VALUE(_xlfn.XLOOKUP($A15,Calculation!$B:$B,Calculation!F:F,"ERR",0)),"")</f>
        <v>4</v>
      </c>
      <c r="F15" s="18">
        <f>IFERROR(VALUE(_xlfn.XLOOKUP($A15,Calculation!$B:$B,Calculation!G:G,"ERR",0)),"")</f>
        <v>6</v>
      </c>
      <c r="G15" s="18">
        <f>IFERROR(VALUE(_xlfn.XLOOKUP($A15,Calculation!$B:$B,Calculation!H:H,"ERR",0)),"")</f>
        <v>4</v>
      </c>
      <c r="H15" s="18" t="str">
        <f>IFERROR(VALUE(_xlfn.XLOOKUP($A15,Calculation!$B:$B,Calculation!I:I,"ERR",0)),"")</f>
        <v/>
      </c>
      <c r="I15" s="10">
        <f>VALUE(_xlfn.XLOOKUP($A15,Calculation!$B:$B,Calculation!J:J,"ERR",0))</f>
        <v>15.12</v>
      </c>
      <c r="J15" s="7">
        <f t="shared" si="0"/>
        <v>211.67999999999998</v>
      </c>
      <c r="K15" s="6" t="b">
        <f>SUM(C15:H15)=VLOOKUP(A15,Лист2!A:H,8,0)</f>
        <v>1</v>
      </c>
    </row>
    <row r="16" spans="1:11" x14ac:dyDescent="0.25">
      <c r="A16" s="11" t="str">
        <v>68431162</v>
      </c>
      <c r="B16" s="17" t="str">
        <f>_xlfn.XLOOKUP($A16,Calculation!$B:$B,Calculation!C:C,"ERR",0)</f>
        <v xml:space="preserve">Hatteras Linen </v>
      </c>
      <c r="C16" s="17" t="str">
        <f>IFERROR(VALUE(_xlfn.XLOOKUP($A16,Calculation!$B:$B,Calculation!D:D,"ERR",0)),"")</f>
        <v/>
      </c>
      <c r="D16" s="17">
        <f>IFERROR(VALUE(_xlfn.XLOOKUP($A16,Calculation!$B:$B,Calculation!E:E,"ERR",0)),"")</f>
        <v>1</v>
      </c>
      <c r="E16" s="17">
        <f>IFERROR(VALUE(_xlfn.XLOOKUP($A16,Calculation!$B:$B,Calculation!F:F,"ERR",0)),"")</f>
        <v>5</v>
      </c>
      <c r="F16" s="18">
        <f>IFERROR(VALUE(_xlfn.XLOOKUP($A16,Calculation!$B:$B,Calculation!G:G,"ERR",0)),"")</f>
        <v>8</v>
      </c>
      <c r="G16" s="18">
        <f>IFERROR(VALUE(_xlfn.XLOOKUP($A16,Calculation!$B:$B,Calculation!H:H,"ERR",0)),"")</f>
        <v>5</v>
      </c>
      <c r="H16" s="18">
        <f>IFERROR(VALUE(_xlfn.XLOOKUP($A16,Calculation!$B:$B,Calculation!I:I,"ERR",0)),"")</f>
        <v>2</v>
      </c>
      <c r="I16" s="10">
        <f>VALUE(_xlfn.XLOOKUP($A16,Calculation!$B:$B,Calculation!J:J,"ERR",0))</f>
        <v>23.92</v>
      </c>
      <c r="J16" s="7">
        <f t="shared" si="0"/>
        <v>502.32000000000005</v>
      </c>
      <c r="K16" s="6" t="b">
        <f>SUM(C16:H16)=VLOOKUP(A16,Лист2!A:H,8,0)</f>
        <v>1</v>
      </c>
    </row>
    <row r="17" spans="1:11" x14ac:dyDescent="0.25">
      <c r="A17" s="11" t="str">
        <v>68131036</v>
      </c>
      <c r="B17" s="17" t="str">
        <f>_xlfn.XLOOKUP($A17,Calculation!$B:$B,Calculation!C:C,"ERR",0)</f>
        <v xml:space="preserve">8-Panel Cap Linen </v>
      </c>
      <c r="C17" s="17" t="str">
        <f>IFERROR(VALUE(_xlfn.XLOOKUP($A17,Calculation!$B:$B,Calculation!D:D,"ERR",0)),"")</f>
        <v/>
      </c>
      <c r="D17" s="17" t="str">
        <f>IFERROR(VALUE(_xlfn.XLOOKUP($A17,Calculation!$B:$B,Calculation!E:E,"ERR",0)),"")</f>
        <v/>
      </c>
      <c r="E17" s="17">
        <f>IFERROR(VALUE(_xlfn.XLOOKUP($A17,Calculation!$B:$B,Calculation!F:F,"ERR",0)),"")</f>
        <v>4</v>
      </c>
      <c r="F17" s="18">
        <f>IFERROR(VALUE(_xlfn.XLOOKUP($A17,Calculation!$B:$B,Calculation!G:G,"ERR",0)),"")</f>
        <v>6</v>
      </c>
      <c r="G17" s="18">
        <f>IFERROR(VALUE(_xlfn.XLOOKUP($A17,Calculation!$B:$B,Calculation!H:H,"ERR",0)),"")</f>
        <v>4</v>
      </c>
      <c r="H17" s="18">
        <f>IFERROR(VALUE(_xlfn.XLOOKUP($A17,Calculation!$B:$B,Calculation!I:I,"ERR",0)),"")</f>
        <v>1</v>
      </c>
      <c r="I17" s="10">
        <f>VALUE(_xlfn.XLOOKUP($A17,Calculation!$B:$B,Calculation!J:J,"ERR",0))</f>
        <v>30.32</v>
      </c>
      <c r="J17" s="7">
        <f t="shared" si="0"/>
        <v>454.8</v>
      </c>
      <c r="K17" s="6" t="b">
        <f>SUM(C17:H17)=VLOOKUP(A17,Лист2!A:H,8,0)</f>
        <v>1</v>
      </c>
    </row>
    <row r="18" spans="1:11" x14ac:dyDescent="0.25">
      <c r="A18" s="11" t="str">
        <v>6840407267</v>
      </c>
      <c r="B18" s="17" t="str">
        <f>_xlfn.XLOOKUP($A18,Calculation!$B:$B,Calculation!C:C,"ERR",0)</f>
        <v xml:space="preserve">Hatteras Virgin Wool/Silk </v>
      </c>
      <c r="C18" s="17" t="str">
        <f>IFERROR(VALUE(_xlfn.XLOOKUP($A18,Calculation!$B:$B,Calculation!D:D,"ERR",0)),"")</f>
        <v/>
      </c>
      <c r="D18" s="17" t="str">
        <f>IFERROR(VALUE(_xlfn.XLOOKUP($A18,Calculation!$B:$B,Calculation!E:E,"ERR",0)),"")</f>
        <v/>
      </c>
      <c r="E18" s="17">
        <f>IFERROR(VALUE(_xlfn.XLOOKUP($A18,Calculation!$B:$B,Calculation!F:F,"ERR",0)),"")</f>
        <v>1</v>
      </c>
      <c r="F18" s="18">
        <f>IFERROR(VALUE(_xlfn.XLOOKUP($A18,Calculation!$B:$B,Calculation!G:G,"ERR",0)),"")</f>
        <v>2</v>
      </c>
      <c r="G18" s="18">
        <f>IFERROR(VALUE(_xlfn.XLOOKUP($A18,Calculation!$B:$B,Calculation!H:H,"ERR",0)),"")</f>
        <v>1</v>
      </c>
      <c r="H18" s="18" t="str">
        <f>IFERROR(VALUE(_xlfn.XLOOKUP($A18,Calculation!$B:$B,Calculation!I:I,"ERR",0)),"")</f>
        <v/>
      </c>
      <c r="I18" s="10">
        <f>VALUE(_xlfn.XLOOKUP($A18,Calculation!$B:$B,Calculation!J:J,"ERR",0))</f>
        <v>39.92</v>
      </c>
      <c r="J18" s="7">
        <f t="shared" si="0"/>
        <v>159.68</v>
      </c>
      <c r="K18" s="6" t="b">
        <f>SUM(C18:H18)=VLOOKUP(A18,Лист2!A:H,8,0)</f>
        <v>1</v>
      </c>
    </row>
    <row r="19" spans="1:11" x14ac:dyDescent="0.25">
      <c r="A19" s="11" t="str">
        <v>6382504322</v>
      </c>
      <c r="B19" s="17" t="str">
        <f>_xlfn.XLOOKUP($A19,Calculation!$B:$B,Calculation!C:C,"ERR",0)</f>
        <v xml:space="preserve">Driver Cap Silk/Virgin Wool </v>
      </c>
      <c r="C19" s="17" t="str">
        <f>IFERROR(VALUE(_xlfn.XLOOKUP($A19,Calculation!$B:$B,Calculation!D:D,"ERR",0)),"")</f>
        <v/>
      </c>
      <c r="D19" s="17" t="str">
        <f>IFERROR(VALUE(_xlfn.XLOOKUP($A19,Calculation!$B:$B,Calculation!E:E,"ERR",0)),"")</f>
        <v/>
      </c>
      <c r="E19" s="17">
        <f>IFERROR(VALUE(_xlfn.XLOOKUP($A19,Calculation!$B:$B,Calculation!F:F,"ERR",0)),"")</f>
        <v>2</v>
      </c>
      <c r="F19" s="18">
        <f>IFERROR(VALUE(_xlfn.XLOOKUP($A19,Calculation!$B:$B,Calculation!G:G,"ERR",0)),"")</f>
        <v>4</v>
      </c>
      <c r="G19" s="18">
        <f>IFERROR(VALUE(_xlfn.XLOOKUP($A19,Calculation!$B:$B,Calculation!H:H,"ERR",0)),"")</f>
        <v>3</v>
      </c>
      <c r="H19" s="18" t="str">
        <f>IFERROR(VALUE(_xlfn.XLOOKUP($A19,Calculation!$B:$B,Calculation!I:I,"ERR",0)),"")</f>
        <v/>
      </c>
      <c r="I19" s="10">
        <f>VALUE(_xlfn.XLOOKUP($A19,Calculation!$B:$B,Calculation!J:J,"ERR",0))</f>
        <v>39.92</v>
      </c>
      <c r="J19" s="7">
        <f t="shared" si="0"/>
        <v>359.28000000000003</v>
      </c>
      <c r="K19" s="6" t="b">
        <f>SUM(C19:H19)=VLOOKUP(A19,Лист2!A:H,8,0)</f>
        <v>1</v>
      </c>
    </row>
    <row r="20" spans="1:11" x14ac:dyDescent="0.25">
      <c r="A20" s="11" t="str">
        <v>6842504322</v>
      </c>
      <c r="B20" s="17" t="str">
        <f>_xlfn.XLOOKUP($A20,Calculation!$B:$B,Calculation!C:C,"ERR",0)</f>
        <v xml:space="preserve">Hatteras Silk/Virgin Wool </v>
      </c>
      <c r="C20" s="17" t="str">
        <f>IFERROR(VALUE(_xlfn.XLOOKUP($A20,Calculation!$B:$B,Calculation!D:D,"ERR",0)),"")</f>
        <v/>
      </c>
      <c r="D20" s="17" t="str">
        <f>IFERROR(VALUE(_xlfn.XLOOKUP($A20,Calculation!$B:$B,Calculation!E:E,"ERR",0)),"")</f>
        <v/>
      </c>
      <c r="E20" s="17">
        <f>IFERROR(VALUE(_xlfn.XLOOKUP($A20,Calculation!$B:$B,Calculation!F:F,"ERR",0)),"")</f>
        <v>2</v>
      </c>
      <c r="F20" s="18">
        <f>IFERROR(VALUE(_xlfn.XLOOKUP($A20,Calculation!$B:$B,Calculation!G:G,"ERR",0)),"")</f>
        <v>4</v>
      </c>
      <c r="G20" s="18">
        <f>IFERROR(VALUE(_xlfn.XLOOKUP($A20,Calculation!$B:$B,Calculation!H:H,"ERR",0)),"")</f>
        <v>3</v>
      </c>
      <c r="H20" s="18" t="str">
        <f>IFERROR(VALUE(_xlfn.XLOOKUP($A20,Calculation!$B:$B,Calculation!I:I,"ERR",0)),"")</f>
        <v/>
      </c>
      <c r="I20" s="10">
        <f>VALUE(_xlfn.XLOOKUP($A20,Calculation!$B:$B,Calculation!J:J,"ERR",0))</f>
        <v>39.92</v>
      </c>
      <c r="J20" s="7">
        <f t="shared" si="0"/>
        <v>359.28000000000003</v>
      </c>
      <c r="K20" s="6" t="b">
        <f>SUM(C20:H20)=VLOOKUP(A20,Лист2!A:H,8,0)</f>
        <v>1</v>
      </c>
    </row>
    <row r="21" spans="1:11" x14ac:dyDescent="0.25">
      <c r="A21" s="11" t="str">
        <v>118710163</v>
      </c>
      <c r="B21" s="17" t="str">
        <f>_xlfn.XLOOKUP($A21,Calculation!$B:$B,Calculation!C:C,"ERR",0)</f>
        <v xml:space="preserve">Player Pigskin </v>
      </c>
      <c r="C21" s="17" t="str">
        <f>IFERROR(VALUE(_xlfn.XLOOKUP($A21,Calculation!$B:$B,Calculation!D:D,"ERR",0)),"")</f>
        <v/>
      </c>
      <c r="D21" s="17" t="str">
        <f>IFERROR(VALUE(_xlfn.XLOOKUP($A21,Calculation!$B:$B,Calculation!E:E,"ERR",0)),"")</f>
        <v/>
      </c>
      <c r="E21" s="17">
        <f>IFERROR(VALUE(_xlfn.XLOOKUP($A21,Calculation!$B:$B,Calculation!F:F,"ERR",0)),"")</f>
        <v>8</v>
      </c>
      <c r="F21" s="18">
        <f>IFERROR(VALUE(_xlfn.XLOOKUP($A21,Calculation!$B:$B,Calculation!G:G,"ERR",0)),"")</f>
        <v>9</v>
      </c>
      <c r="G21" s="18" t="str">
        <f>IFERROR(VALUE(_xlfn.XLOOKUP($A21,Calculation!$B:$B,Calculation!H:H,"ERR",0)),"")</f>
        <v/>
      </c>
      <c r="H21" s="18" t="str">
        <f>IFERROR(VALUE(_xlfn.XLOOKUP($A21,Calculation!$B:$B,Calculation!I:I,"ERR",0)),"")</f>
        <v/>
      </c>
      <c r="I21" s="10">
        <f>VALUE(_xlfn.XLOOKUP($A21,Calculation!$B:$B,Calculation!J:J,"ERR",0))</f>
        <v>45.6</v>
      </c>
      <c r="J21" s="7">
        <f t="shared" si="0"/>
        <v>775.2</v>
      </c>
      <c r="K21" s="6" t="b">
        <f>SUM(C21:H21)=VLOOKUP(A21,Лист2!A:H,8,0)</f>
        <v>1</v>
      </c>
    </row>
    <row r="22" spans="1:11" x14ac:dyDescent="0.25">
      <c r="A22" s="11" t="str">
        <v>749710562</v>
      </c>
      <c r="B22" s="17" t="str">
        <f>_xlfn.XLOOKUP($A22,Calculation!$B:$B,Calculation!C:C,"ERR",0)</f>
        <v xml:space="preserve">Army Cap Pigskin </v>
      </c>
      <c r="C22" s="17">
        <f>IFERROR(VALUE(_xlfn.XLOOKUP($A22,Calculation!$B:$B,Calculation!D:D,"ERR",0)),"")</f>
        <v>10</v>
      </c>
      <c r="D22" s="17" t="str">
        <f>IFERROR(VALUE(_xlfn.XLOOKUP($A22,Calculation!$B:$B,Calculation!E:E,"ERR",0)),"")</f>
        <v/>
      </c>
      <c r="E22" s="17" t="str">
        <f>IFERROR(VALUE(_xlfn.XLOOKUP($A22,Calculation!$B:$B,Calculation!F:F,"ERR",0)),"")</f>
        <v/>
      </c>
      <c r="F22" s="18" t="str">
        <f>IFERROR(VALUE(_xlfn.XLOOKUP($A22,Calculation!$B:$B,Calculation!G:G,"ERR",0)),"")</f>
        <v/>
      </c>
      <c r="G22" s="18" t="str">
        <f>IFERROR(VALUE(_xlfn.XLOOKUP($A22,Calculation!$B:$B,Calculation!H:H,"ERR",0)),"")</f>
        <v/>
      </c>
      <c r="H22" s="18" t="str">
        <f>IFERROR(VALUE(_xlfn.XLOOKUP($A22,Calculation!$B:$B,Calculation!I:I,"ERR",0)),"")</f>
        <v/>
      </c>
      <c r="I22" s="10">
        <f>VALUE(_xlfn.XLOOKUP($A22,Calculation!$B:$B,Calculation!J:J,"ERR",0))</f>
        <v>21.52</v>
      </c>
      <c r="J22" s="7">
        <f t="shared" si="0"/>
        <v>215.2</v>
      </c>
      <c r="K22" s="6" t="b">
        <f>SUM(C22:H22)=VLOOKUP(A22,Лист2!A:H,8,0)</f>
        <v>1</v>
      </c>
    </row>
    <row r="23" spans="1:11" x14ac:dyDescent="0.25">
      <c r="A23" s="11" t="str">
        <v>28111012</v>
      </c>
      <c r="B23" s="17" t="str">
        <f>_xlfn.XLOOKUP($A23,Calculation!$B:$B,Calculation!C:C,"ERR",0)</f>
        <v xml:space="preserve">Bucket Delave Organic Cotton </v>
      </c>
      <c r="C23" s="17" t="str">
        <f>IFERROR(VALUE(_xlfn.XLOOKUP($A23,Calculation!$B:$B,Calculation!D:D,"ERR",0)),"")</f>
        <v/>
      </c>
      <c r="D23" s="17" t="str">
        <f>IFERROR(VALUE(_xlfn.XLOOKUP($A23,Calculation!$B:$B,Calculation!E:E,"ERR",0)),"")</f>
        <v/>
      </c>
      <c r="E23" s="17" t="str">
        <f>IFERROR(VALUE(_xlfn.XLOOKUP($A23,Calculation!$B:$B,Calculation!F:F,"ERR",0)),"")</f>
        <v/>
      </c>
      <c r="F23" s="18">
        <f>IFERROR(VALUE(_xlfn.XLOOKUP($A23,Calculation!$B:$B,Calculation!G:G,"ERR",0)),"")</f>
        <v>4</v>
      </c>
      <c r="G23" s="18">
        <f>IFERROR(VALUE(_xlfn.XLOOKUP($A23,Calculation!$B:$B,Calculation!H:H,"ERR",0)),"")</f>
        <v>4</v>
      </c>
      <c r="H23" s="18">
        <f>IFERROR(VALUE(_xlfn.XLOOKUP($A23,Calculation!$B:$B,Calculation!I:I,"ERR",0)),"")</f>
        <v>2</v>
      </c>
      <c r="I23" s="10">
        <f>VALUE(_xlfn.XLOOKUP($A23,Calculation!$B:$B,Calculation!J:J,"ERR",0))</f>
        <v>21.52</v>
      </c>
      <c r="J23" s="7">
        <f t="shared" si="0"/>
        <v>215.2</v>
      </c>
      <c r="K23" s="6" t="b">
        <f>SUM(C23:H23)=VLOOKUP(A23,Лист2!A:H,8,0)</f>
        <v>1</v>
      </c>
    </row>
    <row r="24" spans="1:11" x14ac:dyDescent="0.25">
      <c r="A24" s="11" t="str">
        <v>28111011</v>
      </c>
      <c r="B24" s="17" t="str">
        <f>_xlfn.XLOOKUP($A24,Calculation!$B:$B,Calculation!C:C,"ERR",0)</f>
        <v xml:space="preserve">Bucket Delave Organic Cotton </v>
      </c>
      <c r="C24" s="17" t="str">
        <f>IFERROR(VALUE(_xlfn.XLOOKUP($A24,Calculation!$B:$B,Calculation!D:D,"ERR",0)),"")</f>
        <v/>
      </c>
      <c r="D24" s="17" t="str">
        <f>IFERROR(VALUE(_xlfn.XLOOKUP($A24,Calculation!$B:$B,Calculation!E:E,"ERR",0)),"")</f>
        <v/>
      </c>
      <c r="E24" s="17">
        <f>IFERROR(VALUE(_xlfn.XLOOKUP($A24,Calculation!$B:$B,Calculation!F:F,"ERR",0)),"")</f>
        <v>2</v>
      </c>
      <c r="F24" s="18">
        <f>IFERROR(VALUE(_xlfn.XLOOKUP($A24,Calculation!$B:$B,Calculation!G:G,"ERR",0)),"")</f>
        <v>8</v>
      </c>
      <c r="G24" s="18">
        <f>IFERROR(VALUE(_xlfn.XLOOKUP($A24,Calculation!$B:$B,Calculation!H:H,"ERR",0)),"")</f>
        <v>10</v>
      </c>
      <c r="H24" s="18">
        <f>IFERROR(VALUE(_xlfn.XLOOKUP($A24,Calculation!$B:$B,Calculation!I:I,"ERR",0)),"")</f>
        <v>5</v>
      </c>
      <c r="I24" s="10">
        <f>VALUE(_xlfn.XLOOKUP($A24,Calculation!$B:$B,Calculation!J:J,"ERR",0))</f>
        <v>21.52</v>
      </c>
      <c r="J24" s="7">
        <f t="shared" si="0"/>
        <v>538</v>
      </c>
      <c r="K24" s="6" t="b">
        <f>SUM(C24:H24)=VLOOKUP(A24,Лист2!A:H,8,0)</f>
        <v>1</v>
      </c>
    </row>
    <row r="25" spans="1:11" x14ac:dyDescent="0.25">
      <c r="A25" s="11" t="str">
        <v>77511945</v>
      </c>
      <c r="B25" s="17" t="str">
        <f>_xlfn.XLOOKUP($A25,Calculation!$B:$B,Calculation!C:C,"ERR",0)</f>
        <v xml:space="preserve">Trucker Cap Sun </v>
      </c>
      <c r="C25" s="17">
        <f>IFERROR(VALUE(_xlfn.XLOOKUP($A25,Calculation!$B:$B,Calculation!D:D,"ERR",0)),"")</f>
        <v>115</v>
      </c>
      <c r="D25" s="17" t="str">
        <f>IFERROR(VALUE(_xlfn.XLOOKUP($A25,Calculation!$B:$B,Calculation!E:E,"ERR",0)),"")</f>
        <v/>
      </c>
      <c r="E25" s="17" t="str">
        <f>IFERROR(VALUE(_xlfn.XLOOKUP($A25,Calculation!$B:$B,Calculation!F:F,"ERR",0)),"")</f>
        <v/>
      </c>
      <c r="F25" s="18" t="str">
        <f>IFERROR(VALUE(_xlfn.XLOOKUP($A25,Calculation!$B:$B,Calculation!G:G,"ERR",0)),"")</f>
        <v/>
      </c>
      <c r="G25" s="18" t="str">
        <f>IFERROR(VALUE(_xlfn.XLOOKUP($A25,Calculation!$B:$B,Calculation!H:H,"ERR",0)),"")</f>
        <v/>
      </c>
      <c r="H25" s="18" t="str">
        <f>IFERROR(VALUE(_xlfn.XLOOKUP($A25,Calculation!$B:$B,Calculation!I:I,"ERR",0)),"")</f>
        <v/>
      </c>
      <c r="I25" s="10">
        <f>VALUE(_xlfn.XLOOKUP($A25,Calculation!$B:$B,Calculation!J:J,"ERR",0))</f>
        <v>11.920000000000002</v>
      </c>
      <c r="J25" s="7">
        <f t="shared" si="0"/>
        <v>1370.8000000000002</v>
      </c>
      <c r="K25" s="6" t="b">
        <f>SUM(C25:H25)=VLOOKUP(A25,Лист2!A:H,8,0)</f>
        <v>1</v>
      </c>
    </row>
    <row r="26" spans="1:11" x14ac:dyDescent="0.25">
      <c r="A26" s="11" t="str">
        <v>28111016</v>
      </c>
      <c r="B26" s="17" t="str">
        <f>_xlfn.XLOOKUP($A26,Calculation!$B:$B,Calculation!C:C,"ERR",0)</f>
        <v xml:space="preserve">Bucket Delave Organic Cotton </v>
      </c>
      <c r="C26" s="17" t="str">
        <f>IFERROR(VALUE(_xlfn.XLOOKUP($A26,Calculation!$B:$B,Calculation!D:D,"ERR",0)),"")</f>
        <v/>
      </c>
      <c r="D26" s="17" t="str">
        <f>IFERROR(VALUE(_xlfn.XLOOKUP($A26,Calculation!$B:$B,Calculation!E:E,"ERR",0)),"")</f>
        <v/>
      </c>
      <c r="E26" s="17">
        <f>IFERROR(VALUE(_xlfn.XLOOKUP($A26,Calculation!$B:$B,Calculation!F:F,"ERR",0)),"")</f>
        <v>2</v>
      </c>
      <c r="F26" s="18">
        <f>IFERROR(VALUE(_xlfn.XLOOKUP($A26,Calculation!$B:$B,Calculation!G:G,"ERR",0)),"")</f>
        <v>6</v>
      </c>
      <c r="G26" s="18">
        <f>IFERROR(VALUE(_xlfn.XLOOKUP($A26,Calculation!$B:$B,Calculation!H:H,"ERR",0)),"")</f>
        <v>6</v>
      </c>
      <c r="H26" s="18">
        <f>IFERROR(VALUE(_xlfn.XLOOKUP($A26,Calculation!$B:$B,Calculation!I:I,"ERR",0)),"")</f>
        <v>3</v>
      </c>
      <c r="I26" s="10">
        <f>VALUE(_xlfn.XLOOKUP($A26,Calculation!$B:$B,Calculation!J:J,"ERR",0))</f>
        <v>21.52</v>
      </c>
      <c r="J26" s="7">
        <f t="shared" si="0"/>
        <v>365.84</v>
      </c>
      <c r="K26" s="6" t="b">
        <f>SUM(C26:H26)=VLOOKUP(A26,Лист2!A:H,8,0)</f>
        <v>1</v>
      </c>
    </row>
    <row r="27" spans="1:11" x14ac:dyDescent="0.25">
      <c r="A27" s="11" t="str">
        <v>281110161</v>
      </c>
      <c r="B27" s="17" t="str">
        <f>_xlfn.XLOOKUP($A27,Calculation!$B:$B,Calculation!C:C,"ERR",0)</f>
        <v xml:space="preserve">Bucket Delave Organic Cotton </v>
      </c>
      <c r="C27" s="17" t="str">
        <f>IFERROR(VALUE(_xlfn.XLOOKUP($A27,Calculation!$B:$B,Calculation!D:D,"ERR",0)),"")</f>
        <v/>
      </c>
      <c r="D27" s="17" t="str">
        <f>IFERROR(VALUE(_xlfn.XLOOKUP($A27,Calculation!$B:$B,Calculation!E:E,"ERR",0)),"")</f>
        <v/>
      </c>
      <c r="E27" s="17" t="str">
        <f>IFERROR(VALUE(_xlfn.XLOOKUP($A27,Calculation!$B:$B,Calculation!F:F,"ERR",0)),"")</f>
        <v/>
      </c>
      <c r="F27" s="18">
        <f>IFERROR(VALUE(_xlfn.XLOOKUP($A27,Calculation!$B:$B,Calculation!G:G,"ERR",0)),"")</f>
        <v>13</v>
      </c>
      <c r="G27" s="18">
        <f>IFERROR(VALUE(_xlfn.XLOOKUP($A27,Calculation!$B:$B,Calculation!H:H,"ERR",0)),"")</f>
        <v>13</v>
      </c>
      <c r="H27" s="18">
        <f>IFERROR(VALUE(_xlfn.XLOOKUP($A27,Calculation!$B:$B,Calculation!I:I,"ERR",0)),"")</f>
        <v>6</v>
      </c>
      <c r="I27" s="10">
        <f>VALUE(_xlfn.XLOOKUP($A27,Calculation!$B:$B,Calculation!J:J,"ERR",0))</f>
        <v>21.52</v>
      </c>
      <c r="J27" s="7">
        <f t="shared" si="0"/>
        <v>688.64</v>
      </c>
      <c r="K27" s="6" t="b">
        <f>SUM(C27:H27)=VLOOKUP(A27,Лист2!A:H,8,0)</f>
        <v>1</v>
      </c>
    </row>
    <row r="28" spans="1:11" x14ac:dyDescent="0.25">
      <c r="A28" s="11" t="str">
        <v>74911016</v>
      </c>
      <c r="B28" s="17" t="str">
        <f>_xlfn.XLOOKUP($A28,Calculation!$B:$B,Calculation!C:C,"ERR",0)</f>
        <v xml:space="preserve">Army Cap Cotton </v>
      </c>
      <c r="C28" s="17" t="str">
        <f>IFERROR(VALUE(_xlfn.XLOOKUP($A28,Calculation!$B:$B,Calculation!D:D,"ERR",0)),"")</f>
        <v/>
      </c>
      <c r="D28" s="17" t="str">
        <f>IFERROR(VALUE(_xlfn.XLOOKUP($A28,Calculation!$B:$B,Calculation!E:E,"ERR",0)),"")</f>
        <v/>
      </c>
      <c r="E28" s="17">
        <f>IFERROR(VALUE(_xlfn.XLOOKUP($A28,Calculation!$B:$B,Calculation!F:F,"ERR",0)),"")</f>
        <v>2</v>
      </c>
      <c r="F28" s="18">
        <f>IFERROR(VALUE(_xlfn.XLOOKUP($A28,Calculation!$B:$B,Calculation!G:G,"ERR",0)),"")</f>
        <v>7</v>
      </c>
      <c r="G28" s="18">
        <f>IFERROR(VALUE(_xlfn.XLOOKUP($A28,Calculation!$B:$B,Calculation!H:H,"ERR",0)),"")</f>
        <v>7</v>
      </c>
      <c r="H28" s="18" t="str">
        <f>IFERROR(VALUE(_xlfn.XLOOKUP($A28,Calculation!$B:$B,Calculation!I:I,"ERR",0)),"")</f>
        <v/>
      </c>
      <c r="I28" s="10">
        <f>VALUE(_xlfn.XLOOKUP($A28,Calculation!$B:$B,Calculation!J:J,"ERR",0))</f>
        <v>11.920000000000002</v>
      </c>
      <c r="J28" s="7">
        <f t="shared" si="0"/>
        <v>190.72000000000003</v>
      </c>
      <c r="K28" s="6" t="b">
        <f>SUM(C28:H28)=VLOOKUP(A28,Лист2!A:H,8,0)</f>
        <v>1</v>
      </c>
    </row>
    <row r="29" spans="1:11" x14ac:dyDescent="0.25">
      <c r="A29" s="11" t="str">
        <v>25411046</v>
      </c>
      <c r="B29" s="17" t="str">
        <f>_xlfn.XLOOKUP($A29,Calculation!$B:$B,Calculation!C:C,"ERR",0)</f>
        <v xml:space="preserve">Traveller Waxed Cotton </v>
      </c>
      <c r="C29" s="17" t="str">
        <f>IFERROR(VALUE(_xlfn.XLOOKUP($A29,Calculation!$B:$B,Calculation!D:D,"ERR",0)),"")</f>
        <v/>
      </c>
      <c r="D29" s="17" t="str">
        <f>IFERROR(VALUE(_xlfn.XLOOKUP($A29,Calculation!$B:$B,Calculation!E:E,"ERR",0)),"")</f>
        <v/>
      </c>
      <c r="E29" s="17">
        <f>IFERROR(VALUE(_xlfn.XLOOKUP($A29,Calculation!$B:$B,Calculation!F:F,"ERR",0)),"")</f>
        <v>8</v>
      </c>
      <c r="F29" s="18">
        <f>IFERROR(VALUE(_xlfn.XLOOKUP($A29,Calculation!$B:$B,Calculation!G:G,"ERR",0)),"")</f>
        <v>8</v>
      </c>
      <c r="G29" s="18">
        <f>IFERROR(VALUE(_xlfn.XLOOKUP($A29,Calculation!$B:$B,Calculation!H:H,"ERR",0)),"")</f>
        <v>6</v>
      </c>
      <c r="H29" s="18">
        <f>IFERROR(VALUE(_xlfn.XLOOKUP($A29,Calculation!$B:$B,Calculation!I:I,"ERR",0)),"")</f>
        <v>6</v>
      </c>
      <c r="I29" s="10">
        <f>VALUE(_xlfn.XLOOKUP($A29,Calculation!$B:$B,Calculation!J:J,"ERR",0))</f>
        <v>21.52</v>
      </c>
      <c r="J29" s="7">
        <f t="shared" si="0"/>
        <v>602.55999999999995</v>
      </c>
      <c r="K29" s="6" t="b">
        <f>SUM(C29:H29)=VLOOKUP(A29,Лист2!A:H,8,0)</f>
        <v>1</v>
      </c>
    </row>
    <row r="30" spans="1:11" x14ac:dyDescent="0.25">
      <c r="A30" s="11" t="str">
        <v>254110923</v>
      </c>
      <c r="B30" s="17" t="str">
        <f>_xlfn.XLOOKUP($A30,Calculation!$B:$B,Calculation!C:C,"ERR",0)</f>
        <v xml:space="preserve">Traveller Cotton </v>
      </c>
      <c r="C30" s="17" t="str">
        <f>IFERROR(VALUE(_xlfn.XLOOKUP($A30,Calculation!$B:$B,Calculation!D:D,"ERR",0)),"")</f>
        <v/>
      </c>
      <c r="D30" s="17" t="str">
        <f>IFERROR(VALUE(_xlfn.XLOOKUP($A30,Calculation!$B:$B,Calculation!E:E,"ERR",0)),"")</f>
        <v/>
      </c>
      <c r="E30" s="17">
        <f>IFERROR(VALUE(_xlfn.XLOOKUP($A30,Calculation!$B:$B,Calculation!F:F,"ERR",0)),"")</f>
        <v>3</v>
      </c>
      <c r="F30" s="18">
        <f>IFERROR(VALUE(_xlfn.XLOOKUP($A30,Calculation!$B:$B,Calculation!G:G,"ERR",0)),"")</f>
        <v>5</v>
      </c>
      <c r="G30" s="18">
        <f>IFERROR(VALUE(_xlfn.XLOOKUP($A30,Calculation!$B:$B,Calculation!H:H,"ERR",0)),"")</f>
        <v>5</v>
      </c>
      <c r="H30" s="18">
        <f>IFERROR(VALUE(_xlfn.XLOOKUP($A30,Calculation!$B:$B,Calculation!I:I,"ERR",0)),"")</f>
        <v>3</v>
      </c>
      <c r="I30" s="10">
        <f>VALUE(_xlfn.XLOOKUP($A30,Calculation!$B:$B,Calculation!J:J,"ERR",0))</f>
        <v>18.32</v>
      </c>
      <c r="J30" s="7">
        <f t="shared" si="0"/>
        <v>293.12</v>
      </c>
      <c r="K30" s="6" t="b">
        <f>SUM(C30:H30)=VLOOKUP(A30,Лист2!A:H,8,0)</f>
        <v>1</v>
      </c>
    </row>
    <row r="31" spans="1:11" x14ac:dyDescent="0.25">
      <c r="A31" s="11" t="str">
        <v>775611257</v>
      </c>
      <c r="B31" s="17" t="str">
        <f>_xlfn.XLOOKUP($A31,Calculation!$B:$B,Calculation!C:C,"ERR",0)</f>
        <v xml:space="preserve">Trucker Cap Hiking </v>
      </c>
      <c r="C31" s="17">
        <f>IFERROR(VALUE(_xlfn.XLOOKUP($A31,Calculation!$B:$B,Calculation!D:D,"ERR",0)),"")</f>
        <v>74</v>
      </c>
      <c r="D31" s="17" t="str">
        <f>IFERROR(VALUE(_xlfn.XLOOKUP($A31,Calculation!$B:$B,Calculation!E:E,"ERR",0)),"")</f>
        <v/>
      </c>
      <c r="E31" s="17" t="str">
        <f>IFERROR(VALUE(_xlfn.XLOOKUP($A31,Calculation!$B:$B,Calculation!F:F,"ERR",0)),"")</f>
        <v/>
      </c>
      <c r="F31" s="18" t="str">
        <f>IFERROR(VALUE(_xlfn.XLOOKUP($A31,Calculation!$B:$B,Calculation!G:G,"ERR",0)),"")</f>
        <v/>
      </c>
      <c r="G31" s="18" t="str">
        <f>IFERROR(VALUE(_xlfn.XLOOKUP($A31,Calculation!$B:$B,Calculation!H:H,"ERR",0)),"")</f>
        <v/>
      </c>
      <c r="H31" s="18" t="str">
        <f>IFERROR(VALUE(_xlfn.XLOOKUP($A31,Calculation!$B:$B,Calculation!I:I,"ERR",0)),"")</f>
        <v/>
      </c>
      <c r="I31" s="10">
        <f>VALUE(_xlfn.XLOOKUP($A31,Calculation!$B:$B,Calculation!J:J,"ERR",0))</f>
        <v>11.920000000000002</v>
      </c>
      <c r="J31" s="7">
        <f t="shared" ref="J31:J38" si="1">SUM(C31:H31)*I31</f>
        <v>882.08000000000015</v>
      </c>
      <c r="K31" s="6" t="b">
        <f>SUM(C31:H31)=VLOOKUP(A31,Лист2!A:H,8,0)</f>
        <v>1</v>
      </c>
    </row>
    <row r="32" spans="1:11" x14ac:dyDescent="0.25">
      <c r="A32" s="11" t="str">
        <v>778510189</v>
      </c>
      <c r="B32" s="17" t="str">
        <f>_xlfn.XLOOKUP($A32,Calculation!$B:$B,Calculation!C:C,"ERR",0)</f>
        <v xml:space="preserve">Baseball Cap Toothpick Rebel </v>
      </c>
      <c r="C32" s="17">
        <f>IFERROR(VALUE(_xlfn.XLOOKUP($A32,Calculation!$B:$B,Calculation!D:D,"ERR",0)),"")</f>
        <v>5</v>
      </c>
      <c r="D32" s="17" t="str">
        <f>IFERROR(VALUE(_xlfn.XLOOKUP($A32,Calculation!$B:$B,Calculation!E:E,"ERR",0)),"")</f>
        <v/>
      </c>
      <c r="E32" s="17" t="str">
        <f>IFERROR(VALUE(_xlfn.XLOOKUP($A32,Calculation!$B:$B,Calculation!F:F,"ERR",0)),"")</f>
        <v/>
      </c>
      <c r="F32" s="18" t="str">
        <f>IFERROR(VALUE(_xlfn.XLOOKUP($A32,Calculation!$B:$B,Calculation!G:G,"ERR",0)),"")</f>
        <v/>
      </c>
      <c r="G32" s="18" t="str">
        <f>IFERROR(VALUE(_xlfn.XLOOKUP($A32,Calculation!$B:$B,Calculation!H:H,"ERR",0)),"")</f>
        <v/>
      </c>
      <c r="H32" s="18" t="str">
        <f>IFERROR(VALUE(_xlfn.XLOOKUP($A32,Calculation!$B:$B,Calculation!I:I,"ERR",0)),"")</f>
        <v/>
      </c>
      <c r="I32" s="10">
        <f>VALUE(_xlfn.XLOOKUP($A32,Calculation!$B:$B,Calculation!J:J,"ERR",0))</f>
        <v>11.920000000000002</v>
      </c>
      <c r="J32" s="7">
        <f t="shared" si="1"/>
        <v>59.600000000000009</v>
      </c>
      <c r="K32" s="6" t="b">
        <f>SUM(C32:H32)=VLOOKUP(A32,Лист2!A:H,8,0)</f>
        <v>1</v>
      </c>
    </row>
    <row r="33" spans="1:11" x14ac:dyDescent="0.25">
      <c r="A33" s="11" t="str">
        <v>775119625</v>
      </c>
      <c r="B33" s="17" t="str">
        <f>_xlfn.XLOOKUP($A33,Calculation!$B:$B,Calculation!C:C,"ERR",0)</f>
        <v xml:space="preserve">Trucker Cap Chrome </v>
      </c>
      <c r="C33" s="17">
        <f>IFERROR(VALUE(_xlfn.XLOOKUP($A33,Calculation!$B:$B,Calculation!D:D,"ERR",0)),"")</f>
        <v>115</v>
      </c>
      <c r="D33" s="17" t="str">
        <f>IFERROR(VALUE(_xlfn.XLOOKUP($A33,Calculation!$B:$B,Calculation!E:E,"ERR",0)),"")</f>
        <v/>
      </c>
      <c r="E33" s="17" t="str">
        <f>IFERROR(VALUE(_xlfn.XLOOKUP($A33,Calculation!$B:$B,Calculation!F:F,"ERR",0)),"")</f>
        <v/>
      </c>
      <c r="F33" s="18" t="str">
        <f>IFERROR(VALUE(_xlfn.XLOOKUP($A33,Calculation!$B:$B,Calculation!G:G,"ERR",0)),"")</f>
        <v/>
      </c>
      <c r="G33" s="18" t="str">
        <f>IFERROR(VALUE(_xlfn.XLOOKUP($A33,Calculation!$B:$B,Calculation!H:H,"ERR",0)),"")</f>
        <v/>
      </c>
      <c r="H33" s="18" t="str">
        <f>IFERROR(VALUE(_xlfn.XLOOKUP($A33,Calculation!$B:$B,Calculation!I:I,"ERR",0)),"")</f>
        <v/>
      </c>
      <c r="I33" s="10">
        <f>VALUE(_xlfn.XLOOKUP($A33,Calculation!$B:$B,Calculation!J:J,"ERR",0))</f>
        <v>11.920000000000002</v>
      </c>
      <c r="J33" s="7">
        <f t="shared" si="1"/>
        <v>1370.8000000000002</v>
      </c>
      <c r="K33" s="6" t="b">
        <f>SUM(C33:H33)=VLOOKUP(A33,Лист2!A:H,8,0)</f>
        <v>1</v>
      </c>
    </row>
    <row r="34" spans="1:11" x14ac:dyDescent="0.25">
      <c r="A34" s="11" t="str">
        <v>775610628</v>
      </c>
      <c r="B34" s="17" t="str">
        <f>_xlfn.XLOOKUP($A34,Calculation!$B:$B,Calculation!C:C,"ERR",0)</f>
        <v xml:space="preserve">Trucker Cap Fishermen´s Bay </v>
      </c>
      <c r="C34" s="17">
        <f>IFERROR(VALUE(_xlfn.XLOOKUP($A34,Calculation!$B:$B,Calculation!D:D,"ERR",0)),"")</f>
        <v>105</v>
      </c>
      <c r="D34" s="17" t="str">
        <f>IFERROR(VALUE(_xlfn.XLOOKUP($A34,Calculation!$B:$B,Calculation!E:E,"ERR",0)),"")</f>
        <v/>
      </c>
      <c r="E34" s="17" t="str">
        <f>IFERROR(VALUE(_xlfn.XLOOKUP($A34,Calculation!$B:$B,Calculation!F:F,"ERR",0)),"")</f>
        <v/>
      </c>
      <c r="F34" s="18" t="str">
        <f>IFERROR(VALUE(_xlfn.XLOOKUP($A34,Calculation!$B:$B,Calculation!G:G,"ERR",0)),"")</f>
        <v/>
      </c>
      <c r="G34" s="18" t="str">
        <f>IFERROR(VALUE(_xlfn.XLOOKUP($A34,Calculation!$B:$B,Calculation!H:H,"ERR",0)),"")</f>
        <v/>
      </c>
      <c r="H34" s="18" t="str">
        <f>IFERROR(VALUE(_xlfn.XLOOKUP($A34,Calculation!$B:$B,Calculation!I:I,"ERR",0)),"")</f>
        <v/>
      </c>
      <c r="I34" s="10">
        <f>VALUE(_xlfn.XLOOKUP($A34,Calculation!$B:$B,Calculation!J:J,"ERR",0))</f>
        <v>11.920000000000002</v>
      </c>
      <c r="J34" s="7">
        <f t="shared" si="1"/>
        <v>1251.6000000000001</v>
      </c>
      <c r="K34" s="6" t="b">
        <f>SUM(C34:H34)=VLOOKUP(A34,Лист2!A:H,8,0)</f>
        <v>1</v>
      </c>
    </row>
    <row r="35" spans="1:11" x14ac:dyDescent="0.25">
      <c r="A35" s="11" t="str">
        <v>775611337</v>
      </c>
      <c r="B35" s="17" t="str">
        <f>_xlfn.XLOOKUP($A35,Calculation!$B:$B,Calculation!C:C,"ERR",0)</f>
        <v xml:space="preserve">Trucker Cap Animal Nature </v>
      </c>
      <c r="C35" s="17">
        <f>IFERROR(VALUE(_xlfn.XLOOKUP($A35,Calculation!$B:$B,Calculation!D:D,"ERR",0)),"")</f>
        <v>90</v>
      </c>
      <c r="D35" s="17" t="str">
        <f>IFERROR(VALUE(_xlfn.XLOOKUP($A35,Calculation!$B:$B,Calculation!E:E,"ERR",0)),"")</f>
        <v/>
      </c>
      <c r="E35" s="17" t="str">
        <f>IFERROR(VALUE(_xlfn.XLOOKUP($A35,Calculation!$B:$B,Calculation!F:F,"ERR",0)),"")</f>
        <v/>
      </c>
      <c r="F35" s="18" t="str">
        <f>IFERROR(VALUE(_xlfn.XLOOKUP($A35,Calculation!$B:$B,Calculation!G:G,"ERR",0)),"")</f>
        <v/>
      </c>
      <c r="G35" s="18" t="str">
        <f>IFERROR(VALUE(_xlfn.XLOOKUP($A35,Calculation!$B:$B,Calculation!H:H,"ERR",0)),"")</f>
        <v/>
      </c>
      <c r="H35" s="18" t="str">
        <f>IFERROR(VALUE(_xlfn.XLOOKUP($A35,Calculation!$B:$B,Calculation!I:I,"ERR",0)),"")</f>
        <v/>
      </c>
      <c r="I35" s="10">
        <f>VALUE(_xlfn.XLOOKUP($A35,Calculation!$B:$B,Calculation!J:J,"ERR",0))</f>
        <v>11.920000000000002</v>
      </c>
      <c r="J35" s="7">
        <f t="shared" si="1"/>
        <v>1072.8000000000002</v>
      </c>
      <c r="K35" s="6" t="b">
        <f>SUM(C35:H35)=VLOOKUP(A35,Лист2!A:H,8,0)</f>
        <v>1</v>
      </c>
    </row>
    <row r="36" spans="1:11" x14ac:dyDescent="0.25">
      <c r="A36" s="11" t="str">
        <v>775611428</v>
      </c>
      <c r="B36" s="17" t="str">
        <f>_xlfn.XLOOKUP($A36,Calculation!$B:$B,Calculation!C:C,"ERR",0)</f>
        <v xml:space="preserve">Trucker Cap Canoe </v>
      </c>
      <c r="C36" s="17">
        <f>IFERROR(VALUE(_xlfn.XLOOKUP($A36,Calculation!$B:$B,Calculation!D:D,"ERR",0)),"")</f>
        <v>130</v>
      </c>
      <c r="D36" s="17" t="str">
        <f>IFERROR(VALUE(_xlfn.XLOOKUP($A36,Calculation!$B:$B,Calculation!E:E,"ERR",0)),"")</f>
        <v/>
      </c>
      <c r="E36" s="17" t="str">
        <f>IFERROR(VALUE(_xlfn.XLOOKUP($A36,Calculation!$B:$B,Calculation!F:F,"ERR",0)),"")</f>
        <v/>
      </c>
      <c r="F36" s="18" t="str">
        <f>IFERROR(VALUE(_xlfn.XLOOKUP($A36,Calculation!$B:$B,Calculation!G:G,"ERR",0)),"")</f>
        <v/>
      </c>
      <c r="G36" s="18" t="str">
        <f>IFERROR(VALUE(_xlfn.XLOOKUP($A36,Calculation!$B:$B,Calculation!H:H,"ERR",0)),"")</f>
        <v/>
      </c>
      <c r="H36" s="18" t="str">
        <f>IFERROR(VALUE(_xlfn.XLOOKUP($A36,Calculation!$B:$B,Calculation!I:I,"ERR",0)),"")</f>
        <v/>
      </c>
      <c r="I36" s="10">
        <f>VALUE(_xlfn.XLOOKUP($A36,Calculation!$B:$B,Calculation!J:J,"ERR",0))</f>
        <v>11.920000000000002</v>
      </c>
      <c r="J36" s="7">
        <f t="shared" si="1"/>
        <v>1549.6000000000001</v>
      </c>
      <c r="K36" s="6" t="b">
        <f>SUM(C36:H36)=VLOOKUP(A36,Лист2!A:H,8,0)</f>
        <v>1</v>
      </c>
    </row>
    <row r="37" spans="1:11" x14ac:dyDescent="0.25">
      <c r="A37" s="11" t="str">
        <v>77211105</v>
      </c>
      <c r="B37" s="17" t="str">
        <f>_xlfn.XLOOKUP($A37,Calculation!$B:$B,Calculation!C:C,"ERR",0)</f>
        <v xml:space="preserve">Baseball Cap Cotton </v>
      </c>
      <c r="C37" s="17">
        <f>IFERROR(VALUE(_xlfn.XLOOKUP($A37,Calculation!$B:$B,Calculation!D:D,"ERR",0)),"")</f>
        <v>10</v>
      </c>
      <c r="D37" s="17" t="str">
        <f>IFERROR(VALUE(_xlfn.XLOOKUP($A37,Calculation!$B:$B,Calculation!E:E,"ERR",0)),"")</f>
        <v/>
      </c>
      <c r="E37" s="17" t="str">
        <f>IFERROR(VALUE(_xlfn.XLOOKUP($A37,Calculation!$B:$B,Calculation!F:F,"ERR",0)),"")</f>
        <v/>
      </c>
      <c r="F37" s="18" t="str">
        <f>IFERROR(VALUE(_xlfn.XLOOKUP($A37,Calculation!$B:$B,Calculation!G:G,"ERR",0)),"")</f>
        <v/>
      </c>
      <c r="G37" s="18" t="str">
        <f>IFERROR(VALUE(_xlfn.XLOOKUP($A37,Calculation!$B:$B,Calculation!H:H,"ERR",0)),"")</f>
        <v/>
      </c>
      <c r="H37" s="18" t="str">
        <f>IFERROR(VALUE(_xlfn.XLOOKUP($A37,Calculation!$B:$B,Calculation!I:I,"ERR",0)),"")</f>
        <v/>
      </c>
      <c r="I37" s="10">
        <f>VALUE(_xlfn.XLOOKUP($A37,Calculation!$B:$B,Calculation!J:J,"ERR",0))</f>
        <v>11.920000000000002</v>
      </c>
      <c r="J37" s="7">
        <f t="shared" si="1"/>
        <v>119.20000000000002</v>
      </c>
      <c r="K37" s="6" t="b">
        <f>SUM(C37:H37)=VLOOKUP(A37,Лист2!A:H,8,0)</f>
        <v>1</v>
      </c>
    </row>
    <row r="38" spans="1:11" x14ac:dyDescent="0.25">
      <c r="A38" s="11" t="str">
        <v>77211226</v>
      </c>
      <c r="B38" s="17" t="str">
        <f>_xlfn.XLOOKUP($A38,Calculation!$B:$B,Calculation!C:C,"ERR",0)</f>
        <v xml:space="preserve">Baseball Cap Duck </v>
      </c>
      <c r="C38" s="17">
        <f>IFERROR(VALUE(_xlfn.XLOOKUP($A38,Calculation!$B:$B,Calculation!D:D,"ERR",0)),"")</f>
        <v>40</v>
      </c>
      <c r="D38" s="17" t="str">
        <f>IFERROR(VALUE(_xlfn.XLOOKUP($A38,Calculation!$B:$B,Calculation!E:E,"ERR",0)),"")</f>
        <v/>
      </c>
      <c r="E38" s="17" t="str">
        <f>IFERROR(VALUE(_xlfn.XLOOKUP($A38,Calculation!$B:$B,Calculation!F:F,"ERR",0)),"")</f>
        <v/>
      </c>
      <c r="F38" s="18" t="str">
        <f>IFERROR(VALUE(_xlfn.XLOOKUP($A38,Calculation!$B:$B,Calculation!G:G,"ERR",0)),"")</f>
        <v/>
      </c>
      <c r="G38" s="18" t="str">
        <f>IFERROR(VALUE(_xlfn.XLOOKUP($A38,Calculation!$B:$B,Calculation!H:H,"ERR",0)),"")</f>
        <v/>
      </c>
      <c r="H38" s="18" t="str">
        <f>IFERROR(VALUE(_xlfn.XLOOKUP($A38,Calculation!$B:$B,Calculation!I:I,"ERR",0)),"")</f>
        <v/>
      </c>
      <c r="I38" s="10">
        <f>VALUE(_xlfn.XLOOKUP($A38,Calculation!$B:$B,Calculation!J:J,"ERR",0))</f>
        <v>15.12</v>
      </c>
      <c r="J38" s="7">
        <f t="shared" si="1"/>
        <v>604.79999999999995</v>
      </c>
      <c r="K38" s="6" t="b">
        <f>SUM(C38:H38)=VLOOKUP(A38,Лист2!A:H,8,0)</f>
        <v>1</v>
      </c>
    </row>
    <row r="39" spans="1:11" x14ac:dyDescent="0.25">
      <c r="I39" s="5"/>
      <c r="J39" s="4"/>
    </row>
  </sheetData>
  <conditionalFormatting sqref="A2:J1048576">
    <cfRule type="expression" dxfId="1" priority="3">
      <formula>IF($A2&lt;&gt;"",TRUE,FALSE)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3D09-46AF-4D74-8810-08EB65635689}">
  <dimension ref="A1:Q183"/>
  <sheetViews>
    <sheetView topLeftCell="A19" workbookViewId="0">
      <selection activeCell="C2" sqref="C2:H2"/>
    </sheetView>
  </sheetViews>
  <sheetFormatPr defaultRowHeight="15" x14ac:dyDescent="0.25"/>
  <cols>
    <col min="10" max="10" width="10" bestFit="1" customWidth="1"/>
  </cols>
  <sheetData>
    <row r="1" spans="1:17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</row>
    <row r="2" spans="1:17" x14ac:dyDescent="0.25">
      <c r="A2" t="s">
        <v>1</v>
      </c>
      <c r="B2" t="s">
        <v>220</v>
      </c>
      <c r="C2" t="s">
        <v>0</v>
      </c>
      <c r="D2">
        <v>55</v>
      </c>
      <c r="E2">
        <v>57</v>
      </c>
      <c r="F2">
        <v>59</v>
      </c>
      <c r="G2">
        <v>61</v>
      </c>
      <c r="H2">
        <v>63</v>
      </c>
      <c r="I2" t="s">
        <v>2</v>
      </c>
    </row>
    <row r="3" spans="1:17" x14ac:dyDescent="0.25">
      <c r="A3" t="s">
        <v>221</v>
      </c>
      <c r="B3" t="s">
        <v>222</v>
      </c>
      <c r="C3" t="s">
        <v>223</v>
      </c>
      <c r="D3" t="s">
        <v>223</v>
      </c>
      <c r="E3" t="s">
        <v>224</v>
      </c>
      <c r="F3" t="s">
        <v>225</v>
      </c>
      <c r="G3" t="s">
        <v>224</v>
      </c>
      <c r="H3" t="s">
        <v>223</v>
      </c>
      <c r="I3">
        <v>30.32</v>
      </c>
      <c r="J3" t="str">
        <f>IF(K3&lt;&gt;"",A3,"")</f>
        <v>181390499</v>
      </c>
      <c r="K3">
        <f>IF($I3&gt;0,IFERROR(VALUE(C3),0),"")</f>
        <v>0</v>
      </c>
      <c r="L3">
        <f>IF($I3&gt;0,IFERROR(VALUE(D3),0),"")</f>
        <v>0</v>
      </c>
      <c r="M3">
        <f>IF($I3&gt;0,IFERROR(VALUE(E3),0),"")</f>
        <v>2</v>
      </c>
      <c r="N3">
        <f>IF($I3&gt;0,IFERROR(VALUE(F3),0),"")</f>
        <v>4</v>
      </c>
      <c r="O3">
        <f>IF($I3&gt;0,IFERROR(VALUE(G3),0),"")</f>
        <v>2</v>
      </c>
      <c r="P3">
        <f>IF($I3&gt;0,IFERROR(VALUE(H3),0),"")</f>
        <v>0</v>
      </c>
      <c r="Q3">
        <f>IF(K3&lt;&gt;"",SUM(K3:P3),"")</f>
        <v>8</v>
      </c>
    </row>
    <row r="4" spans="1:17" x14ac:dyDescent="0.25">
      <c r="A4" t="s">
        <v>221</v>
      </c>
      <c r="B4" t="s">
        <v>222</v>
      </c>
      <c r="C4">
        <v>0</v>
      </c>
      <c r="D4">
        <v>0</v>
      </c>
      <c r="E4" t="s">
        <v>223</v>
      </c>
      <c r="F4">
        <v>4</v>
      </c>
      <c r="G4" t="s">
        <v>223</v>
      </c>
      <c r="H4" t="s">
        <v>223</v>
      </c>
      <c r="I4">
        <v>0</v>
      </c>
      <c r="J4" t="str">
        <f t="shared" ref="J4:J67" si="0">IF(K4&lt;&gt;"",A4,"")</f>
        <v/>
      </c>
      <c r="K4" t="str">
        <f t="shared" ref="K4:K67" si="1">IF($I4&gt;0,IFERROR(VALUE(C4),0),"")</f>
        <v/>
      </c>
      <c r="L4" t="str">
        <f t="shared" ref="L4:L67" si="2">IF($I4&gt;0,IFERROR(VALUE(D4),0),"")</f>
        <v/>
      </c>
      <c r="M4" t="str">
        <f t="shared" ref="M4:M67" si="3">IF($I4&gt;0,IFERROR(VALUE(E4),0),"")</f>
        <v/>
      </c>
      <c r="N4" t="str">
        <f t="shared" ref="N4:N67" si="4">IF($I4&gt;0,IFERROR(VALUE(F4),0),"")</f>
        <v/>
      </c>
      <c r="O4" t="str">
        <f t="shared" ref="O4:O67" si="5">IF($I4&gt;0,IFERROR(VALUE(G4),0),"")</f>
        <v/>
      </c>
      <c r="P4" t="str">
        <f t="shared" ref="P4:P67" si="6">IF($I4&gt;0,IFERROR(VALUE(H4),0),"")</f>
        <v/>
      </c>
      <c r="Q4" t="str">
        <f t="shared" ref="Q4:Q67" si="7">IF(K4&lt;&gt;"",SUM(K4:P4),"")</f>
        <v/>
      </c>
    </row>
    <row r="5" spans="1:17" x14ac:dyDescent="0.25">
      <c r="A5" t="s">
        <v>221</v>
      </c>
      <c r="B5" t="s">
        <v>222</v>
      </c>
      <c r="C5">
        <v>0</v>
      </c>
      <c r="D5">
        <v>0</v>
      </c>
      <c r="E5">
        <v>0</v>
      </c>
      <c r="F5" t="s">
        <v>223</v>
      </c>
      <c r="G5">
        <v>2</v>
      </c>
      <c r="H5" t="s">
        <v>223</v>
      </c>
      <c r="I5">
        <v>0</v>
      </c>
      <c r="J5" t="str">
        <f t="shared" si="0"/>
        <v/>
      </c>
      <c r="K5" t="str">
        <f t="shared" si="1"/>
        <v/>
      </c>
      <c r="L5" t="str">
        <f t="shared" si="2"/>
        <v/>
      </c>
      <c r="M5" t="str">
        <f t="shared" si="3"/>
        <v/>
      </c>
      <c r="N5" t="str">
        <f t="shared" si="4"/>
        <v/>
      </c>
      <c r="O5" t="str">
        <f t="shared" si="5"/>
        <v/>
      </c>
      <c r="P5" t="str">
        <f t="shared" si="6"/>
        <v/>
      </c>
      <c r="Q5" t="str">
        <f t="shared" si="7"/>
        <v/>
      </c>
    </row>
    <row r="6" spans="1:17" x14ac:dyDescent="0.25">
      <c r="A6" t="s">
        <v>221</v>
      </c>
      <c r="B6" t="s">
        <v>222</v>
      </c>
      <c r="C6">
        <v>0</v>
      </c>
      <c r="D6">
        <v>0</v>
      </c>
      <c r="E6">
        <v>0</v>
      </c>
      <c r="F6">
        <v>0</v>
      </c>
      <c r="G6" t="s">
        <v>223</v>
      </c>
      <c r="H6" t="s">
        <v>223</v>
      </c>
      <c r="I6">
        <v>0</v>
      </c>
      <c r="J6" t="str">
        <f t="shared" si="0"/>
        <v/>
      </c>
      <c r="K6" t="str">
        <f t="shared" si="1"/>
        <v/>
      </c>
      <c r="L6" t="str">
        <f t="shared" si="2"/>
        <v/>
      </c>
      <c r="M6" t="str">
        <f t="shared" si="3"/>
        <v/>
      </c>
      <c r="N6" t="str">
        <f t="shared" si="4"/>
        <v/>
      </c>
      <c r="O6" t="str">
        <f t="shared" si="5"/>
        <v/>
      </c>
      <c r="P6" t="str">
        <f t="shared" si="6"/>
        <v/>
      </c>
      <c r="Q6" t="str">
        <f t="shared" si="7"/>
        <v/>
      </c>
    </row>
    <row r="7" spans="1:17" x14ac:dyDescent="0.25">
      <c r="A7" t="s">
        <v>221</v>
      </c>
      <c r="B7" t="s">
        <v>222</v>
      </c>
      <c r="C7">
        <v>0</v>
      </c>
      <c r="D7">
        <v>0</v>
      </c>
      <c r="E7">
        <v>0</v>
      </c>
      <c r="F7">
        <v>0</v>
      </c>
      <c r="G7">
        <v>0</v>
      </c>
      <c r="H7" t="s">
        <v>223</v>
      </c>
      <c r="I7">
        <v>0</v>
      </c>
      <c r="J7" t="str">
        <f t="shared" si="0"/>
        <v/>
      </c>
      <c r="K7" t="str">
        <f t="shared" si="1"/>
        <v/>
      </c>
      <c r="L7" t="str">
        <f t="shared" si="2"/>
        <v/>
      </c>
      <c r="M7" t="str">
        <f t="shared" si="3"/>
        <v/>
      </c>
      <c r="N7" t="str">
        <f t="shared" si="4"/>
        <v/>
      </c>
      <c r="O7" t="str">
        <f t="shared" si="5"/>
        <v/>
      </c>
      <c r="P7" t="str">
        <f t="shared" si="6"/>
        <v/>
      </c>
      <c r="Q7" t="str">
        <f t="shared" si="7"/>
        <v/>
      </c>
    </row>
    <row r="8" spans="1:17" x14ac:dyDescent="0.25">
      <c r="A8" t="s">
        <v>226</v>
      </c>
      <c r="B8" t="s">
        <v>227</v>
      </c>
      <c r="C8">
        <v>12</v>
      </c>
      <c r="D8" t="s">
        <v>223</v>
      </c>
      <c r="E8" t="s">
        <v>223</v>
      </c>
      <c r="F8" t="s">
        <v>223</v>
      </c>
      <c r="G8" t="s">
        <v>223</v>
      </c>
      <c r="H8" t="s">
        <v>223</v>
      </c>
      <c r="I8">
        <v>11.920000000000002</v>
      </c>
      <c r="J8" t="str">
        <f t="shared" si="0"/>
        <v>77811153</v>
      </c>
      <c r="K8">
        <f t="shared" si="1"/>
        <v>12</v>
      </c>
      <c r="L8">
        <f t="shared" si="2"/>
        <v>0</v>
      </c>
      <c r="M8">
        <f t="shared" si="3"/>
        <v>0</v>
      </c>
      <c r="N8">
        <f t="shared" si="4"/>
        <v>0</v>
      </c>
      <c r="O8">
        <f t="shared" si="5"/>
        <v>0</v>
      </c>
      <c r="P8">
        <f t="shared" si="6"/>
        <v>0</v>
      </c>
      <c r="Q8">
        <f t="shared" si="7"/>
        <v>12</v>
      </c>
    </row>
    <row r="9" spans="1:17" x14ac:dyDescent="0.25">
      <c r="A9" t="s">
        <v>226</v>
      </c>
      <c r="B9" t="s">
        <v>227</v>
      </c>
      <c r="C9">
        <v>0</v>
      </c>
      <c r="D9">
        <v>0</v>
      </c>
      <c r="E9" t="s">
        <v>223</v>
      </c>
      <c r="F9" t="s">
        <v>223</v>
      </c>
      <c r="G9" t="s">
        <v>223</v>
      </c>
      <c r="H9" t="s">
        <v>223</v>
      </c>
      <c r="I9">
        <v>0</v>
      </c>
      <c r="J9" t="str">
        <f t="shared" si="0"/>
        <v/>
      </c>
      <c r="K9" t="str">
        <f t="shared" si="1"/>
        <v/>
      </c>
      <c r="L9" t="str">
        <f t="shared" si="2"/>
        <v/>
      </c>
      <c r="M9" t="str">
        <f t="shared" si="3"/>
        <v/>
      </c>
      <c r="N9" t="str">
        <f t="shared" si="4"/>
        <v/>
      </c>
      <c r="O9" t="str">
        <f t="shared" si="5"/>
        <v/>
      </c>
      <c r="P9" t="str">
        <f t="shared" si="6"/>
        <v/>
      </c>
      <c r="Q9" t="str">
        <f t="shared" si="7"/>
        <v/>
      </c>
    </row>
    <row r="10" spans="1:17" x14ac:dyDescent="0.25">
      <c r="A10" t="s">
        <v>226</v>
      </c>
      <c r="B10" t="s">
        <v>227</v>
      </c>
      <c r="C10">
        <v>0</v>
      </c>
      <c r="D10">
        <v>0</v>
      </c>
      <c r="E10">
        <v>0</v>
      </c>
      <c r="F10" t="s">
        <v>223</v>
      </c>
      <c r="G10" t="s">
        <v>223</v>
      </c>
      <c r="H10" t="s">
        <v>223</v>
      </c>
      <c r="I10">
        <v>0</v>
      </c>
      <c r="J10" t="str">
        <f t="shared" si="0"/>
        <v/>
      </c>
      <c r="K10" t="str">
        <f t="shared" si="1"/>
        <v/>
      </c>
      <c r="L10" t="str">
        <f t="shared" si="2"/>
        <v/>
      </c>
      <c r="M10" t="str">
        <f t="shared" si="3"/>
        <v/>
      </c>
      <c r="N10" t="str">
        <f t="shared" si="4"/>
        <v/>
      </c>
      <c r="O10" t="str">
        <f t="shared" si="5"/>
        <v/>
      </c>
      <c r="P10" t="str">
        <f t="shared" si="6"/>
        <v/>
      </c>
      <c r="Q10" t="str">
        <f t="shared" si="7"/>
        <v/>
      </c>
    </row>
    <row r="11" spans="1:17" x14ac:dyDescent="0.25">
      <c r="A11" t="s">
        <v>226</v>
      </c>
      <c r="B11" t="s">
        <v>227</v>
      </c>
      <c r="C11">
        <v>0</v>
      </c>
      <c r="D11">
        <v>0</v>
      </c>
      <c r="E11">
        <v>0</v>
      </c>
      <c r="F11">
        <v>0</v>
      </c>
      <c r="G11" t="s">
        <v>223</v>
      </c>
      <c r="H11" t="s">
        <v>223</v>
      </c>
      <c r="I11">
        <v>0</v>
      </c>
      <c r="J11" t="str">
        <f t="shared" si="0"/>
        <v/>
      </c>
      <c r="K11" t="str">
        <f t="shared" si="1"/>
        <v/>
      </c>
      <c r="L11" t="str">
        <f t="shared" si="2"/>
        <v/>
      </c>
      <c r="M11" t="str">
        <f t="shared" si="3"/>
        <v/>
      </c>
      <c r="N11" t="str">
        <f t="shared" si="4"/>
        <v/>
      </c>
      <c r="O11" t="str">
        <f t="shared" si="5"/>
        <v/>
      </c>
      <c r="P11" t="str">
        <f t="shared" si="6"/>
        <v/>
      </c>
      <c r="Q11" t="str">
        <f t="shared" si="7"/>
        <v/>
      </c>
    </row>
    <row r="12" spans="1:17" x14ac:dyDescent="0.25">
      <c r="A12" t="s">
        <v>226</v>
      </c>
      <c r="B12" t="s">
        <v>227</v>
      </c>
      <c r="C12">
        <v>0</v>
      </c>
      <c r="D12">
        <v>0</v>
      </c>
      <c r="E12">
        <v>0</v>
      </c>
      <c r="F12">
        <v>0</v>
      </c>
      <c r="G12">
        <v>0</v>
      </c>
      <c r="H12" t="s">
        <v>223</v>
      </c>
      <c r="I12">
        <v>0</v>
      </c>
      <c r="J12" t="str">
        <f t="shared" si="0"/>
        <v/>
      </c>
      <c r="K12" t="str">
        <f t="shared" si="1"/>
        <v/>
      </c>
      <c r="L12" t="str">
        <f t="shared" si="2"/>
        <v/>
      </c>
      <c r="M12" t="str">
        <f t="shared" si="3"/>
        <v/>
      </c>
      <c r="N12" t="str">
        <f t="shared" si="4"/>
        <v/>
      </c>
      <c r="O12" t="str">
        <f t="shared" si="5"/>
        <v/>
      </c>
      <c r="P12" t="str">
        <f t="shared" si="6"/>
        <v/>
      </c>
      <c r="Q12" t="str">
        <f t="shared" si="7"/>
        <v/>
      </c>
    </row>
    <row r="13" spans="1:17" x14ac:dyDescent="0.25">
      <c r="A13" t="s">
        <v>228</v>
      </c>
      <c r="B13" t="s">
        <v>227</v>
      </c>
      <c r="C13">
        <v>6</v>
      </c>
      <c r="D13" t="s">
        <v>223</v>
      </c>
      <c r="E13" t="s">
        <v>223</v>
      </c>
      <c r="F13" t="s">
        <v>223</v>
      </c>
      <c r="G13" t="s">
        <v>223</v>
      </c>
      <c r="H13" t="s">
        <v>223</v>
      </c>
      <c r="I13">
        <v>11.920000000000002</v>
      </c>
      <c r="J13" t="str">
        <f t="shared" si="0"/>
        <v>77811158</v>
      </c>
      <c r="K13">
        <f t="shared" si="1"/>
        <v>6</v>
      </c>
      <c r="L13">
        <f t="shared" si="2"/>
        <v>0</v>
      </c>
      <c r="M13">
        <f t="shared" si="3"/>
        <v>0</v>
      </c>
      <c r="N13">
        <f t="shared" si="4"/>
        <v>0</v>
      </c>
      <c r="O13">
        <f t="shared" si="5"/>
        <v>0</v>
      </c>
      <c r="P13">
        <f t="shared" si="6"/>
        <v>0</v>
      </c>
      <c r="Q13">
        <f t="shared" si="7"/>
        <v>6</v>
      </c>
    </row>
    <row r="14" spans="1:17" x14ac:dyDescent="0.25">
      <c r="A14" t="s">
        <v>228</v>
      </c>
      <c r="B14" t="s">
        <v>227</v>
      </c>
      <c r="C14">
        <v>0</v>
      </c>
      <c r="D14">
        <v>0</v>
      </c>
      <c r="E14" t="s">
        <v>223</v>
      </c>
      <c r="F14" t="s">
        <v>223</v>
      </c>
      <c r="G14" t="s">
        <v>223</v>
      </c>
      <c r="H14" t="s">
        <v>223</v>
      </c>
      <c r="I14">
        <v>0</v>
      </c>
      <c r="J14" t="str">
        <f t="shared" si="0"/>
        <v/>
      </c>
      <c r="K14" t="str">
        <f t="shared" si="1"/>
        <v/>
      </c>
      <c r="L14" t="str">
        <f t="shared" si="2"/>
        <v/>
      </c>
      <c r="M14" t="str">
        <f t="shared" si="3"/>
        <v/>
      </c>
      <c r="N14" t="str">
        <f t="shared" si="4"/>
        <v/>
      </c>
      <c r="O14" t="str">
        <f t="shared" si="5"/>
        <v/>
      </c>
      <c r="P14" t="str">
        <f t="shared" si="6"/>
        <v/>
      </c>
      <c r="Q14" t="str">
        <f t="shared" si="7"/>
        <v/>
      </c>
    </row>
    <row r="15" spans="1:17" x14ac:dyDescent="0.25">
      <c r="A15" t="s">
        <v>228</v>
      </c>
      <c r="B15" t="s">
        <v>227</v>
      </c>
      <c r="C15">
        <v>0</v>
      </c>
      <c r="D15">
        <v>0</v>
      </c>
      <c r="E15">
        <v>0</v>
      </c>
      <c r="F15" t="s">
        <v>223</v>
      </c>
      <c r="G15" t="s">
        <v>223</v>
      </c>
      <c r="H15" t="s">
        <v>223</v>
      </c>
      <c r="I15">
        <v>0</v>
      </c>
      <c r="J15" t="str">
        <f t="shared" si="0"/>
        <v/>
      </c>
      <c r="K15" t="str">
        <f t="shared" si="1"/>
        <v/>
      </c>
      <c r="L15" t="str">
        <f t="shared" si="2"/>
        <v/>
      </c>
      <c r="M15" t="str">
        <f t="shared" si="3"/>
        <v/>
      </c>
      <c r="N15" t="str">
        <f t="shared" si="4"/>
        <v/>
      </c>
      <c r="O15" t="str">
        <f t="shared" si="5"/>
        <v/>
      </c>
      <c r="P15" t="str">
        <f t="shared" si="6"/>
        <v/>
      </c>
      <c r="Q15" t="str">
        <f t="shared" si="7"/>
        <v/>
      </c>
    </row>
    <row r="16" spans="1:17" x14ac:dyDescent="0.25">
      <c r="A16" t="s">
        <v>228</v>
      </c>
      <c r="B16" t="s">
        <v>227</v>
      </c>
      <c r="C16">
        <v>0</v>
      </c>
      <c r="D16">
        <v>0</v>
      </c>
      <c r="E16">
        <v>0</v>
      </c>
      <c r="F16">
        <v>0</v>
      </c>
      <c r="G16" t="s">
        <v>223</v>
      </c>
      <c r="H16" t="s">
        <v>223</v>
      </c>
      <c r="I16">
        <v>0</v>
      </c>
      <c r="J16" t="str">
        <f t="shared" si="0"/>
        <v/>
      </c>
      <c r="K16" t="str">
        <f t="shared" si="1"/>
        <v/>
      </c>
      <c r="L16" t="str">
        <f t="shared" si="2"/>
        <v/>
      </c>
      <c r="M16" t="str">
        <f t="shared" si="3"/>
        <v/>
      </c>
      <c r="N16" t="str">
        <f t="shared" si="4"/>
        <v/>
      </c>
      <c r="O16" t="str">
        <f t="shared" si="5"/>
        <v/>
      </c>
      <c r="P16" t="str">
        <f t="shared" si="6"/>
        <v/>
      </c>
      <c r="Q16" t="str">
        <f t="shared" si="7"/>
        <v/>
      </c>
    </row>
    <row r="17" spans="1:17" x14ac:dyDescent="0.25">
      <c r="A17" t="s">
        <v>228</v>
      </c>
      <c r="B17" t="s">
        <v>227</v>
      </c>
      <c r="C17">
        <v>0</v>
      </c>
      <c r="D17">
        <v>0</v>
      </c>
      <c r="E17">
        <v>0</v>
      </c>
      <c r="F17">
        <v>0</v>
      </c>
      <c r="G17">
        <v>0</v>
      </c>
      <c r="H17" t="s">
        <v>223</v>
      </c>
      <c r="I17">
        <v>0</v>
      </c>
      <c r="J17" t="str">
        <f t="shared" si="0"/>
        <v/>
      </c>
      <c r="K17" t="str">
        <f t="shared" si="1"/>
        <v/>
      </c>
      <c r="L17" t="str">
        <f t="shared" si="2"/>
        <v/>
      </c>
      <c r="M17" t="str">
        <f t="shared" si="3"/>
        <v/>
      </c>
      <c r="N17" t="str">
        <f t="shared" si="4"/>
        <v/>
      </c>
      <c r="O17" t="str">
        <f t="shared" si="5"/>
        <v/>
      </c>
      <c r="P17" t="str">
        <f t="shared" si="6"/>
        <v/>
      </c>
      <c r="Q17" t="str">
        <f t="shared" si="7"/>
        <v/>
      </c>
    </row>
    <row r="18" spans="1:17" x14ac:dyDescent="0.25">
      <c r="A18" t="s">
        <v>229</v>
      </c>
      <c r="B18" t="s">
        <v>230</v>
      </c>
      <c r="C18">
        <v>6</v>
      </c>
      <c r="D18" t="s">
        <v>223</v>
      </c>
      <c r="E18" t="s">
        <v>223</v>
      </c>
      <c r="F18" t="s">
        <v>223</v>
      </c>
      <c r="G18" t="s">
        <v>223</v>
      </c>
      <c r="H18" t="s">
        <v>223</v>
      </c>
      <c r="I18">
        <v>11.920000000000002</v>
      </c>
      <c r="J18" t="str">
        <f t="shared" si="0"/>
        <v>778111875</v>
      </c>
      <c r="K18">
        <f t="shared" si="1"/>
        <v>6</v>
      </c>
      <c r="L18">
        <f t="shared" si="2"/>
        <v>0</v>
      </c>
      <c r="M18">
        <f t="shared" si="3"/>
        <v>0</v>
      </c>
      <c r="N18">
        <f t="shared" si="4"/>
        <v>0</v>
      </c>
      <c r="O18">
        <f t="shared" si="5"/>
        <v>0</v>
      </c>
      <c r="P18">
        <f t="shared" si="6"/>
        <v>0</v>
      </c>
      <c r="Q18">
        <f t="shared" si="7"/>
        <v>6</v>
      </c>
    </row>
    <row r="19" spans="1:17" x14ac:dyDescent="0.25">
      <c r="A19" t="s">
        <v>229</v>
      </c>
      <c r="B19" t="s">
        <v>230</v>
      </c>
      <c r="C19">
        <v>0</v>
      </c>
      <c r="D19">
        <v>0</v>
      </c>
      <c r="E19" t="s">
        <v>223</v>
      </c>
      <c r="F19" t="s">
        <v>223</v>
      </c>
      <c r="G19" t="s">
        <v>223</v>
      </c>
      <c r="H19" t="s">
        <v>223</v>
      </c>
      <c r="I19">
        <v>0</v>
      </c>
      <c r="J19" t="str">
        <f t="shared" si="0"/>
        <v/>
      </c>
      <c r="K19" t="str">
        <f t="shared" si="1"/>
        <v/>
      </c>
      <c r="L19" t="str">
        <f t="shared" si="2"/>
        <v/>
      </c>
      <c r="M19" t="str">
        <f t="shared" si="3"/>
        <v/>
      </c>
      <c r="N19" t="str">
        <f t="shared" si="4"/>
        <v/>
      </c>
      <c r="O19" t="str">
        <f t="shared" si="5"/>
        <v/>
      </c>
      <c r="P19" t="str">
        <f t="shared" si="6"/>
        <v/>
      </c>
      <c r="Q19" t="str">
        <f t="shared" si="7"/>
        <v/>
      </c>
    </row>
    <row r="20" spans="1:17" x14ac:dyDescent="0.25">
      <c r="A20" t="s">
        <v>229</v>
      </c>
      <c r="B20" t="s">
        <v>230</v>
      </c>
      <c r="C20">
        <v>0</v>
      </c>
      <c r="D20">
        <v>0</v>
      </c>
      <c r="E20">
        <v>0</v>
      </c>
      <c r="F20" t="s">
        <v>223</v>
      </c>
      <c r="G20" t="s">
        <v>223</v>
      </c>
      <c r="H20" t="s">
        <v>223</v>
      </c>
      <c r="I20">
        <v>0</v>
      </c>
      <c r="J20" t="str">
        <f t="shared" si="0"/>
        <v/>
      </c>
      <c r="K20" t="str">
        <f t="shared" si="1"/>
        <v/>
      </c>
      <c r="L20" t="str">
        <f t="shared" si="2"/>
        <v/>
      </c>
      <c r="M20" t="str">
        <f t="shared" si="3"/>
        <v/>
      </c>
      <c r="N20" t="str">
        <f t="shared" si="4"/>
        <v/>
      </c>
      <c r="O20" t="str">
        <f t="shared" si="5"/>
        <v/>
      </c>
      <c r="P20" t="str">
        <f t="shared" si="6"/>
        <v/>
      </c>
      <c r="Q20" t="str">
        <f t="shared" si="7"/>
        <v/>
      </c>
    </row>
    <row r="21" spans="1:17" x14ac:dyDescent="0.25">
      <c r="A21" t="s">
        <v>229</v>
      </c>
      <c r="B21" t="s">
        <v>230</v>
      </c>
      <c r="C21">
        <v>0</v>
      </c>
      <c r="D21">
        <v>0</v>
      </c>
      <c r="E21">
        <v>0</v>
      </c>
      <c r="F21">
        <v>0</v>
      </c>
      <c r="G21" t="s">
        <v>223</v>
      </c>
      <c r="H21" t="s">
        <v>223</v>
      </c>
      <c r="I21">
        <v>0</v>
      </c>
      <c r="J21" t="str">
        <f t="shared" si="0"/>
        <v/>
      </c>
      <c r="K21" t="str">
        <f t="shared" si="1"/>
        <v/>
      </c>
      <c r="L21" t="str">
        <f t="shared" si="2"/>
        <v/>
      </c>
      <c r="M21" t="str">
        <f t="shared" si="3"/>
        <v/>
      </c>
      <c r="N21" t="str">
        <f t="shared" si="4"/>
        <v/>
      </c>
      <c r="O21" t="str">
        <f t="shared" si="5"/>
        <v/>
      </c>
      <c r="P21" t="str">
        <f t="shared" si="6"/>
        <v/>
      </c>
      <c r="Q21" t="str">
        <f t="shared" si="7"/>
        <v/>
      </c>
    </row>
    <row r="22" spans="1:17" x14ac:dyDescent="0.25">
      <c r="A22" t="s">
        <v>229</v>
      </c>
      <c r="B22" t="s">
        <v>230</v>
      </c>
      <c r="C22">
        <v>0</v>
      </c>
      <c r="D22">
        <v>0</v>
      </c>
      <c r="E22">
        <v>0</v>
      </c>
      <c r="F22">
        <v>0</v>
      </c>
      <c r="G22">
        <v>0</v>
      </c>
      <c r="H22" t="s">
        <v>223</v>
      </c>
      <c r="I22">
        <v>0</v>
      </c>
      <c r="J22" t="str">
        <f t="shared" si="0"/>
        <v/>
      </c>
      <c r="K22" t="str">
        <f t="shared" si="1"/>
        <v/>
      </c>
      <c r="L22" t="str">
        <f t="shared" si="2"/>
        <v/>
      </c>
      <c r="M22" t="str">
        <f t="shared" si="3"/>
        <v/>
      </c>
      <c r="N22" t="str">
        <f t="shared" si="4"/>
        <v/>
      </c>
      <c r="O22" t="str">
        <f t="shared" si="5"/>
        <v/>
      </c>
      <c r="P22" t="str">
        <f t="shared" si="6"/>
        <v/>
      </c>
      <c r="Q22" t="str">
        <f t="shared" si="7"/>
        <v/>
      </c>
    </row>
    <row r="23" spans="1:17" x14ac:dyDescent="0.25">
      <c r="A23" t="s">
        <v>231</v>
      </c>
      <c r="B23" t="s">
        <v>232</v>
      </c>
      <c r="C23">
        <v>6</v>
      </c>
      <c r="D23" t="s">
        <v>223</v>
      </c>
      <c r="E23" t="s">
        <v>223</v>
      </c>
      <c r="F23" t="s">
        <v>223</v>
      </c>
      <c r="G23" t="s">
        <v>223</v>
      </c>
      <c r="H23" t="s">
        <v>223</v>
      </c>
      <c r="I23">
        <v>11.920000000000002</v>
      </c>
      <c r="J23" t="str">
        <f t="shared" si="0"/>
        <v>778112031</v>
      </c>
      <c r="K23">
        <f t="shared" si="1"/>
        <v>6</v>
      </c>
      <c r="L23">
        <f t="shared" si="2"/>
        <v>0</v>
      </c>
      <c r="M23">
        <f t="shared" si="3"/>
        <v>0</v>
      </c>
      <c r="N23">
        <f t="shared" si="4"/>
        <v>0</v>
      </c>
      <c r="O23">
        <f t="shared" si="5"/>
        <v>0</v>
      </c>
      <c r="P23">
        <f t="shared" si="6"/>
        <v>0</v>
      </c>
      <c r="Q23">
        <f t="shared" si="7"/>
        <v>6</v>
      </c>
    </row>
    <row r="24" spans="1:17" x14ac:dyDescent="0.25">
      <c r="A24" t="s">
        <v>231</v>
      </c>
      <c r="B24" t="s">
        <v>232</v>
      </c>
      <c r="C24">
        <v>0</v>
      </c>
      <c r="D24">
        <v>0</v>
      </c>
      <c r="E24" t="s">
        <v>223</v>
      </c>
      <c r="F24" t="s">
        <v>223</v>
      </c>
      <c r="G24" t="s">
        <v>223</v>
      </c>
      <c r="H24" t="s">
        <v>223</v>
      </c>
      <c r="I24">
        <v>0</v>
      </c>
      <c r="J24" t="str">
        <f t="shared" si="0"/>
        <v/>
      </c>
      <c r="K24" t="str">
        <f t="shared" si="1"/>
        <v/>
      </c>
      <c r="L24" t="str">
        <f t="shared" si="2"/>
        <v/>
      </c>
      <c r="M24" t="str">
        <f t="shared" si="3"/>
        <v/>
      </c>
      <c r="N24" t="str">
        <f t="shared" si="4"/>
        <v/>
      </c>
      <c r="O24" t="str">
        <f t="shared" si="5"/>
        <v/>
      </c>
      <c r="P24" t="str">
        <f t="shared" si="6"/>
        <v/>
      </c>
      <c r="Q24" t="str">
        <f t="shared" si="7"/>
        <v/>
      </c>
    </row>
    <row r="25" spans="1:17" x14ac:dyDescent="0.25">
      <c r="A25" t="s">
        <v>231</v>
      </c>
      <c r="B25" t="s">
        <v>232</v>
      </c>
      <c r="C25">
        <v>0</v>
      </c>
      <c r="D25">
        <v>0</v>
      </c>
      <c r="E25">
        <v>0</v>
      </c>
      <c r="F25" t="s">
        <v>223</v>
      </c>
      <c r="G25" t="s">
        <v>223</v>
      </c>
      <c r="H25" t="s">
        <v>223</v>
      </c>
      <c r="I25">
        <v>0</v>
      </c>
      <c r="J25" t="str">
        <f t="shared" si="0"/>
        <v/>
      </c>
      <c r="K25" t="str">
        <f t="shared" si="1"/>
        <v/>
      </c>
      <c r="L25" t="str">
        <f t="shared" si="2"/>
        <v/>
      </c>
      <c r="M25" t="str">
        <f t="shared" si="3"/>
        <v/>
      </c>
      <c r="N25" t="str">
        <f t="shared" si="4"/>
        <v/>
      </c>
      <c r="O25" t="str">
        <f t="shared" si="5"/>
        <v/>
      </c>
      <c r="P25" t="str">
        <f t="shared" si="6"/>
        <v/>
      </c>
      <c r="Q25" t="str">
        <f t="shared" si="7"/>
        <v/>
      </c>
    </row>
    <row r="26" spans="1:17" x14ac:dyDescent="0.25">
      <c r="A26" t="s">
        <v>231</v>
      </c>
      <c r="B26" t="s">
        <v>232</v>
      </c>
      <c r="C26">
        <v>0</v>
      </c>
      <c r="D26">
        <v>0</v>
      </c>
      <c r="E26">
        <v>0</v>
      </c>
      <c r="F26">
        <v>0</v>
      </c>
      <c r="G26" t="s">
        <v>223</v>
      </c>
      <c r="H26" t="s">
        <v>223</v>
      </c>
      <c r="I26">
        <v>0</v>
      </c>
      <c r="J26" t="str">
        <f t="shared" si="0"/>
        <v/>
      </c>
      <c r="K26" t="str">
        <f t="shared" si="1"/>
        <v/>
      </c>
      <c r="L26" t="str">
        <f t="shared" si="2"/>
        <v/>
      </c>
      <c r="M26" t="str">
        <f t="shared" si="3"/>
        <v/>
      </c>
      <c r="N26" t="str">
        <f t="shared" si="4"/>
        <v/>
      </c>
      <c r="O26" t="str">
        <f t="shared" si="5"/>
        <v/>
      </c>
      <c r="P26" t="str">
        <f t="shared" si="6"/>
        <v/>
      </c>
      <c r="Q26" t="str">
        <f t="shared" si="7"/>
        <v/>
      </c>
    </row>
    <row r="27" spans="1:17" x14ac:dyDescent="0.25">
      <c r="A27" t="s">
        <v>231</v>
      </c>
      <c r="B27" t="s">
        <v>232</v>
      </c>
      <c r="C27">
        <v>0</v>
      </c>
      <c r="D27">
        <v>0</v>
      </c>
      <c r="E27">
        <v>0</v>
      </c>
      <c r="F27">
        <v>0</v>
      </c>
      <c r="G27">
        <v>0</v>
      </c>
      <c r="H27" t="s">
        <v>223</v>
      </c>
      <c r="I27">
        <v>0</v>
      </c>
      <c r="J27" t="str">
        <f t="shared" si="0"/>
        <v/>
      </c>
      <c r="K27" t="str">
        <f t="shared" si="1"/>
        <v/>
      </c>
      <c r="L27" t="str">
        <f t="shared" si="2"/>
        <v/>
      </c>
      <c r="M27" t="str">
        <f t="shared" si="3"/>
        <v/>
      </c>
      <c r="N27" t="str">
        <f t="shared" si="4"/>
        <v/>
      </c>
      <c r="O27" t="str">
        <f t="shared" si="5"/>
        <v/>
      </c>
      <c r="P27" t="str">
        <f t="shared" si="6"/>
        <v/>
      </c>
      <c r="Q27" t="str">
        <f t="shared" si="7"/>
        <v/>
      </c>
    </row>
    <row r="28" spans="1:17" x14ac:dyDescent="0.25">
      <c r="A28" t="s">
        <v>233</v>
      </c>
      <c r="B28" t="s">
        <v>234</v>
      </c>
      <c r="C28" t="s">
        <v>223</v>
      </c>
      <c r="D28">
        <v>1</v>
      </c>
      <c r="E28" t="s">
        <v>235</v>
      </c>
      <c r="F28" t="s">
        <v>236</v>
      </c>
      <c r="G28" t="s">
        <v>235</v>
      </c>
      <c r="H28" t="s">
        <v>237</v>
      </c>
      <c r="I28">
        <v>18.32</v>
      </c>
      <c r="J28" t="str">
        <f t="shared" si="0"/>
        <v>66111302</v>
      </c>
      <c r="K28">
        <f t="shared" si="1"/>
        <v>0</v>
      </c>
      <c r="L28">
        <f t="shared" si="2"/>
        <v>1</v>
      </c>
      <c r="M28">
        <f t="shared" si="3"/>
        <v>5</v>
      </c>
      <c r="N28">
        <f t="shared" si="4"/>
        <v>7</v>
      </c>
      <c r="O28">
        <f t="shared" si="5"/>
        <v>5</v>
      </c>
      <c r="P28">
        <f t="shared" si="6"/>
        <v>3</v>
      </c>
      <c r="Q28">
        <f t="shared" si="7"/>
        <v>21</v>
      </c>
    </row>
    <row r="29" spans="1:17" x14ac:dyDescent="0.25">
      <c r="A29" t="s">
        <v>233</v>
      </c>
      <c r="B29" t="s">
        <v>234</v>
      </c>
      <c r="C29">
        <v>0</v>
      </c>
      <c r="D29">
        <v>0</v>
      </c>
      <c r="E29">
        <v>5</v>
      </c>
      <c r="F29" t="s">
        <v>223</v>
      </c>
      <c r="G29" t="s">
        <v>223</v>
      </c>
      <c r="H29" t="s">
        <v>223</v>
      </c>
      <c r="I29">
        <v>0</v>
      </c>
      <c r="J29" t="str">
        <f t="shared" si="0"/>
        <v/>
      </c>
      <c r="K29" t="str">
        <f t="shared" si="1"/>
        <v/>
      </c>
      <c r="L29" t="str">
        <f t="shared" si="2"/>
        <v/>
      </c>
      <c r="M29" t="str">
        <f t="shared" si="3"/>
        <v/>
      </c>
      <c r="N29" t="str">
        <f t="shared" si="4"/>
        <v/>
      </c>
      <c r="O29" t="str">
        <f t="shared" si="5"/>
        <v/>
      </c>
      <c r="P29" t="str">
        <f t="shared" si="6"/>
        <v/>
      </c>
      <c r="Q29" t="str">
        <f t="shared" si="7"/>
        <v/>
      </c>
    </row>
    <row r="30" spans="1:17" x14ac:dyDescent="0.25">
      <c r="A30" t="s">
        <v>233</v>
      </c>
      <c r="B30" t="s">
        <v>234</v>
      </c>
      <c r="C30">
        <v>0</v>
      </c>
      <c r="D30">
        <v>0</v>
      </c>
      <c r="E30">
        <v>0</v>
      </c>
      <c r="F30">
        <v>7</v>
      </c>
      <c r="G30" t="s">
        <v>223</v>
      </c>
      <c r="H30" t="s">
        <v>223</v>
      </c>
      <c r="I30">
        <v>0</v>
      </c>
      <c r="J30" t="str">
        <f t="shared" si="0"/>
        <v/>
      </c>
      <c r="K30" t="str">
        <f t="shared" si="1"/>
        <v/>
      </c>
      <c r="L30" t="str">
        <f t="shared" si="2"/>
        <v/>
      </c>
      <c r="M30" t="str">
        <f t="shared" si="3"/>
        <v/>
      </c>
      <c r="N30" t="str">
        <f t="shared" si="4"/>
        <v/>
      </c>
      <c r="O30" t="str">
        <f t="shared" si="5"/>
        <v/>
      </c>
      <c r="P30" t="str">
        <f t="shared" si="6"/>
        <v/>
      </c>
      <c r="Q30" t="str">
        <f t="shared" si="7"/>
        <v/>
      </c>
    </row>
    <row r="31" spans="1:17" x14ac:dyDescent="0.25">
      <c r="A31" t="s">
        <v>233</v>
      </c>
      <c r="B31" t="s">
        <v>234</v>
      </c>
      <c r="C31">
        <v>0</v>
      </c>
      <c r="D31">
        <v>0</v>
      </c>
      <c r="E31">
        <v>0</v>
      </c>
      <c r="F31">
        <v>0</v>
      </c>
      <c r="G31">
        <v>5</v>
      </c>
      <c r="H31" t="s">
        <v>223</v>
      </c>
      <c r="I31">
        <v>0</v>
      </c>
      <c r="J31" t="str">
        <f t="shared" si="0"/>
        <v/>
      </c>
      <c r="K31" t="str">
        <f t="shared" si="1"/>
        <v/>
      </c>
      <c r="L31" t="str">
        <f t="shared" si="2"/>
        <v/>
      </c>
      <c r="M31" t="str">
        <f t="shared" si="3"/>
        <v/>
      </c>
      <c r="N31" t="str">
        <f t="shared" si="4"/>
        <v/>
      </c>
      <c r="O31" t="str">
        <f t="shared" si="5"/>
        <v/>
      </c>
      <c r="P31" t="str">
        <f t="shared" si="6"/>
        <v/>
      </c>
      <c r="Q31" t="str">
        <f t="shared" si="7"/>
        <v/>
      </c>
    </row>
    <row r="32" spans="1:17" x14ac:dyDescent="0.25">
      <c r="A32" t="s">
        <v>233</v>
      </c>
      <c r="B32" t="s">
        <v>234</v>
      </c>
      <c r="C32">
        <v>0</v>
      </c>
      <c r="D32">
        <v>0</v>
      </c>
      <c r="E32">
        <v>0</v>
      </c>
      <c r="F32">
        <v>0</v>
      </c>
      <c r="G32">
        <v>0</v>
      </c>
      <c r="H32">
        <v>3</v>
      </c>
      <c r="I32">
        <v>0</v>
      </c>
      <c r="J32" t="str">
        <f t="shared" si="0"/>
        <v/>
      </c>
      <c r="K32" t="str">
        <f t="shared" si="1"/>
        <v/>
      </c>
      <c r="L32" t="str">
        <f t="shared" si="2"/>
        <v/>
      </c>
      <c r="M32" t="str">
        <f t="shared" si="3"/>
        <v/>
      </c>
      <c r="N32" t="str">
        <f t="shared" si="4"/>
        <v/>
      </c>
      <c r="O32" t="str">
        <f t="shared" si="5"/>
        <v/>
      </c>
      <c r="P32" t="str">
        <f t="shared" si="6"/>
        <v/>
      </c>
      <c r="Q32" t="str">
        <f t="shared" si="7"/>
        <v/>
      </c>
    </row>
    <row r="33" spans="1:17" x14ac:dyDescent="0.25">
      <c r="A33" t="s">
        <v>238</v>
      </c>
      <c r="B33" t="s">
        <v>239</v>
      </c>
      <c r="C33" t="s">
        <v>223</v>
      </c>
      <c r="D33" t="s">
        <v>223</v>
      </c>
      <c r="E33" t="s">
        <v>235</v>
      </c>
      <c r="F33" t="s">
        <v>235</v>
      </c>
      <c r="G33" t="s">
        <v>223</v>
      </c>
      <c r="H33" t="s">
        <v>223</v>
      </c>
      <c r="I33">
        <v>10.32</v>
      </c>
      <c r="J33" t="str">
        <f t="shared" si="0"/>
        <v>66111052</v>
      </c>
      <c r="K33">
        <f t="shared" si="1"/>
        <v>0</v>
      </c>
      <c r="L33">
        <f t="shared" si="2"/>
        <v>0</v>
      </c>
      <c r="M33">
        <f t="shared" si="3"/>
        <v>5</v>
      </c>
      <c r="N33">
        <f t="shared" si="4"/>
        <v>5</v>
      </c>
      <c r="O33">
        <f t="shared" si="5"/>
        <v>0</v>
      </c>
      <c r="P33">
        <f t="shared" si="6"/>
        <v>0</v>
      </c>
      <c r="Q33">
        <f t="shared" si="7"/>
        <v>10</v>
      </c>
    </row>
    <row r="34" spans="1:17" x14ac:dyDescent="0.25">
      <c r="A34" t="s">
        <v>238</v>
      </c>
      <c r="B34" t="s">
        <v>239</v>
      </c>
      <c r="C34">
        <v>0</v>
      </c>
      <c r="D34">
        <v>0</v>
      </c>
      <c r="E34" t="s">
        <v>223</v>
      </c>
      <c r="F34">
        <v>5</v>
      </c>
      <c r="G34" t="s">
        <v>223</v>
      </c>
      <c r="H34" t="s">
        <v>223</v>
      </c>
      <c r="I34">
        <v>0</v>
      </c>
      <c r="J34" t="str">
        <f t="shared" si="0"/>
        <v/>
      </c>
      <c r="K34" t="str">
        <f t="shared" si="1"/>
        <v/>
      </c>
      <c r="L34" t="str">
        <f t="shared" si="2"/>
        <v/>
      </c>
      <c r="M34" t="str">
        <f t="shared" si="3"/>
        <v/>
      </c>
      <c r="N34" t="str">
        <f t="shared" si="4"/>
        <v/>
      </c>
      <c r="O34" t="str">
        <f t="shared" si="5"/>
        <v/>
      </c>
      <c r="P34" t="str">
        <f t="shared" si="6"/>
        <v/>
      </c>
      <c r="Q34" t="str">
        <f t="shared" si="7"/>
        <v/>
      </c>
    </row>
    <row r="35" spans="1:17" x14ac:dyDescent="0.25">
      <c r="A35" t="s">
        <v>238</v>
      </c>
      <c r="B35" t="s">
        <v>239</v>
      </c>
      <c r="C35">
        <v>0</v>
      </c>
      <c r="D35">
        <v>0</v>
      </c>
      <c r="E35">
        <v>0</v>
      </c>
      <c r="F35" t="s">
        <v>223</v>
      </c>
      <c r="G35" t="s">
        <v>223</v>
      </c>
      <c r="H35" t="s">
        <v>223</v>
      </c>
      <c r="I35">
        <v>0</v>
      </c>
      <c r="J35" t="str">
        <f t="shared" si="0"/>
        <v/>
      </c>
      <c r="K35" t="str">
        <f t="shared" si="1"/>
        <v/>
      </c>
      <c r="L35" t="str">
        <f t="shared" si="2"/>
        <v/>
      </c>
      <c r="M35" t="str">
        <f t="shared" si="3"/>
        <v/>
      </c>
      <c r="N35" t="str">
        <f t="shared" si="4"/>
        <v/>
      </c>
      <c r="O35" t="str">
        <f t="shared" si="5"/>
        <v/>
      </c>
      <c r="P35" t="str">
        <f t="shared" si="6"/>
        <v/>
      </c>
      <c r="Q35" t="str">
        <f t="shared" si="7"/>
        <v/>
      </c>
    </row>
    <row r="36" spans="1:17" x14ac:dyDescent="0.25">
      <c r="A36" t="s">
        <v>238</v>
      </c>
      <c r="B36" t="s">
        <v>239</v>
      </c>
      <c r="C36">
        <v>0</v>
      </c>
      <c r="D36">
        <v>0</v>
      </c>
      <c r="E36">
        <v>0</v>
      </c>
      <c r="F36">
        <v>0</v>
      </c>
      <c r="G36" t="s">
        <v>223</v>
      </c>
      <c r="H36" t="s">
        <v>223</v>
      </c>
      <c r="I36">
        <v>0</v>
      </c>
      <c r="J36" t="str">
        <f t="shared" si="0"/>
        <v/>
      </c>
      <c r="K36" t="str">
        <f t="shared" si="1"/>
        <v/>
      </c>
      <c r="L36" t="str">
        <f t="shared" si="2"/>
        <v/>
      </c>
      <c r="M36" t="str">
        <f t="shared" si="3"/>
        <v/>
      </c>
      <c r="N36" t="str">
        <f t="shared" si="4"/>
        <v/>
      </c>
      <c r="O36" t="str">
        <f t="shared" si="5"/>
        <v/>
      </c>
      <c r="P36" t="str">
        <f t="shared" si="6"/>
        <v/>
      </c>
      <c r="Q36" t="str">
        <f t="shared" si="7"/>
        <v/>
      </c>
    </row>
    <row r="37" spans="1:17" x14ac:dyDescent="0.25">
      <c r="A37" t="s">
        <v>238</v>
      </c>
      <c r="B37" t="s">
        <v>239</v>
      </c>
      <c r="C37">
        <v>0</v>
      </c>
      <c r="D37">
        <v>0</v>
      </c>
      <c r="E37">
        <v>0</v>
      </c>
      <c r="F37">
        <v>0</v>
      </c>
      <c r="G37">
        <v>0</v>
      </c>
      <c r="H37" t="s">
        <v>223</v>
      </c>
      <c r="I37">
        <v>0</v>
      </c>
      <c r="J37" t="str">
        <f t="shared" si="0"/>
        <v/>
      </c>
      <c r="K37" t="str">
        <f t="shared" si="1"/>
        <v/>
      </c>
      <c r="L37" t="str">
        <f t="shared" si="2"/>
        <v/>
      </c>
      <c r="M37" t="str">
        <f t="shared" si="3"/>
        <v/>
      </c>
      <c r="N37" t="str">
        <f t="shared" si="4"/>
        <v/>
      </c>
      <c r="O37" t="str">
        <f t="shared" si="5"/>
        <v/>
      </c>
      <c r="P37" t="str">
        <f t="shared" si="6"/>
        <v/>
      </c>
      <c r="Q37" t="str">
        <f t="shared" si="7"/>
        <v/>
      </c>
    </row>
    <row r="38" spans="1:17" x14ac:dyDescent="0.25">
      <c r="A38" t="s">
        <v>240</v>
      </c>
      <c r="B38" t="s">
        <v>239</v>
      </c>
      <c r="C38" t="s">
        <v>223</v>
      </c>
      <c r="D38" t="s">
        <v>223</v>
      </c>
      <c r="E38" t="s">
        <v>225</v>
      </c>
      <c r="F38" t="s">
        <v>241</v>
      </c>
      <c r="G38" t="s">
        <v>242</v>
      </c>
      <c r="H38" t="s">
        <v>223</v>
      </c>
      <c r="I38">
        <v>10.32</v>
      </c>
      <c r="J38" t="str">
        <f t="shared" si="0"/>
        <v>661110532</v>
      </c>
      <c r="K38">
        <f t="shared" si="1"/>
        <v>0</v>
      </c>
      <c r="L38">
        <f t="shared" si="2"/>
        <v>0</v>
      </c>
      <c r="M38">
        <f t="shared" si="3"/>
        <v>4</v>
      </c>
      <c r="N38">
        <f t="shared" si="4"/>
        <v>9</v>
      </c>
      <c r="O38">
        <f t="shared" si="5"/>
        <v>6</v>
      </c>
      <c r="P38">
        <f t="shared" si="6"/>
        <v>0</v>
      </c>
      <c r="Q38">
        <f t="shared" si="7"/>
        <v>19</v>
      </c>
    </row>
    <row r="39" spans="1:17" x14ac:dyDescent="0.25">
      <c r="A39" t="s">
        <v>240</v>
      </c>
      <c r="B39" t="s">
        <v>239</v>
      </c>
      <c r="C39">
        <v>0</v>
      </c>
      <c r="D39">
        <v>0</v>
      </c>
      <c r="E39" t="s">
        <v>223</v>
      </c>
      <c r="F39">
        <v>9</v>
      </c>
      <c r="G39" t="s">
        <v>223</v>
      </c>
      <c r="H39" t="s">
        <v>223</v>
      </c>
      <c r="I39">
        <v>0</v>
      </c>
      <c r="J39" t="str">
        <f t="shared" si="0"/>
        <v/>
      </c>
      <c r="K39" t="str">
        <f t="shared" si="1"/>
        <v/>
      </c>
      <c r="L39" t="str">
        <f t="shared" si="2"/>
        <v/>
      </c>
      <c r="M39" t="str">
        <f t="shared" si="3"/>
        <v/>
      </c>
      <c r="N39" t="str">
        <f t="shared" si="4"/>
        <v/>
      </c>
      <c r="O39" t="str">
        <f t="shared" si="5"/>
        <v/>
      </c>
      <c r="P39" t="str">
        <f t="shared" si="6"/>
        <v/>
      </c>
      <c r="Q39" t="str">
        <f t="shared" si="7"/>
        <v/>
      </c>
    </row>
    <row r="40" spans="1:17" x14ac:dyDescent="0.25">
      <c r="A40" t="s">
        <v>240</v>
      </c>
      <c r="B40" t="s">
        <v>239</v>
      </c>
      <c r="C40">
        <v>0</v>
      </c>
      <c r="D40">
        <v>0</v>
      </c>
      <c r="E40">
        <v>0</v>
      </c>
      <c r="F40" t="s">
        <v>223</v>
      </c>
      <c r="G40">
        <v>6</v>
      </c>
      <c r="H40" t="s">
        <v>223</v>
      </c>
      <c r="I40">
        <v>0</v>
      </c>
      <c r="J40" t="str">
        <f t="shared" si="0"/>
        <v/>
      </c>
      <c r="K40" t="str">
        <f t="shared" si="1"/>
        <v/>
      </c>
      <c r="L40" t="str">
        <f t="shared" si="2"/>
        <v/>
      </c>
      <c r="M40" t="str">
        <f t="shared" si="3"/>
        <v/>
      </c>
      <c r="N40" t="str">
        <f t="shared" si="4"/>
        <v/>
      </c>
      <c r="O40" t="str">
        <f t="shared" si="5"/>
        <v/>
      </c>
      <c r="P40" t="str">
        <f t="shared" si="6"/>
        <v/>
      </c>
      <c r="Q40" t="str">
        <f t="shared" si="7"/>
        <v/>
      </c>
    </row>
    <row r="41" spans="1:17" x14ac:dyDescent="0.25">
      <c r="A41" t="s">
        <v>240</v>
      </c>
      <c r="B41" t="s">
        <v>239</v>
      </c>
      <c r="C41">
        <v>0</v>
      </c>
      <c r="D41">
        <v>0</v>
      </c>
      <c r="E41">
        <v>0</v>
      </c>
      <c r="F41">
        <v>0</v>
      </c>
      <c r="G41" t="s">
        <v>223</v>
      </c>
      <c r="H41" t="s">
        <v>223</v>
      </c>
      <c r="I41">
        <v>0</v>
      </c>
      <c r="J41" t="str">
        <f t="shared" si="0"/>
        <v/>
      </c>
      <c r="K41" t="str">
        <f t="shared" si="1"/>
        <v/>
      </c>
      <c r="L41" t="str">
        <f t="shared" si="2"/>
        <v/>
      </c>
      <c r="M41" t="str">
        <f t="shared" si="3"/>
        <v/>
      </c>
      <c r="N41" t="str">
        <f t="shared" si="4"/>
        <v/>
      </c>
      <c r="O41" t="str">
        <f t="shared" si="5"/>
        <v/>
      </c>
      <c r="P41" t="str">
        <f t="shared" si="6"/>
        <v/>
      </c>
      <c r="Q41" t="str">
        <f t="shared" si="7"/>
        <v/>
      </c>
    </row>
    <row r="42" spans="1:17" x14ac:dyDescent="0.25">
      <c r="A42" t="s">
        <v>240</v>
      </c>
      <c r="B42" t="s">
        <v>239</v>
      </c>
      <c r="C42">
        <v>0</v>
      </c>
      <c r="D42">
        <v>0</v>
      </c>
      <c r="E42">
        <v>0</v>
      </c>
      <c r="F42">
        <v>0</v>
      </c>
      <c r="G42">
        <v>0</v>
      </c>
      <c r="H42" t="s">
        <v>223</v>
      </c>
      <c r="I42">
        <v>0</v>
      </c>
      <c r="J42" t="str">
        <f t="shared" si="0"/>
        <v/>
      </c>
      <c r="K42" t="str">
        <f t="shared" si="1"/>
        <v/>
      </c>
      <c r="L42" t="str">
        <f t="shared" si="2"/>
        <v/>
      </c>
      <c r="M42" t="str">
        <f t="shared" si="3"/>
        <v/>
      </c>
      <c r="N42" t="str">
        <f t="shared" si="4"/>
        <v/>
      </c>
      <c r="O42" t="str">
        <f t="shared" si="5"/>
        <v/>
      </c>
      <c r="P42" t="str">
        <f t="shared" si="6"/>
        <v/>
      </c>
      <c r="Q42" t="str">
        <f t="shared" si="7"/>
        <v/>
      </c>
    </row>
    <row r="43" spans="1:17" x14ac:dyDescent="0.25">
      <c r="A43" t="s">
        <v>243</v>
      </c>
      <c r="B43" t="s">
        <v>239</v>
      </c>
      <c r="C43" t="s">
        <v>223</v>
      </c>
      <c r="D43" t="s">
        <v>223</v>
      </c>
      <c r="E43" t="s">
        <v>235</v>
      </c>
      <c r="F43" t="s">
        <v>242</v>
      </c>
      <c r="G43" t="s">
        <v>235</v>
      </c>
      <c r="H43" t="s">
        <v>223</v>
      </c>
      <c r="I43">
        <v>10.32</v>
      </c>
      <c r="J43" t="str">
        <f t="shared" si="0"/>
        <v>661110555</v>
      </c>
      <c r="K43">
        <f t="shared" si="1"/>
        <v>0</v>
      </c>
      <c r="L43">
        <f t="shared" si="2"/>
        <v>0</v>
      </c>
      <c r="M43">
        <f t="shared" si="3"/>
        <v>5</v>
      </c>
      <c r="N43">
        <f t="shared" si="4"/>
        <v>6</v>
      </c>
      <c r="O43">
        <f t="shared" si="5"/>
        <v>5</v>
      </c>
      <c r="P43">
        <f t="shared" si="6"/>
        <v>0</v>
      </c>
      <c r="Q43">
        <f t="shared" si="7"/>
        <v>16</v>
      </c>
    </row>
    <row r="44" spans="1:17" x14ac:dyDescent="0.25">
      <c r="A44" t="s">
        <v>243</v>
      </c>
      <c r="B44" t="s">
        <v>239</v>
      </c>
      <c r="C44">
        <v>0</v>
      </c>
      <c r="D44">
        <v>0</v>
      </c>
      <c r="E44" t="s">
        <v>223</v>
      </c>
      <c r="F44">
        <v>6</v>
      </c>
      <c r="G44" t="s">
        <v>223</v>
      </c>
      <c r="H44" t="s">
        <v>223</v>
      </c>
      <c r="I44">
        <v>0</v>
      </c>
      <c r="J44" t="str">
        <f t="shared" si="0"/>
        <v/>
      </c>
      <c r="K44" t="str">
        <f t="shared" si="1"/>
        <v/>
      </c>
      <c r="L44" t="str">
        <f t="shared" si="2"/>
        <v/>
      </c>
      <c r="M44" t="str">
        <f t="shared" si="3"/>
        <v/>
      </c>
      <c r="N44" t="str">
        <f t="shared" si="4"/>
        <v/>
      </c>
      <c r="O44" t="str">
        <f t="shared" si="5"/>
        <v/>
      </c>
      <c r="P44" t="str">
        <f t="shared" si="6"/>
        <v/>
      </c>
      <c r="Q44" t="str">
        <f t="shared" si="7"/>
        <v/>
      </c>
    </row>
    <row r="45" spans="1:17" x14ac:dyDescent="0.25">
      <c r="A45" t="s">
        <v>243</v>
      </c>
      <c r="B45" t="s">
        <v>239</v>
      </c>
      <c r="C45">
        <v>0</v>
      </c>
      <c r="D45">
        <v>0</v>
      </c>
      <c r="E45">
        <v>0</v>
      </c>
      <c r="F45" t="s">
        <v>223</v>
      </c>
      <c r="G45">
        <v>5</v>
      </c>
      <c r="H45" t="s">
        <v>223</v>
      </c>
      <c r="I45">
        <v>0</v>
      </c>
      <c r="J45" t="str">
        <f t="shared" si="0"/>
        <v/>
      </c>
      <c r="K45" t="str">
        <f t="shared" si="1"/>
        <v/>
      </c>
      <c r="L45" t="str">
        <f t="shared" si="2"/>
        <v/>
      </c>
      <c r="M45" t="str">
        <f t="shared" si="3"/>
        <v/>
      </c>
      <c r="N45" t="str">
        <f t="shared" si="4"/>
        <v/>
      </c>
      <c r="O45" t="str">
        <f t="shared" si="5"/>
        <v/>
      </c>
      <c r="P45" t="str">
        <f t="shared" si="6"/>
        <v/>
      </c>
      <c r="Q45" t="str">
        <f t="shared" si="7"/>
        <v/>
      </c>
    </row>
    <row r="46" spans="1:17" x14ac:dyDescent="0.25">
      <c r="A46" t="s">
        <v>243</v>
      </c>
      <c r="B46" t="s">
        <v>239</v>
      </c>
      <c r="C46">
        <v>0</v>
      </c>
      <c r="D46">
        <v>0</v>
      </c>
      <c r="E46">
        <v>0</v>
      </c>
      <c r="F46">
        <v>0</v>
      </c>
      <c r="G46" t="s">
        <v>223</v>
      </c>
      <c r="H46" t="s">
        <v>223</v>
      </c>
      <c r="I46">
        <v>0</v>
      </c>
      <c r="J46" t="str">
        <f t="shared" si="0"/>
        <v/>
      </c>
      <c r="K46" t="str">
        <f t="shared" si="1"/>
        <v/>
      </c>
      <c r="L46" t="str">
        <f t="shared" si="2"/>
        <v/>
      </c>
      <c r="M46" t="str">
        <f t="shared" si="3"/>
        <v/>
      </c>
      <c r="N46" t="str">
        <f t="shared" si="4"/>
        <v/>
      </c>
      <c r="O46" t="str">
        <f t="shared" si="5"/>
        <v/>
      </c>
      <c r="P46" t="str">
        <f t="shared" si="6"/>
        <v/>
      </c>
      <c r="Q46" t="str">
        <f t="shared" si="7"/>
        <v/>
      </c>
    </row>
    <row r="47" spans="1:17" x14ac:dyDescent="0.25">
      <c r="A47" t="s">
        <v>243</v>
      </c>
      <c r="B47" t="s">
        <v>239</v>
      </c>
      <c r="C47">
        <v>0</v>
      </c>
      <c r="D47">
        <v>0</v>
      </c>
      <c r="E47">
        <v>0</v>
      </c>
      <c r="F47">
        <v>0</v>
      </c>
      <c r="G47">
        <v>0</v>
      </c>
      <c r="H47" t="s">
        <v>223</v>
      </c>
      <c r="I47">
        <v>0</v>
      </c>
      <c r="J47" t="str">
        <f t="shared" si="0"/>
        <v/>
      </c>
      <c r="K47" t="str">
        <f t="shared" si="1"/>
        <v/>
      </c>
      <c r="L47" t="str">
        <f t="shared" si="2"/>
        <v/>
      </c>
      <c r="M47" t="str">
        <f t="shared" si="3"/>
        <v/>
      </c>
      <c r="N47" t="str">
        <f t="shared" si="4"/>
        <v/>
      </c>
      <c r="O47" t="str">
        <f t="shared" si="5"/>
        <v/>
      </c>
      <c r="P47" t="str">
        <f t="shared" si="6"/>
        <v/>
      </c>
      <c r="Q47" t="str">
        <f t="shared" si="7"/>
        <v/>
      </c>
    </row>
    <row r="48" spans="1:17" x14ac:dyDescent="0.25">
      <c r="A48" t="s">
        <v>244</v>
      </c>
      <c r="B48" t="s">
        <v>245</v>
      </c>
      <c r="C48" t="s">
        <v>223</v>
      </c>
      <c r="D48" t="s">
        <v>223</v>
      </c>
      <c r="E48" t="s">
        <v>237</v>
      </c>
      <c r="F48" t="s">
        <v>246</v>
      </c>
      <c r="G48" t="s">
        <v>235</v>
      </c>
      <c r="H48" t="s">
        <v>225</v>
      </c>
      <c r="I48">
        <v>11.920000000000002</v>
      </c>
      <c r="J48" t="str">
        <f t="shared" si="0"/>
        <v>74311011</v>
      </c>
      <c r="K48">
        <f t="shared" si="1"/>
        <v>0</v>
      </c>
      <c r="L48">
        <f t="shared" si="2"/>
        <v>0</v>
      </c>
      <c r="M48">
        <f t="shared" si="3"/>
        <v>3</v>
      </c>
      <c r="N48">
        <f t="shared" si="4"/>
        <v>8</v>
      </c>
      <c r="O48">
        <f t="shared" si="5"/>
        <v>5</v>
      </c>
      <c r="P48">
        <f t="shared" si="6"/>
        <v>4</v>
      </c>
      <c r="Q48">
        <f t="shared" si="7"/>
        <v>20</v>
      </c>
    </row>
    <row r="49" spans="1:17" x14ac:dyDescent="0.25">
      <c r="A49" t="s">
        <v>244</v>
      </c>
      <c r="B49" t="s">
        <v>245</v>
      </c>
      <c r="C49">
        <v>0</v>
      </c>
      <c r="D49">
        <v>0</v>
      </c>
      <c r="E49" t="s">
        <v>223</v>
      </c>
      <c r="F49">
        <v>8</v>
      </c>
      <c r="G49" t="s">
        <v>223</v>
      </c>
      <c r="H49" t="s">
        <v>223</v>
      </c>
      <c r="I49">
        <v>0</v>
      </c>
      <c r="J49" t="str">
        <f t="shared" si="0"/>
        <v/>
      </c>
      <c r="K49" t="str">
        <f t="shared" si="1"/>
        <v/>
      </c>
      <c r="L49" t="str">
        <f t="shared" si="2"/>
        <v/>
      </c>
      <c r="M49" t="str">
        <f t="shared" si="3"/>
        <v/>
      </c>
      <c r="N49" t="str">
        <f t="shared" si="4"/>
        <v/>
      </c>
      <c r="O49" t="str">
        <f t="shared" si="5"/>
        <v/>
      </c>
      <c r="P49" t="str">
        <f t="shared" si="6"/>
        <v/>
      </c>
      <c r="Q49" t="str">
        <f t="shared" si="7"/>
        <v/>
      </c>
    </row>
    <row r="50" spans="1:17" x14ac:dyDescent="0.25">
      <c r="A50" t="s">
        <v>244</v>
      </c>
      <c r="B50" t="s">
        <v>245</v>
      </c>
      <c r="C50">
        <v>0</v>
      </c>
      <c r="D50">
        <v>0</v>
      </c>
      <c r="E50">
        <v>0</v>
      </c>
      <c r="F50" t="s">
        <v>223</v>
      </c>
      <c r="G50">
        <v>5</v>
      </c>
      <c r="H50" t="s">
        <v>223</v>
      </c>
      <c r="I50">
        <v>0</v>
      </c>
      <c r="J50" t="str">
        <f t="shared" si="0"/>
        <v/>
      </c>
      <c r="K50" t="str">
        <f t="shared" si="1"/>
        <v/>
      </c>
      <c r="L50" t="str">
        <f t="shared" si="2"/>
        <v/>
      </c>
      <c r="M50" t="str">
        <f t="shared" si="3"/>
        <v/>
      </c>
      <c r="N50" t="str">
        <f t="shared" si="4"/>
        <v/>
      </c>
      <c r="O50" t="str">
        <f t="shared" si="5"/>
        <v/>
      </c>
      <c r="P50" t="str">
        <f t="shared" si="6"/>
        <v/>
      </c>
      <c r="Q50" t="str">
        <f t="shared" si="7"/>
        <v/>
      </c>
    </row>
    <row r="51" spans="1:17" x14ac:dyDescent="0.25">
      <c r="A51" t="s">
        <v>244</v>
      </c>
      <c r="B51" t="s">
        <v>245</v>
      </c>
      <c r="C51">
        <v>0</v>
      </c>
      <c r="D51">
        <v>0</v>
      </c>
      <c r="E51">
        <v>0</v>
      </c>
      <c r="F51">
        <v>0</v>
      </c>
      <c r="G51" t="s">
        <v>223</v>
      </c>
      <c r="H51">
        <v>4</v>
      </c>
      <c r="I51">
        <v>0</v>
      </c>
      <c r="J51" t="str">
        <f t="shared" si="0"/>
        <v/>
      </c>
      <c r="K51" t="str">
        <f t="shared" si="1"/>
        <v/>
      </c>
      <c r="L51" t="str">
        <f t="shared" si="2"/>
        <v/>
      </c>
      <c r="M51" t="str">
        <f t="shared" si="3"/>
        <v/>
      </c>
      <c r="N51" t="str">
        <f t="shared" si="4"/>
        <v/>
      </c>
      <c r="O51" t="str">
        <f t="shared" si="5"/>
        <v/>
      </c>
      <c r="P51" t="str">
        <f t="shared" si="6"/>
        <v/>
      </c>
      <c r="Q51" t="str">
        <f t="shared" si="7"/>
        <v/>
      </c>
    </row>
    <row r="52" spans="1:17" x14ac:dyDescent="0.25">
      <c r="A52" t="s">
        <v>244</v>
      </c>
      <c r="B52" t="s">
        <v>245</v>
      </c>
      <c r="C52">
        <v>0</v>
      </c>
      <c r="D52">
        <v>0</v>
      </c>
      <c r="E52">
        <v>0</v>
      </c>
      <c r="F52">
        <v>0</v>
      </c>
      <c r="G52">
        <v>0</v>
      </c>
      <c r="H52" t="s">
        <v>223</v>
      </c>
      <c r="I52">
        <v>0</v>
      </c>
      <c r="J52" t="str">
        <f t="shared" si="0"/>
        <v/>
      </c>
      <c r="K52" t="str">
        <f t="shared" si="1"/>
        <v/>
      </c>
      <c r="L52" t="str">
        <f t="shared" si="2"/>
        <v/>
      </c>
      <c r="M52" t="str">
        <f t="shared" si="3"/>
        <v/>
      </c>
      <c r="N52" t="str">
        <f t="shared" si="4"/>
        <v/>
      </c>
      <c r="O52" t="str">
        <f t="shared" si="5"/>
        <v/>
      </c>
      <c r="P52" t="str">
        <f t="shared" si="6"/>
        <v/>
      </c>
      <c r="Q52" t="str">
        <f t="shared" si="7"/>
        <v/>
      </c>
    </row>
    <row r="53" spans="1:17" x14ac:dyDescent="0.25">
      <c r="A53" t="s">
        <v>247</v>
      </c>
      <c r="B53" t="s">
        <v>245</v>
      </c>
      <c r="C53" t="s">
        <v>223</v>
      </c>
      <c r="D53">
        <v>1</v>
      </c>
      <c r="E53" t="s">
        <v>225</v>
      </c>
      <c r="F53" t="s">
        <v>236</v>
      </c>
      <c r="G53" t="s">
        <v>235</v>
      </c>
      <c r="H53" t="s">
        <v>224</v>
      </c>
      <c r="I53">
        <v>11.920000000000002</v>
      </c>
      <c r="J53" t="str">
        <f t="shared" si="0"/>
        <v>743110155</v>
      </c>
      <c r="K53">
        <f t="shared" si="1"/>
        <v>0</v>
      </c>
      <c r="L53">
        <f t="shared" si="2"/>
        <v>1</v>
      </c>
      <c r="M53">
        <f t="shared" si="3"/>
        <v>4</v>
      </c>
      <c r="N53">
        <f t="shared" si="4"/>
        <v>7</v>
      </c>
      <c r="O53">
        <f t="shared" si="5"/>
        <v>5</v>
      </c>
      <c r="P53">
        <f t="shared" si="6"/>
        <v>2</v>
      </c>
      <c r="Q53">
        <f t="shared" si="7"/>
        <v>19</v>
      </c>
    </row>
    <row r="54" spans="1:17" x14ac:dyDescent="0.25">
      <c r="A54" t="s">
        <v>247</v>
      </c>
      <c r="B54" t="s">
        <v>245</v>
      </c>
      <c r="C54">
        <v>0</v>
      </c>
      <c r="D54">
        <v>0</v>
      </c>
      <c r="E54">
        <v>4</v>
      </c>
      <c r="F54" t="s">
        <v>223</v>
      </c>
      <c r="G54" t="s">
        <v>223</v>
      </c>
      <c r="H54" t="s">
        <v>223</v>
      </c>
      <c r="I54">
        <v>0</v>
      </c>
      <c r="J54" t="str">
        <f t="shared" si="0"/>
        <v/>
      </c>
      <c r="K54" t="str">
        <f t="shared" si="1"/>
        <v/>
      </c>
      <c r="L54" t="str">
        <f t="shared" si="2"/>
        <v/>
      </c>
      <c r="M54" t="str">
        <f t="shared" si="3"/>
        <v/>
      </c>
      <c r="N54" t="str">
        <f t="shared" si="4"/>
        <v/>
      </c>
      <c r="O54" t="str">
        <f t="shared" si="5"/>
        <v/>
      </c>
      <c r="P54" t="str">
        <f t="shared" si="6"/>
        <v/>
      </c>
      <c r="Q54" t="str">
        <f t="shared" si="7"/>
        <v/>
      </c>
    </row>
    <row r="55" spans="1:17" x14ac:dyDescent="0.25">
      <c r="A55" t="s">
        <v>247</v>
      </c>
      <c r="B55" t="s">
        <v>245</v>
      </c>
      <c r="C55">
        <v>0</v>
      </c>
      <c r="D55">
        <v>0</v>
      </c>
      <c r="E55">
        <v>0</v>
      </c>
      <c r="F55">
        <v>7</v>
      </c>
      <c r="G55" t="s">
        <v>223</v>
      </c>
      <c r="H55" t="s">
        <v>223</v>
      </c>
      <c r="I55">
        <v>0</v>
      </c>
      <c r="J55" t="str">
        <f t="shared" si="0"/>
        <v/>
      </c>
      <c r="K55" t="str">
        <f t="shared" si="1"/>
        <v/>
      </c>
      <c r="L55" t="str">
        <f t="shared" si="2"/>
        <v/>
      </c>
      <c r="M55" t="str">
        <f t="shared" si="3"/>
        <v/>
      </c>
      <c r="N55" t="str">
        <f t="shared" si="4"/>
        <v/>
      </c>
      <c r="O55" t="str">
        <f t="shared" si="5"/>
        <v/>
      </c>
      <c r="P55" t="str">
        <f t="shared" si="6"/>
        <v/>
      </c>
      <c r="Q55" t="str">
        <f t="shared" si="7"/>
        <v/>
      </c>
    </row>
    <row r="56" spans="1:17" x14ac:dyDescent="0.25">
      <c r="A56" t="s">
        <v>247</v>
      </c>
      <c r="B56" t="s">
        <v>245</v>
      </c>
      <c r="C56">
        <v>0</v>
      </c>
      <c r="D56">
        <v>0</v>
      </c>
      <c r="E56">
        <v>0</v>
      </c>
      <c r="F56">
        <v>0</v>
      </c>
      <c r="G56">
        <v>5</v>
      </c>
      <c r="H56" t="s">
        <v>223</v>
      </c>
      <c r="I56">
        <v>0</v>
      </c>
      <c r="J56" t="str">
        <f t="shared" si="0"/>
        <v/>
      </c>
      <c r="K56" t="str">
        <f t="shared" si="1"/>
        <v/>
      </c>
      <c r="L56" t="str">
        <f t="shared" si="2"/>
        <v/>
      </c>
      <c r="M56" t="str">
        <f t="shared" si="3"/>
        <v/>
      </c>
      <c r="N56" t="str">
        <f t="shared" si="4"/>
        <v/>
      </c>
      <c r="O56" t="str">
        <f t="shared" si="5"/>
        <v/>
      </c>
      <c r="P56" t="str">
        <f t="shared" si="6"/>
        <v/>
      </c>
      <c r="Q56" t="str">
        <f t="shared" si="7"/>
        <v/>
      </c>
    </row>
    <row r="57" spans="1:17" x14ac:dyDescent="0.25">
      <c r="A57" t="s">
        <v>247</v>
      </c>
      <c r="B57" t="s">
        <v>245</v>
      </c>
      <c r="C57">
        <v>0</v>
      </c>
      <c r="D57">
        <v>0</v>
      </c>
      <c r="E57">
        <v>0</v>
      </c>
      <c r="F57">
        <v>0</v>
      </c>
      <c r="G57">
        <v>0</v>
      </c>
      <c r="H57">
        <v>2</v>
      </c>
      <c r="I57">
        <v>0</v>
      </c>
      <c r="J57" t="str">
        <f t="shared" si="0"/>
        <v/>
      </c>
      <c r="K57" t="str">
        <f t="shared" si="1"/>
        <v/>
      </c>
      <c r="L57" t="str">
        <f t="shared" si="2"/>
        <v/>
      </c>
      <c r="M57" t="str">
        <f t="shared" si="3"/>
        <v/>
      </c>
      <c r="N57" t="str">
        <f t="shared" si="4"/>
        <v/>
      </c>
      <c r="O57" t="str">
        <f t="shared" si="5"/>
        <v/>
      </c>
      <c r="P57" t="str">
        <f t="shared" si="6"/>
        <v/>
      </c>
      <c r="Q57" t="str">
        <f t="shared" si="7"/>
        <v/>
      </c>
    </row>
    <row r="58" spans="1:17" x14ac:dyDescent="0.25">
      <c r="A58" t="s">
        <v>248</v>
      </c>
      <c r="B58" t="s">
        <v>249</v>
      </c>
      <c r="C58">
        <v>150</v>
      </c>
      <c r="D58" t="s">
        <v>223</v>
      </c>
      <c r="E58" t="s">
        <v>223</v>
      </c>
      <c r="F58" t="s">
        <v>223</v>
      </c>
      <c r="G58" t="s">
        <v>223</v>
      </c>
      <c r="H58" t="s">
        <v>223</v>
      </c>
      <c r="I58">
        <v>11.920000000000002</v>
      </c>
      <c r="J58" t="str">
        <f t="shared" si="0"/>
        <v>775119127</v>
      </c>
      <c r="K58">
        <f t="shared" si="1"/>
        <v>150</v>
      </c>
      <c r="L58">
        <f t="shared" si="2"/>
        <v>0</v>
      </c>
      <c r="M58">
        <f t="shared" si="3"/>
        <v>0</v>
      </c>
      <c r="N58">
        <f t="shared" si="4"/>
        <v>0</v>
      </c>
      <c r="O58">
        <f t="shared" si="5"/>
        <v>0</v>
      </c>
      <c r="P58">
        <f t="shared" si="6"/>
        <v>0</v>
      </c>
      <c r="Q58">
        <f t="shared" si="7"/>
        <v>150</v>
      </c>
    </row>
    <row r="59" spans="1:17" x14ac:dyDescent="0.25">
      <c r="A59" t="s">
        <v>248</v>
      </c>
      <c r="B59" t="s">
        <v>249</v>
      </c>
      <c r="C59">
        <v>0</v>
      </c>
      <c r="D59">
        <v>0</v>
      </c>
      <c r="E59" t="s">
        <v>223</v>
      </c>
      <c r="F59" t="s">
        <v>223</v>
      </c>
      <c r="G59" t="s">
        <v>223</v>
      </c>
      <c r="H59" t="s">
        <v>223</v>
      </c>
      <c r="I59">
        <v>0</v>
      </c>
      <c r="J59" t="str">
        <f t="shared" si="0"/>
        <v/>
      </c>
      <c r="K59" t="str">
        <f t="shared" si="1"/>
        <v/>
      </c>
      <c r="L59" t="str">
        <f t="shared" si="2"/>
        <v/>
      </c>
      <c r="M59" t="str">
        <f t="shared" si="3"/>
        <v/>
      </c>
      <c r="N59" t="str">
        <f t="shared" si="4"/>
        <v/>
      </c>
      <c r="O59" t="str">
        <f t="shared" si="5"/>
        <v/>
      </c>
      <c r="P59" t="str">
        <f t="shared" si="6"/>
        <v/>
      </c>
      <c r="Q59" t="str">
        <f t="shared" si="7"/>
        <v/>
      </c>
    </row>
    <row r="60" spans="1:17" x14ac:dyDescent="0.25">
      <c r="A60" t="s">
        <v>248</v>
      </c>
      <c r="B60" t="s">
        <v>249</v>
      </c>
      <c r="C60">
        <v>0</v>
      </c>
      <c r="D60">
        <v>0</v>
      </c>
      <c r="E60">
        <v>0</v>
      </c>
      <c r="F60" t="s">
        <v>223</v>
      </c>
      <c r="G60" t="s">
        <v>223</v>
      </c>
      <c r="H60" t="s">
        <v>223</v>
      </c>
      <c r="I60">
        <v>0</v>
      </c>
      <c r="J60" t="str">
        <f t="shared" si="0"/>
        <v/>
      </c>
      <c r="K60" t="str">
        <f t="shared" si="1"/>
        <v/>
      </c>
      <c r="L60" t="str">
        <f t="shared" si="2"/>
        <v/>
      </c>
      <c r="M60" t="str">
        <f t="shared" si="3"/>
        <v/>
      </c>
      <c r="N60" t="str">
        <f t="shared" si="4"/>
        <v/>
      </c>
      <c r="O60" t="str">
        <f t="shared" si="5"/>
        <v/>
      </c>
      <c r="P60" t="str">
        <f t="shared" si="6"/>
        <v/>
      </c>
      <c r="Q60" t="str">
        <f t="shared" si="7"/>
        <v/>
      </c>
    </row>
    <row r="61" spans="1:17" x14ac:dyDescent="0.25">
      <c r="A61" t="s">
        <v>248</v>
      </c>
      <c r="B61" t="s">
        <v>249</v>
      </c>
      <c r="C61">
        <v>0</v>
      </c>
      <c r="D61">
        <v>0</v>
      </c>
      <c r="E61">
        <v>0</v>
      </c>
      <c r="F61">
        <v>0</v>
      </c>
      <c r="G61" t="s">
        <v>223</v>
      </c>
      <c r="H61" t="s">
        <v>223</v>
      </c>
      <c r="I61">
        <v>0</v>
      </c>
      <c r="J61" t="str">
        <f t="shared" si="0"/>
        <v/>
      </c>
      <c r="K61" t="str">
        <f t="shared" si="1"/>
        <v/>
      </c>
      <c r="L61" t="str">
        <f t="shared" si="2"/>
        <v/>
      </c>
      <c r="M61" t="str">
        <f t="shared" si="3"/>
        <v/>
      </c>
      <c r="N61" t="str">
        <f t="shared" si="4"/>
        <v/>
      </c>
      <c r="O61" t="str">
        <f t="shared" si="5"/>
        <v/>
      </c>
      <c r="P61" t="str">
        <f t="shared" si="6"/>
        <v/>
      </c>
      <c r="Q61" t="str">
        <f t="shared" si="7"/>
        <v/>
      </c>
    </row>
    <row r="62" spans="1:17" x14ac:dyDescent="0.25">
      <c r="A62" t="s">
        <v>248</v>
      </c>
      <c r="B62" t="s">
        <v>249</v>
      </c>
      <c r="C62">
        <v>0</v>
      </c>
      <c r="D62">
        <v>0</v>
      </c>
      <c r="E62">
        <v>0</v>
      </c>
      <c r="F62">
        <v>0</v>
      </c>
      <c r="G62">
        <v>0</v>
      </c>
      <c r="H62" t="s">
        <v>223</v>
      </c>
      <c r="I62">
        <v>0</v>
      </c>
      <c r="J62" t="str">
        <f t="shared" si="0"/>
        <v/>
      </c>
      <c r="K62" t="str">
        <f t="shared" si="1"/>
        <v/>
      </c>
      <c r="L62" t="str">
        <f t="shared" si="2"/>
        <v/>
      </c>
      <c r="M62" t="str">
        <f t="shared" si="3"/>
        <v/>
      </c>
      <c r="N62" t="str">
        <f t="shared" si="4"/>
        <v/>
      </c>
      <c r="O62" t="str">
        <f t="shared" si="5"/>
        <v/>
      </c>
      <c r="P62" t="str">
        <f t="shared" si="6"/>
        <v/>
      </c>
      <c r="Q62" t="str">
        <f t="shared" si="7"/>
        <v/>
      </c>
    </row>
    <row r="63" spans="1:17" x14ac:dyDescent="0.25">
      <c r="A63" t="s">
        <v>250</v>
      </c>
      <c r="B63" t="s">
        <v>251</v>
      </c>
      <c r="C63" t="s">
        <v>223</v>
      </c>
      <c r="D63" t="s">
        <v>223</v>
      </c>
      <c r="E63" t="s">
        <v>225</v>
      </c>
      <c r="F63" t="s">
        <v>242</v>
      </c>
      <c r="G63" t="s">
        <v>225</v>
      </c>
      <c r="H63" t="s">
        <v>223</v>
      </c>
      <c r="I63">
        <v>15.12</v>
      </c>
      <c r="J63" t="str">
        <f t="shared" si="0"/>
        <v>77131013</v>
      </c>
      <c r="K63">
        <f t="shared" si="1"/>
        <v>0</v>
      </c>
      <c r="L63">
        <f t="shared" si="2"/>
        <v>0</v>
      </c>
      <c r="M63">
        <f t="shared" si="3"/>
        <v>4</v>
      </c>
      <c r="N63">
        <f t="shared" si="4"/>
        <v>6</v>
      </c>
      <c r="O63">
        <f t="shared" si="5"/>
        <v>4</v>
      </c>
      <c r="P63">
        <f t="shared" si="6"/>
        <v>0</v>
      </c>
      <c r="Q63">
        <f t="shared" si="7"/>
        <v>14</v>
      </c>
    </row>
    <row r="64" spans="1:17" x14ac:dyDescent="0.25">
      <c r="A64" t="s">
        <v>250</v>
      </c>
      <c r="B64" t="s">
        <v>251</v>
      </c>
      <c r="C64">
        <v>0</v>
      </c>
      <c r="D64">
        <v>0</v>
      </c>
      <c r="E64" t="s">
        <v>223</v>
      </c>
      <c r="F64">
        <v>6</v>
      </c>
      <c r="G64" t="s">
        <v>223</v>
      </c>
      <c r="H64" t="s">
        <v>223</v>
      </c>
      <c r="I64">
        <v>0</v>
      </c>
      <c r="J64" t="str">
        <f t="shared" si="0"/>
        <v/>
      </c>
      <c r="K64" t="str">
        <f t="shared" si="1"/>
        <v/>
      </c>
      <c r="L64" t="str">
        <f t="shared" si="2"/>
        <v/>
      </c>
      <c r="M64" t="str">
        <f t="shared" si="3"/>
        <v/>
      </c>
      <c r="N64" t="str">
        <f t="shared" si="4"/>
        <v/>
      </c>
      <c r="O64" t="str">
        <f t="shared" si="5"/>
        <v/>
      </c>
      <c r="P64" t="str">
        <f t="shared" si="6"/>
        <v/>
      </c>
      <c r="Q64" t="str">
        <f t="shared" si="7"/>
        <v/>
      </c>
    </row>
    <row r="65" spans="1:17" x14ac:dyDescent="0.25">
      <c r="A65" t="s">
        <v>250</v>
      </c>
      <c r="B65" t="s">
        <v>251</v>
      </c>
      <c r="C65">
        <v>0</v>
      </c>
      <c r="D65">
        <v>0</v>
      </c>
      <c r="E65">
        <v>0</v>
      </c>
      <c r="F65" t="s">
        <v>223</v>
      </c>
      <c r="G65">
        <v>4</v>
      </c>
      <c r="H65" t="s">
        <v>223</v>
      </c>
      <c r="I65">
        <v>0</v>
      </c>
      <c r="J65" t="str">
        <f t="shared" si="0"/>
        <v/>
      </c>
      <c r="K65" t="str">
        <f t="shared" si="1"/>
        <v/>
      </c>
      <c r="L65" t="str">
        <f t="shared" si="2"/>
        <v/>
      </c>
      <c r="M65" t="str">
        <f t="shared" si="3"/>
        <v/>
      </c>
      <c r="N65" t="str">
        <f t="shared" si="4"/>
        <v/>
      </c>
      <c r="O65" t="str">
        <f t="shared" si="5"/>
        <v/>
      </c>
      <c r="P65" t="str">
        <f t="shared" si="6"/>
        <v/>
      </c>
      <c r="Q65" t="str">
        <f t="shared" si="7"/>
        <v/>
      </c>
    </row>
    <row r="66" spans="1:17" x14ac:dyDescent="0.25">
      <c r="A66" t="s">
        <v>250</v>
      </c>
      <c r="B66" t="s">
        <v>251</v>
      </c>
      <c r="C66">
        <v>0</v>
      </c>
      <c r="D66">
        <v>0</v>
      </c>
      <c r="E66">
        <v>0</v>
      </c>
      <c r="F66">
        <v>0</v>
      </c>
      <c r="G66" t="s">
        <v>223</v>
      </c>
      <c r="H66" t="s">
        <v>223</v>
      </c>
      <c r="I66">
        <v>0</v>
      </c>
      <c r="J66" t="str">
        <f t="shared" si="0"/>
        <v/>
      </c>
      <c r="K66" t="str">
        <f t="shared" si="1"/>
        <v/>
      </c>
      <c r="L66" t="str">
        <f t="shared" si="2"/>
        <v/>
      </c>
      <c r="M66" t="str">
        <f t="shared" si="3"/>
        <v/>
      </c>
      <c r="N66" t="str">
        <f t="shared" si="4"/>
        <v/>
      </c>
      <c r="O66" t="str">
        <f t="shared" si="5"/>
        <v/>
      </c>
      <c r="P66" t="str">
        <f t="shared" si="6"/>
        <v/>
      </c>
      <c r="Q66" t="str">
        <f t="shared" si="7"/>
        <v/>
      </c>
    </row>
    <row r="67" spans="1:17" x14ac:dyDescent="0.25">
      <c r="A67" t="s">
        <v>250</v>
      </c>
      <c r="B67" t="s">
        <v>251</v>
      </c>
      <c r="C67">
        <v>0</v>
      </c>
      <c r="D67">
        <v>0</v>
      </c>
      <c r="E67">
        <v>0</v>
      </c>
      <c r="F67">
        <v>0</v>
      </c>
      <c r="G67">
        <v>0</v>
      </c>
      <c r="H67" t="s">
        <v>223</v>
      </c>
      <c r="I67">
        <v>0</v>
      </c>
      <c r="J67" t="str">
        <f t="shared" si="0"/>
        <v/>
      </c>
      <c r="K67" t="str">
        <f t="shared" si="1"/>
        <v/>
      </c>
      <c r="L67" t="str">
        <f t="shared" si="2"/>
        <v/>
      </c>
      <c r="M67" t="str">
        <f t="shared" si="3"/>
        <v/>
      </c>
      <c r="N67" t="str">
        <f t="shared" si="4"/>
        <v/>
      </c>
      <c r="O67" t="str">
        <f t="shared" si="5"/>
        <v/>
      </c>
      <c r="P67" t="str">
        <f t="shared" si="6"/>
        <v/>
      </c>
      <c r="Q67" t="str">
        <f t="shared" si="7"/>
        <v/>
      </c>
    </row>
    <row r="68" spans="1:17" x14ac:dyDescent="0.25">
      <c r="A68" t="s">
        <v>252</v>
      </c>
      <c r="B68" t="s">
        <v>253</v>
      </c>
      <c r="C68" t="s">
        <v>223</v>
      </c>
      <c r="D68">
        <v>1</v>
      </c>
      <c r="E68" t="s">
        <v>235</v>
      </c>
      <c r="F68" t="s">
        <v>246</v>
      </c>
      <c r="G68" t="s">
        <v>235</v>
      </c>
      <c r="H68" t="s">
        <v>224</v>
      </c>
      <c r="I68">
        <v>23.92</v>
      </c>
      <c r="J68" t="str">
        <f t="shared" ref="J68:J131" si="8">IF(K68&lt;&gt;"",A68,"")</f>
        <v>68431162</v>
      </c>
      <c r="K68">
        <f t="shared" ref="K68:K131" si="9">IF($I68&gt;0,IFERROR(VALUE(C68),0),"")</f>
        <v>0</v>
      </c>
      <c r="L68">
        <f t="shared" ref="L68:L131" si="10">IF($I68&gt;0,IFERROR(VALUE(D68),0),"")</f>
        <v>1</v>
      </c>
      <c r="M68">
        <f t="shared" ref="M68:M131" si="11">IF($I68&gt;0,IFERROR(VALUE(E68),0),"")</f>
        <v>5</v>
      </c>
      <c r="N68">
        <f t="shared" ref="N68:N131" si="12">IF($I68&gt;0,IFERROR(VALUE(F68),0),"")</f>
        <v>8</v>
      </c>
      <c r="O68">
        <f t="shared" ref="O68:O131" si="13">IF($I68&gt;0,IFERROR(VALUE(G68),0),"")</f>
        <v>5</v>
      </c>
      <c r="P68">
        <f t="shared" ref="P68:P131" si="14">IF($I68&gt;0,IFERROR(VALUE(H68),0),"")</f>
        <v>2</v>
      </c>
      <c r="Q68">
        <f t="shared" ref="Q68:Q131" si="15">IF(K68&lt;&gt;"",SUM(K68:P68),"")</f>
        <v>21</v>
      </c>
    </row>
    <row r="69" spans="1:17" x14ac:dyDescent="0.25">
      <c r="A69" t="s">
        <v>252</v>
      </c>
      <c r="B69" t="s">
        <v>253</v>
      </c>
      <c r="C69">
        <v>0</v>
      </c>
      <c r="D69">
        <v>0</v>
      </c>
      <c r="E69">
        <v>5</v>
      </c>
      <c r="F69" t="s">
        <v>223</v>
      </c>
      <c r="G69" t="s">
        <v>223</v>
      </c>
      <c r="H69" t="s">
        <v>223</v>
      </c>
      <c r="I69">
        <v>0</v>
      </c>
      <c r="J69" t="str">
        <f t="shared" si="8"/>
        <v/>
      </c>
      <c r="K69" t="str">
        <f t="shared" si="9"/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t="str">
        <f t="shared" si="14"/>
        <v/>
      </c>
      <c r="Q69" t="str">
        <f t="shared" si="15"/>
        <v/>
      </c>
    </row>
    <row r="70" spans="1:17" x14ac:dyDescent="0.25">
      <c r="A70" t="s">
        <v>252</v>
      </c>
      <c r="B70" t="s">
        <v>253</v>
      </c>
      <c r="C70">
        <v>0</v>
      </c>
      <c r="D70">
        <v>0</v>
      </c>
      <c r="E70">
        <v>0</v>
      </c>
      <c r="F70">
        <v>8</v>
      </c>
      <c r="G70" t="s">
        <v>223</v>
      </c>
      <c r="H70" t="s">
        <v>223</v>
      </c>
      <c r="I70">
        <v>0</v>
      </c>
      <c r="J70" t="str">
        <f t="shared" si="8"/>
        <v/>
      </c>
      <c r="K70" t="str">
        <f t="shared" si="9"/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t="str">
        <f t="shared" si="14"/>
        <v/>
      </c>
      <c r="Q70" t="str">
        <f t="shared" si="15"/>
        <v/>
      </c>
    </row>
    <row r="71" spans="1:17" x14ac:dyDescent="0.25">
      <c r="A71" t="s">
        <v>252</v>
      </c>
      <c r="B71" t="s">
        <v>253</v>
      </c>
      <c r="C71">
        <v>0</v>
      </c>
      <c r="D71">
        <v>0</v>
      </c>
      <c r="E71">
        <v>0</v>
      </c>
      <c r="F71">
        <v>0</v>
      </c>
      <c r="G71">
        <v>5</v>
      </c>
      <c r="H71" t="s">
        <v>223</v>
      </c>
      <c r="I71">
        <v>0</v>
      </c>
      <c r="J71" t="str">
        <f t="shared" si="8"/>
        <v/>
      </c>
      <c r="K71" t="str">
        <f t="shared" si="9"/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t="str">
        <f t="shared" si="14"/>
        <v/>
      </c>
      <c r="Q71" t="str">
        <f t="shared" si="15"/>
        <v/>
      </c>
    </row>
    <row r="72" spans="1:17" x14ac:dyDescent="0.25">
      <c r="A72" t="s">
        <v>252</v>
      </c>
      <c r="B72" t="s">
        <v>253</v>
      </c>
      <c r="C72">
        <v>0</v>
      </c>
      <c r="D72">
        <v>0</v>
      </c>
      <c r="E72">
        <v>0</v>
      </c>
      <c r="F72">
        <v>0</v>
      </c>
      <c r="G72">
        <v>0</v>
      </c>
      <c r="H72">
        <v>2</v>
      </c>
      <c r="I72">
        <v>0</v>
      </c>
      <c r="J72" t="str">
        <f t="shared" si="8"/>
        <v/>
      </c>
      <c r="K72" t="str">
        <f t="shared" si="9"/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t="str">
        <f t="shared" si="14"/>
        <v/>
      </c>
      <c r="Q72" t="str">
        <f t="shared" si="15"/>
        <v/>
      </c>
    </row>
    <row r="73" spans="1:17" x14ac:dyDescent="0.25">
      <c r="A73" t="s">
        <v>254</v>
      </c>
      <c r="B73" t="s">
        <v>255</v>
      </c>
      <c r="C73" t="s">
        <v>223</v>
      </c>
      <c r="D73" t="s">
        <v>223</v>
      </c>
      <c r="E73" t="s">
        <v>225</v>
      </c>
      <c r="F73" t="s">
        <v>242</v>
      </c>
      <c r="G73" t="s">
        <v>225</v>
      </c>
      <c r="H73" t="s">
        <v>256</v>
      </c>
      <c r="I73">
        <v>30.32</v>
      </c>
      <c r="J73" t="str">
        <f t="shared" si="8"/>
        <v>68131036</v>
      </c>
      <c r="K73">
        <f t="shared" si="9"/>
        <v>0</v>
      </c>
      <c r="L73">
        <f t="shared" si="10"/>
        <v>0</v>
      </c>
      <c r="M73">
        <f t="shared" si="11"/>
        <v>4</v>
      </c>
      <c r="N73">
        <f t="shared" si="12"/>
        <v>6</v>
      </c>
      <c r="O73">
        <f t="shared" si="13"/>
        <v>4</v>
      </c>
      <c r="P73">
        <f t="shared" si="14"/>
        <v>1</v>
      </c>
      <c r="Q73">
        <f t="shared" si="15"/>
        <v>15</v>
      </c>
    </row>
    <row r="74" spans="1:17" x14ac:dyDescent="0.25">
      <c r="A74" t="s">
        <v>254</v>
      </c>
      <c r="B74" t="s">
        <v>255</v>
      </c>
      <c r="C74">
        <v>0</v>
      </c>
      <c r="D74">
        <v>0</v>
      </c>
      <c r="E74" t="s">
        <v>223</v>
      </c>
      <c r="F74">
        <v>6</v>
      </c>
      <c r="G74" t="s">
        <v>223</v>
      </c>
      <c r="H74" t="s">
        <v>223</v>
      </c>
      <c r="I74">
        <v>0</v>
      </c>
      <c r="J74" t="str">
        <f t="shared" si="8"/>
        <v/>
      </c>
      <c r="K74" t="str">
        <f t="shared" si="9"/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t="str">
        <f t="shared" si="14"/>
        <v/>
      </c>
      <c r="Q74" t="str">
        <f t="shared" si="15"/>
        <v/>
      </c>
    </row>
    <row r="75" spans="1:17" x14ac:dyDescent="0.25">
      <c r="A75" t="s">
        <v>254</v>
      </c>
      <c r="B75" t="s">
        <v>255</v>
      </c>
      <c r="C75">
        <v>0</v>
      </c>
      <c r="D75">
        <v>0</v>
      </c>
      <c r="E75">
        <v>0</v>
      </c>
      <c r="F75" t="s">
        <v>223</v>
      </c>
      <c r="G75">
        <v>4</v>
      </c>
      <c r="H75" t="s">
        <v>223</v>
      </c>
      <c r="I75">
        <v>0</v>
      </c>
      <c r="J75" t="str">
        <f t="shared" si="8"/>
        <v/>
      </c>
      <c r="K75" t="str">
        <f t="shared" si="9"/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t="str">
        <f t="shared" si="14"/>
        <v/>
      </c>
      <c r="Q75" t="str">
        <f t="shared" si="15"/>
        <v/>
      </c>
    </row>
    <row r="76" spans="1:17" x14ac:dyDescent="0.25">
      <c r="A76" t="s">
        <v>254</v>
      </c>
      <c r="B76" t="s">
        <v>255</v>
      </c>
      <c r="C76">
        <v>0</v>
      </c>
      <c r="D76">
        <v>0</v>
      </c>
      <c r="E76">
        <v>0</v>
      </c>
      <c r="F76">
        <v>0</v>
      </c>
      <c r="G76" t="s">
        <v>223</v>
      </c>
      <c r="H76">
        <v>1</v>
      </c>
      <c r="I76">
        <v>0</v>
      </c>
      <c r="J76" t="str">
        <f t="shared" si="8"/>
        <v/>
      </c>
      <c r="K76" t="str">
        <f t="shared" si="9"/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t="str">
        <f t="shared" si="14"/>
        <v/>
      </c>
      <c r="Q76" t="str">
        <f t="shared" si="15"/>
        <v/>
      </c>
    </row>
    <row r="77" spans="1:17" x14ac:dyDescent="0.25">
      <c r="A77" t="s">
        <v>254</v>
      </c>
      <c r="B77" t="s">
        <v>255</v>
      </c>
      <c r="C77">
        <v>0</v>
      </c>
      <c r="D77">
        <v>0</v>
      </c>
      <c r="E77">
        <v>0</v>
      </c>
      <c r="F77">
        <v>0</v>
      </c>
      <c r="G77">
        <v>0</v>
      </c>
      <c r="H77" t="s">
        <v>223</v>
      </c>
      <c r="I77">
        <v>0</v>
      </c>
      <c r="J77" t="str">
        <f t="shared" si="8"/>
        <v/>
      </c>
      <c r="K77" t="str">
        <f t="shared" si="9"/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t="str">
        <f t="shared" si="14"/>
        <v/>
      </c>
      <c r="Q77" t="str">
        <f t="shared" si="15"/>
        <v/>
      </c>
    </row>
    <row r="78" spans="1:17" x14ac:dyDescent="0.25">
      <c r="A78" t="s">
        <v>257</v>
      </c>
      <c r="B78" t="s">
        <v>258</v>
      </c>
      <c r="C78" t="s">
        <v>223</v>
      </c>
      <c r="D78" t="s">
        <v>223</v>
      </c>
      <c r="E78" t="s">
        <v>256</v>
      </c>
      <c r="F78" t="s">
        <v>224</v>
      </c>
      <c r="G78" t="s">
        <v>256</v>
      </c>
      <c r="H78" t="s">
        <v>223</v>
      </c>
      <c r="I78">
        <v>39.92</v>
      </c>
      <c r="J78" t="str">
        <f t="shared" si="8"/>
        <v>6840407267</v>
      </c>
      <c r="K78">
        <f t="shared" si="9"/>
        <v>0</v>
      </c>
      <c r="L78">
        <f t="shared" si="10"/>
        <v>0</v>
      </c>
      <c r="M78">
        <f t="shared" si="11"/>
        <v>1</v>
      </c>
      <c r="N78">
        <f t="shared" si="12"/>
        <v>2</v>
      </c>
      <c r="O78">
        <f t="shared" si="13"/>
        <v>1</v>
      </c>
      <c r="P78">
        <f t="shared" si="14"/>
        <v>0</v>
      </c>
      <c r="Q78">
        <f t="shared" si="15"/>
        <v>4</v>
      </c>
    </row>
    <row r="79" spans="1:17" x14ac:dyDescent="0.25">
      <c r="A79" t="s">
        <v>257</v>
      </c>
      <c r="B79" t="s">
        <v>258</v>
      </c>
      <c r="C79">
        <v>0</v>
      </c>
      <c r="D79">
        <v>0</v>
      </c>
      <c r="E79" t="s">
        <v>223</v>
      </c>
      <c r="F79">
        <v>2</v>
      </c>
      <c r="G79" t="s">
        <v>223</v>
      </c>
      <c r="H79" t="s">
        <v>223</v>
      </c>
      <c r="I79">
        <v>0</v>
      </c>
      <c r="J79" t="str">
        <f t="shared" si="8"/>
        <v/>
      </c>
      <c r="K79" t="str">
        <f t="shared" si="9"/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t="str">
        <f t="shared" si="14"/>
        <v/>
      </c>
      <c r="Q79" t="str">
        <f t="shared" si="15"/>
        <v/>
      </c>
    </row>
    <row r="80" spans="1:17" x14ac:dyDescent="0.25">
      <c r="A80" t="s">
        <v>257</v>
      </c>
      <c r="B80" t="s">
        <v>258</v>
      </c>
      <c r="C80">
        <v>0</v>
      </c>
      <c r="D80">
        <v>0</v>
      </c>
      <c r="E80">
        <v>0</v>
      </c>
      <c r="F80" t="s">
        <v>223</v>
      </c>
      <c r="G80">
        <v>1</v>
      </c>
      <c r="H80" t="s">
        <v>223</v>
      </c>
      <c r="I80">
        <v>0</v>
      </c>
      <c r="J80" t="str">
        <f t="shared" si="8"/>
        <v/>
      </c>
      <c r="K80" t="str">
        <f t="shared" si="9"/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t="str">
        <f t="shared" si="14"/>
        <v/>
      </c>
      <c r="Q80" t="str">
        <f t="shared" si="15"/>
        <v/>
      </c>
    </row>
    <row r="81" spans="1:17" x14ac:dyDescent="0.25">
      <c r="A81" t="s">
        <v>257</v>
      </c>
      <c r="B81" t="s">
        <v>258</v>
      </c>
      <c r="C81">
        <v>0</v>
      </c>
      <c r="D81">
        <v>0</v>
      </c>
      <c r="E81">
        <v>0</v>
      </c>
      <c r="F81">
        <v>0</v>
      </c>
      <c r="G81" t="s">
        <v>223</v>
      </c>
      <c r="H81" t="s">
        <v>223</v>
      </c>
      <c r="I81">
        <v>0</v>
      </c>
      <c r="J81" t="str">
        <f t="shared" si="8"/>
        <v/>
      </c>
      <c r="K81" t="str">
        <f t="shared" si="9"/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t="str">
        <f t="shared" si="14"/>
        <v/>
      </c>
      <c r="Q81" t="str">
        <f t="shared" si="15"/>
        <v/>
      </c>
    </row>
    <row r="82" spans="1:17" x14ac:dyDescent="0.25">
      <c r="A82" t="s">
        <v>257</v>
      </c>
      <c r="B82" t="s">
        <v>258</v>
      </c>
      <c r="C82">
        <v>0</v>
      </c>
      <c r="D82">
        <v>0</v>
      </c>
      <c r="E82">
        <v>0</v>
      </c>
      <c r="F82">
        <v>0</v>
      </c>
      <c r="G82">
        <v>0</v>
      </c>
      <c r="H82" t="s">
        <v>223</v>
      </c>
      <c r="I82">
        <v>0</v>
      </c>
      <c r="J82" t="str">
        <f t="shared" si="8"/>
        <v/>
      </c>
      <c r="K82" t="str">
        <f t="shared" si="9"/>
        <v/>
      </c>
      <c r="L82" t="str">
        <f t="shared" si="10"/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t="str">
        <f t="shared" si="14"/>
        <v/>
      </c>
      <c r="Q82" t="str">
        <f t="shared" si="15"/>
        <v/>
      </c>
    </row>
    <row r="83" spans="1:17" x14ac:dyDescent="0.25">
      <c r="A83" t="s">
        <v>259</v>
      </c>
      <c r="B83" t="s">
        <v>260</v>
      </c>
      <c r="C83" t="s">
        <v>223</v>
      </c>
      <c r="D83" t="s">
        <v>223</v>
      </c>
      <c r="E83" t="s">
        <v>224</v>
      </c>
      <c r="F83" t="s">
        <v>225</v>
      </c>
      <c r="G83" t="s">
        <v>237</v>
      </c>
      <c r="H83" t="s">
        <v>223</v>
      </c>
      <c r="I83">
        <v>39.92</v>
      </c>
      <c r="J83" t="str">
        <f t="shared" si="8"/>
        <v>6382504322</v>
      </c>
      <c r="K83">
        <f t="shared" si="9"/>
        <v>0</v>
      </c>
      <c r="L83">
        <f t="shared" si="10"/>
        <v>0</v>
      </c>
      <c r="M83">
        <f t="shared" si="11"/>
        <v>2</v>
      </c>
      <c r="N83">
        <f t="shared" si="12"/>
        <v>4</v>
      </c>
      <c r="O83">
        <f t="shared" si="13"/>
        <v>3</v>
      </c>
      <c r="P83">
        <f t="shared" si="14"/>
        <v>0</v>
      </c>
      <c r="Q83">
        <f t="shared" si="15"/>
        <v>9</v>
      </c>
    </row>
    <row r="84" spans="1:17" x14ac:dyDescent="0.25">
      <c r="A84" t="s">
        <v>259</v>
      </c>
      <c r="B84" t="s">
        <v>260</v>
      </c>
      <c r="C84">
        <v>0</v>
      </c>
      <c r="D84">
        <v>0</v>
      </c>
      <c r="E84" t="s">
        <v>223</v>
      </c>
      <c r="F84">
        <v>4</v>
      </c>
      <c r="G84" t="s">
        <v>223</v>
      </c>
      <c r="H84" t="s">
        <v>223</v>
      </c>
      <c r="I84">
        <v>0</v>
      </c>
      <c r="J84" t="str">
        <f t="shared" si="8"/>
        <v/>
      </c>
      <c r="K84" t="str">
        <f t="shared" si="9"/>
        <v/>
      </c>
      <c r="L84" t="str">
        <f t="shared" si="10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t="str">
        <f t="shared" si="14"/>
        <v/>
      </c>
      <c r="Q84" t="str">
        <f t="shared" si="15"/>
        <v/>
      </c>
    </row>
    <row r="85" spans="1:17" x14ac:dyDescent="0.25">
      <c r="A85" t="s">
        <v>259</v>
      </c>
      <c r="B85" t="s">
        <v>260</v>
      </c>
      <c r="C85">
        <v>0</v>
      </c>
      <c r="D85">
        <v>0</v>
      </c>
      <c r="E85">
        <v>0</v>
      </c>
      <c r="F85" t="s">
        <v>223</v>
      </c>
      <c r="G85">
        <v>3</v>
      </c>
      <c r="H85" t="s">
        <v>223</v>
      </c>
      <c r="I85">
        <v>0</v>
      </c>
      <c r="J85" t="str">
        <f t="shared" si="8"/>
        <v/>
      </c>
      <c r="K85" t="str">
        <f t="shared" si="9"/>
        <v/>
      </c>
      <c r="L85" t="str">
        <f t="shared" si="10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  <c r="Q85" t="str">
        <f t="shared" si="15"/>
        <v/>
      </c>
    </row>
    <row r="86" spans="1:17" x14ac:dyDescent="0.25">
      <c r="A86" t="s">
        <v>259</v>
      </c>
      <c r="B86" t="s">
        <v>260</v>
      </c>
      <c r="C86">
        <v>0</v>
      </c>
      <c r="D86">
        <v>0</v>
      </c>
      <c r="E86">
        <v>0</v>
      </c>
      <c r="F86">
        <v>0</v>
      </c>
      <c r="G86" t="s">
        <v>223</v>
      </c>
      <c r="H86" t="s">
        <v>223</v>
      </c>
      <c r="I86">
        <v>0</v>
      </c>
      <c r="J86" t="str">
        <f t="shared" si="8"/>
        <v/>
      </c>
      <c r="K86" t="str">
        <f t="shared" si="9"/>
        <v/>
      </c>
      <c r="L86" t="str">
        <f t="shared" si="10"/>
        <v/>
      </c>
      <c r="M86" t="str">
        <f t="shared" si="11"/>
        <v/>
      </c>
      <c r="N86" t="str">
        <f t="shared" si="12"/>
        <v/>
      </c>
      <c r="O86" t="str">
        <f t="shared" si="13"/>
        <v/>
      </c>
      <c r="P86" t="str">
        <f t="shared" si="14"/>
        <v/>
      </c>
      <c r="Q86" t="str">
        <f t="shared" si="15"/>
        <v/>
      </c>
    </row>
    <row r="87" spans="1:17" x14ac:dyDescent="0.25">
      <c r="A87" t="s">
        <v>259</v>
      </c>
      <c r="B87" t="s">
        <v>260</v>
      </c>
      <c r="C87">
        <v>0</v>
      </c>
      <c r="D87">
        <v>0</v>
      </c>
      <c r="E87">
        <v>0</v>
      </c>
      <c r="F87">
        <v>0</v>
      </c>
      <c r="G87">
        <v>0</v>
      </c>
      <c r="H87" t="s">
        <v>223</v>
      </c>
      <c r="I87">
        <v>0</v>
      </c>
      <c r="J87" t="str">
        <f t="shared" si="8"/>
        <v/>
      </c>
      <c r="K87" t="str">
        <f t="shared" si="9"/>
        <v/>
      </c>
      <c r="L87" t="str">
        <f t="shared" si="10"/>
        <v/>
      </c>
      <c r="M87" t="str">
        <f t="shared" si="11"/>
        <v/>
      </c>
      <c r="N87" t="str">
        <f t="shared" si="12"/>
        <v/>
      </c>
      <c r="O87" t="str">
        <f t="shared" si="13"/>
        <v/>
      </c>
      <c r="P87" t="str">
        <f t="shared" si="14"/>
        <v/>
      </c>
      <c r="Q87" t="str">
        <f t="shared" si="15"/>
        <v/>
      </c>
    </row>
    <row r="88" spans="1:17" x14ac:dyDescent="0.25">
      <c r="A88" t="s">
        <v>261</v>
      </c>
      <c r="B88" t="s">
        <v>262</v>
      </c>
      <c r="C88" t="s">
        <v>223</v>
      </c>
      <c r="D88" t="s">
        <v>223</v>
      </c>
      <c r="E88" t="s">
        <v>224</v>
      </c>
      <c r="F88" t="s">
        <v>225</v>
      </c>
      <c r="G88" t="s">
        <v>237</v>
      </c>
      <c r="H88" t="s">
        <v>223</v>
      </c>
      <c r="I88">
        <v>39.92</v>
      </c>
      <c r="J88" t="str">
        <f t="shared" si="8"/>
        <v>6842504322</v>
      </c>
      <c r="K88">
        <f t="shared" si="9"/>
        <v>0</v>
      </c>
      <c r="L88">
        <f t="shared" si="10"/>
        <v>0</v>
      </c>
      <c r="M88">
        <f t="shared" si="11"/>
        <v>2</v>
      </c>
      <c r="N88">
        <f t="shared" si="12"/>
        <v>4</v>
      </c>
      <c r="O88">
        <f t="shared" si="13"/>
        <v>3</v>
      </c>
      <c r="P88">
        <f t="shared" si="14"/>
        <v>0</v>
      </c>
      <c r="Q88">
        <f t="shared" si="15"/>
        <v>9</v>
      </c>
    </row>
    <row r="89" spans="1:17" x14ac:dyDescent="0.25">
      <c r="A89" t="s">
        <v>261</v>
      </c>
      <c r="B89" t="s">
        <v>262</v>
      </c>
      <c r="C89">
        <v>0</v>
      </c>
      <c r="D89">
        <v>0</v>
      </c>
      <c r="E89" t="s">
        <v>223</v>
      </c>
      <c r="F89">
        <v>4</v>
      </c>
      <c r="G89" t="s">
        <v>223</v>
      </c>
      <c r="H89" t="s">
        <v>223</v>
      </c>
      <c r="I89">
        <v>0</v>
      </c>
      <c r="J89" t="str">
        <f t="shared" si="8"/>
        <v/>
      </c>
      <c r="K89" t="str">
        <f t="shared" si="9"/>
        <v/>
      </c>
      <c r="L89" t="str">
        <f t="shared" si="10"/>
        <v/>
      </c>
      <c r="M89" t="str">
        <f t="shared" si="11"/>
        <v/>
      </c>
      <c r="N89" t="str">
        <f t="shared" si="12"/>
        <v/>
      </c>
      <c r="O89" t="str">
        <f t="shared" si="13"/>
        <v/>
      </c>
      <c r="P89" t="str">
        <f t="shared" si="14"/>
        <v/>
      </c>
      <c r="Q89" t="str">
        <f t="shared" si="15"/>
        <v/>
      </c>
    </row>
    <row r="90" spans="1:17" x14ac:dyDescent="0.25">
      <c r="A90" t="s">
        <v>261</v>
      </c>
      <c r="B90" t="s">
        <v>262</v>
      </c>
      <c r="C90">
        <v>0</v>
      </c>
      <c r="D90">
        <v>0</v>
      </c>
      <c r="E90">
        <v>0</v>
      </c>
      <c r="F90" t="s">
        <v>223</v>
      </c>
      <c r="G90">
        <v>3</v>
      </c>
      <c r="H90" t="s">
        <v>223</v>
      </c>
      <c r="I90">
        <v>0</v>
      </c>
      <c r="J90" t="str">
        <f t="shared" si="8"/>
        <v/>
      </c>
      <c r="K90" t="str">
        <f t="shared" si="9"/>
        <v/>
      </c>
      <c r="L90" t="str">
        <f t="shared" si="10"/>
        <v/>
      </c>
      <c r="M90" t="str">
        <f t="shared" si="11"/>
        <v/>
      </c>
      <c r="N90" t="str">
        <f t="shared" si="12"/>
        <v/>
      </c>
      <c r="O90" t="str">
        <f t="shared" si="13"/>
        <v/>
      </c>
      <c r="P90" t="str">
        <f t="shared" si="14"/>
        <v/>
      </c>
      <c r="Q90" t="str">
        <f t="shared" si="15"/>
        <v/>
      </c>
    </row>
    <row r="91" spans="1:17" x14ac:dyDescent="0.25">
      <c r="A91" t="s">
        <v>261</v>
      </c>
      <c r="B91" t="s">
        <v>262</v>
      </c>
      <c r="C91">
        <v>0</v>
      </c>
      <c r="D91">
        <v>0</v>
      </c>
      <c r="E91">
        <v>0</v>
      </c>
      <c r="F91">
        <v>0</v>
      </c>
      <c r="G91" t="s">
        <v>223</v>
      </c>
      <c r="H91" t="s">
        <v>223</v>
      </c>
      <c r="I91">
        <v>0</v>
      </c>
      <c r="J91" t="str">
        <f t="shared" si="8"/>
        <v/>
      </c>
      <c r="K91" t="str">
        <f t="shared" si="9"/>
        <v/>
      </c>
      <c r="L91" t="str">
        <f t="shared" si="10"/>
        <v/>
      </c>
      <c r="M91" t="str">
        <f t="shared" si="11"/>
        <v/>
      </c>
      <c r="N91" t="str">
        <f t="shared" si="12"/>
        <v/>
      </c>
      <c r="O91" t="str">
        <f t="shared" si="13"/>
        <v/>
      </c>
      <c r="P91" t="str">
        <f t="shared" si="14"/>
        <v/>
      </c>
      <c r="Q91" t="str">
        <f t="shared" si="15"/>
        <v/>
      </c>
    </row>
    <row r="92" spans="1:17" x14ac:dyDescent="0.25">
      <c r="A92" t="s">
        <v>261</v>
      </c>
      <c r="B92" t="s">
        <v>262</v>
      </c>
      <c r="C92">
        <v>0</v>
      </c>
      <c r="D92">
        <v>0</v>
      </c>
      <c r="E92">
        <v>0</v>
      </c>
      <c r="F92">
        <v>0</v>
      </c>
      <c r="G92">
        <v>0</v>
      </c>
      <c r="H92" t="s">
        <v>223</v>
      </c>
      <c r="I92">
        <v>0</v>
      </c>
      <c r="J92" t="str">
        <f t="shared" si="8"/>
        <v/>
      </c>
      <c r="K92" t="str">
        <f t="shared" si="9"/>
        <v/>
      </c>
      <c r="L92" t="str">
        <f t="shared" si="10"/>
        <v/>
      </c>
      <c r="M92" t="str">
        <f t="shared" si="11"/>
        <v/>
      </c>
      <c r="N92" t="str">
        <f t="shared" si="12"/>
        <v/>
      </c>
      <c r="O92" t="str">
        <f t="shared" si="13"/>
        <v/>
      </c>
      <c r="P92" t="str">
        <f t="shared" si="14"/>
        <v/>
      </c>
      <c r="Q92" t="str">
        <f t="shared" si="15"/>
        <v/>
      </c>
    </row>
    <row r="93" spans="1:17" x14ac:dyDescent="0.25">
      <c r="A93" t="s">
        <v>263</v>
      </c>
      <c r="B93" t="s">
        <v>264</v>
      </c>
      <c r="C93" t="s">
        <v>223</v>
      </c>
      <c r="D93" t="s">
        <v>223</v>
      </c>
      <c r="E93" t="s">
        <v>246</v>
      </c>
      <c r="F93" t="s">
        <v>241</v>
      </c>
      <c r="G93" t="s">
        <v>223</v>
      </c>
      <c r="H93" t="s">
        <v>223</v>
      </c>
      <c r="I93">
        <v>45.6</v>
      </c>
      <c r="J93" t="str">
        <f t="shared" si="8"/>
        <v>118710163</v>
      </c>
      <c r="K93">
        <f t="shared" si="9"/>
        <v>0</v>
      </c>
      <c r="L93">
        <f t="shared" si="10"/>
        <v>0</v>
      </c>
      <c r="M93">
        <f t="shared" si="11"/>
        <v>8</v>
      </c>
      <c r="N93">
        <f t="shared" si="12"/>
        <v>9</v>
      </c>
      <c r="O93">
        <f t="shared" si="13"/>
        <v>0</v>
      </c>
      <c r="P93">
        <f t="shared" si="14"/>
        <v>0</v>
      </c>
      <c r="Q93">
        <f t="shared" si="15"/>
        <v>17</v>
      </c>
    </row>
    <row r="94" spans="1:17" x14ac:dyDescent="0.25">
      <c r="A94" t="s">
        <v>263</v>
      </c>
      <c r="B94" t="s">
        <v>264</v>
      </c>
      <c r="C94">
        <v>0</v>
      </c>
      <c r="D94">
        <v>0</v>
      </c>
      <c r="E94" t="s">
        <v>223</v>
      </c>
      <c r="F94">
        <v>9</v>
      </c>
      <c r="G94" t="s">
        <v>223</v>
      </c>
      <c r="H94" t="s">
        <v>223</v>
      </c>
      <c r="I94">
        <v>0</v>
      </c>
      <c r="J94" t="str">
        <f t="shared" si="8"/>
        <v/>
      </c>
      <c r="K94" t="str">
        <f t="shared" si="9"/>
        <v/>
      </c>
      <c r="L94" t="str">
        <f t="shared" si="10"/>
        <v/>
      </c>
      <c r="M94" t="str">
        <f t="shared" si="11"/>
        <v/>
      </c>
      <c r="N94" t="str">
        <f t="shared" si="12"/>
        <v/>
      </c>
      <c r="O94" t="str">
        <f t="shared" si="13"/>
        <v/>
      </c>
      <c r="P94" t="str">
        <f t="shared" si="14"/>
        <v/>
      </c>
      <c r="Q94" t="str">
        <f t="shared" si="15"/>
        <v/>
      </c>
    </row>
    <row r="95" spans="1:17" x14ac:dyDescent="0.25">
      <c r="A95" t="s">
        <v>263</v>
      </c>
      <c r="B95" t="s">
        <v>264</v>
      </c>
      <c r="C95">
        <v>0</v>
      </c>
      <c r="D95">
        <v>0</v>
      </c>
      <c r="E95">
        <v>0</v>
      </c>
      <c r="F95" t="s">
        <v>223</v>
      </c>
      <c r="G95" t="s">
        <v>223</v>
      </c>
      <c r="H95" t="s">
        <v>223</v>
      </c>
      <c r="I95">
        <v>0</v>
      </c>
      <c r="J95" t="str">
        <f t="shared" si="8"/>
        <v/>
      </c>
      <c r="K95" t="str">
        <f t="shared" si="9"/>
        <v/>
      </c>
      <c r="L95" t="str">
        <f t="shared" si="10"/>
        <v/>
      </c>
      <c r="M95" t="str">
        <f t="shared" si="11"/>
        <v/>
      </c>
      <c r="N95" t="str">
        <f t="shared" si="12"/>
        <v/>
      </c>
      <c r="O95" t="str">
        <f t="shared" si="13"/>
        <v/>
      </c>
      <c r="P95" t="str">
        <f t="shared" si="14"/>
        <v/>
      </c>
      <c r="Q95" t="str">
        <f t="shared" si="15"/>
        <v/>
      </c>
    </row>
    <row r="96" spans="1:17" x14ac:dyDescent="0.25">
      <c r="A96" t="s">
        <v>263</v>
      </c>
      <c r="B96" t="s">
        <v>264</v>
      </c>
      <c r="C96">
        <v>0</v>
      </c>
      <c r="D96">
        <v>0</v>
      </c>
      <c r="E96">
        <v>0</v>
      </c>
      <c r="F96">
        <v>0</v>
      </c>
      <c r="G96" t="s">
        <v>223</v>
      </c>
      <c r="H96" t="s">
        <v>223</v>
      </c>
      <c r="I96">
        <v>0</v>
      </c>
      <c r="J96" t="str">
        <f t="shared" si="8"/>
        <v/>
      </c>
      <c r="K96" t="str">
        <f t="shared" si="9"/>
        <v/>
      </c>
      <c r="L96" t="str">
        <f t="shared" si="10"/>
        <v/>
      </c>
      <c r="M96" t="str">
        <f t="shared" si="11"/>
        <v/>
      </c>
      <c r="N96" t="str">
        <f t="shared" si="12"/>
        <v/>
      </c>
      <c r="O96" t="str">
        <f t="shared" si="13"/>
        <v/>
      </c>
      <c r="P96" t="str">
        <f t="shared" si="14"/>
        <v/>
      </c>
      <c r="Q96" t="str">
        <f t="shared" si="15"/>
        <v/>
      </c>
    </row>
    <row r="97" spans="1:17" x14ac:dyDescent="0.25">
      <c r="A97" t="s">
        <v>263</v>
      </c>
      <c r="B97" t="s">
        <v>264</v>
      </c>
      <c r="C97">
        <v>0</v>
      </c>
      <c r="D97">
        <v>0</v>
      </c>
      <c r="E97">
        <v>0</v>
      </c>
      <c r="F97">
        <v>0</v>
      </c>
      <c r="G97">
        <v>0</v>
      </c>
      <c r="H97" t="s">
        <v>223</v>
      </c>
      <c r="I97">
        <v>0</v>
      </c>
      <c r="J97" t="str">
        <f t="shared" si="8"/>
        <v/>
      </c>
      <c r="K97" t="str">
        <f t="shared" si="9"/>
        <v/>
      </c>
      <c r="L97" t="str">
        <f t="shared" si="10"/>
        <v/>
      </c>
      <c r="M97" t="str">
        <f t="shared" si="11"/>
        <v/>
      </c>
      <c r="N97" t="str">
        <f t="shared" si="12"/>
        <v/>
      </c>
      <c r="O97" t="str">
        <f t="shared" si="13"/>
        <v/>
      </c>
      <c r="P97" t="str">
        <f t="shared" si="14"/>
        <v/>
      </c>
      <c r="Q97" t="str">
        <f t="shared" si="15"/>
        <v/>
      </c>
    </row>
    <row r="98" spans="1:17" x14ac:dyDescent="0.25">
      <c r="A98" t="s">
        <v>265</v>
      </c>
      <c r="B98" t="s">
        <v>266</v>
      </c>
      <c r="C98">
        <v>10</v>
      </c>
      <c r="D98" t="s">
        <v>223</v>
      </c>
      <c r="E98" t="s">
        <v>223</v>
      </c>
      <c r="F98" t="s">
        <v>223</v>
      </c>
      <c r="G98" t="s">
        <v>223</v>
      </c>
      <c r="H98" t="s">
        <v>223</v>
      </c>
      <c r="I98">
        <v>21.52</v>
      </c>
      <c r="J98" t="str">
        <f t="shared" si="8"/>
        <v>749710562</v>
      </c>
      <c r="K98">
        <f t="shared" si="9"/>
        <v>10</v>
      </c>
      <c r="L98">
        <f t="shared" si="10"/>
        <v>0</v>
      </c>
      <c r="M98">
        <f t="shared" si="11"/>
        <v>0</v>
      </c>
      <c r="N98">
        <f t="shared" si="12"/>
        <v>0</v>
      </c>
      <c r="O98">
        <f t="shared" si="13"/>
        <v>0</v>
      </c>
      <c r="P98">
        <f t="shared" si="14"/>
        <v>0</v>
      </c>
      <c r="Q98">
        <f t="shared" si="15"/>
        <v>10</v>
      </c>
    </row>
    <row r="99" spans="1:17" x14ac:dyDescent="0.25">
      <c r="A99" t="s">
        <v>265</v>
      </c>
      <c r="B99" t="s">
        <v>266</v>
      </c>
      <c r="C99">
        <v>0</v>
      </c>
      <c r="D99">
        <v>0</v>
      </c>
      <c r="E99" t="s">
        <v>223</v>
      </c>
      <c r="F99" t="s">
        <v>223</v>
      </c>
      <c r="G99" t="s">
        <v>223</v>
      </c>
      <c r="H99" t="s">
        <v>223</v>
      </c>
      <c r="I99">
        <v>0</v>
      </c>
      <c r="J99" t="str">
        <f t="shared" si="8"/>
        <v/>
      </c>
      <c r="K99" t="str">
        <f t="shared" si="9"/>
        <v/>
      </c>
      <c r="L99" t="str">
        <f t="shared" si="10"/>
        <v/>
      </c>
      <c r="M99" t="str">
        <f t="shared" si="11"/>
        <v/>
      </c>
      <c r="N99" t="str">
        <f t="shared" si="12"/>
        <v/>
      </c>
      <c r="O99" t="str">
        <f t="shared" si="13"/>
        <v/>
      </c>
      <c r="P99" t="str">
        <f t="shared" si="14"/>
        <v/>
      </c>
      <c r="Q99" t="str">
        <f t="shared" si="15"/>
        <v/>
      </c>
    </row>
    <row r="100" spans="1:17" x14ac:dyDescent="0.25">
      <c r="A100" t="s">
        <v>265</v>
      </c>
      <c r="B100" t="s">
        <v>266</v>
      </c>
      <c r="C100">
        <v>0</v>
      </c>
      <c r="D100">
        <v>0</v>
      </c>
      <c r="E100">
        <v>0</v>
      </c>
      <c r="F100" t="s">
        <v>223</v>
      </c>
      <c r="G100" t="s">
        <v>223</v>
      </c>
      <c r="H100" t="s">
        <v>223</v>
      </c>
      <c r="I100">
        <v>0</v>
      </c>
      <c r="J100" t="str">
        <f t="shared" si="8"/>
        <v/>
      </c>
      <c r="K100" t="str">
        <f t="shared" si="9"/>
        <v/>
      </c>
      <c r="L100" t="str">
        <f t="shared" si="10"/>
        <v/>
      </c>
      <c r="M100" t="str">
        <f t="shared" si="11"/>
        <v/>
      </c>
      <c r="N100" t="str">
        <f t="shared" si="12"/>
        <v/>
      </c>
      <c r="O100" t="str">
        <f t="shared" si="13"/>
        <v/>
      </c>
      <c r="P100" t="str">
        <f t="shared" si="14"/>
        <v/>
      </c>
      <c r="Q100" t="str">
        <f t="shared" si="15"/>
        <v/>
      </c>
    </row>
    <row r="101" spans="1:17" x14ac:dyDescent="0.25">
      <c r="A101" t="s">
        <v>265</v>
      </c>
      <c r="B101" t="s">
        <v>266</v>
      </c>
      <c r="C101">
        <v>0</v>
      </c>
      <c r="D101">
        <v>0</v>
      </c>
      <c r="E101">
        <v>0</v>
      </c>
      <c r="F101">
        <v>0</v>
      </c>
      <c r="G101" t="s">
        <v>223</v>
      </c>
      <c r="H101" t="s">
        <v>223</v>
      </c>
      <c r="I101">
        <v>0</v>
      </c>
      <c r="J101" t="str">
        <f t="shared" si="8"/>
        <v/>
      </c>
      <c r="K101" t="str">
        <f t="shared" si="9"/>
        <v/>
      </c>
      <c r="L101" t="str">
        <f t="shared" si="10"/>
        <v/>
      </c>
      <c r="M101" t="str">
        <f t="shared" si="11"/>
        <v/>
      </c>
      <c r="N101" t="str">
        <f t="shared" si="12"/>
        <v/>
      </c>
      <c r="O101" t="str">
        <f t="shared" si="13"/>
        <v/>
      </c>
      <c r="P101" t="str">
        <f t="shared" si="14"/>
        <v/>
      </c>
      <c r="Q101" t="str">
        <f t="shared" si="15"/>
        <v/>
      </c>
    </row>
    <row r="102" spans="1:17" x14ac:dyDescent="0.25">
      <c r="A102" t="s">
        <v>265</v>
      </c>
      <c r="B102" t="s">
        <v>266</v>
      </c>
      <c r="C102">
        <v>0</v>
      </c>
      <c r="D102">
        <v>0</v>
      </c>
      <c r="E102">
        <v>0</v>
      </c>
      <c r="F102">
        <v>0</v>
      </c>
      <c r="G102">
        <v>0</v>
      </c>
      <c r="H102" t="s">
        <v>223</v>
      </c>
      <c r="I102">
        <v>0</v>
      </c>
      <c r="J102" t="str">
        <f t="shared" si="8"/>
        <v/>
      </c>
      <c r="K102" t="str">
        <f t="shared" si="9"/>
        <v/>
      </c>
      <c r="L102" t="str">
        <f t="shared" si="10"/>
        <v/>
      </c>
      <c r="M102" t="str">
        <f t="shared" si="11"/>
        <v/>
      </c>
      <c r="N102" t="str">
        <f t="shared" si="12"/>
        <v/>
      </c>
      <c r="O102" t="str">
        <f t="shared" si="13"/>
        <v/>
      </c>
      <c r="P102" t="str">
        <f t="shared" si="14"/>
        <v/>
      </c>
      <c r="Q102" t="str">
        <f t="shared" si="15"/>
        <v/>
      </c>
    </row>
    <row r="103" spans="1:17" x14ac:dyDescent="0.25">
      <c r="A103" t="s">
        <v>267</v>
      </c>
      <c r="B103" t="s">
        <v>268</v>
      </c>
      <c r="C103" t="s">
        <v>223</v>
      </c>
      <c r="D103" t="s">
        <v>223</v>
      </c>
      <c r="E103" t="s">
        <v>223</v>
      </c>
      <c r="F103" t="s">
        <v>225</v>
      </c>
      <c r="G103" t="s">
        <v>225</v>
      </c>
      <c r="H103" t="s">
        <v>224</v>
      </c>
      <c r="I103">
        <v>21.52</v>
      </c>
      <c r="J103" t="str">
        <f t="shared" si="8"/>
        <v>28111012</v>
      </c>
      <c r="K103">
        <f t="shared" si="9"/>
        <v>0</v>
      </c>
      <c r="L103">
        <f t="shared" si="10"/>
        <v>0</v>
      </c>
      <c r="M103">
        <f t="shared" si="11"/>
        <v>0</v>
      </c>
      <c r="N103">
        <f t="shared" si="12"/>
        <v>4</v>
      </c>
      <c r="O103">
        <f t="shared" si="13"/>
        <v>4</v>
      </c>
      <c r="P103">
        <f t="shared" si="14"/>
        <v>2</v>
      </c>
      <c r="Q103">
        <f t="shared" si="15"/>
        <v>10</v>
      </c>
    </row>
    <row r="104" spans="1:17" x14ac:dyDescent="0.25">
      <c r="A104" t="s">
        <v>267</v>
      </c>
      <c r="B104" t="s">
        <v>268</v>
      </c>
      <c r="C104">
        <v>0</v>
      </c>
      <c r="D104">
        <v>0</v>
      </c>
      <c r="E104" t="s">
        <v>223</v>
      </c>
      <c r="F104" t="s">
        <v>223</v>
      </c>
      <c r="G104">
        <v>4</v>
      </c>
      <c r="H104" t="s">
        <v>223</v>
      </c>
      <c r="I104">
        <v>0</v>
      </c>
      <c r="J104" t="str">
        <f t="shared" si="8"/>
        <v/>
      </c>
      <c r="K104" t="str">
        <f t="shared" si="9"/>
        <v/>
      </c>
      <c r="L104" t="str">
        <f t="shared" si="10"/>
        <v/>
      </c>
      <c r="M104" t="str">
        <f t="shared" si="11"/>
        <v/>
      </c>
      <c r="N104" t="str">
        <f t="shared" si="12"/>
        <v/>
      </c>
      <c r="O104" t="str">
        <f t="shared" si="13"/>
        <v/>
      </c>
      <c r="P104" t="str">
        <f t="shared" si="14"/>
        <v/>
      </c>
      <c r="Q104" t="str">
        <f t="shared" si="15"/>
        <v/>
      </c>
    </row>
    <row r="105" spans="1:17" x14ac:dyDescent="0.25">
      <c r="A105" t="s">
        <v>267</v>
      </c>
      <c r="B105" t="s">
        <v>268</v>
      </c>
      <c r="C105">
        <v>0</v>
      </c>
      <c r="D105">
        <v>0</v>
      </c>
      <c r="E105">
        <v>0</v>
      </c>
      <c r="F105" t="s">
        <v>223</v>
      </c>
      <c r="G105" t="s">
        <v>223</v>
      </c>
      <c r="H105">
        <v>2</v>
      </c>
      <c r="I105">
        <v>0</v>
      </c>
      <c r="J105" t="str">
        <f t="shared" si="8"/>
        <v/>
      </c>
      <c r="K105" t="str">
        <f t="shared" si="9"/>
        <v/>
      </c>
      <c r="L105" t="str">
        <f t="shared" si="10"/>
        <v/>
      </c>
      <c r="M105" t="str">
        <f t="shared" si="11"/>
        <v/>
      </c>
      <c r="N105" t="str">
        <f t="shared" si="12"/>
        <v/>
      </c>
      <c r="O105" t="str">
        <f t="shared" si="13"/>
        <v/>
      </c>
      <c r="P105" t="str">
        <f t="shared" si="14"/>
        <v/>
      </c>
      <c r="Q105" t="str">
        <f t="shared" si="15"/>
        <v/>
      </c>
    </row>
    <row r="106" spans="1:17" x14ac:dyDescent="0.25">
      <c r="A106" t="s">
        <v>267</v>
      </c>
      <c r="B106" t="s">
        <v>268</v>
      </c>
      <c r="C106">
        <v>0</v>
      </c>
      <c r="D106">
        <v>0</v>
      </c>
      <c r="E106">
        <v>0</v>
      </c>
      <c r="F106">
        <v>0</v>
      </c>
      <c r="G106" t="s">
        <v>223</v>
      </c>
      <c r="H106" t="s">
        <v>223</v>
      </c>
      <c r="I106">
        <v>0</v>
      </c>
      <c r="J106" t="str">
        <f t="shared" si="8"/>
        <v/>
      </c>
      <c r="K106" t="str">
        <f t="shared" si="9"/>
        <v/>
      </c>
      <c r="L106" t="str">
        <f t="shared" si="10"/>
        <v/>
      </c>
      <c r="M106" t="str">
        <f t="shared" si="11"/>
        <v/>
      </c>
      <c r="N106" t="str">
        <f t="shared" si="12"/>
        <v/>
      </c>
      <c r="O106" t="str">
        <f t="shared" si="13"/>
        <v/>
      </c>
      <c r="P106" t="str">
        <f t="shared" si="14"/>
        <v/>
      </c>
      <c r="Q106" t="str">
        <f t="shared" si="15"/>
        <v/>
      </c>
    </row>
    <row r="107" spans="1:17" x14ac:dyDescent="0.25">
      <c r="A107" t="s">
        <v>267</v>
      </c>
      <c r="B107" t="s">
        <v>268</v>
      </c>
      <c r="C107">
        <v>0</v>
      </c>
      <c r="D107">
        <v>0</v>
      </c>
      <c r="E107">
        <v>0</v>
      </c>
      <c r="F107">
        <v>0</v>
      </c>
      <c r="G107">
        <v>0</v>
      </c>
      <c r="H107" t="s">
        <v>223</v>
      </c>
      <c r="I107">
        <v>0</v>
      </c>
      <c r="J107" t="str">
        <f t="shared" si="8"/>
        <v/>
      </c>
      <c r="K107" t="str">
        <f t="shared" si="9"/>
        <v/>
      </c>
      <c r="L107" t="str">
        <f t="shared" si="10"/>
        <v/>
      </c>
      <c r="M107" t="str">
        <f t="shared" si="11"/>
        <v/>
      </c>
      <c r="N107" t="str">
        <f t="shared" si="12"/>
        <v/>
      </c>
      <c r="O107" t="str">
        <f t="shared" si="13"/>
        <v/>
      </c>
      <c r="P107" t="str">
        <f t="shared" si="14"/>
        <v/>
      </c>
      <c r="Q107" t="str">
        <f t="shared" si="15"/>
        <v/>
      </c>
    </row>
    <row r="108" spans="1:17" x14ac:dyDescent="0.25">
      <c r="A108" t="s">
        <v>269</v>
      </c>
      <c r="B108" t="s">
        <v>268</v>
      </c>
      <c r="C108" t="s">
        <v>223</v>
      </c>
      <c r="D108" t="s">
        <v>223</v>
      </c>
      <c r="E108" t="s">
        <v>224</v>
      </c>
      <c r="F108" t="s">
        <v>246</v>
      </c>
      <c r="G108" t="s">
        <v>270</v>
      </c>
      <c r="H108" t="s">
        <v>235</v>
      </c>
      <c r="I108">
        <v>21.52</v>
      </c>
      <c r="J108" t="str">
        <f t="shared" si="8"/>
        <v>28111011</v>
      </c>
      <c r="K108">
        <f t="shared" si="9"/>
        <v>0</v>
      </c>
      <c r="L108">
        <f t="shared" si="10"/>
        <v>0</v>
      </c>
      <c r="M108">
        <f t="shared" si="11"/>
        <v>2</v>
      </c>
      <c r="N108">
        <f t="shared" si="12"/>
        <v>8</v>
      </c>
      <c r="O108">
        <f t="shared" si="13"/>
        <v>10</v>
      </c>
      <c r="P108">
        <f t="shared" si="14"/>
        <v>5</v>
      </c>
      <c r="Q108">
        <f t="shared" si="15"/>
        <v>25</v>
      </c>
    </row>
    <row r="109" spans="1:17" x14ac:dyDescent="0.25">
      <c r="A109" t="s">
        <v>269</v>
      </c>
      <c r="B109" t="s">
        <v>268</v>
      </c>
      <c r="C109">
        <v>0</v>
      </c>
      <c r="D109">
        <v>0</v>
      </c>
      <c r="E109" t="s">
        <v>223</v>
      </c>
      <c r="F109">
        <v>8</v>
      </c>
      <c r="G109" t="s">
        <v>223</v>
      </c>
      <c r="H109" t="s">
        <v>223</v>
      </c>
      <c r="I109">
        <v>0</v>
      </c>
      <c r="J109" t="str">
        <f t="shared" si="8"/>
        <v/>
      </c>
      <c r="K109" t="str">
        <f t="shared" si="9"/>
        <v/>
      </c>
      <c r="L109" t="str">
        <f t="shared" si="10"/>
        <v/>
      </c>
      <c r="M109" t="str">
        <f t="shared" si="11"/>
        <v/>
      </c>
      <c r="N109" t="str">
        <f t="shared" si="12"/>
        <v/>
      </c>
      <c r="O109" t="str">
        <f t="shared" si="13"/>
        <v/>
      </c>
      <c r="P109" t="str">
        <f t="shared" si="14"/>
        <v/>
      </c>
      <c r="Q109" t="str">
        <f t="shared" si="15"/>
        <v/>
      </c>
    </row>
    <row r="110" spans="1:17" x14ac:dyDescent="0.25">
      <c r="A110" t="s">
        <v>269</v>
      </c>
      <c r="B110" t="s">
        <v>268</v>
      </c>
      <c r="C110">
        <v>0</v>
      </c>
      <c r="D110">
        <v>0</v>
      </c>
      <c r="E110">
        <v>0</v>
      </c>
      <c r="F110" t="s">
        <v>223</v>
      </c>
      <c r="G110">
        <v>10</v>
      </c>
      <c r="H110" t="s">
        <v>223</v>
      </c>
      <c r="I110">
        <v>0</v>
      </c>
      <c r="J110" t="str">
        <f t="shared" si="8"/>
        <v/>
      </c>
      <c r="K110" t="str">
        <f t="shared" si="9"/>
        <v/>
      </c>
      <c r="L110" t="str">
        <f t="shared" si="10"/>
        <v/>
      </c>
      <c r="M110" t="str">
        <f t="shared" si="11"/>
        <v/>
      </c>
      <c r="N110" t="str">
        <f t="shared" si="12"/>
        <v/>
      </c>
      <c r="O110" t="str">
        <f t="shared" si="13"/>
        <v/>
      </c>
      <c r="P110" t="str">
        <f t="shared" si="14"/>
        <v/>
      </c>
      <c r="Q110" t="str">
        <f t="shared" si="15"/>
        <v/>
      </c>
    </row>
    <row r="111" spans="1:17" x14ac:dyDescent="0.25">
      <c r="A111" t="s">
        <v>269</v>
      </c>
      <c r="B111" t="s">
        <v>268</v>
      </c>
      <c r="C111">
        <v>0</v>
      </c>
      <c r="D111">
        <v>0</v>
      </c>
      <c r="E111">
        <v>0</v>
      </c>
      <c r="F111">
        <v>0</v>
      </c>
      <c r="G111" t="s">
        <v>223</v>
      </c>
      <c r="H111">
        <v>5</v>
      </c>
      <c r="I111">
        <v>0</v>
      </c>
      <c r="J111" t="str">
        <f t="shared" si="8"/>
        <v/>
      </c>
      <c r="K111" t="str">
        <f t="shared" si="9"/>
        <v/>
      </c>
      <c r="L111" t="str">
        <f t="shared" si="10"/>
        <v/>
      </c>
      <c r="M111" t="str">
        <f t="shared" si="11"/>
        <v/>
      </c>
      <c r="N111" t="str">
        <f t="shared" si="12"/>
        <v/>
      </c>
      <c r="O111" t="str">
        <f t="shared" si="13"/>
        <v/>
      </c>
      <c r="P111" t="str">
        <f t="shared" si="14"/>
        <v/>
      </c>
      <c r="Q111" t="str">
        <f t="shared" si="15"/>
        <v/>
      </c>
    </row>
    <row r="112" spans="1:17" x14ac:dyDescent="0.25">
      <c r="A112" t="s">
        <v>269</v>
      </c>
      <c r="B112" t="s">
        <v>268</v>
      </c>
      <c r="C112">
        <v>0</v>
      </c>
      <c r="D112">
        <v>0</v>
      </c>
      <c r="E112">
        <v>0</v>
      </c>
      <c r="F112">
        <v>0</v>
      </c>
      <c r="G112">
        <v>0</v>
      </c>
      <c r="H112" t="s">
        <v>223</v>
      </c>
      <c r="I112">
        <v>0</v>
      </c>
      <c r="J112" t="str">
        <f t="shared" si="8"/>
        <v/>
      </c>
      <c r="K112" t="str">
        <f t="shared" si="9"/>
        <v/>
      </c>
      <c r="L112" t="str">
        <f t="shared" si="10"/>
        <v/>
      </c>
      <c r="M112" t="str">
        <f t="shared" si="11"/>
        <v/>
      </c>
      <c r="N112" t="str">
        <f t="shared" si="12"/>
        <v/>
      </c>
      <c r="O112" t="str">
        <f t="shared" si="13"/>
        <v/>
      </c>
      <c r="P112" t="str">
        <f t="shared" si="14"/>
        <v/>
      </c>
      <c r="Q112" t="str">
        <f t="shared" si="15"/>
        <v/>
      </c>
    </row>
    <row r="113" spans="1:17" x14ac:dyDescent="0.25">
      <c r="A113" t="s">
        <v>271</v>
      </c>
      <c r="B113" t="s">
        <v>272</v>
      </c>
      <c r="C113">
        <v>115</v>
      </c>
      <c r="D113" t="s">
        <v>223</v>
      </c>
      <c r="E113" t="s">
        <v>223</v>
      </c>
      <c r="F113" t="s">
        <v>223</v>
      </c>
      <c r="G113" t="s">
        <v>223</v>
      </c>
      <c r="H113" t="s">
        <v>223</v>
      </c>
      <c r="I113">
        <v>11.920000000000002</v>
      </c>
      <c r="J113" t="str">
        <f t="shared" si="8"/>
        <v>77511945</v>
      </c>
      <c r="K113">
        <f t="shared" si="9"/>
        <v>115</v>
      </c>
      <c r="L113">
        <f t="shared" si="10"/>
        <v>0</v>
      </c>
      <c r="M113">
        <f t="shared" si="11"/>
        <v>0</v>
      </c>
      <c r="N113">
        <f t="shared" si="12"/>
        <v>0</v>
      </c>
      <c r="O113">
        <f t="shared" si="13"/>
        <v>0</v>
      </c>
      <c r="P113">
        <f t="shared" si="14"/>
        <v>0</v>
      </c>
      <c r="Q113">
        <f t="shared" si="15"/>
        <v>115</v>
      </c>
    </row>
    <row r="114" spans="1:17" x14ac:dyDescent="0.25">
      <c r="A114" t="s">
        <v>271</v>
      </c>
      <c r="B114" t="s">
        <v>272</v>
      </c>
      <c r="C114">
        <v>0</v>
      </c>
      <c r="D114">
        <v>0</v>
      </c>
      <c r="E114" t="s">
        <v>223</v>
      </c>
      <c r="F114" t="s">
        <v>223</v>
      </c>
      <c r="G114" t="s">
        <v>223</v>
      </c>
      <c r="H114" t="s">
        <v>223</v>
      </c>
      <c r="I114">
        <v>0</v>
      </c>
      <c r="J114" t="str">
        <f t="shared" si="8"/>
        <v/>
      </c>
      <c r="K114" t="str">
        <f t="shared" si="9"/>
        <v/>
      </c>
      <c r="L114" t="str">
        <f t="shared" si="10"/>
        <v/>
      </c>
      <c r="M114" t="str">
        <f t="shared" si="11"/>
        <v/>
      </c>
      <c r="N114" t="str">
        <f t="shared" si="12"/>
        <v/>
      </c>
      <c r="O114" t="str">
        <f t="shared" si="13"/>
        <v/>
      </c>
      <c r="P114" t="str">
        <f t="shared" si="14"/>
        <v/>
      </c>
      <c r="Q114" t="str">
        <f t="shared" si="15"/>
        <v/>
      </c>
    </row>
    <row r="115" spans="1:17" x14ac:dyDescent="0.25">
      <c r="A115" t="s">
        <v>271</v>
      </c>
      <c r="B115" t="s">
        <v>272</v>
      </c>
      <c r="C115">
        <v>0</v>
      </c>
      <c r="D115">
        <v>0</v>
      </c>
      <c r="E115">
        <v>0</v>
      </c>
      <c r="F115" t="s">
        <v>223</v>
      </c>
      <c r="G115" t="s">
        <v>223</v>
      </c>
      <c r="H115" t="s">
        <v>223</v>
      </c>
      <c r="I115">
        <v>0</v>
      </c>
      <c r="J115" t="str">
        <f t="shared" si="8"/>
        <v/>
      </c>
      <c r="K115" t="str">
        <f t="shared" si="9"/>
        <v/>
      </c>
      <c r="L115" t="str">
        <f t="shared" si="10"/>
        <v/>
      </c>
      <c r="M115" t="str">
        <f t="shared" si="11"/>
        <v/>
      </c>
      <c r="N115" t="str">
        <f t="shared" si="12"/>
        <v/>
      </c>
      <c r="O115" t="str">
        <f t="shared" si="13"/>
        <v/>
      </c>
      <c r="P115" t="str">
        <f t="shared" si="14"/>
        <v/>
      </c>
      <c r="Q115" t="str">
        <f t="shared" si="15"/>
        <v/>
      </c>
    </row>
    <row r="116" spans="1:17" x14ac:dyDescent="0.25">
      <c r="A116" t="s">
        <v>271</v>
      </c>
      <c r="B116" t="s">
        <v>272</v>
      </c>
      <c r="C116">
        <v>0</v>
      </c>
      <c r="D116">
        <v>0</v>
      </c>
      <c r="E116">
        <v>0</v>
      </c>
      <c r="F116">
        <v>0</v>
      </c>
      <c r="G116" t="s">
        <v>223</v>
      </c>
      <c r="H116" t="s">
        <v>223</v>
      </c>
      <c r="I116">
        <v>0</v>
      </c>
      <c r="J116" t="str">
        <f t="shared" si="8"/>
        <v/>
      </c>
      <c r="K116" t="str">
        <f t="shared" si="9"/>
        <v/>
      </c>
      <c r="L116" t="str">
        <f t="shared" si="10"/>
        <v/>
      </c>
      <c r="M116" t="str">
        <f t="shared" si="11"/>
        <v/>
      </c>
      <c r="N116" t="str">
        <f t="shared" si="12"/>
        <v/>
      </c>
      <c r="O116" t="str">
        <f t="shared" si="13"/>
        <v/>
      </c>
      <c r="P116" t="str">
        <f t="shared" si="14"/>
        <v/>
      </c>
      <c r="Q116" t="str">
        <f t="shared" si="15"/>
        <v/>
      </c>
    </row>
    <row r="117" spans="1:17" x14ac:dyDescent="0.25">
      <c r="A117" t="s">
        <v>271</v>
      </c>
      <c r="B117" t="s">
        <v>272</v>
      </c>
      <c r="C117">
        <v>0</v>
      </c>
      <c r="D117">
        <v>0</v>
      </c>
      <c r="E117">
        <v>0</v>
      </c>
      <c r="F117">
        <v>0</v>
      </c>
      <c r="G117">
        <v>0</v>
      </c>
      <c r="H117" t="s">
        <v>223</v>
      </c>
      <c r="I117">
        <v>0</v>
      </c>
      <c r="J117" t="str">
        <f t="shared" si="8"/>
        <v/>
      </c>
      <c r="K117" t="str">
        <f t="shared" si="9"/>
        <v/>
      </c>
      <c r="L117" t="str">
        <f t="shared" si="10"/>
        <v/>
      </c>
      <c r="M117" t="str">
        <f t="shared" si="11"/>
        <v/>
      </c>
      <c r="N117" t="str">
        <f t="shared" si="12"/>
        <v/>
      </c>
      <c r="O117" t="str">
        <f t="shared" si="13"/>
        <v/>
      </c>
      <c r="P117" t="str">
        <f t="shared" si="14"/>
        <v/>
      </c>
      <c r="Q117" t="str">
        <f t="shared" si="15"/>
        <v/>
      </c>
    </row>
    <row r="118" spans="1:17" x14ac:dyDescent="0.25">
      <c r="A118" t="s">
        <v>273</v>
      </c>
      <c r="B118" t="s">
        <v>268</v>
      </c>
      <c r="C118" t="s">
        <v>223</v>
      </c>
      <c r="D118" t="s">
        <v>223</v>
      </c>
      <c r="E118" t="s">
        <v>224</v>
      </c>
      <c r="F118" t="s">
        <v>242</v>
      </c>
      <c r="G118" t="s">
        <v>242</v>
      </c>
      <c r="H118" t="s">
        <v>237</v>
      </c>
      <c r="I118">
        <v>21.52</v>
      </c>
      <c r="J118" t="str">
        <f t="shared" si="8"/>
        <v>28111016</v>
      </c>
      <c r="K118">
        <f t="shared" si="9"/>
        <v>0</v>
      </c>
      <c r="L118">
        <f t="shared" si="10"/>
        <v>0</v>
      </c>
      <c r="M118">
        <f t="shared" si="11"/>
        <v>2</v>
      </c>
      <c r="N118">
        <f t="shared" si="12"/>
        <v>6</v>
      </c>
      <c r="O118">
        <f t="shared" si="13"/>
        <v>6</v>
      </c>
      <c r="P118">
        <f t="shared" si="14"/>
        <v>3</v>
      </c>
      <c r="Q118">
        <f t="shared" si="15"/>
        <v>17</v>
      </c>
    </row>
    <row r="119" spans="1:17" x14ac:dyDescent="0.25">
      <c r="A119" t="s">
        <v>273</v>
      </c>
      <c r="B119" t="s">
        <v>268</v>
      </c>
      <c r="C119">
        <v>0</v>
      </c>
      <c r="D119">
        <v>0</v>
      </c>
      <c r="E119" t="s">
        <v>223</v>
      </c>
      <c r="F119">
        <v>6</v>
      </c>
      <c r="G119" t="s">
        <v>223</v>
      </c>
      <c r="H119" t="s">
        <v>223</v>
      </c>
      <c r="I119">
        <v>0</v>
      </c>
      <c r="J119" t="str">
        <f t="shared" si="8"/>
        <v/>
      </c>
      <c r="K119" t="str">
        <f t="shared" si="9"/>
        <v/>
      </c>
      <c r="L119" t="str">
        <f t="shared" si="10"/>
        <v/>
      </c>
      <c r="M119" t="str">
        <f t="shared" si="11"/>
        <v/>
      </c>
      <c r="N119" t="str">
        <f t="shared" si="12"/>
        <v/>
      </c>
      <c r="O119" t="str">
        <f t="shared" si="13"/>
        <v/>
      </c>
      <c r="P119" t="str">
        <f t="shared" si="14"/>
        <v/>
      </c>
      <c r="Q119" t="str">
        <f t="shared" si="15"/>
        <v/>
      </c>
    </row>
    <row r="120" spans="1:17" x14ac:dyDescent="0.25">
      <c r="A120" t="s">
        <v>273</v>
      </c>
      <c r="B120" t="s">
        <v>268</v>
      </c>
      <c r="C120">
        <v>0</v>
      </c>
      <c r="D120">
        <v>0</v>
      </c>
      <c r="E120">
        <v>0</v>
      </c>
      <c r="F120" t="s">
        <v>223</v>
      </c>
      <c r="G120">
        <v>6</v>
      </c>
      <c r="H120" t="s">
        <v>223</v>
      </c>
      <c r="I120">
        <v>0</v>
      </c>
      <c r="J120" t="str">
        <f t="shared" si="8"/>
        <v/>
      </c>
      <c r="K120" t="str">
        <f t="shared" si="9"/>
        <v/>
      </c>
      <c r="L120" t="str">
        <f t="shared" si="10"/>
        <v/>
      </c>
      <c r="M120" t="str">
        <f t="shared" si="11"/>
        <v/>
      </c>
      <c r="N120" t="str">
        <f t="shared" si="12"/>
        <v/>
      </c>
      <c r="O120" t="str">
        <f t="shared" si="13"/>
        <v/>
      </c>
      <c r="P120" t="str">
        <f t="shared" si="14"/>
        <v/>
      </c>
      <c r="Q120" t="str">
        <f t="shared" si="15"/>
        <v/>
      </c>
    </row>
    <row r="121" spans="1:17" x14ac:dyDescent="0.25">
      <c r="A121" t="s">
        <v>273</v>
      </c>
      <c r="B121" t="s">
        <v>268</v>
      </c>
      <c r="C121">
        <v>0</v>
      </c>
      <c r="D121">
        <v>0</v>
      </c>
      <c r="E121">
        <v>0</v>
      </c>
      <c r="F121">
        <v>0</v>
      </c>
      <c r="G121" t="s">
        <v>223</v>
      </c>
      <c r="H121">
        <v>3</v>
      </c>
      <c r="I121">
        <v>0</v>
      </c>
      <c r="J121" t="str">
        <f t="shared" si="8"/>
        <v/>
      </c>
      <c r="K121" t="str">
        <f t="shared" si="9"/>
        <v/>
      </c>
      <c r="L121" t="str">
        <f t="shared" si="10"/>
        <v/>
      </c>
      <c r="M121" t="str">
        <f t="shared" si="11"/>
        <v/>
      </c>
      <c r="N121" t="str">
        <f t="shared" si="12"/>
        <v/>
      </c>
      <c r="O121" t="str">
        <f t="shared" si="13"/>
        <v/>
      </c>
      <c r="P121" t="str">
        <f t="shared" si="14"/>
        <v/>
      </c>
      <c r="Q121" t="str">
        <f t="shared" si="15"/>
        <v/>
      </c>
    </row>
    <row r="122" spans="1:17" x14ac:dyDescent="0.25">
      <c r="A122" t="s">
        <v>273</v>
      </c>
      <c r="B122" t="s">
        <v>268</v>
      </c>
      <c r="C122">
        <v>0</v>
      </c>
      <c r="D122">
        <v>0</v>
      </c>
      <c r="E122">
        <v>0</v>
      </c>
      <c r="F122">
        <v>0</v>
      </c>
      <c r="G122">
        <v>0</v>
      </c>
      <c r="H122" t="s">
        <v>223</v>
      </c>
      <c r="I122">
        <v>0</v>
      </c>
      <c r="J122" t="str">
        <f t="shared" si="8"/>
        <v/>
      </c>
      <c r="K122" t="str">
        <f t="shared" si="9"/>
        <v/>
      </c>
      <c r="L122" t="str">
        <f t="shared" si="10"/>
        <v/>
      </c>
      <c r="M122" t="str">
        <f t="shared" si="11"/>
        <v/>
      </c>
      <c r="N122" t="str">
        <f t="shared" si="12"/>
        <v/>
      </c>
      <c r="O122" t="str">
        <f t="shared" si="13"/>
        <v/>
      </c>
      <c r="P122" t="str">
        <f t="shared" si="14"/>
        <v/>
      </c>
      <c r="Q122" t="str">
        <f t="shared" si="15"/>
        <v/>
      </c>
    </row>
    <row r="123" spans="1:17" x14ac:dyDescent="0.25">
      <c r="A123" t="s">
        <v>274</v>
      </c>
      <c r="B123" t="s">
        <v>268</v>
      </c>
      <c r="C123" t="s">
        <v>223</v>
      </c>
      <c r="D123" t="s">
        <v>223</v>
      </c>
      <c r="E123" t="s">
        <v>223</v>
      </c>
      <c r="F123" t="s">
        <v>275</v>
      </c>
      <c r="G123" t="s">
        <v>275</v>
      </c>
      <c r="H123" t="s">
        <v>242</v>
      </c>
      <c r="I123">
        <v>21.52</v>
      </c>
      <c r="J123" t="str">
        <f t="shared" si="8"/>
        <v>281110161</v>
      </c>
      <c r="K123">
        <f t="shared" si="9"/>
        <v>0</v>
      </c>
      <c r="L123">
        <f t="shared" si="10"/>
        <v>0</v>
      </c>
      <c r="M123">
        <f t="shared" si="11"/>
        <v>0</v>
      </c>
      <c r="N123">
        <f t="shared" si="12"/>
        <v>13</v>
      </c>
      <c r="O123">
        <f t="shared" si="13"/>
        <v>13</v>
      </c>
      <c r="P123">
        <f t="shared" si="14"/>
        <v>6</v>
      </c>
      <c r="Q123">
        <f t="shared" si="15"/>
        <v>32</v>
      </c>
    </row>
    <row r="124" spans="1:17" x14ac:dyDescent="0.25">
      <c r="A124" t="s">
        <v>274</v>
      </c>
      <c r="B124" t="s">
        <v>268</v>
      </c>
      <c r="C124">
        <v>0</v>
      </c>
      <c r="D124">
        <v>0</v>
      </c>
      <c r="E124" t="s">
        <v>223</v>
      </c>
      <c r="F124" t="s">
        <v>223</v>
      </c>
      <c r="G124">
        <v>13</v>
      </c>
      <c r="H124" t="s">
        <v>223</v>
      </c>
      <c r="I124">
        <v>0</v>
      </c>
      <c r="J124" t="str">
        <f t="shared" si="8"/>
        <v/>
      </c>
      <c r="K124" t="str">
        <f t="shared" si="9"/>
        <v/>
      </c>
      <c r="L124" t="str">
        <f t="shared" si="10"/>
        <v/>
      </c>
      <c r="M124" t="str">
        <f t="shared" si="11"/>
        <v/>
      </c>
      <c r="N124" t="str">
        <f t="shared" si="12"/>
        <v/>
      </c>
      <c r="O124" t="str">
        <f t="shared" si="13"/>
        <v/>
      </c>
      <c r="P124" t="str">
        <f t="shared" si="14"/>
        <v/>
      </c>
      <c r="Q124" t="str">
        <f t="shared" si="15"/>
        <v/>
      </c>
    </row>
    <row r="125" spans="1:17" x14ac:dyDescent="0.25">
      <c r="A125" t="s">
        <v>274</v>
      </c>
      <c r="B125" t="s">
        <v>268</v>
      </c>
      <c r="C125">
        <v>0</v>
      </c>
      <c r="D125">
        <v>0</v>
      </c>
      <c r="E125">
        <v>0</v>
      </c>
      <c r="F125" t="s">
        <v>223</v>
      </c>
      <c r="G125" t="s">
        <v>223</v>
      </c>
      <c r="H125">
        <v>6</v>
      </c>
      <c r="I125">
        <v>0</v>
      </c>
      <c r="J125" t="str">
        <f t="shared" si="8"/>
        <v/>
      </c>
      <c r="K125" t="str">
        <f t="shared" si="9"/>
        <v/>
      </c>
      <c r="L125" t="str">
        <f t="shared" si="10"/>
        <v/>
      </c>
      <c r="M125" t="str">
        <f t="shared" si="11"/>
        <v/>
      </c>
      <c r="N125" t="str">
        <f t="shared" si="12"/>
        <v/>
      </c>
      <c r="O125" t="str">
        <f t="shared" si="13"/>
        <v/>
      </c>
      <c r="P125" t="str">
        <f t="shared" si="14"/>
        <v/>
      </c>
      <c r="Q125" t="str">
        <f t="shared" si="15"/>
        <v/>
      </c>
    </row>
    <row r="126" spans="1:17" x14ac:dyDescent="0.25">
      <c r="A126" t="s">
        <v>274</v>
      </c>
      <c r="B126" t="s">
        <v>268</v>
      </c>
      <c r="C126">
        <v>0</v>
      </c>
      <c r="D126">
        <v>0</v>
      </c>
      <c r="E126">
        <v>0</v>
      </c>
      <c r="F126">
        <v>0</v>
      </c>
      <c r="G126" t="s">
        <v>223</v>
      </c>
      <c r="H126" t="s">
        <v>223</v>
      </c>
      <c r="I126">
        <v>0</v>
      </c>
      <c r="J126" t="str">
        <f t="shared" si="8"/>
        <v/>
      </c>
      <c r="K126" t="str">
        <f t="shared" si="9"/>
        <v/>
      </c>
      <c r="L126" t="str">
        <f t="shared" si="10"/>
        <v/>
      </c>
      <c r="M126" t="str">
        <f t="shared" si="11"/>
        <v/>
      </c>
      <c r="N126" t="str">
        <f t="shared" si="12"/>
        <v/>
      </c>
      <c r="O126" t="str">
        <f t="shared" si="13"/>
        <v/>
      </c>
      <c r="P126" t="str">
        <f t="shared" si="14"/>
        <v/>
      </c>
      <c r="Q126" t="str">
        <f t="shared" si="15"/>
        <v/>
      </c>
    </row>
    <row r="127" spans="1:17" x14ac:dyDescent="0.25">
      <c r="A127" t="s">
        <v>274</v>
      </c>
      <c r="B127" t="s">
        <v>268</v>
      </c>
      <c r="C127">
        <v>0</v>
      </c>
      <c r="D127">
        <v>0</v>
      </c>
      <c r="E127">
        <v>0</v>
      </c>
      <c r="F127">
        <v>0</v>
      </c>
      <c r="G127">
        <v>0</v>
      </c>
      <c r="H127" t="s">
        <v>223</v>
      </c>
      <c r="I127">
        <v>0</v>
      </c>
      <c r="J127" t="str">
        <f t="shared" si="8"/>
        <v/>
      </c>
      <c r="K127" t="str">
        <f t="shared" si="9"/>
        <v/>
      </c>
      <c r="L127" t="str">
        <f t="shared" si="10"/>
        <v/>
      </c>
      <c r="M127" t="str">
        <f t="shared" si="11"/>
        <v/>
      </c>
      <c r="N127" t="str">
        <f t="shared" si="12"/>
        <v/>
      </c>
      <c r="O127" t="str">
        <f t="shared" si="13"/>
        <v/>
      </c>
      <c r="P127" t="str">
        <f t="shared" si="14"/>
        <v/>
      </c>
      <c r="Q127" t="str">
        <f t="shared" si="15"/>
        <v/>
      </c>
    </row>
    <row r="128" spans="1:17" x14ac:dyDescent="0.25">
      <c r="A128" t="s">
        <v>276</v>
      </c>
      <c r="B128" t="s">
        <v>245</v>
      </c>
      <c r="C128" t="s">
        <v>223</v>
      </c>
      <c r="D128" t="s">
        <v>223</v>
      </c>
      <c r="E128" t="s">
        <v>224</v>
      </c>
      <c r="F128" t="s">
        <v>236</v>
      </c>
      <c r="G128" t="s">
        <v>236</v>
      </c>
      <c r="H128" t="s">
        <v>223</v>
      </c>
      <c r="I128">
        <v>11.920000000000002</v>
      </c>
      <c r="J128" t="str">
        <f t="shared" si="8"/>
        <v>74911016</v>
      </c>
      <c r="K128">
        <f t="shared" si="9"/>
        <v>0</v>
      </c>
      <c r="L128">
        <f t="shared" si="10"/>
        <v>0</v>
      </c>
      <c r="M128">
        <f t="shared" si="11"/>
        <v>2</v>
      </c>
      <c r="N128">
        <f t="shared" si="12"/>
        <v>7</v>
      </c>
      <c r="O128">
        <f t="shared" si="13"/>
        <v>7</v>
      </c>
      <c r="P128">
        <f t="shared" si="14"/>
        <v>0</v>
      </c>
      <c r="Q128">
        <f t="shared" si="15"/>
        <v>16</v>
      </c>
    </row>
    <row r="129" spans="1:17" x14ac:dyDescent="0.25">
      <c r="A129" t="s">
        <v>276</v>
      </c>
      <c r="B129" t="s">
        <v>245</v>
      </c>
      <c r="C129">
        <v>0</v>
      </c>
      <c r="D129">
        <v>0</v>
      </c>
      <c r="E129" t="s">
        <v>223</v>
      </c>
      <c r="F129">
        <v>7</v>
      </c>
      <c r="G129" t="s">
        <v>223</v>
      </c>
      <c r="H129" t="s">
        <v>223</v>
      </c>
      <c r="I129">
        <v>0</v>
      </c>
      <c r="J129" t="str">
        <f t="shared" si="8"/>
        <v/>
      </c>
      <c r="K129" t="str">
        <f t="shared" si="9"/>
        <v/>
      </c>
      <c r="L129" t="str">
        <f t="shared" si="10"/>
        <v/>
      </c>
      <c r="M129" t="str">
        <f t="shared" si="11"/>
        <v/>
      </c>
      <c r="N129" t="str">
        <f t="shared" si="12"/>
        <v/>
      </c>
      <c r="O129" t="str">
        <f t="shared" si="13"/>
        <v/>
      </c>
      <c r="P129" t="str">
        <f t="shared" si="14"/>
        <v/>
      </c>
      <c r="Q129" t="str">
        <f t="shared" si="15"/>
        <v/>
      </c>
    </row>
    <row r="130" spans="1:17" x14ac:dyDescent="0.25">
      <c r="A130" t="s">
        <v>276</v>
      </c>
      <c r="B130" t="s">
        <v>245</v>
      </c>
      <c r="C130">
        <v>0</v>
      </c>
      <c r="D130">
        <v>0</v>
      </c>
      <c r="E130">
        <v>0</v>
      </c>
      <c r="F130" t="s">
        <v>223</v>
      </c>
      <c r="G130">
        <v>7</v>
      </c>
      <c r="H130" t="s">
        <v>223</v>
      </c>
      <c r="I130">
        <v>0</v>
      </c>
      <c r="J130" t="str">
        <f t="shared" si="8"/>
        <v/>
      </c>
      <c r="K130" t="str">
        <f t="shared" si="9"/>
        <v/>
      </c>
      <c r="L130" t="str">
        <f t="shared" si="10"/>
        <v/>
      </c>
      <c r="M130" t="str">
        <f t="shared" si="11"/>
        <v/>
      </c>
      <c r="N130" t="str">
        <f t="shared" si="12"/>
        <v/>
      </c>
      <c r="O130" t="str">
        <f t="shared" si="13"/>
        <v/>
      </c>
      <c r="P130" t="str">
        <f t="shared" si="14"/>
        <v/>
      </c>
      <c r="Q130" t="str">
        <f t="shared" si="15"/>
        <v/>
      </c>
    </row>
    <row r="131" spans="1:17" x14ac:dyDescent="0.25">
      <c r="A131" t="s">
        <v>276</v>
      </c>
      <c r="B131" t="s">
        <v>245</v>
      </c>
      <c r="C131">
        <v>0</v>
      </c>
      <c r="D131">
        <v>0</v>
      </c>
      <c r="E131">
        <v>0</v>
      </c>
      <c r="F131">
        <v>0</v>
      </c>
      <c r="G131" t="s">
        <v>223</v>
      </c>
      <c r="H131" t="s">
        <v>223</v>
      </c>
      <c r="I131">
        <v>0</v>
      </c>
      <c r="J131" t="str">
        <f t="shared" si="8"/>
        <v/>
      </c>
      <c r="K131" t="str">
        <f t="shared" si="9"/>
        <v/>
      </c>
      <c r="L131" t="str">
        <f t="shared" si="10"/>
        <v/>
      </c>
      <c r="M131" t="str">
        <f t="shared" si="11"/>
        <v/>
      </c>
      <c r="N131" t="str">
        <f t="shared" si="12"/>
        <v/>
      </c>
      <c r="O131" t="str">
        <f t="shared" si="13"/>
        <v/>
      </c>
      <c r="P131" t="str">
        <f t="shared" si="14"/>
        <v/>
      </c>
      <c r="Q131" t="str">
        <f t="shared" si="15"/>
        <v/>
      </c>
    </row>
    <row r="132" spans="1:17" x14ac:dyDescent="0.25">
      <c r="A132" t="s">
        <v>276</v>
      </c>
      <c r="B132" t="s">
        <v>245</v>
      </c>
      <c r="C132">
        <v>0</v>
      </c>
      <c r="D132">
        <v>0</v>
      </c>
      <c r="E132">
        <v>0</v>
      </c>
      <c r="F132">
        <v>0</v>
      </c>
      <c r="G132">
        <v>0</v>
      </c>
      <c r="H132" t="s">
        <v>223</v>
      </c>
      <c r="I132">
        <v>0</v>
      </c>
      <c r="J132" t="str">
        <f t="shared" ref="J132:J183" si="16">IF(K132&lt;&gt;"",A132,"")</f>
        <v/>
      </c>
      <c r="K132" t="str">
        <f t="shared" ref="K132:K183" si="17">IF($I132&gt;0,IFERROR(VALUE(C132),0),"")</f>
        <v/>
      </c>
      <c r="L132" t="str">
        <f t="shared" ref="L132:L183" si="18">IF($I132&gt;0,IFERROR(VALUE(D132),0),"")</f>
        <v/>
      </c>
      <c r="M132" t="str">
        <f t="shared" ref="M132:M183" si="19">IF($I132&gt;0,IFERROR(VALUE(E132),0),"")</f>
        <v/>
      </c>
      <c r="N132" t="str">
        <f t="shared" ref="N132:N183" si="20">IF($I132&gt;0,IFERROR(VALUE(F132),0),"")</f>
        <v/>
      </c>
      <c r="O132" t="str">
        <f t="shared" ref="O132:O183" si="21">IF($I132&gt;0,IFERROR(VALUE(G132),0),"")</f>
        <v/>
      </c>
      <c r="P132" t="str">
        <f t="shared" ref="P132:P183" si="22">IF($I132&gt;0,IFERROR(VALUE(H132),0),"")</f>
        <v/>
      </c>
      <c r="Q132" t="str">
        <f t="shared" ref="Q132:Q183" si="23">IF(K132&lt;&gt;"",SUM(K132:P132),"")</f>
        <v/>
      </c>
    </row>
    <row r="133" spans="1:17" x14ac:dyDescent="0.25">
      <c r="A133" t="s">
        <v>277</v>
      </c>
      <c r="B133" t="s">
        <v>278</v>
      </c>
      <c r="C133" t="s">
        <v>223</v>
      </c>
      <c r="D133" t="s">
        <v>223</v>
      </c>
      <c r="E133" t="s">
        <v>246</v>
      </c>
      <c r="F133" t="s">
        <v>246</v>
      </c>
      <c r="G133" t="s">
        <v>242</v>
      </c>
      <c r="H133" t="s">
        <v>242</v>
      </c>
      <c r="I133">
        <v>21.52</v>
      </c>
      <c r="J133" t="str">
        <f t="shared" si="16"/>
        <v>25411046</v>
      </c>
      <c r="K133">
        <f t="shared" si="17"/>
        <v>0</v>
      </c>
      <c r="L133">
        <f t="shared" si="18"/>
        <v>0</v>
      </c>
      <c r="M133">
        <f t="shared" si="19"/>
        <v>8</v>
      </c>
      <c r="N133">
        <f t="shared" si="20"/>
        <v>8</v>
      </c>
      <c r="O133">
        <f t="shared" si="21"/>
        <v>6</v>
      </c>
      <c r="P133">
        <f t="shared" si="22"/>
        <v>6</v>
      </c>
      <c r="Q133">
        <f t="shared" si="23"/>
        <v>28</v>
      </c>
    </row>
    <row r="134" spans="1:17" x14ac:dyDescent="0.25">
      <c r="A134" t="s">
        <v>277</v>
      </c>
      <c r="B134" t="s">
        <v>278</v>
      </c>
      <c r="C134">
        <v>0</v>
      </c>
      <c r="D134">
        <v>0</v>
      </c>
      <c r="E134" t="s">
        <v>223</v>
      </c>
      <c r="F134">
        <v>8</v>
      </c>
      <c r="G134" t="s">
        <v>223</v>
      </c>
      <c r="H134" t="s">
        <v>223</v>
      </c>
      <c r="I134">
        <v>0</v>
      </c>
      <c r="J134" t="str">
        <f t="shared" si="16"/>
        <v/>
      </c>
      <c r="K134" t="str">
        <f t="shared" si="17"/>
        <v/>
      </c>
      <c r="L134" t="str">
        <f t="shared" si="18"/>
        <v/>
      </c>
      <c r="M134" t="str">
        <f t="shared" si="19"/>
        <v/>
      </c>
      <c r="N134" t="str">
        <f t="shared" si="20"/>
        <v/>
      </c>
      <c r="O134" t="str">
        <f t="shared" si="21"/>
        <v/>
      </c>
      <c r="P134" t="str">
        <f t="shared" si="22"/>
        <v/>
      </c>
      <c r="Q134" t="str">
        <f t="shared" si="23"/>
        <v/>
      </c>
    </row>
    <row r="135" spans="1:17" x14ac:dyDescent="0.25">
      <c r="A135" t="s">
        <v>277</v>
      </c>
      <c r="B135" t="s">
        <v>278</v>
      </c>
      <c r="C135">
        <v>0</v>
      </c>
      <c r="D135">
        <v>0</v>
      </c>
      <c r="E135">
        <v>0</v>
      </c>
      <c r="F135" t="s">
        <v>223</v>
      </c>
      <c r="G135">
        <v>6</v>
      </c>
      <c r="H135" t="s">
        <v>223</v>
      </c>
      <c r="I135">
        <v>0</v>
      </c>
      <c r="J135" t="str">
        <f t="shared" si="16"/>
        <v/>
      </c>
      <c r="K135" t="str">
        <f t="shared" si="17"/>
        <v/>
      </c>
      <c r="L135" t="str">
        <f t="shared" si="18"/>
        <v/>
      </c>
      <c r="M135" t="str">
        <f t="shared" si="19"/>
        <v/>
      </c>
      <c r="N135" t="str">
        <f t="shared" si="20"/>
        <v/>
      </c>
      <c r="O135" t="str">
        <f t="shared" si="21"/>
        <v/>
      </c>
      <c r="P135" t="str">
        <f t="shared" si="22"/>
        <v/>
      </c>
      <c r="Q135" t="str">
        <f t="shared" si="23"/>
        <v/>
      </c>
    </row>
    <row r="136" spans="1:17" x14ac:dyDescent="0.25">
      <c r="A136" t="s">
        <v>277</v>
      </c>
      <c r="B136" t="s">
        <v>278</v>
      </c>
      <c r="C136">
        <v>0</v>
      </c>
      <c r="D136">
        <v>0</v>
      </c>
      <c r="E136">
        <v>0</v>
      </c>
      <c r="F136">
        <v>0</v>
      </c>
      <c r="G136" t="s">
        <v>223</v>
      </c>
      <c r="H136">
        <v>6</v>
      </c>
      <c r="I136">
        <v>0</v>
      </c>
      <c r="J136" t="str">
        <f t="shared" si="16"/>
        <v/>
      </c>
      <c r="K136" t="str">
        <f t="shared" si="17"/>
        <v/>
      </c>
      <c r="L136" t="str">
        <f t="shared" si="18"/>
        <v/>
      </c>
      <c r="M136" t="str">
        <f t="shared" si="19"/>
        <v/>
      </c>
      <c r="N136" t="str">
        <f t="shared" si="20"/>
        <v/>
      </c>
      <c r="O136" t="str">
        <f t="shared" si="21"/>
        <v/>
      </c>
      <c r="P136" t="str">
        <f t="shared" si="22"/>
        <v/>
      </c>
      <c r="Q136" t="str">
        <f t="shared" si="23"/>
        <v/>
      </c>
    </row>
    <row r="137" spans="1:17" x14ac:dyDescent="0.25">
      <c r="A137" t="s">
        <v>277</v>
      </c>
      <c r="B137" t="s">
        <v>278</v>
      </c>
      <c r="C137">
        <v>0</v>
      </c>
      <c r="D137">
        <v>0</v>
      </c>
      <c r="E137">
        <v>0</v>
      </c>
      <c r="F137">
        <v>0</v>
      </c>
      <c r="G137">
        <v>0</v>
      </c>
      <c r="H137" t="s">
        <v>223</v>
      </c>
      <c r="I137">
        <v>0</v>
      </c>
      <c r="J137" t="str">
        <f t="shared" si="16"/>
        <v/>
      </c>
      <c r="K137" t="str">
        <f t="shared" si="17"/>
        <v/>
      </c>
      <c r="L137" t="str">
        <f t="shared" si="18"/>
        <v/>
      </c>
      <c r="M137" t="str">
        <f t="shared" si="19"/>
        <v/>
      </c>
      <c r="N137" t="str">
        <f t="shared" si="20"/>
        <v/>
      </c>
      <c r="O137" t="str">
        <f t="shared" si="21"/>
        <v/>
      </c>
      <c r="P137" t="str">
        <f t="shared" si="22"/>
        <v/>
      </c>
      <c r="Q137" t="str">
        <f t="shared" si="23"/>
        <v/>
      </c>
    </row>
    <row r="138" spans="1:17" x14ac:dyDescent="0.25">
      <c r="A138" t="s">
        <v>279</v>
      </c>
      <c r="B138" t="s">
        <v>280</v>
      </c>
      <c r="C138" t="s">
        <v>223</v>
      </c>
      <c r="D138" t="s">
        <v>223</v>
      </c>
      <c r="E138" t="s">
        <v>237</v>
      </c>
      <c r="F138" t="s">
        <v>235</v>
      </c>
      <c r="G138" t="s">
        <v>235</v>
      </c>
      <c r="H138" t="s">
        <v>237</v>
      </c>
      <c r="I138">
        <v>18.32</v>
      </c>
      <c r="J138" t="str">
        <f t="shared" si="16"/>
        <v>254110923</v>
      </c>
      <c r="K138">
        <f t="shared" si="17"/>
        <v>0</v>
      </c>
      <c r="L138">
        <f t="shared" si="18"/>
        <v>0</v>
      </c>
      <c r="M138">
        <f t="shared" si="19"/>
        <v>3</v>
      </c>
      <c r="N138">
        <f t="shared" si="20"/>
        <v>5</v>
      </c>
      <c r="O138">
        <f t="shared" si="21"/>
        <v>5</v>
      </c>
      <c r="P138">
        <f t="shared" si="22"/>
        <v>3</v>
      </c>
      <c r="Q138">
        <f t="shared" si="23"/>
        <v>16</v>
      </c>
    </row>
    <row r="139" spans="1:17" x14ac:dyDescent="0.25">
      <c r="A139" t="s">
        <v>279</v>
      </c>
      <c r="B139" t="s">
        <v>280</v>
      </c>
      <c r="C139">
        <v>0</v>
      </c>
      <c r="D139">
        <v>0</v>
      </c>
      <c r="E139" t="s">
        <v>223</v>
      </c>
      <c r="F139">
        <v>5</v>
      </c>
      <c r="G139" t="s">
        <v>223</v>
      </c>
      <c r="H139" t="s">
        <v>223</v>
      </c>
      <c r="I139">
        <v>0</v>
      </c>
      <c r="J139" t="str">
        <f t="shared" si="16"/>
        <v/>
      </c>
      <c r="K139" t="str">
        <f t="shared" si="17"/>
        <v/>
      </c>
      <c r="L139" t="str">
        <f t="shared" si="18"/>
        <v/>
      </c>
      <c r="M139" t="str">
        <f t="shared" si="19"/>
        <v/>
      </c>
      <c r="N139" t="str">
        <f t="shared" si="20"/>
        <v/>
      </c>
      <c r="O139" t="str">
        <f t="shared" si="21"/>
        <v/>
      </c>
      <c r="P139" t="str">
        <f t="shared" si="22"/>
        <v/>
      </c>
      <c r="Q139" t="str">
        <f t="shared" si="23"/>
        <v/>
      </c>
    </row>
    <row r="140" spans="1:17" x14ac:dyDescent="0.25">
      <c r="A140" t="s">
        <v>279</v>
      </c>
      <c r="B140" t="s">
        <v>280</v>
      </c>
      <c r="C140">
        <v>0</v>
      </c>
      <c r="D140">
        <v>0</v>
      </c>
      <c r="E140">
        <v>0</v>
      </c>
      <c r="F140" t="s">
        <v>223</v>
      </c>
      <c r="G140">
        <v>5</v>
      </c>
      <c r="H140" t="s">
        <v>223</v>
      </c>
      <c r="I140">
        <v>0</v>
      </c>
      <c r="J140" t="str">
        <f t="shared" si="16"/>
        <v/>
      </c>
      <c r="K140" t="str">
        <f t="shared" si="17"/>
        <v/>
      </c>
      <c r="L140" t="str">
        <f t="shared" si="18"/>
        <v/>
      </c>
      <c r="M140" t="str">
        <f t="shared" si="19"/>
        <v/>
      </c>
      <c r="N140" t="str">
        <f t="shared" si="20"/>
        <v/>
      </c>
      <c r="O140" t="str">
        <f t="shared" si="21"/>
        <v/>
      </c>
      <c r="P140" t="str">
        <f t="shared" si="22"/>
        <v/>
      </c>
      <c r="Q140" t="str">
        <f t="shared" si="23"/>
        <v/>
      </c>
    </row>
    <row r="141" spans="1:17" x14ac:dyDescent="0.25">
      <c r="A141" t="s">
        <v>279</v>
      </c>
      <c r="B141" t="s">
        <v>280</v>
      </c>
      <c r="C141">
        <v>0</v>
      </c>
      <c r="D141">
        <v>0</v>
      </c>
      <c r="E141">
        <v>0</v>
      </c>
      <c r="F141">
        <v>0</v>
      </c>
      <c r="G141" t="s">
        <v>223</v>
      </c>
      <c r="H141">
        <v>3</v>
      </c>
      <c r="I141">
        <v>0</v>
      </c>
      <c r="J141" t="str">
        <f t="shared" si="16"/>
        <v/>
      </c>
      <c r="K141" t="str">
        <f t="shared" si="17"/>
        <v/>
      </c>
      <c r="L141" t="str">
        <f t="shared" si="18"/>
        <v/>
      </c>
      <c r="M141" t="str">
        <f t="shared" si="19"/>
        <v/>
      </c>
      <c r="N141" t="str">
        <f t="shared" si="20"/>
        <v/>
      </c>
      <c r="O141" t="str">
        <f t="shared" si="21"/>
        <v/>
      </c>
      <c r="P141" t="str">
        <f t="shared" si="22"/>
        <v/>
      </c>
      <c r="Q141" t="str">
        <f t="shared" si="23"/>
        <v/>
      </c>
    </row>
    <row r="142" spans="1:17" x14ac:dyDescent="0.25">
      <c r="A142" t="s">
        <v>279</v>
      </c>
      <c r="B142" t="s">
        <v>280</v>
      </c>
      <c r="C142">
        <v>0</v>
      </c>
      <c r="D142">
        <v>0</v>
      </c>
      <c r="E142">
        <v>0</v>
      </c>
      <c r="F142">
        <v>0</v>
      </c>
      <c r="G142">
        <v>0</v>
      </c>
      <c r="H142" t="s">
        <v>223</v>
      </c>
      <c r="I142">
        <v>0</v>
      </c>
      <c r="J142" t="str">
        <f t="shared" si="16"/>
        <v/>
      </c>
      <c r="K142" t="str">
        <f t="shared" si="17"/>
        <v/>
      </c>
      <c r="L142" t="str">
        <f t="shared" si="18"/>
        <v/>
      </c>
      <c r="M142" t="str">
        <f t="shared" si="19"/>
        <v/>
      </c>
      <c r="N142" t="str">
        <f t="shared" si="20"/>
        <v/>
      </c>
      <c r="O142" t="str">
        <f t="shared" si="21"/>
        <v/>
      </c>
      <c r="P142" t="str">
        <f t="shared" si="22"/>
        <v/>
      </c>
      <c r="Q142" t="str">
        <f t="shared" si="23"/>
        <v/>
      </c>
    </row>
    <row r="143" spans="1:17" x14ac:dyDescent="0.25">
      <c r="A143" t="s">
        <v>281</v>
      </c>
      <c r="B143" t="s">
        <v>282</v>
      </c>
      <c r="C143">
        <v>74</v>
      </c>
      <c r="D143" t="s">
        <v>223</v>
      </c>
      <c r="E143" t="s">
        <v>223</v>
      </c>
      <c r="F143" t="s">
        <v>223</v>
      </c>
      <c r="G143" t="s">
        <v>223</v>
      </c>
      <c r="H143" t="s">
        <v>223</v>
      </c>
      <c r="I143">
        <v>11.920000000000002</v>
      </c>
      <c r="J143" t="str">
        <f t="shared" si="16"/>
        <v>775611257</v>
      </c>
      <c r="K143">
        <f t="shared" si="17"/>
        <v>74</v>
      </c>
      <c r="L143">
        <f t="shared" si="18"/>
        <v>0</v>
      </c>
      <c r="M143">
        <f t="shared" si="19"/>
        <v>0</v>
      </c>
      <c r="N143">
        <f t="shared" si="20"/>
        <v>0</v>
      </c>
      <c r="O143">
        <f t="shared" si="21"/>
        <v>0</v>
      </c>
      <c r="P143">
        <f t="shared" si="22"/>
        <v>0</v>
      </c>
      <c r="Q143">
        <f t="shared" si="23"/>
        <v>74</v>
      </c>
    </row>
    <row r="144" spans="1:17" x14ac:dyDescent="0.25">
      <c r="A144" t="s">
        <v>281</v>
      </c>
      <c r="B144" t="s">
        <v>282</v>
      </c>
      <c r="C144">
        <v>0</v>
      </c>
      <c r="D144">
        <v>0</v>
      </c>
      <c r="E144" t="s">
        <v>223</v>
      </c>
      <c r="F144" t="s">
        <v>223</v>
      </c>
      <c r="G144" t="s">
        <v>223</v>
      </c>
      <c r="H144" t="s">
        <v>223</v>
      </c>
      <c r="I144">
        <v>0</v>
      </c>
      <c r="J144" t="str">
        <f t="shared" si="16"/>
        <v/>
      </c>
      <c r="K144" t="str">
        <f t="shared" si="17"/>
        <v/>
      </c>
      <c r="L144" t="str">
        <f t="shared" si="18"/>
        <v/>
      </c>
      <c r="M144" t="str">
        <f t="shared" si="19"/>
        <v/>
      </c>
      <c r="N144" t="str">
        <f t="shared" si="20"/>
        <v/>
      </c>
      <c r="O144" t="str">
        <f t="shared" si="21"/>
        <v/>
      </c>
      <c r="P144" t="str">
        <f t="shared" si="22"/>
        <v/>
      </c>
      <c r="Q144" t="str">
        <f t="shared" si="23"/>
        <v/>
      </c>
    </row>
    <row r="145" spans="1:17" x14ac:dyDescent="0.25">
      <c r="A145" t="s">
        <v>281</v>
      </c>
      <c r="B145" t="s">
        <v>282</v>
      </c>
      <c r="C145">
        <v>0</v>
      </c>
      <c r="D145">
        <v>0</v>
      </c>
      <c r="E145">
        <v>0</v>
      </c>
      <c r="F145" t="s">
        <v>223</v>
      </c>
      <c r="G145" t="s">
        <v>223</v>
      </c>
      <c r="H145" t="s">
        <v>223</v>
      </c>
      <c r="I145">
        <v>0</v>
      </c>
      <c r="J145" t="str">
        <f t="shared" si="16"/>
        <v/>
      </c>
      <c r="K145" t="str">
        <f t="shared" si="17"/>
        <v/>
      </c>
      <c r="L145" t="str">
        <f t="shared" si="18"/>
        <v/>
      </c>
      <c r="M145" t="str">
        <f t="shared" si="19"/>
        <v/>
      </c>
      <c r="N145" t="str">
        <f t="shared" si="20"/>
        <v/>
      </c>
      <c r="O145" t="str">
        <f t="shared" si="21"/>
        <v/>
      </c>
      <c r="P145" t="str">
        <f t="shared" si="22"/>
        <v/>
      </c>
      <c r="Q145" t="str">
        <f t="shared" si="23"/>
        <v/>
      </c>
    </row>
    <row r="146" spans="1:17" x14ac:dyDescent="0.25">
      <c r="A146" t="s">
        <v>281</v>
      </c>
      <c r="B146" t="s">
        <v>282</v>
      </c>
      <c r="C146">
        <v>0</v>
      </c>
      <c r="D146">
        <v>0</v>
      </c>
      <c r="E146">
        <v>0</v>
      </c>
      <c r="F146">
        <v>0</v>
      </c>
      <c r="G146" t="s">
        <v>223</v>
      </c>
      <c r="H146" t="s">
        <v>223</v>
      </c>
      <c r="I146">
        <v>0</v>
      </c>
      <c r="J146" t="str">
        <f t="shared" si="16"/>
        <v/>
      </c>
      <c r="K146" t="str">
        <f t="shared" si="17"/>
        <v/>
      </c>
      <c r="L146" t="str">
        <f t="shared" si="18"/>
        <v/>
      </c>
      <c r="M146" t="str">
        <f t="shared" si="19"/>
        <v/>
      </c>
      <c r="N146" t="str">
        <f t="shared" si="20"/>
        <v/>
      </c>
      <c r="O146" t="str">
        <f t="shared" si="21"/>
        <v/>
      </c>
      <c r="P146" t="str">
        <f t="shared" si="22"/>
        <v/>
      </c>
      <c r="Q146" t="str">
        <f t="shared" si="23"/>
        <v/>
      </c>
    </row>
    <row r="147" spans="1:17" x14ac:dyDescent="0.25">
      <c r="A147" t="s">
        <v>281</v>
      </c>
      <c r="B147" t="s">
        <v>282</v>
      </c>
      <c r="C147">
        <v>0</v>
      </c>
      <c r="D147">
        <v>0</v>
      </c>
      <c r="E147">
        <v>0</v>
      </c>
      <c r="F147">
        <v>0</v>
      </c>
      <c r="G147">
        <v>0</v>
      </c>
      <c r="H147" t="s">
        <v>223</v>
      </c>
      <c r="I147">
        <v>0</v>
      </c>
      <c r="J147" t="str">
        <f t="shared" si="16"/>
        <v/>
      </c>
      <c r="K147" t="str">
        <f t="shared" si="17"/>
        <v/>
      </c>
      <c r="L147" t="str">
        <f t="shared" si="18"/>
        <v/>
      </c>
      <c r="M147" t="str">
        <f t="shared" si="19"/>
        <v/>
      </c>
      <c r="N147" t="str">
        <f t="shared" si="20"/>
        <v/>
      </c>
      <c r="O147" t="str">
        <f t="shared" si="21"/>
        <v/>
      </c>
      <c r="P147" t="str">
        <f t="shared" si="22"/>
        <v/>
      </c>
      <c r="Q147" t="str">
        <f t="shared" si="23"/>
        <v/>
      </c>
    </row>
    <row r="148" spans="1:17" x14ac:dyDescent="0.25">
      <c r="A148" t="s">
        <v>281</v>
      </c>
      <c r="B148" t="s">
        <v>282</v>
      </c>
      <c r="C148">
        <v>56</v>
      </c>
      <c r="D148" t="s">
        <v>223</v>
      </c>
      <c r="E148" t="s">
        <v>223</v>
      </c>
      <c r="F148" t="s">
        <v>223</v>
      </c>
      <c r="G148" t="s">
        <v>223</v>
      </c>
      <c r="H148" t="s">
        <v>223</v>
      </c>
      <c r="I148">
        <v>11.920000000000002</v>
      </c>
      <c r="J148" t="str">
        <f t="shared" si="16"/>
        <v>775611257</v>
      </c>
      <c r="K148">
        <f t="shared" si="17"/>
        <v>56</v>
      </c>
      <c r="L148">
        <f t="shared" si="18"/>
        <v>0</v>
      </c>
      <c r="M148">
        <f t="shared" si="19"/>
        <v>0</v>
      </c>
      <c r="N148">
        <f t="shared" si="20"/>
        <v>0</v>
      </c>
      <c r="O148">
        <f t="shared" si="21"/>
        <v>0</v>
      </c>
      <c r="P148">
        <f t="shared" si="22"/>
        <v>0</v>
      </c>
      <c r="Q148">
        <f t="shared" si="23"/>
        <v>56</v>
      </c>
    </row>
    <row r="149" spans="1:17" x14ac:dyDescent="0.25">
      <c r="A149" t="s">
        <v>283</v>
      </c>
      <c r="B149" t="s">
        <v>284</v>
      </c>
      <c r="C149">
        <v>5</v>
      </c>
      <c r="D149" t="s">
        <v>223</v>
      </c>
      <c r="E149" t="s">
        <v>223</v>
      </c>
      <c r="F149" t="s">
        <v>223</v>
      </c>
      <c r="G149" t="s">
        <v>223</v>
      </c>
      <c r="H149" t="s">
        <v>223</v>
      </c>
      <c r="I149">
        <v>11.920000000000002</v>
      </c>
      <c r="J149" t="str">
        <f t="shared" si="16"/>
        <v>778510189</v>
      </c>
      <c r="K149">
        <f t="shared" si="17"/>
        <v>5</v>
      </c>
      <c r="L149">
        <f t="shared" si="18"/>
        <v>0</v>
      </c>
      <c r="M149">
        <f t="shared" si="19"/>
        <v>0</v>
      </c>
      <c r="N149">
        <f t="shared" si="20"/>
        <v>0</v>
      </c>
      <c r="O149">
        <f t="shared" si="21"/>
        <v>0</v>
      </c>
      <c r="P149">
        <f t="shared" si="22"/>
        <v>0</v>
      </c>
      <c r="Q149">
        <f t="shared" si="23"/>
        <v>5</v>
      </c>
    </row>
    <row r="150" spans="1:17" x14ac:dyDescent="0.25">
      <c r="A150" t="s">
        <v>283</v>
      </c>
      <c r="B150" t="s">
        <v>284</v>
      </c>
      <c r="C150">
        <v>0</v>
      </c>
      <c r="D150">
        <v>0</v>
      </c>
      <c r="E150" t="s">
        <v>223</v>
      </c>
      <c r="F150" t="s">
        <v>223</v>
      </c>
      <c r="G150" t="s">
        <v>223</v>
      </c>
      <c r="H150" t="s">
        <v>223</v>
      </c>
      <c r="I150">
        <v>0</v>
      </c>
      <c r="J150" t="str">
        <f t="shared" si="16"/>
        <v/>
      </c>
      <c r="K150" t="str">
        <f t="shared" si="17"/>
        <v/>
      </c>
      <c r="L150" t="str">
        <f t="shared" si="18"/>
        <v/>
      </c>
      <c r="M150" t="str">
        <f t="shared" si="19"/>
        <v/>
      </c>
      <c r="N150" t="str">
        <f t="shared" si="20"/>
        <v/>
      </c>
      <c r="O150" t="str">
        <f t="shared" si="21"/>
        <v/>
      </c>
      <c r="P150" t="str">
        <f t="shared" si="22"/>
        <v/>
      </c>
      <c r="Q150" t="str">
        <f t="shared" si="23"/>
        <v/>
      </c>
    </row>
    <row r="151" spans="1:17" x14ac:dyDescent="0.25">
      <c r="A151" t="s">
        <v>283</v>
      </c>
      <c r="B151" t="s">
        <v>284</v>
      </c>
      <c r="C151">
        <v>0</v>
      </c>
      <c r="D151">
        <v>0</v>
      </c>
      <c r="E151">
        <v>0</v>
      </c>
      <c r="F151" t="s">
        <v>223</v>
      </c>
      <c r="G151" t="s">
        <v>223</v>
      </c>
      <c r="H151" t="s">
        <v>223</v>
      </c>
      <c r="I151">
        <v>0</v>
      </c>
      <c r="J151" t="str">
        <f t="shared" si="16"/>
        <v/>
      </c>
      <c r="K151" t="str">
        <f t="shared" si="17"/>
        <v/>
      </c>
      <c r="L151" t="str">
        <f t="shared" si="18"/>
        <v/>
      </c>
      <c r="M151" t="str">
        <f t="shared" si="19"/>
        <v/>
      </c>
      <c r="N151" t="str">
        <f t="shared" si="20"/>
        <v/>
      </c>
      <c r="O151" t="str">
        <f t="shared" si="21"/>
        <v/>
      </c>
      <c r="P151" t="str">
        <f t="shared" si="22"/>
        <v/>
      </c>
      <c r="Q151" t="str">
        <f t="shared" si="23"/>
        <v/>
      </c>
    </row>
    <row r="152" spans="1:17" x14ac:dyDescent="0.25">
      <c r="A152" t="s">
        <v>283</v>
      </c>
      <c r="B152" t="s">
        <v>284</v>
      </c>
      <c r="C152">
        <v>0</v>
      </c>
      <c r="D152">
        <v>0</v>
      </c>
      <c r="E152">
        <v>0</v>
      </c>
      <c r="F152">
        <v>0</v>
      </c>
      <c r="G152" t="s">
        <v>223</v>
      </c>
      <c r="H152" t="s">
        <v>223</v>
      </c>
      <c r="I152">
        <v>0</v>
      </c>
      <c r="J152" t="str">
        <f t="shared" si="16"/>
        <v/>
      </c>
      <c r="K152" t="str">
        <f t="shared" si="17"/>
        <v/>
      </c>
      <c r="L152" t="str">
        <f t="shared" si="18"/>
        <v/>
      </c>
      <c r="M152" t="str">
        <f t="shared" si="19"/>
        <v/>
      </c>
      <c r="N152" t="str">
        <f t="shared" si="20"/>
        <v/>
      </c>
      <c r="O152" t="str">
        <f t="shared" si="21"/>
        <v/>
      </c>
      <c r="P152" t="str">
        <f t="shared" si="22"/>
        <v/>
      </c>
      <c r="Q152" t="str">
        <f t="shared" si="23"/>
        <v/>
      </c>
    </row>
    <row r="153" spans="1:17" x14ac:dyDescent="0.25">
      <c r="A153" t="s">
        <v>283</v>
      </c>
      <c r="B153" t="s">
        <v>284</v>
      </c>
      <c r="C153">
        <v>0</v>
      </c>
      <c r="D153">
        <v>0</v>
      </c>
      <c r="E153">
        <v>0</v>
      </c>
      <c r="F153">
        <v>0</v>
      </c>
      <c r="G153">
        <v>0</v>
      </c>
      <c r="H153" t="s">
        <v>223</v>
      </c>
      <c r="I153">
        <v>0</v>
      </c>
      <c r="J153" t="str">
        <f t="shared" si="16"/>
        <v/>
      </c>
      <c r="K153" t="str">
        <f t="shared" si="17"/>
        <v/>
      </c>
      <c r="L153" t="str">
        <f t="shared" si="18"/>
        <v/>
      </c>
      <c r="M153" t="str">
        <f t="shared" si="19"/>
        <v/>
      </c>
      <c r="N153" t="str">
        <f t="shared" si="20"/>
        <v/>
      </c>
      <c r="O153" t="str">
        <f t="shared" si="21"/>
        <v/>
      </c>
      <c r="P153" t="str">
        <f t="shared" si="22"/>
        <v/>
      </c>
      <c r="Q153" t="str">
        <f t="shared" si="23"/>
        <v/>
      </c>
    </row>
    <row r="154" spans="1:17" x14ac:dyDescent="0.25">
      <c r="A154" t="s">
        <v>285</v>
      </c>
      <c r="B154" t="s">
        <v>286</v>
      </c>
      <c r="C154">
        <v>115</v>
      </c>
      <c r="D154" t="s">
        <v>223</v>
      </c>
      <c r="E154" t="s">
        <v>223</v>
      </c>
      <c r="F154" t="s">
        <v>223</v>
      </c>
      <c r="G154" t="s">
        <v>223</v>
      </c>
      <c r="H154" t="s">
        <v>223</v>
      </c>
      <c r="I154">
        <v>11.920000000000002</v>
      </c>
      <c r="J154" t="str">
        <f t="shared" si="16"/>
        <v>775119625</v>
      </c>
      <c r="K154">
        <f t="shared" si="17"/>
        <v>115</v>
      </c>
      <c r="L154">
        <f t="shared" si="18"/>
        <v>0</v>
      </c>
      <c r="M154">
        <f t="shared" si="19"/>
        <v>0</v>
      </c>
      <c r="N154">
        <f t="shared" si="20"/>
        <v>0</v>
      </c>
      <c r="O154">
        <f t="shared" si="21"/>
        <v>0</v>
      </c>
      <c r="P154">
        <f t="shared" si="22"/>
        <v>0</v>
      </c>
      <c r="Q154">
        <f t="shared" si="23"/>
        <v>115</v>
      </c>
    </row>
    <row r="155" spans="1:17" x14ac:dyDescent="0.25">
      <c r="A155" t="s">
        <v>285</v>
      </c>
      <c r="B155" t="s">
        <v>286</v>
      </c>
      <c r="C155">
        <v>0</v>
      </c>
      <c r="D155">
        <v>0</v>
      </c>
      <c r="E155" t="s">
        <v>223</v>
      </c>
      <c r="F155" t="s">
        <v>223</v>
      </c>
      <c r="G155" t="s">
        <v>223</v>
      </c>
      <c r="H155" t="s">
        <v>223</v>
      </c>
      <c r="I155">
        <v>0</v>
      </c>
      <c r="J155" t="str">
        <f t="shared" si="16"/>
        <v/>
      </c>
      <c r="K155" t="str">
        <f t="shared" si="17"/>
        <v/>
      </c>
      <c r="L155" t="str">
        <f t="shared" si="18"/>
        <v/>
      </c>
      <c r="M155" t="str">
        <f t="shared" si="19"/>
        <v/>
      </c>
      <c r="N155" t="str">
        <f t="shared" si="20"/>
        <v/>
      </c>
      <c r="O155" t="str">
        <f t="shared" si="21"/>
        <v/>
      </c>
      <c r="P155" t="str">
        <f t="shared" si="22"/>
        <v/>
      </c>
      <c r="Q155" t="str">
        <f t="shared" si="23"/>
        <v/>
      </c>
    </row>
    <row r="156" spans="1:17" x14ac:dyDescent="0.25">
      <c r="A156" t="s">
        <v>285</v>
      </c>
      <c r="B156" t="s">
        <v>286</v>
      </c>
      <c r="C156">
        <v>0</v>
      </c>
      <c r="D156">
        <v>0</v>
      </c>
      <c r="E156">
        <v>0</v>
      </c>
      <c r="F156" t="s">
        <v>223</v>
      </c>
      <c r="G156" t="s">
        <v>223</v>
      </c>
      <c r="H156" t="s">
        <v>223</v>
      </c>
      <c r="I156">
        <v>0</v>
      </c>
      <c r="J156" t="str">
        <f t="shared" si="16"/>
        <v/>
      </c>
      <c r="K156" t="str">
        <f t="shared" si="17"/>
        <v/>
      </c>
      <c r="L156" t="str">
        <f t="shared" si="18"/>
        <v/>
      </c>
      <c r="M156" t="str">
        <f t="shared" si="19"/>
        <v/>
      </c>
      <c r="N156" t="str">
        <f t="shared" si="20"/>
        <v/>
      </c>
      <c r="O156" t="str">
        <f t="shared" si="21"/>
        <v/>
      </c>
      <c r="P156" t="str">
        <f t="shared" si="22"/>
        <v/>
      </c>
      <c r="Q156" t="str">
        <f t="shared" si="23"/>
        <v/>
      </c>
    </row>
    <row r="157" spans="1:17" x14ac:dyDescent="0.25">
      <c r="A157" t="s">
        <v>285</v>
      </c>
      <c r="B157" t="s">
        <v>286</v>
      </c>
      <c r="C157">
        <v>0</v>
      </c>
      <c r="D157">
        <v>0</v>
      </c>
      <c r="E157">
        <v>0</v>
      </c>
      <c r="F157">
        <v>0</v>
      </c>
      <c r="G157" t="s">
        <v>223</v>
      </c>
      <c r="H157" t="s">
        <v>223</v>
      </c>
      <c r="I157">
        <v>0</v>
      </c>
      <c r="J157" t="str">
        <f t="shared" si="16"/>
        <v/>
      </c>
      <c r="K157" t="str">
        <f t="shared" si="17"/>
        <v/>
      </c>
      <c r="L157" t="str">
        <f t="shared" si="18"/>
        <v/>
      </c>
      <c r="M157" t="str">
        <f t="shared" si="19"/>
        <v/>
      </c>
      <c r="N157" t="str">
        <f t="shared" si="20"/>
        <v/>
      </c>
      <c r="O157" t="str">
        <f t="shared" si="21"/>
        <v/>
      </c>
      <c r="P157" t="str">
        <f t="shared" si="22"/>
        <v/>
      </c>
      <c r="Q157" t="str">
        <f t="shared" si="23"/>
        <v/>
      </c>
    </row>
    <row r="158" spans="1:17" x14ac:dyDescent="0.25">
      <c r="A158" t="s">
        <v>285</v>
      </c>
      <c r="B158" t="s">
        <v>286</v>
      </c>
      <c r="C158">
        <v>0</v>
      </c>
      <c r="D158">
        <v>0</v>
      </c>
      <c r="E158">
        <v>0</v>
      </c>
      <c r="F158">
        <v>0</v>
      </c>
      <c r="G158">
        <v>0</v>
      </c>
      <c r="H158" t="s">
        <v>223</v>
      </c>
      <c r="I158">
        <v>0</v>
      </c>
      <c r="J158" t="str">
        <f t="shared" si="16"/>
        <v/>
      </c>
      <c r="K158" t="str">
        <f t="shared" si="17"/>
        <v/>
      </c>
      <c r="L158" t="str">
        <f t="shared" si="18"/>
        <v/>
      </c>
      <c r="M158" t="str">
        <f t="shared" si="19"/>
        <v/>
      </c>
      <c r="N158" t="str">
        <f t="shared" si="20"/>
        <v/>
      </c>
      <c r="O158" t="str">
        <f t="shared" si="21"/>
        <v/>
      </c>
      <c r="P158" t="str">
        <f t="shared" si="22"/>
        <v/>
      </c>
      <c r="Q158" t="str">
        <f t="shared" si="23"/>
        <v/>
      </c>
    </row>
    <row r="159" spans="1:17" x14ac:dyDescent="0.25">
      <c r="A159" t="s">
        <v>287</v>
      </c>
      <c r="B159" t="s">
        <v>288</v>
      </c>
      <c r="C159">
        <v>105</v>
      </c>
      <c r="D159" t="s">
        <v>223</v>
      </c>
      <c r="E159" t="s">
        <v>223</v>
      </c>
      <c r="F159" t="s">
        <v>223</v>
      </c>
      <c r="G159" t="s">
        <v>223</v>
      </c>
      <c r="H159" t="s">
        <v>223</v>
      </c>
      <c r="I159">
        <v>11.920000000000002</v>
      </c>
      <c r="J159" t="str">
        <f t="shared" si="16"/>
        <v>775610628</v>
      </c>
      <c r="K159">
        <f t="shared" si="17"/>
        <v>105</v>
      </c>
      <c r="L159">
        <f t="shared" si="18"/>
        <v>0</v>
      </c>
      <c r="M159">
        <f t="shared" si="19"/>
        <v>0</v>
      </c>
      <c r="N159">
        <f t="shared" si="20"/>
        <v>0</v>
      </c>
      <c r="O159">
        <f t="shared" si="21"/>
        <v>0</v>
      </c>
      <c r="P159">
        <f t="shared" si="22"/>
        <v>0</v>
      </c>
      <c r="Q159">
        <f t="shared" si="23"/>
        <v>105</v>
      </c>
    </row>
    <row r="160" spans="1:17" x14ac:dyDescent="0.25">
      <c r="A160" t="s">
        <v>287</v>
      </c>
      <c r="B160" t="s">
        <v>288</v>
      </c>
      <c r="C160">
        <v>0</v>
      </c>
      <c r="D160">
        <v>0</v>
      </c>
      <c r="E160" t="s">
        <v>223</v>
      </c>
      <c r="F160" t="s">
        <v>223</v>
      </c>
      <c r="G160" t="s">
        <v>223</v>
      </c>
      <c r="H160" t="s">
        <v>223</v>
      </c>
      <c r="I160">
        <v>0</v>
      </c>
      <c r="J160" t="str">
        <f t="shared" si="16"/>
        <v/>
      </c>
      <c r="K160" t="str">
        <f t="shared" si="17"/>
        <v/>
      </c>
      <c r="L160" t="str">
        <f t="shared" si="18"/>
        <v/>
      </c>
      <c r="M160" t="str">
        <f t="shared" si="19"/>
        <v/>
      </c>
      <c r="N160" t="str">
        <f t="shared" si="20"/>
        <v/>
      </c>
      <c r="O160" t="str">
        <f t="shared" si="21"/>
        <v/>
      </c>
      <c r="P160" t="str">
        <f t="shared" si="22"/>
        <v/>
      </c>
      <c r="Q160" t="str">
        <f t="shared" si="23"/>
        <v/>
      </c>
    </row>
    <row r="161" spans="1:17" x14ac:dyDescent="0.25">
      <c r="A161" t="s">
        <v>287</v>
      </c>
      <c r="B161" t="s">
        <v>288</v>
      </c>
      <c r="C161">
        <v>0</v>
      </c>
      <c r="D161">
        <v>0</v>
      </c>
      <c r="E161">
        <v>0</v>
      </c>
      <c r="F161" t="s">
        <v>223</v>
      </c>
      <c r="G161" t="s">
        <v>223</v>
      </c>
      <c r="H161" t="s">
        <v>223</v>
      </c>
      <c r="I161">
        <v>0</v>
      </c>
      <c r="J161" t="str">
        <f t="shared" si="16"/>
        <v/>
      </c>
      <c r="K161" t="str">
        <f t="shared" si="17"/>
        <v/>
      </c>
      <c r="L161" t="str">
        <f t="shared" si="18"/>
        <v/>
      </c>
      <c r="M161" t="str">
        <f t="shared" si="19"/>
        <v/>
      </c>
      <c r="N161" t="str">
        <f t="shared" si="20"/>
        <v/>
      </c>
      <c r="O161" t="str">
        <f t="shared" si="21"/>
        <v/>
      </c>
      <c r="P161" t="str">
        <f t="shared" si="22"/>
        <v/>
      </c>
      <c r="Q161" t="str">
        <f t="shared" si="23"/>
        <v/>
      </c>
    </row>
    <row r="162" spans="1:17" x14ac:dyDescent="0.25">
      <c r="A162" t="s">
        <v>287</v>
      </c>
      <c r="B162" t="s">
        <v>288</v>
      </c>
      <c r="C162">
        <v>0</v>
      </c>
      <c r="D162">
        <v>0</v>
      </c>
      <c r="E162">
        <v>0</v>
      </c>
      <c r="F162">
        <v>0</v>
      </c>
      <c r="G162" t="s">
        <v>223</v>
      </c>
      <c r="H162" t="s">
        <v>223</v>
      </c>
      <c r="I162">
        <v>0</v>
      </c>
      <c r="J162" t="str">
        <f t="shared" si="16"/>
        <v/>
      </c>
      <c r="K162" t="str">
        <f t="shared" si="17"/>
        <v/>
      </c>
      <c r="L162" t="str">
        <f t="shared" si="18"/>
        <v/>
      </c>
      <c r="M162" t="str">
        <f t="shared" si="19"/>
        <v/>
      </c>
      <c r="N162" t="str">
        <f t="shared" si="20"/>
        <v/>
      </c>
      <c r="O162" t="str">
        <f t="shared" si="21"/>
        <v/>
      </c>
      <c r="P162" t="str">
        <f t="shared" si="22"/>
        <v/>
      </c>
      <c r="Q162" t="str">
        <f t="shared" si="23"/>
        <v/>
      </c>
    </row>
    <row r="163" spans="1:17" x14ac:dyDescent="0.25">
      <c r="A163" t="s">
        <v>287</v>
      </c>
      <c r="B163" t="s">
        <v>288</v>
      </c>
      <c r="C163">
        <v>0</v>
      </c>
      <c r="D163">
        <v>0</v>
      </c>
      <c r="E163">
        <v>0</v>
      </c>
      <c r="F163">
        <v>0</v>
      </c>
      <c r="G163">
        <v>0</v>
      </c>
      <c r="H163" t="s">
        <v>223</v>
      </c>
      <c r="I163">
        <v>0</v>
      </c>
      <c r="J163" t="str">
        <f t="shared" si="16"/>
        <v/>
      </c>
      <c r="K163" t="str">
        <f t="shared" si="17"/>
        <v/>
      </c>
      <c r="L163" t="str">
        <f t="shared" si="18"/>
        <v/>
      </c>
      <c r="M163" t="str">
        <f t="shared" si="19"/>
        <v/>
      </c>
      <c r="N163" t="str">
        <f t="shared" si="20"/>
        <v/>
      </c>
      <c r="O163" t="str">
        <f t="shared" si="21"/>
        <v/>
      </c>
      <c r="P163" t="str">
        <f t="shared" si="22"/>
        <v/>
      </c>
      <c r="Q163" t="str">
        <f t="shared" si="23"/>
        <v/>
      </c>
    </row>
    <row r="164" spans="1:17" x14ac:dyDescent="0.25">
      <c r="A164" t="s">
        <v>289</v>
      </c>
      <c r="B164" t="s">
        <v>290</v>
      </c>
      <c r="C164">
        <v>90</v>
      </c>
      <c r="D164" t="s">
        <v>223</v>
      </c>
      <c r="E164" t="s">
        <v>223</v>
      </c>
      <c r="F164" t="s">
        <v>223</v>
      </c>
      <c r="G164" t="s">
        <v>223</v>
      </c>
      <c r="H164" t="s">
        <v>223</v>
      </c>
      <c r="I164">
        <v>11.920000000000002</v>
      </c>
      <c r="J164" t="str">
        <f t="shared" si="16"/>
        <v>775611337</v>
      </c>
      <c r="K164">
        <f t="shared" si="17"/>
        <v>90</v>
      </c>
      <c r="L164">
        <f t="shared" si="18"/>
        <v>0</v>
      </c>
      <c r="M164">
        <f t="shared" si="19"/>
        <v>0</v>
      </c>
      <c r="N164">
        <f t="shared" si="20"/>
        <v>0</v>
      </c>
      <c r="O164">
        <f t="shared" si="21"/>
        <v>0</v>
      </c>
      <c r="P164">
        <f t="shared" si="22"/>
        <v>0</v>
      </c>
      <c r="Q164">
        <f t="shared" si="23"/>
        <v>90</v>
      </c>
    </row>
    <row r="165" spans="1:17" x14ac:dyDescent="0.25">
      <c r="A165" t="s">
        <v>289</v>
      </c>
      <c r="B165" t="s">
        <v>290</v>
      </c>
      <c r="C165">
        <v>0</v>
      </c>
      <c r="D165">
        <v>0</v>
      </c>
      <c r="E165" t="s">
        <v>223</v>
      </c>
      <c r="F165" t="s">
        <v>223</v>
      </c>
      <c r="G165" t="s">
        <v>223</v>
      </c>
      <c r="H165" t="s">
        <v>223</v>
      </c>
      <c r="I165">
        <v>0</v>
      </c>
      <c r="J165" t="str">
        <f t="shared" si="16"/>
        <v/>
      </c>
      <c r="K165" t="str">
        <f t="shared" si="17"/>
        <v/>
      </c>
      <c r="L165" t="str">
        <f t="shared" si="18"/>
        <v/>
      </c>
      <c r="M165" t="str">
        <f t="shared" si="19"/>
        <v/>
      </c>
      <c r="N165" t="str">
        <f t="shared" si="20"/>
        <v/>
      </c>
      <c r="O165" t="str">
        <f t="shared" si="21"/>
        <v/>
      </c>
      <c r="P165" t="str">
        <f t="shared" si="22"/>
        <v/>
      </c>
      <c r="Q165" t="str">
        <f t="shared" si="23"/>
        <v/>
      </c>
    </row>
    <row r="166" spans="1:17" x14ac:dyDescent="0.25">
      <c r="A166" t="s">
        <v>289</v>
      </c>
      <c r="B166" t="s">
        <v>290</v>
      </c>
      <c r="C166">
        <v>0</v>
      </c>
      <c r="D166">
        <v>0</v>
      </c>
      <c r="E166">
        <v>0</v>
      </c>
      <c r="F166" t="s">
        <v>223</v>
      </c>
      <c r="G166" t="s">
        <v>223</v>
      </c>
      <c r="H166" t="s">
        <v>223</v>
      </c>
      <c r="I166">
        <v>0</v>
      </c>
      <c r="J166" t="str">
        <f t="shared" si="16"/>
        <v/>
      </c>
      <c r="K166" t="str">
        <f t="shared" si="17"/>
        <v/>
      </c>
      <c r="L166" t="str">
        <f t="shared" si="18"/>
        <v/>
      </c>
      <c r="M166" t="str">
        <f t="shared" si="19"/>
        <v/>
      </c>
      <c r="N166" t="str">
        <f t="shared" si="20"/>
        <v/>
      </c>
      <c r="O166" t="str">
        <f t="shared" si="21"/>
        <v/>
      </c>
      <c r="P166" t="str">
        <f t="shared" si="22"/>
        <v/>
      </c>
      <c r="Q166" t="str">
        <f t="shared" si="23"/>
        <v/>
      </c>
    </row>
    <row r="167" spans="1:17" x14ac:dyDescent="0.25">
      <c r="A167" t="s">
        <v>289</v>
      </c>
      <c r="B167" t="s">
        <v>290</v>
      </c>
      <c r="C167">
        <v>0</v>
      </c>
      <c r="D167">
        <v>0</v>
      </c>
      <c r="E167">
        <v>0</v>
      </c>
      <c r="F167">
        <v>0</v>
      </c>
      <c r="G167" t="s">
        <v>223</v>
      </c>
      <c r="H167" t="s">
        <v>223</v>
      </c>
      <c r="I167">
        <v>0</v>
      </c>
      <c r="J167" t="str">
        <f t="shared" si="16"/>
        <v/>
      </c>
      <c r="K167" t="str">
        <f t="shared" si="17"/>
        <v/>
      </c>
      <c r="L167" t="str">
        <f t="shared" si="18"/>
        <v/>
      </c>
      <c r="M167" t="str">
        <f t="shared" si="19"/>
        <v/>
      </c>
      <c r="N167" t="str">
        <f t="shared" si="20"/>
        <v/>
      </c>
      <c r="O167" t="str">
        <f t="shared" si="21"/>
        <v/>
      </c>
      <c r="P167" t="str">
        <f t="shared" si="22"/>
        <v/>
      </c>
      <c r="Q167" t="str">
        <f t="shared" si="23"/>
        <v/>
      </c>
    </row>
    <row r="168" spans="1:17" x14ac:dyDescent="0.25">
      <c r="A168" t="s">
        <v>289</v>
      </c>
      <c r="B168" t="s">
        <v>290</v>
      </c>
      <c r="C168">
        <v>0</v>
      </c>
      <c r="D168">
        <v>0</v>
      </c>
      <c r="E168">
        <v>0</v>
      </c>
      <c r="F168">
        <v>0</v>
      </c>
      <c r="G168">
        <v>0</v>
      </c>
      <c r="H168" t="s">
        <v>223</v>
      </c>
      <c r="I168">
        <v>0</v>
      </c>
      <c r="J168" t="str">
        <f t="shared" si="16"/>
        <v/>
      </c>
      <c r="K168" t="str">
        <f t="shared" si="17"/>
        <v/>
      </c>
      <c r="L168" t="str">
        <f t="shared" si="18"/>
        <v/>
      </c>
      <c r="M168" t="str">
        <f t="shared" si="19"/>
        <v/>
      </c>
      <c r="N168" t="str">
        <f t="shared" si="20"/>
        <v/>
      </c>
      <c r="O168" t="str">
        <f t="shared" si="21"/>
        <v/>
      </c>
      <c r="P168" t="str">
        <f t="shared" si="22"/>
        <v/>
      </c>
      <c r="Q168" t="str">
        <f t="shared" si="23"/>
        <v/>
      </c>
    </row>
    <row r="169" spans="1:17" x14ac:dyDescent="0.25">
      <c r="A169" t="s">
        <v>291</v>
      </c>
      <c r="B169" t="s">
        <v>292</v>
      </c>
      <c r="C169">
        <v>130</v>
      </c>
      <c r="D169" t="s">
        <v>223</v>
      </c>
      <c r="E169" t="s">
        <v>223</v>
      </c>
      <c r="F169" t="s">
        <v>223</v>
      </c>
      <c r="G169" t="s">
        <v>223</v>
      </c>
      <c r="H169" t="s">
        <v>223</v>
      </c>
      <c r="I169">
        <v>11.920000000000002</v>
      </c>
      <c r="J169" t="str">
        <f t="shared" si="16"/>
        <v>775611428</v>
      </c>
      <c r="K169">
        <f t="shared" si="17"/>
        <v>130</v>
      </c>
      <c r="L169">
        <f t="shared" si="18"/>
        <v>0</v>
      </c>
      <c r="M169">
        <f t="shared" si="19"/>
        <v>0</v>
      </c>
      <c r="N169">
        <f t="shared" si="20"/>
        <v>0</v>
      </c>
      <c r="O169">
        <f t="shared" si="21"/>
        <v>0</v>
      </c>
      <c r="P169">
        <f t="shared" si="22"/>
        <v>0</v>
      </c>
      <c r="Q169">
        <f t="shared" si="23"/>
        <v>130</v>
      </c>
    </row>
    <row r="170" spans="1:17" x14ac:dyDescent="0.25">
      <c r="A170" t="s">
        <v>291</v>
      </c>
      <c r="B170" t="s">
        <v>292</v>
      </c>
      <c r="C170">
        <v>0</v>
      </c>
      <c r="D170">
        <v>0</v>
      </c>
      <c r="E170" t="s">
        <v>223</v>
      </c>
      <c r="F170" t="s">
        <v>223</v>
      </c>
      <c r="G170" t="s">
        <v>223</v>
      </c>
      <c r="H170" t="s">
        <v>223</v>
      </c>
      <c r="I170">
        <v>0</v>
      </c>
      <c r="J170" t="str">
        <f t="shared" si="16"/>
        <v/>
      </c>
      <c r="K170" t="str">
        <f t="shared" si="17"/>
        <v/>
      </c>
      <c r="L170" t="str">
        <f t="shared" si="18"/>
        <v/>
      </c>
      <c r="M170" t="str">
        <f t="shared" si="19"/>
        <v/>
      </c>
      <c r="N170" t="str">
        <f t="shared" si="20"/>
        <v/>
      </c>
      <c r="O170" t="str">
        <f t="shared" si="21"/>
        <v/>
      </c>
      <c r="P170" t="str">
        <f t="shared" si="22"/>
        <v/>
      </c>
      <c r="Q170" t="str">
        <f t="shared" si="23"/>
        <v/>
      </c>
    </row>
    <row r="171" spans="1:17" x14ac:dyDescent="0.25">
      <c r="A171" t="s">
        <v>291</v>
      </c>
      <c r="B171" t="s">
        <v>292</v>
      </c>
      <c r="C171">
        <v>0</v>
      </c>
      <c r="D171">
        <v>0</v>
      </c>
      <c r="E171">
        <v>0</v>
      </c>
      <c r="F171" t="s">
        <v>223</v>
      </c>
      <c r="G171" t="s">
        <v>223</v>
      </c>
      <c r="H171" t="s">
        <v>223</v>
      </c>
      <c r="I171">
        <v>0</v>
      </c>
      <c r="J171" t="str">
        <f t="shared" si="16"/>
        <v/>
      </c>
      <c r="K171" t="str">
        <f t="shared" si="17"/>
        <v/>
      </c>
      <c r="L171" t="str">
        <f t="shared" si="18"/>
        <v/>
      </c>
      <c r="M171" t="str">
        <f t="shared" si="19"/>
        <v/>
      </c>
      <c r="N171" t="str">
        <f t="shared" si="20"/>
        <v/>
      </c>
      <c r="O171" t="str">
        <f t="shared" si="21"/>
        <v/>
      </c>
      <c r="P171" t="str">
        <f t="shared" si="22"/>
        <v/>
      </c>
      <c r="Q171" t="str">
        <f t="shared" si="23"/>
        <v/>
      </c>
    </row>
    <row r="172" spans="1:17" x14ac:dyDescent="0.25">
      <c r="A172" t="s">
        <v>291</v>
      </c>
      <c r="B172" t="s">
        <v>292</v>
      </c>
      <c r="C172">
        <v>0</v>
      </c>
      <c r="D172">
        <v>0</v>
      </c>
      <c r="E172">
        <v>0</v>
      </c>
      <c r="F172">
        <v>0</v>
      </c>
      <c r="G172" t="s">
        <v>223</v>
      </c>
      <c r="H172" t="s">
        <v>223</v>
      </c>
      <c r="I172">
        <v>0</v>
      </c>
      <c r="J172" t="str">
        <f t="shared" si="16"/>
        <v/>
      </c>
      <c r="K172" t="str">
        <f t="shared" si="17"/>
        <v/>
      </c>
      <c r="L172" t="str">
        <f t="shared" si="18"/>
        <v/>
      </c>
      <c r="M172" t="str">
        <f t="shared" si="19"/>
        <v/>
      </c>
      <c r="N172" t="str">
        <f t="shared" si="20"/>
        <v/>
      </c>
      <c r="O172" t="str">
        <f t="shared" si="21"/>
        <v/>
      </c>
      <c r="P172" t="str">
        <f t="shared" si="22"/>
        <v/>
      </c>
      <c r="Q172" t="str">
        <f t="shared" si="23"/>
        <v/>
      </c>
    </row>
    <row r="173" spans="1:17" x14ac:dyDescent="0.25">
      <c r="A173" t="s">
        <v>291</v>
      </c>
      <c r="B173" t="s">
        <v>292</v>
      </c>
      <c r="C173">
        <v>0</v>
      </c>
      <c r="D173">
        <v>0</v>
      </c>
      <c r="E173">
        <v>0</v>
      </c>
      <c r="F173">
        <v>0</v>
      </c>
      <c r="G173">
        <v>0</v>
      </c>
      <c r="H173" t="s">
        <v>223</v>
      </c>
      <c r="I173">
        <v>0</v>
      </c>
      <c r="J173" t="str">
        <f t="shared" si="16"/>
        <v/>
      </c>
      <c r="K173" t="str">
        <f t="shared" si="17"/>
        <v/>
      </c>
      <c r="L173" t="str">
        <f t="shared" si="18"/>
        <v/>
      </c>
      <c r="M173" t="str">
        <f t="shared" si="19"/>
        <v/>
      </c>
      <c r="N173" t="str">
        <f t="shared" si="20"/>
        <v/>
      </c>
      <c r="O173" t="str">
        <f t="shared" si="21"/>
        <v/>
      </c>
      <c r="P173" t="str">
        <f t="shared" si="22"/>
        <v/>
      </c>
      <c r="Q173" t="str">
        <f t="shared" si="23"/>
        <v/>
      </c>
    </row>
    <row r="174" spans="1:17" x14ac:dyDescent="0.25">
      <c r="A174" t="s">
        <v>293</v>
      </c>
      <c r="B174" t="s">
        <v>232</v>
      </c>
      <c r="C174">
        <v>10</v>
      </c>
      <c r="D174" t="s">
        <v>223</v>
      </c>
      <c r="E174" t="s">
        <v>223</v>
      </c>
      <c r="F174" t="s">
        <v>223</v>
      </c>
      <c r="G174" t="s">
        <v>223</v>
      </c>
      <c r="H174" t="s">
        <v>223</v>
      </c>
      <c r="I174">
        <v>11.920000000000002</v>
      </c>
      <c r="J174" t="str">
        <f t="shared" si="16"/>
        <v>77211105</v>
      </c>
      <c r="K174">
        <f t="shared" si="17"/>
        <v>10</v>
      </c>
      <c r="L174">
        <f t="shared" si="18"/>
        <v>0</v>
      </c>
      <c r="M174">
        <f t="shared" si="19"/>
        <v>0</v>
      </c>
      <c r="N174">
        <f t="shared" si="20"/>
        <v>0</v>
      </c>
      <c r="O174">
        <f t="shared" si="21"/>
        <v>0</v>
      </c>
      <c r="P174">
        <f t="shared" si="22"/>
        <v>0</v>
      </c>
      <c r="Q174">
        <f t="shared" si="23"/>
        <v>10</v>
      </c>
    </row>
    <row r="175" spans="1:17" x14ac:dyDescent="0.25">
      <c r="A175" t="s">
        <v>293</v>
      </c>
      <c r="B175" t="s">
        <v>232</v>
      </c>
      <c r="C175">
        <v>0</v>
      </c>
      <c r="D175">
        <v>0</v>
      </c>
      <c r="E175" t="s">
        <v>223</v>
      </c>
      <c r="F175" t="s">
        <v>223</v>
      </c>
      <c r="G175" t="s">
        <v>223</v>
      </c>
      <c r="H175" t="s">
        <v>223</v>
      </c>
      <c r="I175">
        <v>0</v>
      </c>
      <c r="J175" t="str">
        <f t="shared" si="16"/>
        <v/>
      </c>
      <c r="K175" t="str">
        <f t="shared" si="17"/>
        <v/>
      </c>
      <c r="L175" t="str">
        <f t="shared" si="18"/>
        <v/>
      </c>
      <c r="M175" t="str">
        <f t="shared" si="19"/>
        <v/>
      </c>
      <c r="N175" t="str">
        <f t="shared" si="20"/>
        <v/>
      </c>
      <c r="O175" t="str">
        <f t="shared" si="21"/>
        <v/>
      </c>
      <c r="P175" t="str">
        <f t="shared" si="22"/>
        <v/>
      </c>
      <c r="Q175" t="str">
        <f t="shared" si="23"/>
        <v/>
      </c>
    </row>
    <row r="176" spans="1:17" x14ac:dyDescent="0.25">
      <c r="A176" t="s">
        <v>293</v>
      </c>
      <c r="B176" t="s">
        <v>232</v>
      </c>
      <c r="C176">
        <v>0</v>
      </c>
      <c r="D176">
        <v>0</v>
      </c>
      <c r="E176">
        <v>0</v>
      </c>
      <c r="F176" t="s">
        <v>223</v>
      </c>
      <c r="G176" t="s">
        <v>223</v>
      </c>
      <c r="H176" t="s">
        <v>223</v>
      </c>
      <c r="I176">
        <v>0</v>
      </c>
      <c r="J176" t="str">
        <f t="shared" si="16"/>
        <v/>
      </c>
      <c r="K176" t="str">
        <f t="shared" si="17"/>
        <v/>
      </c>
      <c r="L176" t="str">
        <f t="shared" si="18"/>
        <v/>
      </c>
      <c r="M176" t="str">
        <f t="shared" si="19"/>
        <v/>
      </c>
      <c r="N176" t="str">
        <f t="shared" si="20"/>
        <v/>
      </c>
      <c r="O176" t="str">
        <f t="shared" si="21"/>
        <v/>
      </c>
      <c r="P176" t="str">
        <f t="shared" si="22"/>
        <v/>
      </c>
      <c r="Q176" t="str">
        <f t="shared" si="23"/>
        <v/>
      </c>
    </row>
    <row r="177" spans="1:17" x14ac:dyDescent="0.25">
      <c r="A177" t="s">
        <v>293</v>
      </c>
      <c r="B177" t="s">
        <v>232</v>
      </c>
      <c r="C177">
        <v>0</v>
      </c>
      <c r="D177">
        <v>0</v>
      </c>
      <c r="E177">
        <v>0</v>
      </c>
      <c r="F177">
        <v>0</v>
      </c>
      <c r="G177" t="s">
        <v>223</v>
      </c>
      <c r="H177" t="s">
        <v>223</v>
      </c>
      <c r="I177">
        <v>0</v>
      </c>
      <c r="J177" t="str">
        <f t="shared" si="16"/>
        <v/>
      </c>
      <c r="K177" t="str">
        <f t="shared" si="17"/>
        <v/>
      </c>
      <c r="L177" t="str">
        <f t="shared" si="18"/>
        <v/>
      </c>
      <c r="M177" t="str">
        <f t="shared" si="19"/>
        <v/>
      </c>
      <c r="N177" t="str">
        <f t="shared" si="20"/>
        <v/>
      </c>
      <c r="O177" t="str">
        <f t="shared" si="21"/>
        <v/>
      </c>
      <c r="P177" t="str">
        <f t="shared" si="22"/>
        <v/>
      </c>
      <c r="Q177" t="str">
        <f t="shared" si="23"/>
        <v/>
      </c>
    </row>
    <row r="178" spans="1:17" x14ac:dyDescent="0.25">
      <c r="A178" t="s">
        <v>293</v>
      </c>
      <c r="B178" t="s">
        <v>232</v>
      </c>
      <c r="C178">
        <v>0</v>
      </c>
      <c r="D178">
        <v>0</v>
      </c>
      <c r="E178">
        <v>0</v>
      </c>
      <c r="F178">
        <v>0</v>
      </c>
      <c r="G178">
        <v>0</v>
      </c>
      <c r="H178" t="s">
        <v>223</v>
      </c>
      <c r="I178">
        <v>0</v>
      </c>
      <c r="J178" t="str">
        <f t="shared" si="16"/>
        <v/>
      </c>
      <c r="K178" t="str">
        <f t="shared" si="17"/>
        <v/>
      </c>
      <c r="L178" t="str">
        <f t="shared" si="18"/>
        <v/>
      </c>
      <c r="M178" t="str">
        <f t="shared" si="19"/>
        <v/>
      </c>
      <c r="N178" t="str">
        <f t="shared" si="20"/>
        <v/>
      </c>
      <c r="O178" t="str">
        <f t="shared" si="21"/>
        <v/>
      </c>
      <c r="P178" t="str">
        <f t="shared" si="22"/>
        <v/>
      </c>
      <c r="Q178" t="str">
        <f t="shared" si="23"/>
        <v/>
      </c>
    </row>
    <row r="179" spans="1:17" x14ac:dyDescent="0.25">
      <c r="A179" t="s">
        <v>294</v>
      </c>
      <c r="B179" t="s">
        <v>295</v>
      </c>
      <c r="C179">
        <v>40</v>
      </c>
      <c r="D179" t="s">
        <v>223</v>
      </c>
      <c r="E179" t="s">
        <v>223</v>
      </c>
      <c r="F179" t="s">
        <v>223</v>
      </c>
      <c r="G179" t="s">
        <v>223</v>
      </c>
      <c r="H179" t="s">
        <v>223</v>
      </c>
      <c r="I179">
        <v>15.12</v>
      </c>
      <c r="J179" t="str">
        <f t="shared" si="16"/>
        <v>77211226</v>
      </c>
      <c r="K179">
        <f t="shared" si="17"/>
        <v>40</v>
      </c>
      <c r="L179">
        <f t="shared" si="18"/>
        <v>0</v>
      </c>
      <c r="M179">
        <f t="shared" si="19"/>
        <v>0</v>
      </c>
      <c r="N179">
        <f t="shared" si="20"/>
        <v>0</v>
      </c>
      <c r="O179">
        <f t="shared" si="21"/>
        <v>0</v>
      </c>
      <c r="P179">
        <f t="shared" si="22"/>
        <v>0</v>
      </c>
      <c r="Q179">
        <f t="shared" si="23"/>
        <v>40</v>
      </c>
    </row>
    <row r="180" spans="1:17" x14ac:dyDescent="0.25">
      <c r="A180" t="s">
        <v>294</v>
      </c>
      <c r="B180" t="s">
        <v>295</v>
      </c>
      <c r="C180">
        <v>0</v>
      </c>
      <c r="D180">
        <v>0</v>
      </c>
      <c r="E180" t="s">
        <v>223</v>
      </c>
      <c r="F180" t="s">
        <v>223</v>
      </c>
      <c r="G180" t="s">
        <v>223</v>
      </c>
      <c r="H180" t="s">
        <v>223</v>
      </c>
      <c r="I180">
        <v>0</v>
      </c>
      <c r="J180" t="str">
        <f t="shared" si="16"/>
        <v/>
      </c>
      <c r="K180" t="str">
        <f t="shared" si="17"/>
        <v/>
      </c>
      <c r="L180" t="str">
        <f t="shared" si="18"/>
        <v/>
      </c>
      <c r="M180" t="str">
        <f t="shared" si="19"/>
        <v/>
      </c>
      <c r="N180" t="str">
        <f t="shared" si="20"/>
        <v/>
      </c>
      <c r="O180" t="str">
        <f t="shared" si="21"/>
        <v/>
      </c>
      <c r="P180" t="str">
        <f t="shared" si="22"/>
        <v/>
      </c>
      <c r="Q180" t="str">
        <f t="shared" si="23"/>
        <v/>
      </c>
    </row>
    <row r="181" spans="1:17" x14ac:dyDescent="0.25">
      <c r="A181" t="s">
        <v>294</v>
      </c>
      <c r="B181" t="s">
        <v>295</v>
      </c>
      <c r="C181">
        <v>0</v>
      </c>
      <c r="D181">
        <v>0</v>
      </c>
      <c r="E181">
        <v>0</v>
      </c>
      <c r="F181" t="s">
        <v>223</v>
      </c>
      <c r="G181" t="s">
        <v>223</v>
      </c>
      <c r="H181" t="s">
        <v>223</v>
      </c>
      <c r="I181">
        <v>0</v>
      </c>
      <c r="J181" t="str">
        <f t="shared" si="16"/>
        <v/>
      </c>
      <c r="K181" t="str">
        <f t="shared" si="17"/>
        <v/>
      </c>
      <c r="L181" t="str">
        <f t="shared" si="18"/>
        <v/>
      </c>
      <c r="M181" t="str">
        <f t="shared" si="19"/>
        <v/>
      </c>
      <c r="N181" t="str">
        <f t="shared" si="20"/>
        <v/>
      </c>
      <c r="O181" t="str">
        <f t="shared" si="21"/>
        <v/>
      </c>
      <c r="P181" t="str">
        <f t="shared" si="22"/>
        <v/>
      </c>
      <c r="Q181" t="str">
        <f t="shared" si="23"/>
        <v/>
      </c>
    </row>
    <row r="182" spans="1:17" x14ac:dyDescent="0.25">
      <c r="A182" t="s">
        <v>294</v>
      </c>
      <c r="B182" t="s">
        <v>295</v>
      </c>
      <c r="C182">
        <v>0</v>
      </c>
      <c r="D182">
        <v>0</v>
      </c>
      <c r="E182">
        <v>0</v>
      </c>
      <c r="F182">
        <v>0</v>
      </c>
      <c r="G182" t="s">
        <v>223</v>
      </c>
      <c r="H182" t="s">
        <v>223</v>
      </c>
      <c r="I182">
        <v>0</v>
      </c>
      <c r="J182" t="str">
        <f t="shared" si="16"/>
        <v/>
      </c>
      <c r="K182" t="str">
        <f t="shared" si="17"/>
        <v/>
      </c>
      <c r="L182" t="str">
        <f t="shared" si="18"/>
        <v/>
      </c>
      <c r="M182" t="str">
        <f t="shared" si="19"/>
        <v/>
      </c>
      <c r="N182" t="str">
        <f t="shared" si="20"/>
        <v/>
      </c>
      <c r="O182" t="str">
        <f t="shared" si="21"/>
        <v/>
      </c>
      <c r="P182" t="str">
        <f t="shared" si="22"/>
        <v/>
      </c>
      <c r="Q182" t="str">
        <f t="shared" si="23"/>
        <v/>
      </c>
    </row>
    <row r="183" spans="1:17" x14ac:dyDescent="0.25">
      <c r="A183" t="s">
        <v>294</v>
      </c>
      <c r="B183" t="s">
        <v>295</v>
      </c>
      <c r="C183">
        <v>0</v>
      </c>
      <c r="D183">
        <v>0</v>
      </c>
      <c r="E183">
        <v>0</v>
      </c>
      <c r="F183">
        <v>0</v>
      </c>
      <c r="G183">
        <v>0</v>
      </c>
      <c r="H183" t="s">
        <v>223</v>
      </c>
      <c r="I183">
        <v>0</v>
      </c>
      <c r="J183" t="str">
        <f t="shared" si="16"/>
        <v/>
      </c>
      <c r="K183" t="str">
        <f t="shared" si="17"/>
        <v/>
      </c>
      <c r="L183" t="str">
        <f t="shared" si="18"/>
        <v/>
      </c>
      <c r="M183" t="str">
        <f t="shared" si="19"/>
        <v/>
      </c>
      <c r="N183" t="str">
        <f t="shared" si="20"/>
        <v/>
      </c>
      <c r="O183" t="str">
        <f t="shared" si="21"/>
        <v/>
      </c>
      <c r="P183" t="str">
        <f t="shared" si="22"/>
        <v/>
      </c>
      <c r="Q183" t="str">
        <f t="shared" si="23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78B5-DDAA-46F9-AA13-C01503AE3BFB}">
  <dimension ref="A1:I38"/>
  <sheetViews>
    <sheetView topLeftCell="A10" workbookViewId="0">
      <selection activeCell="A31" sqref="A31"/>
    </sheetView>
  </sheetViews>
  <sheetFormatPr defaultRowHeight="15" x14ac:dyDescent="0.25"/>
  <cols>
    <col min="1" max="1" width="11" bestFit="1" customWidth="1"/>
    <col min="9" max="9" width="11" bestFit="1" customWidth="1"/>
  </cols>
  <sheetData>
    <row r="1" spans="1:9" x14ac:dyDescent="0.25">
      <c r="B1" t="s">
        <v>0</v>
      </c>
      <c r="C1">
        <v>55</v>
      </c>
      <c r="D1">
        <v>57</v>
      </c>
      <c r="E1">
        <v>59</v>
      </c>
      <c r="F1">
        <v>61</v>
      </c>
      <c r="G1">
        <v>63</v>
      </c>
      <c r="H1" t="s">
        <v>296</v>
      </c>
    </row>
    <row r="2" spans="1:9" x14ac:dyDescent="0.25">
      <c r="A2" t="s">
        <v>221</v>
      </c>
      <c r="B2">
        <v>0</v>
      </c>
      <c r="C2">
        <v>0</v>
      </c>
      <c r="D2">
        <v>2</v>
      </c>
      <c r="E2">
        <v>4</v>
      </c>
      <c r="F2">
        <v>2</v>
      </c>
      <c r="G2">
        <v>0</v>
      </c>
      <c r="H2">
        <v>8</v>
      </c>
      <c r="I2" t="str">
        <f>VLOOKUP(A2,Итог!A:A,1,0)</f>
        <v>181390499</v>
      </c>
    </row>
    <row r="3" spans="1:9" x14ac:dyDescent="0.25">
      <c r="A3" t="s">
        <v>226</v>
      </c>
      <c r="B3">
        <v>12</v>
      </c>
      <c r="C3">
        <v>0</v>
      </c>
      <c r="D3">
        <v>0</v>
      </c>
      <c r="E3">
        <v>0</v>
      </c>
      <c r="F3">
        <v>0</v>
      </c>
      <c r="G3">
        <v>0</v>
      </c>
      <c r="H3">
        <v>12</v>
      </c>
      <c r="I3" t="str">
        <f>VLOOKUP(A3,Итог!A:A,1,0)</f>
        <v>77811153</v>
      </c>
    </row>
    <row r="4" spans="1:9" x14ac:dyDescent="0.25">
      <c r="A4" t="s">
        <v>228</v>
      </c>
      <c r="B4">
        <v>6</v>
      </c>
      <c r="C4">
        <v>0</v>
      </c>
      <c r="D4">
        <v>0</v>
      </c>
      <c r="E4">
        <v>0</v>
      </c>
      <c r="F4">
        <v>0</v>
      </c>
      <c r="G4">
        <v>0</v>
      </c>
      <c r="H4">
        <v>6</v>
      </c>
      <c r="I4" t="str">
        <f>VLOOKUP(A4,Итог!A:A,1,0)</f>
        <v>77811158</v>
      </c>
    </row>
    <row r="5" spans="1:9" x14ac:dyDescent="0.25">
      <c r="A5" t="s">
        <v>229</v>
      </c>
      <c r="B5">
        <v>6</v>
      </c>
      <c r="C5">
        <v>0</v>
      </c>
      <c r="D5">
        <v>0</v>
      </c>
      <c r="E5">
        <v>0</v>
      </c>
      <c r="F5">
        <v>0</v>
      </c>
      <c r="G5">
        <v>0</v>
      </c>
      <c r="H5">
        <v>6</v>
      </c>
      <c r="I5" t="str">
        <f>VLOOKUP(A5,Итог!A:A,1,0)</f>
        <v>778111875</v>
      </c>
    </row>
    <row r="6" spans="1:9" x14ac:dyDescent="0.25">
      <c r="A6" t="s">
        <v>231</v>
      </c>
      <c r="B6">
        <v>6</v>
      </c>
      <c r="C6">
        <v>0</v>
      </c>
      <c r="D6">
        <v>0</v>
      </c>
      <c r="E6">
        <v>0</v>
      </c>
      <c r="F6">
        <v>0</v>
      </c>
      <c r="G6">
        <v>0</v>
      </c>
      <c r="H6">
        <v>6</v>
      </c>
      <c r="I6" t="str">
        <f>VLOOKUP(A6,Итог!A:A,1,0)</f>
        <v>778112031</v>
      </c>
    </row>
    <row r="7" spans="1:9" x14ac:dyDescent="0.25">
      <c r="A7" t="s">
        <v>233</v>
      </c>
      <c r="B7">
        <v>0</v>
      </c>
      <c r="C7">
        <v>1</v>
      </c>
      <c r="D7">
        <v>5</v>
      </c>
      <c r="E7">
        <v>7</v>
      </c>
      <c r="F7">
        <v>5</v>
      </c>
      <c r="G7">
        <v>3</v>
      </c>
      <c r="H7">
        <v>21</v>
      </c>
      <c r="I7" t="str">
        <f>VLOOKUP(A7,Итог!A:A,1,0)</f>
        <v>66111302</v>
      </c>
    </row>
    <row r="8" spans="1:9" x14ac:dyDescent="0.25">
      <c r="A8" t="s">
        <v>238</v>
      </c>
      <c r="B8">
        <v>0</v>
      </c>
      <c r="C8">
        <v>0</v>
      </c>
      <c r="D8">
        <v>5</v>
      </c>
      <c r="E8">
        <v>5</v>
      </c>
      <c r="F8">
        <v>0</v>
      </c>
      <c r="G8">
        <v>0</v>
      </c>
      <c r="H8">
        <v>10</v>
      </c>
      <c r="I8" t="str">
        <f>VLOOKUP(A8,Итог!A:A,1,0)</f>
        <v>66111052</v>
      </c>
    </row>
    <row r="9" spans="1:9" x14ac:dyDescent="0.25">
      <c r="A9" t="s">
        <v>240</v>
      </c>
      <c r="B9">
        <v>0</v>
      </c>
      <c r="C9">
        <v>0</v>
      </c>
      <c r="D9">
        <v>4</v>
      </c>
      <c r="E9">
        <v>9</v>
      </c>
      <c r="F9">
        <v>6</v>
      </c>
      <c r="G9">
        <v>0</v>
      </c>
      <c r="H9">
        <v>19</v>
      </c>
      <c r="I9" t="str">
        <f>VLOOKUP(A9,Итог!A:A,1,0)</f>
        <v>661110532</v>
      </c>
    </row>
    <row r="10" spans="1:9" x14ac:dyDescent="0.25">
      <c r="A10" t="s">
        <v>243</v>
      </c>
      <c r="B10">
        <v>0</v>
      </c>
      <c r="C10">
        <v>0</v>
      </c>
      <c r="D10">
        <v>5</v>
      </c>
      <c r="E10">
        <v>6</v>
      </c>
      <c r="F10">
        <v>5</v>
      </c>
      <c r="G10">
        <v>0</v>
      </c>
      <c r="H10">
        <v>16</v>
      </c>
      <c r="I10" t="str">
        <f>VLOOKUP(A10,Итог!A:A,1,0)</f>
        <v>661110555</v>
      </c>
    </row>
    <row r="11" spans="1:9" x14ac:dyDescent="0.25">
      <c r="A11" t="s">
        <v>244</v>
      </c>
      <c r="B11">
        <v>0</v>
      </c>
      <c r="C11">
        <v>0</v>
      </c>
      <c r="D11">
        <v>3</v>
      </c>
      <c r="E11">
        <v>8</v>
      </c>
      <c r="F11">
        <v>5</v>
      </c>
      <c r="G11">
        <v>4</v>
      </c>
      <c r="H11">
        <v>20</v>
      </c>
      <c r="I11" t="str">
        <f>VLOOKUP(A11,Итог!A:A,1,0)</f>
        <v>74311011</v>
      </c>
    </row>
    <row r="12" spans="1:9" x14ac:dyDescent="0.25">
      <c r="A12" t="s">
        <v>247</v>
      </c>
      <c r="B12">
        <v>0</v>
      </c>
      <c r="C12">
        <v>1</v>
      </c>
      <c r="D12">
        <v>4</v>
      </c>
      <c r="E12">
        <v>7</v>
      </c>
      <c r="F12">
        <v>5</v>
      </c>
      <c r="G12">
        <v>2</v>
      </c>
      <c r="H12">
        <v>19</v>
      </c>
      <c r="I12" t="str">
        <f>VLOOKUP(A12,Итог!A:A,1,0)</f>
        <v>743110155</v>
      </c>
    </row>
    <row r="13" spans="1:9" x14ac:dyDescent="0.25">
      <c r="A13" t="s">
        <v>248</v>
      </c>
      <c r="B13">
        <v>150</v>
      </c>
      <c r="C13">
        <v>0</v>
      </c>
      <c r="D13">
        <v>0</v>
      </c>
      <c r="E13">
        <v>0</v>
      </c>
      <c r="F13">
        <v>0</v>
      </c>
      <c r="G13">
        <v>0</v>
      </c>
      <c r="H13">
        <v>150</v>
      </c>
      <c r="I13" t="str">
        <f>VLOOKUP(A13,Итог!A:A,1,0)</f>
        <v>775119127</v>
      </c>
    </row>
    <row r="14" spans="1:9" x14ac:dyDescent="0.25">
      <c r="A14" t="s">
        <v>250</v>
      </c>
      <c r="B14">
        <v>0</v>
      </c>
      <c r="C14">
        <v>0</v>
      </c>
      <c r="D14">
        <v>4</v>
      </c>
      <c r="E14">
        <v>6</v>
      </c>
      <c r="F14">
        <v>4</v>
      </c>
      <c r="G14">
        <v>0</v>
      </c>
      <c r="H14">
        <v>14</v>
      </c>
      <c r="I14" t="str">
        <f>VLOOKUP(A14,Итог!A:A,1,0)</f>
        <v>77131013</v>
      </c>
    </row>
    <row r="15" spans="1:9" x14ac:dyDescent="0.25">
      <c r="A15" t="s">
        <v>252</v>
      </c>
      <c r="B15">
        <v>0</v>
      </c>
      <c r="C15">
        <v>1</v>
      </c>
      <c r="D15">
        <v>5</v>
      </c>
      <c r="E15">
        <v>8</v>
      </c>
      <c r="F15">
        <v>5</v>
      </c>
      <c r="G15">
        <v>2</v>
      </c>
      <c r="H15">
        <v>21</v>
      </c>
      <c r="I15" t="str">
        <f>VLOOKUP(A15,Итог!A:A,1,0)</f>
        <v>68431162</v>
      </c>
    </row>
    <row r="16" spans="1:9" x14ac:dyDescent="0.25">
      <c r="A16" t="s">
        <v>254</v>
      </c>
      <c r="B16">
        <v>0</v>
      </c>
      <c r="C16">
        <v>0</v>
      </c>
      <c r="D16">
        <v>4</v>
      </c>
      <c r="E16">
        <v>6</v>
      </c>
      <c r="F16">
        <v>4</v>
      </c>
      <c r="G16">
        <v>1</v>
      </c>
      <c r="H16">
        <v>15</v>
      </c>
      <c r="I16" t="str">
        <f>VLOOKUP(A16,Итог!A:A,1,0)</f>
        <v>68131036</v>
      </c>
    </row>
    <row r="17" spans="1:9" x14ac:dyDescent="0.25">
      <c r="A17" t="s">
        <v>257</v>
      </c>
      <c r="B17">
        <v>0</v>
      </c>
      <c r="C17">
        <v>0</v>
      </c>
      <c r="D17">
        <v>1</v>
      </c>
      <c r="E17">
        <v>2</v>
      </c>
      <c r="F17">
        <v>1</v>
      </c>
      <c r="G17">
        <v>0</v>
      </c>
      <c r="H17">
        <v>4</v>
      </c>
      <c r="I17" t="str">
        <f>VLOOKUP(A17,Итог!A:A,1,0)</f>
        <v>6840407267</v>
      </c>
    </row>
    <row r="18" spans="1:9" x14ac:dyDescent="0.25">
      <c r="A18" t="s">
        <v>259</v>
      </c>
      <c r="B18">
        <v>0</v>
      </c>
      <c r="C18">
        <v>0</v>
      </c>
      <c r="D18">
        <v>2</v>
      </c>
      <c r="E18">
        <v>4</v>
      </c>
      <c r="F18">
        <v>3</v>
      </c>
      <c r="G18">
        <v>0</v>
      </c>
      <c r="H18">
        <v>9</v>
      </c>
      <c r="I18" t="str">
        <f>VLOOKUP(A18,Итог!A:A,1,0)</f>
        <v>6382504322</v>
      </c>
    </row>
    <row r="19" spans="1:9" x14ac:dyDescent="0.25">
      <c r="A19" t="s">
        <v>261</v>
      </c>
      <c r="B19">
        <v>0</v>
      </c>
      <c r="C19">
        <v>0</v>
      </c>
      <c r="D19">
        <v>2</v>
      </c>
      <c r="E19">
        <v>4</v>
      </c>
      <c r="F19">
        <v>3</v>
      </c>
      <c r="G19">
        <v>0</v>
      </c>
      <c r="H19">
        <v>9</v>
      </c>
      <c r="I19" t="str">
        <f>VLOOKUP(A19,Итог!A:A,1,0)</f>
        <v>6842504322</v>
      </c>
    </row>
    <row r="20" spans="1:9" x14ac:dyDescent="0.25">
      <c r="A20" t="s">
        <v>263</v>
      </c>
      <c r="B20">
        <v>0</v>
      </c>
      <c r="C20">
        <v>0</v>
      </c>
      <c r="D20">
        <v>8</v>
      </c>
      <c r="E20">
        <v>9</v>
      </c>
      <c r="F20">
        <v>0</v>
      </c>
      <c r="G20">
        <v>0</v>
      </c>
      <c r="H20">
        <v>17</v>
      </c>
      <c r="I20" t="str">
        <f>VLOOKUP(A20,Итог!A:A,1,0)</f>
        <v>118710163</v>
      </c>
    </row>
    <row r="21" spans="1:9" x14ac:dyDescent="0.25">
      <c r="A21" t="s">
        <v>265</v>
      </c>
      <c r="B21">
        <v>10</v>
      </c>
      <c r="C21">
        <v>0</v>
      </c>
      <c r="D21">
        <v>0</v>
      </c>
      <c r="E21">
        <v>0</v>
      </c>
      <c r="F21">
        <v>0</v>
      </c>
      <c r="G21">
        <v>0</v>
      </c>
      <c r="H21">
        <v>10</v>
      </c>
      <c r="I21" t="str">
        <f>VLOOKUP(A21,Итог!A:A,1,0)</f>
        <v>749710562</v>
      </c>
    </row>
    <row r="22" spans="1:9" x14ac:dyDescent="0.25">
      <c r="A22" t="s">
        <v>267</v>
      </c>
      <c r="B22">
        <v>0</v>
      </c>
      <c r="C22">
        <v>0</v>
      </c>
      <c r="D22">
        <v>0</v>
      </c>
      <c r="E22">
        <v>4</v>
      </c>
      <c r="F22">
        <v>4</v>
      </c>
      <c r="G22">
        <v>2</v>
      </c>
      <c r="H22">
        <v>10</v>
      </c>
      <c r="I22" t="str">
        <f>VLOOKUP(A22,Итог!A:A,1,0)</f>
        <v>28111012</v>
      </c>
    </row>
    <row r="23" spans="1:9" x14ac:dyDescent="0.25">
      <c r="A23" t="s">
        <v>269</v>
      </c>
      <c r="B23">
        <v>0</v>
      </c>
      <c r="C23">
        <v>0</v>
      </c>
      <c r="D23">
        <v>2</v>
      </c>
      <c r="E23">
        <v>8</v>
      </c>
      <c r="F23">
        <v>10</v>
      </c>
      <c r="G23">
        <v>5</v>
      </c>
      <c r="H23">
        <v>25</v>
      </c>
      <c r="I23" t="str">
        <f>VLOOKUP(A23,Итог!A:A,1,0)</f>
        <v>28111011</v>
      </c>
    </row>
    <row r="24" spans="1:9" x14ac:dyDescent="0.25">
      <c r="A24" t="s">
        <v>271</v>
      </c>
      <c r="B24">
        <v>115</v>
      </c>
      <c r="C24">
        <v>0</v>
      </c>
      <c r="D24">
        <v>0</v>
      </c>
      <c r="E24">
        <v>0</v>
      </c>
      <c r="F24">
        <v>0</v>
      </c>
      <c r="G24">
        <v>0</v>
      </c>
      <c r="H24">
        <v>115</v>
      </c>
      <c r="I24" t="str">
        <f>VLOOKUP(A24,Итог!A:A,1,0)</f>
        <v>77511945</v>
      </c>
    </row>
    <row r="25" spans="1:9" x14ac:dyDescent="0.25">
      <c r="A25" t="s">
        <v>273</v>
      </c>
      <c r="B25">
        <v>0</v>
      </c>
      <c r="C25">
        <v>0</v>
      </c>
      <c r="D25">
        <v>2</v>
      </c>
      <c r="E25">
        <v>6</v>
      </c>
      <c r="F25">
        <v>6</v>
      </c>
      <c r="G25">
        <v>3</v>
      </c>
      <c r="H25">
        <v>17</v>
      </c>
      <c r="I25" t="str">
        <f>VLOOKUP(A25,Итог!A:A,1,0)</f>
        <v>28111016</v>
      </c>
    </row>
    <row r="26" spans="1:9" x14ac:dyDescent="0.25">
      <c r="A26" t="s">
        <v>274</v>
      </c>
      <c r="B26">
        <v>0</v>
      </c>
      <c r="C26">
        <v>0</v>
      </c>
      <c r="D26">
        <v>0</v>
      </c>
      <c r="E26">
        <v>13</v>
      </c>
      <c r="F26">
        <v>13</v>
      </c>
      <c r="G26">
        <v>6</v>
      </c>
      <c r="H26">
        <v>32</v>
      </c>
      <c r="I26" t="str">
        <f>VLOOKUP(A26,Итог!A:A,1,0)</f>
        <v>281110161</v>
      </c>
    </row>
    <row r="27" spans="1:9" x14ac:dyDescent="0.25">
      <c r="A27" t="s">
        <v>276</v>
      </c>
      <c r="B27">
        <v>0</v>
      </c>
      <c r="C27">
        <v>0</v>
      </c>
      <c r="D27">
        <v>2</v>
      </c>
      <c r="E27">
        <v>7</v>
      </c>
      <c r="F27">
        <v>7</v>
      </c>
      <c r="G27">
        <v>0</v>
      </c>
      <c r="H27">
        <v>16</v>
      </c>
      <c r="I27" t="str">
        <f>VLOOKUP(A27,Итог!A:A,1,0)</f>
        <v>74911016</v>
      </c>
    </row>
    <row r="28" spans="1:9" x14ac:dyDescent="0.25">
      <c r="A28" t="s">
        <v>277</v>
      </c>
      <c r="B28">
        <v>0</v>
      </c>
      <c r="C28">
        <v>0</v>
      </c>
      <c r="D28">
        <v>8</v>
      </c>
      <c r="E28">
        <v>8</v>
      </c>
      <c r="F28">
        <v>6</v>
      </c>
      <c r="G28">
        <v>6</v>
      </c>
      <c r="H28">
        <v>28</v>
      </c>
      <c r="I28" t="str">
        <f>VLOOKUP(A28,Итог!A:A,1,0)</f>
        <v>25411046</v>
      </c>
    </row>
    <row r="29" spans="1:9" x14ac:dyDescent="0.25">
      <c r="A29" t="s">
        <v>279</v>
      </c>
      <c r="B29">
        <v>0</v>
      </c>
      <c r="C29">
        <v>0</v>
      </c>
      <c r="D29">
        <v>3</v>
      </c>
      <c r="E29">
        <v>5</v>
      </c>
      <c r="F29">
        <v>5</v>
      </c>
      <c r="G29">
        <v>3</v>
      </c>
      <c r="H29">
        <v>16</v>
      </c>
      <c r="I29" t="str">
        <f>VLOOKUP(A29,Итог!A:A,1,0)</f>
        <v>254110923</v>
      </c>
    </row>
    <row r="30" spans="1:9" x14ac:dyDescent="0.25">
      <c r="A30" t="s">
        <v>281</v>
      </c>
      <c r="B30">
        <v>74</v>
      </c>
      <c r="C30">
        <v>0</v>
      </c>
      <c r="D30">
        <v>0</v>
      </c>
      <c r="E30">
        <v>0</v>
      </c>
      <c r="F30">
        <v>0</v>
      </c>
      <c r="G30">
        <v>0</v>
      </c>
      <c r="H30">
        <v>74</v>
      </c>
      <c r="I30" t="str">
        <f>VLOOKUP(A30,Итог!A:A,1,0)</f>
        <v>775611257</v>
      </c>
    </row>
    <row r="31" spans="1:9" x14ac:dyDescent="0.25">
      <c r="A31" t="s">
        <v>281</v>
      </c>
      <c r="B31">
        <v>56</v>
      </c>
      <c r="C31">
        <v>0</v>
      </c>
      <c r="D31">
        <v>0</v>
      </c>
      <c r="E31">
        <v>0</v>
      </c>
      <c r="F31">
        <v>0</v>
      </c>
      <c r="G31">
        <v>0</v>
      </c>
      <c r="H31">
        <v>56</v>
      </c>
      <c r="I31" t="str">
        <f>VLOOKUP(A31,Итог!A:A,1,0)</f>
        <v>775611257</v>
      </c>
    </row>
    <row r="32" spans="1:9" x14ac:dyDescent="0.25">
      <c r="A32" t="s">
        <v>283</v>
      </c>
      <c r="B32">
        <v>5</v>
      </c>
      <c r="C32">
        <v>0</v>
      </c>
      <c r="D32">
        <v>0</v>
      </c>
      <c r="E32">
        <v>0</v>
      </c>
      <c r="F32">
        <v>0</v>
      </c>
      <c r="G32">
        <v>0</v>
      </c>
      <c r="H32">
        <v>5</v>
      </c>
      <c r="I32" t="str">
        <f>VLOOKUP(A32,Итог!A:A,1,0)</f>
        <v>778510189</v>
      </c>
    </row>
    <row r="33" spans="1:9" x14ac:dyDescent="0.25">
      <c r="A33" t="s">
        <v>285</v>
      </c>
      <c r="B33">
        <v>115</v>
      </c>
      <c r="C33">
        <v>0</v>
      </c>
      <c r="D33">
        <v>0</v>
      </c>
      <c r="E33">
        <v>0</v>
      </c>
      <c r="F33">
        <v>0</v>
      </c>
      <c r="G33">
        <v>0</v>
      </c>
      <c r="H33">
        <v>115</v>
      </c>
      <c r="I33" t="str">
        <f>VLOOKUP(A33,Итог!A:A,1,0)</f>
        <v>775119625</v>
      </c>
    </row>
    <row r="34" spans="1:9" x14ac:dyDescent="0.25">
      <c r="A34" t="s">
        <v>287</v>
      </c>
      <c r="B34">
        <v>105</v>
      </c>
      <c r="C34">
        <v>0</v>
      </c>
      <c r="D34">
        <v>0</v>
      </c>
      <c r="E34">
        <v>0</v>
      </c>
      <c r="F34">
        <v>0</v>
      </c>
      <c r="G34">
        <v>0</v>
      </c>
      <c r="H34">
        <v>105</v>
      </c>
      <c r="I34" t="str">
        <f>VLOOKUP(A34,Итог!A:A,1,0)</f>
        <v>775610628</v>
      </c>
    </row>
    <row r="35" spans="1:9" x14ac:dyDescent="0.25">
      <c r="A35" t="s">
        <v>289</v>
      </c>
      <c r="B35">
        <v>90</v>
      </c>
      <c r="C35">
        <v>0</v>
      </c>
      <c r="D35">
        <v>0</v>
      </c>
      <c r="E35">
        <v>0</v>
      </c>
      <c r="F35">
        <v>0</v>
      </c>
      <c r="G35">
        <v>0</v>
      </c>
      <c r="H35">
        <v>90</v>
      </c>
      <c r="I35" t="str">
        <f>VLOOKUP(A35,Итог!A:A,1,0)</f>
        <v>775611337</v>
      </c>
    </row>
    <row r="36" spans="1:9" x14ac:dyDescent="0.25">
      <c r="A36" t="s">
        <v>291</v>
      </c>
      <c r="B36">
        <v>130</v>
      </c>
      <c r="C36">
        <v>0</v>
      </c>
      <c r="D36">
        <v>0</v>
      </c>
      <c r="E36">
        <v>0</v>
      </c>
      <c r="F36">
        <v>0</v>
      </c>
      <c r="G36">
        <v>0</v>
      </c>
      <c r="H36">
        <v>130</v>
      </c>
      <c r="I36" t="str">
        <f>VLOOKUP(A36,Итог!A:A,1,0)</f>
        <v>775611428</v>
      </c>
    </row>
    <row r="37" spans="1:9" x14ac:dyDescent="0.25">
      <c r="A37" t="s">
        <v>293</v>
      </c>
      <c r="B37">
        <v>10</v>
      </c>
      <c r="C37">
        <v>0</v>
      </c>
      <c r="D37">
        <v>0</v>
      </c>
      <c r="E37">
        <v>0</v>
      </c>
      <c r="F37">
        <v>0</v>
      </c>
      <c r="G37">
        <v>0</v>
      </c>
      <c r="H37">
        <v>10</v>
      </c>
      <c r="I37" t="str">
        <f>VLOOKUP(A37,Итог!A:A,1,0)</f>
        <v>77211105</v>
      </c>
    </row>
    <row r="38" spans="1:9" x14ac:dyDescent="0.25">
      <c r="A38" t="s">
        <v>294</v>
      </c>
      <c r="B38">
        <v>40</v>
      </c>
      <c r="C38">
        <v>0</v>
      </c>
      <c r="D38">
        <v>0</v>
      </c>
      <c r="E38">
        <v>0</v>
      </c>
      <c r="F38">
        <v>0</v>
      </c>
      <c r="G38">
        <v>0</v>
      </c>
      <c r="H38">
        <v>40</v>
      </c>
      <c r="I38" t="str">
        <f>VLOOKUP(A38,Итог!A:A,1,0)</f>
        <v>77211226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Calculation</vt:lpstr>
      <vt:lpstr>Итог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2022-04-04T09:53:18Z</dcterms:modified>
</cp:coreProperties>
</file>