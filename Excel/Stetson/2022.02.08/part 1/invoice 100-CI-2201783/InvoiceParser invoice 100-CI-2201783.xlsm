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113486CE-192A-44D4-B7DA-BC4DD4D93DD4}" xr6:coauthVersionLast="47" xr6:coauthVersionMax="47" xr10:uidLastSave="{00000000-0000-0000-0000-000000000000}"/>
  <bookViews>
    <workbookView xWindow="-120" yWindow="-120" windowWidth="29040" windowHeight="15840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0" i="1" l="1"/>
  <c r="I39" i="1"/>
  <c r="H39" i="1"/>
  <c r="I38" i="1"/>
  <c r="H38" i="1"/>
  <c r="G38" i="1"/>
  <c r="I37" i="1"/>
  <c r="I36" i="1" s="1"/>
  <c r="H37" i="1"/>
  <c r="G37" i="1"/>
  <c r="F37" i="1"/>
  <c r="F36" i="1" s="1"/>
  <c r="J36" i="1"/>
  <c r="H36" i="1"/>
  <c r="G36" i="1"/>
  <c r="E36" i="1"/>
  <c r="D36" i="1"/>
  <c r="C36" i="1"/>
  <c r="C37" i="1" s="1"/>
  <c r="C38" i="1" s="1"/>
  <c r="C39" i="1" s="1"/>
  <c r="C40" i="1" s="1"/>
  <c r="I323" i="1"/>
  <c r="I322" i="1"/>
  <c r="H322" i="1"/>
  <c r="I321" i="1"/>
  <c r="I319" i="1" s="1"/>
  <c r="H321" i="1"/>
  <c r="G321" i="1"/>
  <c r="I320" i="1"/>
  <c r="H320" i="1"/>
  <c r="H319" i="1" s="1"/>
  <c r="G320" i="1"/>
  <c r="F320" i="1"/>
  <c r="F319" i="1" s="1"/>
  <c r="C320" i="1"/>
  <c r="C321" i="1" s="1"/>
  <c r="C322" i="1" s="1"/>
  <c r="C323" i="1" s="1"/>
  <c r="J319" i="1"/>
  <c r="G319" i="1"/>
  <c r="E319" i="1"/>
  <c r="D319" i="1"/>
  <c r="C319" i="1"/>
  <c r="I316" i="1"/>
  <c r="I315" i="1"/>
  <c r="H315" i="1"/>
  <c r="I314" i="1"/>
  <c r="H314" i="1"/>
  <c r="G314" i="1"/>
  <c r="I313" i="1"/>
  <c r="I312" i="1" s="1"/>
  <c r="H313" i="1"/>
  <c r="G313" i="1"/>
  <c r="F313" i="1"/>
  <c r="F312" i="1" s="1"/>
  <c r="J312" i="1"/>
  <c r="H312" i="1"/>
  <c r="G312" i="1"/>
  <c r="E312" i="1"/>
  <c r="D312" i="1"/>
  <c r="C312" i="1"/>
  <c r="C313" i="1" s="1"/>
  <c r="C314" i="1" s="1"/>
  <c r="C315" i="1" s="1"/>
  <c r="C316" i="1" s="1"/>
  <c r="I307" i="1"/>
  <c r="I306" i="1"/>
  <c r="H306" i="1"/>
  <c r="I305" i="1"/>
  <c r="H305" i="1"/>
  <c r="G305" i="1"/>
  <c r="I304" i="1"/>
  <c r="I303" i="1" s="1"/>
  <c r="H304" i="1"/>
  <c r="H303" i="1" s="1"/>
  <c r="G304" i="1"/>
  <c r="F304" i="1"/>
  <c r="F303" i="1" s="1"/>
  <c r="J303" i="1"/>
  <c r="G303" i="1"/>
  <c r="E303" i="1"/>
  <c r="D303" i="1"/>
  <c r="C303" i="1"/>
  <c r="C304" i="1" s="1"/>
  <c r="C305" i="1" s="1"/>
  <c r="C306" i="1" s="1"/>
  <c r="C307" i="1" s="1"/>
  <c r="I296" i="1"/>
  <c r="I295" i="1"/>
  <c r="H295" i="1"/>
  <c r="I294" i="1"/>
  <c r="H294" i="1"/>
  <c r="H292" i="1" s="1"/>
  <c r="G294" i="1"/>
  <c r="G292" i="1" s="1"/>
  <c r="I293" i="1"/>
  <c r="I292" i="1" s="1"/>
  <c r="H293" i="1"/>
  <c r="G293" i="1"/>
  <c r="F293" i="1"/>
  <c r="F292" i="1" s="1"/>
  <c r="J292" i="1"/>
  <c r="E292" i="1"/>
  <c r="D292" i="1"/>
  <c r="C292" i="1"/>
  <c r="C293" i="1" s="1"/>
  <c r="C294" i="1" s="1"/>
  <c r="C295" i="1" s="1"/>
  <c r="C296" i="1" s="1"/>
  <c r="I285" i="1"/>
  <c r="I284" i="1"/>
  <c r="H284" i="1"/>
  <c r="I283" i="1"/>
  <c r="I281" i="1" s="1"/>
  <c r="H283" i="1"/>
  <c r="G283" i="1"/>
  <c r="I282" i="1"/>
  <c r="H282" i="1"/>
  <c r="H281" i="1" s="1"/>
  <c r="G282" i="1"/>
  <c r="F282" i="1"/>
  <c r="F281" i="1" s="1"/>
  <c r="J281" i="1"/>
  <c r="G281" i="1"/>
  <c r="E281" i="1"/>
  <c r="D281" i="1"/>
  <c r="C281" i="1"/>
  <c r="C282" i="1" s="1"/>
  <c r="C283" i="1" s="1"/>
  <c r="C284" i="1" s="1"/>
  <c r="C285" i="1" s="1"/>
  <c r="B272" i="1"/>
  <c r="B273" i="1" s="1"/>
  <c r="B274" i="1" s="1"/>
  <c r="B271" i="1"/>
  <c r="C542" i="1"/>
  <c r="C543" i="1" s="1"/>
  <c r="C544" i="1" s="1"/>
  <c r="C545" i="1" s="1"/>
  <c r="C546" i="1" s="1"/>
  <c r="C535" i="1"/>
  <c r="C536" i="1" s="1"/>
  <c r="C537" i="1" s="1"/>
  <c r="C538" i="1" s="1"/>
  <c r="C539" i="1" s="1"/>
  <c r="C528" i="1"/>
  <c r="C529" i="1" s="1"/>
  <c r="C530" i="1" s="1"/>
  <c r="C531" i="1" s="1"/>
  <c r="C532" i="1" s="1"/>
  <c r="C521" i="1"/>
  <c r="C522" i="1" s="1"/>
  <c r="C523" i="1" s="1"/>
  <c r="C524" i="1" s="1"/>
  <c r="C525" i="1" s="1"/>
  <c r="C489" i="1"/>
  <c r="C490" i="1" s="1"/>
  <c r="C491" i="1" s="1"/>
  <c r="C492" i="1" s="1"/>
  <c r="C493" i="1" s="1"/>
  <c r="C482" i="1"/>
  <c r="C483" i="1" s="1"/>
  <c r="C484" i="1" s="1"/>
  <c r="C485" i="1" s="1"/>
  <c r="C486" i="1" s="1"/>
  <c r="C475" i="1"/>
  <c r="C476" i="1" s="1"/>
  <c r="C477" i="1" s="1"/>
  <c r="C478" i="1" s="1"/>
  <c r="C479" i="1" s="1"/>
  <c r="C468" i="1"/>
  <c r="C469" i="1" s="1"/>
  <c r="C470" i="1" s="1"/>
  <c r="C471" i="1" s="1"/>
  <c r="C472" i="1" s="1"/>
  <c r="C461" i="1"/>
  <c r="C462" i="1" s="1"/>
  <c r="C463" i="1" s="1"/>
  <c r="C464" i="1" s="1"/>
  <c r="C465" i="1" s="1"/>
  <c r="C448" i="1"/>
  <c r="C449" i="1" s="1"/>
  <c r="C450" i="1" s="1"/>
  <c r="C451" i="1" s="1"/>
  <c r="C452" i="1" s="1"/>
  <c r="C410" i="1"/>
  <c r="C411" i="1" s="1"/>
  <c r="C412" i="1" s="1"/>
  <c r="C413" i="1" s="1"/>
  <c r="C414" i="1" s="1"/>
  <c r="C399" i="1"/>
  <c r="C400" i="1" s="1"/>
  <c r="C401" i="1" s="1"/>
  <c r="C402" i="1" s="1"/>
  <c r="C403" i="1" s="1"/>
  <c r="C388" i="1"/>
  <c r="C389" i="1" s="1"/>
  <c r="C390" i="1" s="1"/>
  <c r="C391" i="1" s="1"/>
  <c r="C392" i="1" s="1"/>
  <c r="C375" i="1"/>
  <c r="C376" i="1" s="1"/>
  <c r="C377" i="1" s="1"/>
  <c r="C378" i="1" s="1"/>
  <c r="C379" i="1" s="1"/>
  <c r="C368" i="1"/>
  <c r="C369" i="1" s="1"/>
  <c r="C370" i="1" s="1"/>
  <c r="C371" i="1" s="1"/>
  <c r="C372" i="1" s="1"/>
  <c r="C355" i="1"/>
  <c r="C356" i="1" s="1"/>
  <c r="C357" i="1" s="1"/>
  <c r="C358" i="1" s="1"/>
  <c r="C359" i="1" s="1"/>
  <c r="C270" i="1"/>
  <c r="C271" i="1" s="1"/>
  <c r="C272" i="1" s="1"/>
  <c r="C273" i="1" s="1"/>
  <c r="C274" i="1" s="1"/>
  <c r="C232" i="1"/>
  <c r="C233" i="1" s="1"/>
  <c r="C234" i="1" s="1"/>
  <c r="C235" i="1" s="1"/>
  <c r="C236" i="1" s="1"/>
  <c r="C217" i="1"/>
  <c r="C218" i="1" s="1"/>
  <c r="C219" i="1" s="1"/>
  <c r="C220" i="1" s="1"/>
  <c r="C221" i="1" s="1"/>
  <c r="C206" i="1"/>
  <c r="C207" i="1" s="1"/>
  <c r="C208" i="1" s="1"/>
  <c r="C209" i="1" s="1"/>
  <c r="C210" i="1" s="1"/>
  <c r="C199" i="1"/>
  <c r="C200" i="1" s="1"/>
  <c r="C201" i="1" s="1"/>
  <c r="C202" i="1" s="1"/>
  <c r="C203" i="1" s="1"/>
  <c r="C184" i="1"/>
  <c r="C185" i="1" s="1"/>
  <c r="C186" i="1" s="1"/>
  <c r="C187" i="1" s="1"/>
  <c r="C188" i="1" s="1"/>
  <c r="C171" i="1"/>
  <c r="C172" i="1" s="1"/>
  <c r="C173" i="1" s="1"/>
  <c r="C174" i="1" s="1"/>
  <c r="C175" i="1" s="1"/>
  <c r="C135" i="1"/>
  <c r="C136" i="1" s="1"/>
  <c r="C137" i="1" s="1"/>
  <c r="C138" i="1" s="1"/>
  <c r="C139" i="1" s="1"/>
  <c r="C124" i="1"/>
  <c r="C125" i="1" s="1"/>
  <c r="C126" i="1" s="1"/>
  <c r="C127" i="1" s="1"/>
  <c r="C128" i="1" s="1"/>
  <c r="C115" i="1"/>
  <c r="C116" i="1" s="1"/>
  <c r="C117" i="1" s="1"/>
  <c r="C118" i="1" s="1"/>
  <c r="C119" i="1" s="1"/>
  <c r="C100" i="1"/>
  <c r="C101" i="1" s="1"/>
  <c r="C102" i="1" s="1"/>
  <c r="C103" i="1" s="1"/>
  <c r="C104" i="1" s="1"/>
  <c r="C93" i="1"/>
  <c r="C94" i="1" s="1"/>
  <c r="C95" i="1" s="1"/>
  <c r="C96" i="1" s="1"/>
  <c r="C97" i="1" s="1"/>
  <c r="C86" i="1"/>
  <c r="C87" i="1" s="1"/>
  <c r="C88" i="1" s="1"/>
  <c r="C89" i="1" s="1"/>
  <c r="C90" i="1" s="1"/>
  <c r="C54" i="1"/>
  <c r="C55" i="1" s="1"/>
  <c r="C56" i="1" s="1"/>
  <c r="C57" i="1" s="1"/>
  <c r="C58" i="1" s="1"/>
  <c r="C47" i="1"/>
  <c r="C48" i="1" s="1"/>
  <c r="C49" i="1" s="1"/>
  <c r="C50" i="1" s="1"/>
  <c r="C51" i="1" s="1"/>
  <c r="I546" i="1"/>
  <c r="I545" i="1"/>
  <c r="H545" i="1"/>
  <c r="I544" i="1"/>
  <c r="H544" i="1"/>
  <c r="G544" i="1"/>
  <c r="I543" i="1"/>
  <c r="H543" i="1"/>
  <c r="G543" i="1"/>
  <c r="F543" i="1"/>
  <c r="F542" i="1" s="1"/>
  <c r="J542" i="1"/>
  <c r="E542" i="1"/>
  <c r="D542" i="1"/>
  <c r="I539" i="1"/>
  <c r="I538" i="1"/>
  <c r="H538" i="1"/>
  <c r="I537" i="1"/>
  <c r="I535" i="1" s="1"/>
  <c r="H537" i="1"/>
  <c r="G537" i="1"/>
  <c r="I536" i="1"/>
  <c r="H536" i="1"/>
  <c r="H535" i="1" s="1"/>
  <c r="G536" i="1"/>
  <c r="F536" i="1"/>
  <c r="F535" i="1" s="1"/>
  <c r="J535" i="1"/>
  <c r="G535" i="1"/>
  <c r="E535" i="1"/>
  <c r="D535" i="1"/>
  <c r="I532" i="1"/>
  <c r="I531" i="1"/>
  <c r="H531" i="1"/>
  <c r="I530" i="1"/>
  <c r="H530" i="1"/>
  <c r="G530" i="1"/>
  <c r="I529" i="1"/>
  <c r="H529" i="1"/>
  <c r="H528" i="1" s="1"/>
  <c r="G529" i="1"/>
  <c r="F529" i="1"/>
  <c r="F528" i="1" s="1"/>
  <c r="J528" i="1"/>
  <c r="E528" i="1"/>
  <c r="D528" i="1"/>
  <c r="I525" i="1"/>
  <c r="I524" i="1"/>
  <c r="H524" i="1"/>
  <c r="I523" i="1"/>
  <c r="H523" i="1"/>
  <c r="G523" i="1"/>
  <c r="I522" i="1"/>
  <c r="H522" i="1"/>
  <c r="G522" i="1"/>
  <c r="G521" i="1" s="1"/>
  <c r="F522" i="1"/>
  <c r="F521" i="1" s="1"/>
  <c r="J521" i="1"/>
  <c r="E521" i="1"/>
  <c r="D521" i="1"/>
  <c r="I493" i="1"/>
  <c r="I492" i="1"/>
  <c r="H492" i="1"/>
  <c r="I491" i="1"/>
  <c r="H491" i="1"/>
  <c r="G491" i="1"/>
  <c r="I490" i="1"/>
  <c r="I489" i="1" s="1"/>
  <c r="H490" i="1"/>
  <c r="G490" i="1"/>
  <c r="F490" i="1"/>
  <c r="F489" i="1" s="1"/>
  <c r="J489" i="1"/>
  <c r="E489" i="1"/>
  <c r="D489" i="1"/>
  <c r="I486" i="1"/>
  <c r="I485" i="1"/>
  <c r="H485" i="1"/>
  <c r="I484" i="1"/>
  <c r="H484" i="1"/>
  <c r="G484" i="1"/>
  <c r="I483" i="1"/>
  <c r="H483" i="1"/>
  <c r="H482" i="1" s="1"/>
  <c r="G483" i="1"/>
  <c r="G482" i="1" s="1"/>
  <c r="F483" i="1"/>
  <c r="F482" i="1" s="1"/>
  <c r="J482" i="1"/>
  <c r="E482" i="1"/>
  <c r="D482" i="1"/>
  <c r="I479" i="1"/>
  <c r="I478" i="1"/>
  <c r="H478" i="1"/>
  <c r="I477" i="1"/>
  <c r="H477" i="1"/>
  <c r="G477" i="1"/>
  <c r="I476" i="1"/>
  <c r="H476" i="1"/>
  <c r="H475" i="1" s="1"/>
  <c r="G476" i="1"/>
  <c r="F476" i="1"/>
  <c r="F475" i="1" s="1"/>
  <c r="J475" i="1"/>
  <c r="E475" i="1"/>
  <c r="D475" i="1"/>
  <c r="I472" i="1"/>
  <c r="I471" i="1"/>
  <c r="H471" i="1"/>
  <c r="I470" i="1"/>
  <c r="H470" i="1"/>
  <c r="G470" i="1"/>
  <c r="I469" i="1"/>
  <c r="H469" i="1"/>
  <c r="G469" i="1"/>
  <c r="F469" i="1"/>
  <c r="F468" i="1" s="1"/>
  <c r="J468" i="1"/>
  <c r="G468" i="1"/>
  <c r="E468" i="1"/>
  <c r="D468" i="1"/>
  <c r="I465" i="1"/>
  <c r="I464" i="1"/>
  <c r="H464" i="1"/>
  <c r="I463" i="1"/>
  <c r="I461" i="1" s="1"/>
  <c r="H463" i="1"/>
  <c r="G463" i="1"/>
  <c r="I462" i="1"/>
  <c r="H462" i="1"/>
  <c r="G462" i="1"/>
  <c r="F462" i="1"/>
  <c r="F461" i="1" s="1"/>
  <c r="J461" i="1"/>
  <c r="H461" i="1"/>
  <c r="E461" i="1"/>
  <c r="D461" i="1"/>
  <c r="I452" i="1"/>
  <c r="I451" i="1"/>
  <c r="H451" i="1"/>
  <c r="I450" i="1"/>
  <c r="H450" i="1"/>
  <c r="G450" i="1"/>
  <c r="I449" i="1"/>
  <c r="H449" i="1"/>
  <c r="H448" i="1" s="1"/>
  <c r="G449" i="1"/>
  <c r="F449" i="1"/>
  <c r="F448" i="1" s="1"/>
  <c r="J448" i="1"/>
  <c r="E448" i="1"/>
  <c r="D448" i="1"/>
  <c r="I414" i="1"/>
  <c r="I413" i="1"/>
  <c r="H413" i="1"/>
  <c r="I412" i="1"/>
  <c r="H412" i="1"/>
  <c r="G412" i="1"/>
  <c r="I411" i="1"/>
  <c r="I410" i="1" s="1"/>
  <c r="H411" i="1"/>
  <c r="H410" i="1" s="1"/>
  <c r="G411" i="1"/>
  <c r="G410" i="1" s="1"/>
  <c r="F411" i="1"/>
  <c r="F410" i="1" s="1"/>
  <c r="J410" i="1"/>
  <c r="E410" i="1"/>
  <c r="D410" i="1"/>
  <c r="I403" i="1"/>
  <c r="I402" i="1"/>
  <c r="H402" i="1"/>
  <c r="I401" i="1"/>
  <c r="H401" i="1"/>
  <c r="G401" i="1"/>
  <c r="I400" i="1"/>
  <c r="H400" i="1"/>
  <c r="G400" i="1"/>
  <c r="G399" i="1" s="1"/>
  <c r="F400" i="1"/>
  <c r="F399" i="1" s="1"/>
  <c r="J399" i="1"/>
  <c r="E399" i="1"/>
  <c r="D399" i="1"/>
  <c r="I392" i="1"/>
  <c r="I391" i="1"/>
  <c r="H391" i="1"/>
  <c r="I390" i="1"/>
  <c r="H390" i="1"/>
  <c r="G390" i="1"/>
  <c r="I389" i="1"/>
  <c r="H389" i="1"/>
  <c r="G389" i="1"/>
  <c r="F389" i="1"/>
  <c r="F388" i="1" s="1"/>
  <c r="J388" i="1"/>
  <c r="E388" i="1"/>
  <c r="D388" i="1"/>
  <c r="I379" i="1"/>
  <c r="I378" i="1"/>
  <c r="H378" i="1"/>
  <c r="I377" i="1"/>
  <c r="H377" i="1"/>
  <c r="G377" i="1"/>
  <c r="I376" i="1"/>
  <c r="I375" i="1" s="1"/>
  <c r="H376" i="1"/>
  <c r="H375" i="1" s="1"/>
  <c r="G376" i="1"/>
  <c r="F376" i="1"/>
  <c r="F375" i="1" s="1"/>
  <c r="J375" i="1"/>
  <c r="G375" i="1"/>
  <c r="E375" i="1"/>
  <c r="D375" i="1"/>
  <c r="I372" i="1"/>
  <c r="I371" i="1"/>
  <c r="H371" i="1"/>
  <c r="I370" i="1"/>
  <c r="H370" i="1"/>
  <c r="G370" i="1"/>
  <c r="I369" i="1"/>
  <c r="H369" i="1"/>
  <c r="G369" i="1"/>
  <c r="G368" i="1" s="1"/>
  <c r="F369" i="1"/>
  <c r="F368" i="1" s="1"/>
  <c r="J368" i="1"/>
  <c r="H368" i="1"/>
  <c r="E368" i="1"/>
  <c r="D368" i="1"/>
  <c r="I359" i="1"/>
  <c r="I358" i="1"/>
  <c r="H358" i="1"/>
  <c r="I357" i="1"/>
  <c r="H357" i="1"/>
  <c r="G357" i="1"/>
  <c r="I356" i="1"/>
  <c r="H356" i="1"/>
  <c r="G356" i="1"/>
  <c r="F356" i="1"/>
  <c r="F355" i="1" s="1"/>
  <c r="J355" i="1"/>
  <c r="G355" i="1"/>
  <c r="E355" i="1"/>
  <c r="D355" i="1"/>
  <c r="I274" i="1"/>
  <c r="I273" i="1"/>
  <c r="H273" i="1"/>
  <c r="I272" i="1"/>
  <c r="H272" i="1"/>
  <c r="G272" i="1"/>
  <c r="I271" i="1"/>
  <c r="H271" i="1"/>
  <c r="G271" i="1"/>
  <c r="G270" i="1" s="1"/>
  <c r="F271" i="1"/>
  <c r="F270" i="1" s="1"/>
  <c r="J270" i="1"/>
  <c r="E270" i="1"/>
  <c r="D270" i="1"/>
  <c r="I236" i="1"/>
  <c r="I235" i="1"/>
  <c r="H235" i="1"/>
  <c r="I234" i="1"/>
  <c r="H234" i="1"/>
  <c r="G234" i="1"/>
  <c r="I233" i="1"/>
  <c r="H233" i="1"/>
  <c r="G233" i="1"/>
  <c r="F233" i="1"/>
  <c r="F232" i="1" s="1"/>
  <c r="J232" i="1"/>
  <c r="G232" i="1"/>
  <c r="E232" i="1"/>
  <c r="D232" i="1"/>
  <c r="I221" i="1"/>
  <c r="I220" i="1"/>
  <c r="H220" i="1"/>
  <c r="I219" i="1"/>
  <c r="H219" i="1"/>
  <c r="G219" i="1"/>
  <c r="I218" i="1"/>
  <c r="H218" i="1"/>
  <c r="H217" i="1" s="1"/>
  <c r="G218" i="1"/>
  <c r="F218" i="1"/>
  <c r="F217" i="1" s="1"/>
  <c r="J217" i="1"/>
  <c r="E217" i="1"/>
  <c r="D217" i="1"/>
  <c r="I210" i="1"/>
  <c r="I209" i="1"/>
  <c r="H209" i="1"/>
  <c r="I208" i="1"/>
  <c r="H208" i="1"/>
  <c r="G208" i="1"/>
  <c r="I207" i="1"/>
  <c r="I206" i="1" s="1"/>
  <c r="H207" i="1"/>
  <c r="H206" i="1" s="1"/>
  <c r="G207" i="1"/>
  <c r="F207" i="1"/>
  <c r="F206" i="1" s="1"/>
  <c r="J206" i="1"/>
  <c r="G206" i="1"/>
  <c r="E206" i="1"/>
  <c r="D206" i="1"/>
  <c r="I203" i="1"/>
  <c r="I202" i="1"/>
  <c r="H202" i="1"/>
  <c r="I201" i="1"/>
  <c r="H201" i="1"/>
  <c r="G201" i="1"/>
  <c r="I200" i="1"/>
  <c r="H200" i="1"/>
  <c r="G200" i="1"/>
  <c r="G199" i="1" s="1"/>
  <c r="F200" i="1"/>
  <c r="F199" i="1" s="1"/>
  <c r="J199" i="1"/>
  <c r="E199" i="1"/>
  <c r="D199" i="1"/>
  <c r="I188" i="1"/>
  <c r="I187" i="1"/>
  <c r="H187" i="1"/>
  <c r="I186" i="1"/>
  <c r="H186" i="1"/>
  <c r="G186" i="1"/>
  <c r="I185" i="1"/>
  <c r="H185" i="1"/>
  <c r="G185" i="1"/>
  <c r="F185" i="1"/>
  <c r="F184" i="1" s="1"/>
  <c r="J184" i="1"/>
  <c r="G184" i="1"/>
  <c r="E184" i="1"/>
  <c r="D184" i="1"/>
  <c r="I175" i="1"/>
  <c r="I174" i="1"/>
  <c r="H174" i="1"/>
  <c r="I173" i="1"/>
  <c r="H173" i="1"/>
  <c r="G173" i="1"/>
  <c r="I172" i="1"/>
  <c r="I171" i="1" s="1"/>
  <c r="H172" i="1"/>
  <c r="H171" i="1" s="1"/>
  <c r="G172" i="1"/>
  <c r="F172" i="1"/>
  <c r="F171" i="1" s="1"/>
  <c r="J171" i="1"/>
  <c r="E171" i="1"/>
  <c r="D171" i="1"/>
  <c r="I139" i="1"/>
  <c r="I138" i="1"/>
  <c r="H138" i="1"/>
  <c r="I137" i="1"/>
  <c r="H137" i="1"/>
  <c r="G137" i="1"/>
  <c r="I136" i="1"/>
  <c r="H136" i="1"/>
  <c r="H135" i="1" s="1"/>
  <c r="G136" i="1"/>
  <c r="G135" i="1" s="1"/>
  <c r="F136" i="1"/>
  <c r="F135" i="1" s="1"/>
  <c r="J135" i="1"/>
  <c r="E135" i="1"/>
  <c r="D135" i="1"/>
  <c r="I128" i="1"/>
  <c r="I127" i="1"/>
  <c r="H127" i="1"/>
  <c r="I126" i="1"/>
  <c r="H126" i="1"/>
  <c r="G126" i="1"/>
  <c r="I125" i="1"/>
  <c r="H125" i="1"/>
  <c r="G125" i="1"/>
  <c r="F125" i="1"/>
  <c r="F124" i="1" s="1"/>
  <c r="J124" i="1"/>
  <c r="E124" i="1"/>
  <c r="D124" i="1"/>
  <c r="I119" i="1"/>
  <c r="I118" i="1"/>
  <c r="H118" i="1"/>
  <c r="I117" i="1"/>
  <c r="H117" i="1"/>
  <c r="G117" i="1"/>
  <c r="I116" i="1"/>
  <c r="H116" i="1"/>
  <c r="G116" i="1"/>
  <c r="F116" i="1"/>
  <c r="F115" i="1" s="1"/>
  <c r="J115" i="1"/>
  <c r="E115" i="1"/>
  <c r="D115" i="1"/>
  <c r="I104" i="1"/>
  <c r="I103" i="1"/>
  <c r="H103" i="1"/>
  <c r="I102" i="1"/>
  <c r="H102" i="1"/>
  <c r="G102" i="1"/>
  <c r="I101" i="1"/>
  <c r="H101" i="1"/>
  <c r="H100" i="1" s="1"/>
  <c r="G101" i="1"/>
  <c r="G100" i="1" s="1"/>
  <c r="F101" i="1"/>
  <c r="F100" i="1" s="1"/>
  <c r="J100" i="1"/>
  <c r="E100" i="1"/>
  <c r="D100" i="1"/>
  <c r="I97" i="1"/>
  <c r="I96" i="1"/>
  <c r="H96" i="1"/>
  <c r="I95" i="1"/>
  <c r="H95" i="1"/>
  <c r="G95" i="1"/>
  <c r="G93" i="1" s="1"/>
  <c r="I94" i="1"/>
  <c r="H94" i="1"/>
  <c r="G94" i="1"/>
  <c r="F94" i="1"/>
  <c r="F93" i="1" s="1"/>
  <c r="J93" i="1"/>
  <c r="E93" i="1"/>
  <c r="D93" i="1"/>
  <c r="I90" i="1"/>
  <c r="I89" i="1"/>
  <c r="H89" i="1"/>
  <c r="I88" i="1"/>
  <c r="H88" i="1"/>
  <c r="G88" i="1"/>
  <c r="G86" i="1" s="1"/>
  <c r="I87" i="1"/>
  <c r="H87" i="1"/>
  <c r="G87" i="1"/>
  <c r="F87" i="1"/>
  <c r="F86" i="1" s="1"/>
  <c r="J86" i="1"/>
  <c r="E86" i="1"/>
  <c r="D86" i="1"/>
  <c r="I58" i="1"/>
  <c r="I57" i="1"/>
  <c r="H57" i="1"/>
  <c r="I56" i="1"/>
  <c r="H56" i="1"/>
  <c r="G56" i="1"/>
  <c r="I55" i="1"/>
  <c r="H55" i="1"/>
  <c r="G55" i="1"/>
  <c r="G54" i="1" s="1"/>
  <c r="F55" i="1"/>
  <c r="F54" i="1" s="1"/>
  <c r="J54" i="1"/>
  <c r="E54" i="1"/>
  <c r="D54" i="1"/>
  <c r="I51" i="1"/>
  <c r="I50" i="1"/>
  <c r="H50" i="1"/>
  <c r="I49" i="1"/>
  <c r="I47" i="1" s="1"/>
  <c r="H49" i="1"/>
  <c r="G49" i="1"/>
  <c r="I48" i="1"/>
  <c r="H48" i="1"/>
  <c r="G48" i="1"/>
  <c r="F48" i="1"/>
  <c r="F47" i="1" s="1"/>
  <c r="J47" i="1"/>
  <c r="G47" i="1"/>
  <c r="E47" i="1"/>
  <c r="D47" i="1"/>
  <c r="B546" i="1" a="1"/>
  <c r="B538" i="1" a="1"/>
  <c r="B525" i="1" a="1"/>
  <c r="B483" i="1" a="1"/>
  <c r="B478" i="1" a="1"/>
  <c r="B461" i="1" a="1"/>
  <c r="B451" i="1" a="1"/>
  <c r="B403" i="1" a="1"/>
  <c r="B376" i="1" a="1"/>
  <c r="B370" i="1" a="1"/>
  <c r="B234" i="1" a="1"/>
  <c r="B210" i="1" a="1"/>
  <c r="B202" i="1" a="1"/>
  <c r="B175" i="1" a="1"/>
  <c r="B125" i="1" a="1"/>
  <c r="B117" i="1" a="1"/>
  <c r="B93" i="1" a="1"/>
  <c r="B89" i="1" a="1"/>
  <c r="B51" i="1" a="1"/>
  <c r="B542" i="1" a="1"/>
  <c r="B532" i="1" a="1"/>
  <c r="B486" i="1" a="1"/>
  <c r="B476" i="1" a="1"/>
  <c r="B411" i="1" a="1"/>
  <c r="B379" i="1" a="1"/>
  <c r="B235" i="1" a="1"/>
  <c r="B185" i="1" a="1"/>
  <c r="B128" i="1" a="1"/>
  <c r="B95" i="1" a="1"/>
  <c r="B49" i="1" a="1"/>
  <c r="B136" i="1" a="1"/>
  <c r="B475" i="1" a="1"/>
  <c r="B137" i="1" a="1"/>
  <c r="B477" i="1" a="1"/>
  <c r="B171" i="1" a="1"/>
  <c r="B523" i="1" a="1"/>
  <c r="B465" i="1" a="1"/>
  <c r="B401" i="1" a="1"/>
  <c r="B371" i="1" a="1"/>
  <c r="B206" i="1" a="1"/>
  <c r="B173" i="1" a="1"/>
  <c r="B118" i="1" a="1"/>
  <c r="B55" i="1" a="1"/>
  <c r="B101" i="1" a="1"/>
  <c r="B535" i="1" a="1"/>
  <c r="B391" i="1" a="1"/>
  <c r="B115" i="1" a="1"/>
  <c r="B521" i="1" a="1"/>
  <c r="B450" i="1" a="1"/>
  <c r="B97" i="1" a="1"/>
  <c r="B544" i="1" a="1"/>
  <c r="B529" i="1" a="1"/>
  <c r="B524" i="1" a="1"/>
  <c r="B482" i="1" a="1"/>
  <c r="B469" i="1" a="1"/>
  <c r="B463" i="1" a="1"/>
  <c r="B414" i="1" a="1"/>
  <c r="B402" i="1" a="1"/>
  <c r="B375" i="1" a="1"/>
  <c r="B356" i="1" a="1"/>
  <c r="B218" i="1" a="1"/>
  <c r="B208" i="1" a="1"/>
  <c r="B188" i="1" a="1"/>
  <c r="B174" i="1" a="1"/>
  <c r="B124" i="1" a="1"/>
  <c r="B100" i="1" a="1"/>
  <c r="B94" i="1" a="1"/>
  <c r="B54" i="1" a="1"/>
  <c r="B50" i="1" a="1"/>
  <c r="B545" i="1" a="1"/>
  <c r="B528" i="1" a="1"/>
  <c r="B493" i="1" a="1"/>
  <c r="B484" i="1" a="1"/>
  <c r="B468" i="1" a="1"/>
  <c r="B464" i="1" a="1"/>
  <c r="B392" i="1" a="1"/>
  <c r="B377" i="1" a="1"/>
  <c r="B355" i="1" a="1"/>
  <c r="B217" i="1" a="1"/>
  <c r="B184" i="1" a="1"/>
  <c r="B126" i="1" a="1"/>
  <c r="B58" i="1" a="1"/>
  <c r="B492" i="1" a="1"/>
  <c r="B368" i="1" a="1"/>
  <c r="B172" i="1" a="1"/>
  <c r="B389" i="1" a="1"/>
  <c r="B138" i="1" a="1"/>
  <c r="B410" i="1" a="1"/>
  <c r="B209" i="1" a="1"/>
  <c r="B96" i="1" a="1"/>
  <c r="B471" i="1" a="1"/>
  <c r="B236" i="1" a="1"/>
  <c r="B88" i="1" a="1"/>
  <c r="B232" i="1" a="1"/>
  <c r="B536" i="1" a="1"/>
  <c r="B530" i="1" a="1"/>
  <c r="B489" i="1" a="1"/>
  <c r="B485" i="1" a="1"/>
  <c r="B472" i="1" a="1"/>
  <c r="B449" i="1" a="1"/>
  <c r="B412" i="1" a="1"/>
  <c r="B388" i="1" a="1"/>
  <c r="B378" i="1" a="1"/>
  <c r="B359" i="1" a="1"/>
  <c r="B221" i="1" a="1"/>
  <c r="B200" i="1" a="1"/>
  <c r="B186" i="1" a="1"/>
  <c r="B135" i="1" a="1"/>
  <c r="B127" i="1" a="1"/>
  <c r="B104" i="1" a="1"/>
  <c r="B90" i="1" a="1"/>
  <c r="B56" i="1" a="1"/>
  <c r="B522" i="1" a="1"/>
  <c r="B400" i="1" a="1"/>
  <c r="B220" i="1" a="1"/>
  <c r="B103" i="1" a="1"/>
  <c r="B543" i="1" a="1"/>
  <c r="B462" i="1" a="1"/>
  <c r="B201" i="1" a="1"/>
  <c r="B87" i="1" a="1"/>
  <c r="B539" i="1" a="1"/>
  <c r="B531" i="1" a="1"/>
  <c r="B491" i="1" a="1"/>
  <c r="B479" i="1" a="1"/>
  <c r="B470" i="1" a="1"/>
  <c r="B452" i="1" a="1"/>
  <c r="B413" i="1" a="1"/>
  <c r="B390" i="1" a="1"/>
  <c r="B369" i="1" a="1"/>
  <c r="B357" i="1" a="1"/>
  <c r="B233" i="1" a="1"/>
  <c r="B219" i="1" a="1"/>
  <c r="B199" i="1" a="1"/>
  <c r="B187" i="1" a="1"/>
  <c r="B139" i="1" a="1"/>
  <c r="B116" i="1" a="1"/>
  <c r="B102" i="1" a="1"/>
  <c r="B86" i="1" a="1"/>
  <c r="B57" i="1" a="1"/>
  <c r="B448" i="1" a="1"/>
  <c r="B358" i="1" a="1"/>
  <c r="B203" i="1" a="1"/>
  <c r="B48" i="1" a="1"/>
  <c r="B399" i="1" a="1"/>
  <c r="B207" i="1" a="1"/>
  <c r="B490" i="1" a="1"/>
  <c r="B47" i="1" a="1"/>
  <c r="B537" i="1" a="1"/>
  <c r="B372" i="1" a="1"/>
  <c r="B119" i="1" a="1"/>
  <c r="B36" i="1" a="1"/>
  <c r="B319" i="1" a="1"/>
  <c r="B312" i="1" a="1"/>
  <c r="B303" i="1" a="1"/>
  <c r="B292" i="1" a="1"/>
  <c r="B281" i="1" a="1"/>
  <c r="B270" i="1" a="1"/>
  <c r="B36" i="1" l="1"/>
  <c r="B37" i="1" s="1"/>
  <c r="B38" i="1" s="1"/>
  <c r="B39" i="1" s="1"/>
  <c r="B40" i="1" s="1"/>
  <c r="B319" i="1"/>
  <c r="B320" i="1" s="1"/>
  <c r="B321" i="1" s="1"/>
  <c r="B322" i="1" s="1"/>
  <c r="B323" i="1" s="1"/>
  <c r="B312" i="1"/>
  <c r="B313" i="1" s="1"/>
  <c r="B314" i="1" s="1"/>
  <c r="B315" i="1" s="1"/>
  <c r="B316" i="1" s="1"/>
  <c r="B303" i="1"/>
  <c r="B304" i="1" s="1"/>
  <c r="B305" i="1" s="1"/>
  <c r="B306" i="1" s="1"/>
  <c r="B307" i="1" s="1"/>
  <c r="B292" i="1"/>
  <c r="B293" i="1" s="1"/>
  <c r="B294" i="1" s="1"/>
  <c r="B295" i="1" s="1"/>
  <c r="B296" i="1" s="1"/>
  <c r="B281" i="1"/>
  <c r="B282" i="1" s="1"/>
  <c r="B283" i="1" s="1"/>
  <c r="B284" i="1" s="1"/>
  <c r="B285" i="1" s="1"/>
  <c r="B270" i="1"/>
  <c r="I475" i="1"/>
  <c r="I521" i="1"/>
  <c r="H542" i="1"/>
  <c r="I54" i="1"/>
  <c r="I86" i="1"/>
  <c r="I100" i="1"/>
  <c r="I115" i="1"/>
  <c r="G124" i="1"/>
  <c r="I135" i="1"/>
  <c r="I217" i="1"/>
  <c r="H270" i="1"/>
  <c r="H399" i="1"/>
  <c r="H468" i="1"/>
  <c r="G475" i="1"/>
  <c r="I528" i="1"/>
  <c r="I542" i="1"/>
  <c r="H124" i="1"/>
  <c r="G461" i="1"/>
  <c r="I468" i="1"/>
  <c r="H489" i="1"/>
  <c r="H521" i="1"/>
  <c r="G542" i="1"/>
  <c r="H232" i="1"/>
  <c r="H355" i="1"/>
  <c r="H47" i="1"/>
  <c r="I93" i="1"/>
  <c r="G115" i="1"/>
  <c r="H184" i="1"/>
  <c r="H199" i="1"/>
  <c r="G217" i="1"/>
  <c r="I232" i="1"/>
  <c r="I355" i="1"/>
  <c r="H388" i="1"/>
  <c r="G448" i="1"/>
  <c r="G489" i="1"/>
  <c r="G528" i="1"/>
  <c r="H54" i="1"/>
  <c r="H93" i="1"/>
  <c r="H115" i="1"/>
  <c r="G171" i="1"/>
  <c r="I184" i="1"/>
  <c r="I199" i="1"/>
  <c r="I270" i="1"/>
  <c r="I368" i="1"/>
  <c r="I388" i="1"/>
  <c r="I399" i="1"/>
  <c r="H86" i="1"/>
  <c r="I124" i="1"/>
  <c r="G388" i="1"/>
  <c r="I448" i="1"/>
  <c r="I482" i="1"/>
  <c r="B545" i="1"/>
  <c r="B544" i="1"/>
  <c r="B542" i="1"/>
  <c r="B546" i="1"/>
  <c r="B543" i="1"/>
  <c r="B538" i="1"/>
  <c r="B537" i="1"/>
  <c r="B535" i="1"/>
  <c r="B539" i="1"/>
  <c r="B536" i="1"/>
  <c r="B531" i="1"/>
  <c r="B530" i="1"/>
  <c r="B528" i="1"/>
  <c r="B529" i="1"/>
  <c r="B532" i="1"/>
  <c r="B524" i="1"/>
  <c r="B523" i="1"/>
  <c r="B525" i="1"/>
  <c r="B521" i="1"/>
  <c r="B522" i="1"/>
  <c r="B490" i="1"/>
  <c r="B492" i="1"/>
  <c r="B491" i="1"/>
  <c r="B489" i="1"/>
  <c r="B493" i="1"/>
  <c r="B485" i="1"/>
  <c r="B484" i="1"/>
  <c r="B482" i="1"/>
  <c r="B486" i="1"/>
  <c r="B483" i="1"/>
  <c r="B476" i="1"/>
  <c r="B478" i="1"/>
  <c r="B477" i="1"/>
  <c r="B475" i="1"/>
  <c r="B479" i="1"/>
  <c r="B471" i="1"/>
  <c r="B470" i="1"/>
  <c r="B472" i="1"/>
  <c r="B468" i="1"/>
  <c r="B469" i="1"/>
  <c r="B464" i="1"/>
  <c r="B463" i="1"/>
  <c r="B465" i="1"/>
  <c r="B461" i="1"/>
  <c r="B462" i="1"/>
  <c r="B451" i="1"/>
  <c r="B450" i="1"/>
  <c r="B448" i="1"/>
  <c r="B452" i="1"/>
  <c r="B449" i="1"/>
  <c r="B413" i="1"/>
  <c r="B412" i="1"/>
  <c r="B410" i="1"/>
  <c r="B414" i="1"/>
  <c r="B411" i="1"/>
  <c r="B402" i="1"/>
  <c r="B401" i="1"/>
  <c r="B403" i="1"/>
  <c r="B399" i="1"/>
  <c r="B400" i="1"/>
  <c r="B389" i="1"/>
  <c r="B391" i="1"/>
  <c r="B390" i="1"/>
  <c r="B388" i="1"/>
  <c r="B392" i="1"/>
  <c r="B378" i="1"/>
  <c r="B377" i="1"/>
  <c r="B375" i="1"/>
  <c r="B379" i="1"/>
  <c r="B376" i="1"/>
  <c r="B371" i="1"/>
  <c r="B370" i="1"/>
  <c r="B372" i="1"/>
  <c r="B368" i="1"/>
  <c r="B369" i="1"/>
  <c r="B358" i="1"/>
  <c r="B357" i="1"/>
  <c r="B359" i="1"/>
  <c r="B355" i="1"/>
  <c r="B356" i="1"/>
  <c r="B235" i="1"/>
  <c r="B234" i="1"/>
  <c r="B232" i="1"/>
  <c r="B236" i="1"/>
  <c r="B233" i="1"/>
  <c r="B220" i="1"/>
  <c r="B219" i="1"/>
  <c r="B221" i="1"/>
  <c r="B217" i="1"/>
  <c r="B218" i="1"/>
  <c r="B209" i="1"/>
  <c r="B208" i="1"/>
  <c r="B206" i="1"/>
  <c r="B210" i="1"/>
  <c r="B207" i="1"/>
  <c r="B202" i="1"/>
  <c r="B201" i="1"/>
  <c r="B203" i="1"/>
  <c r="B199" i="1"/>
  <c r="B200" i="1"/>
  <c r="B187" i="1"/>
  <c r="B186" i="1"/>
  <c r="B184" i="1"/>
  <c r="B188" i="1"/>
  <c r="B185" i="1"/>
  <c r="B174" i="1"/>
  <c r="B173" i="1"/>
  <c r="B175" i="1"/>
  <c r="B171" i="1"/>
  <c r="B172" i="1"/>
  <c r="B138" i="1"/>
  <c r="B137" i="1"/>
  <c r="B139" i="1"/>
  <c r="B135" i="1"/>
  <c r="B136" i="1"/>
  <c r="B127" i="1"/>
  <c r="B126" i="1"/>
  <c r="B124" i="1"/>
  <c r="B128" i="1"/>
  <c r="B125" i="1"/>
  <c r="B118" i="1"/>
  <c r="B117" i="1"/>
  <c r="B119" i="1"/>
  <c r="B115" i="1"/>
  <c r="B116" i="1"/>
  <c r="B103" i="1"/>
  <c r="B102" i="1"/>
  <c r="B104" i="1"/>
  <c r="B101" i="1"/>
  <c r="B100" i="1"/>
  <c r="B96" i="1"/>
  <c r="B94" i="1"/>
  <c r="B95" i="1"/>
  <c r="B93" i="1"/>
  <c r="B97" i="1"/>
  <c r="B89" i="1"/>
  <c r="B87" i="1"/>
  <c r="B88" i="1"/>
  <c r="B86" i="1"/>
  <c r="B90" i="1"/>
  <c r="B57" i="1"/>
  <c r="B56" i="1"/>
  <c r="B58" i="1"/>
  <c r="B54" i="1"/>
  <c r="B55" i="1"/>
  <c r="B50" i="1"/>
  <c r="B49" i="1"/>
  <c r="B51" i="1"/>
  <c r="B47" i="1"/>
  <c r="B48" i="1"/>
  <c r="A1" i="2" a="1"/>
  <c r="B34" i="2" l="1"/>
  <c r="B11" i="2"/>
  <c r="B19" i="2"/>
  <c r="B27" i="2"/>
  <c r="B35" i="2"/>
  <c r="B4" i="2"/>
  <c r="B12" i="2"/>
  <c r="B20" i="2"/>
  <c r="B28" i="2"/>
  <c r="B36" i="2"/>
  <c r="B5" i="2"/>
  <c r="B13" i="2"/>
  <c r="B21" i="2"/>
  <c r="B29" i="2"/>
  <c r="B37" i="2"/>
  <c r="B16" i="2"/>
  <c r="B6" i="2"/>
  <c r="B14" i="2"/>
  <c r="B22" i="2"/>
  <c r="B30" i="2"/>
  <c r="B38" i="2"/>
  <c r="B32" i="2"/>
  <c r="B7" i="2"/>
  <c r="B15" i="2"/>
  <c r="B23" i="2"/>
  <c r="B31" i="2"/>
  <c r="B3" i="2"/>
  <c r="B8" i="2"/>
  <c r="B24" i="2"/>
  <c r="B2" i="2"/>
  <c r="B9" i="2"/>
  <c r="B17" i="2"/>
  <c r="B25" i="2"/>
  <c r="B33" i="2"/>
  <c r="B10" i="2"/>
  <c r="B18" i="2"/>
  <c r="B26" i="2"/>
  <c r="C31" i="2"/>
  <c r="C32" i="2"/>
  <c r="C33" i="2"/>
  <c r="C34" i="2"/>
  <c r="C35" i="2"/>
  <c r="C36" i="2"/>
  <c r="C37" i="2"/>
  <c r="C38" i="2"/>
  <c r="D31" i="2"/>
  <c r="D32" i="2"/>
  <c r="D33" i="2"/>
  <c r="D34" i="2"/>
  <c r="D35" i="2"/>
  <c r="D36" i="2"/>
  <c r="D37" i="2"/>
  <c r="D38" i="2"/>
  <c r="E31" i="2"/>
  <c r="E32" i="2"/>
  <c r="E33" i="2"/>
  <c r="E34" i="2"/>
  <c r="E35" i="2"/>
  <c r="E36" i="2"/>
  <c r="E37" i="2"/>
  <c r="E38" i="2"/>
  <c r="F31" i="2"/>
  <c r="F32" i="2"/>
  <c r="F33" i="2"/>
  <c r="F34" i="2"/>
  <c r="F35" i="2"/>
  <c r="F36" i="2"/>
  <c r="F37" i="2"/>
  <c r="F38" i="2"/>
  <c r="G31" i="2"/>
  <c r="G32" i="2"/>
  <c r="G33" i="2"/>
  <c r="G34" i="2"/>
  <c r="G35" i="2"/>
  <c r="G36" i="2"/>
  <c r="G37" i="2"/>
  <c r="G38" i="2"/>
  <c r="H31" i="2"/>
  <c r="H32" i="2"/>
  <c r="H33" i="2"/>
  <c r="H34" i="2"/>
  <c r="H35" i="2"/>
  <c r="H36" i="2"/>
  <c r="H37" i="2"/>
  <c r="H38" i="2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A1" i="2"/>
  <c r="I9" i="2"/>
  <c r="D26" i="2"/>
  <c r="G7" i="2"/>
  <c r="I15" i="2"/>
  <c r="D25" i="2"/>
  <c r="G6" i="2"/>
  <c r="I14" i="2"/>
  <c r="G29" i="2"/>
  <c r="C4" i="2"/>
  <c r="G12" i="2"/>
  <c r="I20" i="2"/>
  <c r="D30" i="2"/>
  <c r="F3" i="2"/>
  <c r="G11" i="2"/>
  <c r="I19" i="2"/>
  <c r="F17" i="2"/>
  <c r="I13" i="2"/>
  <c r="D21" i="2"/>
  <c r="F30" i="2"/>
  <c r="I10" i="2"/>
  <c r="D12" i="2"/>
  <c r="F21" i="2"/>
  <c r="H29" i="2"/>
  <c r="E2" i="2"/>
  <c r="D11" i="2"/>
  <c r="F20" i="2"/>
  <c r="H28" i="2"/>
  <c r="D2" i="2"/>
  <c r="D18" i="2"/>
  <c r="F27" i="2"/>
  <c r="I7" i="2"/>
  <c r="D17" i="2"/>
  <c r="F26" i="2"/>
  <c r="I6" i="2"/>
  <c r="D23" i="2"/>
  <c r="G4" i="2"/>
  <c r="I12" i="2"/>
  <c r="G13" i="2"/>
  <c r="D22" i="2"/>
  <c r="H3" i="2"/>
  <c r="I11" i="2"/>
  <c r="F9" i="2"/>
  <c r="I5" i="2"/>
  <c r="D13" i="2"/>
  <c r="F22" i="2"/>
  <c r="H30" i="2"/>
  <c r="D4" i="2"/>
  <c r="F13" i="2"/>
  <c r="H21" i="2"/>
  <c r="D3" i="2"/>
  <c r="F12" i="2"/>
  <c r="H20" i="2"/>
  <c r="H12" i="2"/>
  <c r="C3" i="2"/>
  <c r="H19" i="2"/>
  <c r="H18" i="2"/>
  <c r="F16" i="2"/>
  <c r="E20" i="2"/>
  <c r="F15" i="2"/>
  <c r="E12" i="2"/>
  <c r="H14" i="2"/>
  <c r="C25" i="2"/>
  <c r="H5" i="2"/>
  <c r="C24" i="2"/>
  <c r="H4" i="2"/>
  <c r="E4" i="2"/>
  <c r="H25" i="2"/>
  <c r="I18" i="2"/>
  <c r="D10" i="2"/>
  <c r="F19" i="2"/>
  <c r="H27" i="2"/>
  <c r="D9" i="2"/>
  <c r="F18" i="2"/>
  <c r="H26" i="2"/>
  <c r="I29" i="2"/>
  <c r="D15" i="2"/>
  <c r="F24" i="2"/>
  <c r="I4" i="2"/>
  <c r="H9" i="2"/>
  <c r="D14" i="2"/>
  <c r="F23" i="2"/>
  <c r="G21" i="2"/>
  <c r="D5" i="2"/>
  <c r="F14" i="2"/>
  <c r="H22" i="2"/>
  <c r="E24" i="2"/>
  <c r="F5" i="2"/>
  <c r="H13" i="2"/>
  <c r="E23" i="2"/>
  <c r="F4" i="2"/>
  <c r="E30" i="2"/>
  <c r="F11" i="2"/>
  <c r="E29" i="2"/>
  <c r="F10" i="2"/>
  <c r="E28" i="2"/>
  <c r="D7" i="2"/>
  <c r="H24" i="2"/>
  <c r="D6" i="2"/>
  <c r="H23" i="2"/>
  <c r="G5" i="2"/>
  <c r="F6" i="2"/>
  <c r="E16" i="2"/>
  <c r="E15" i="2"/>
  <c r="E22" i="2"/>
  <c r="H11" i="2"/>
  <c r="C30" i="2"/>
  <c r="H10" i="2"/>
  <c r="E27" i="2"/>
  <c r="F8" i="2"/>
  <c r="E26" i="2"/>
  <c r="F7" i="2"/>
  <c r="D24" i="2"/>
  <c r="E17" i="2"/>
  <c r="H6" i="2"/>
  <c r="C17" i="2"/>
  <c r="E7" i="2"/>
  <c r="G24" i="2"/>
  <c r="I28" i="2"/>
  <c r="C11" i="2"/>
  <c r="C5" i="2"/>
  <c r="G10" i="2"/>
  <c r="I8" i="2"/>
  <c r="E25" i="2"/>
  <c r="E21" i="2"/>
  <c r="H15" i="2"/>
  <c r="C26" i="2"/>
  <c r="G25" i="2"/>
  <c r="C16" i="2"/>
  <c r="G3" i="2"/>
  <c r="H16" i="2"/>
  <c r="E8" i="2"/>
  <c r="C7" i="2"/>
  <c r="I23" i="2"/>
  <c r="C6" i="2"/>
  <c r="I22" i="2"/>
  <c r="E3" i="2"/>
  <c r="G20" i="2"/>
  <c r="I27" i="2"/>
  <c r="I21" i="2"/>
  <c r="D20" i="2"/>
  <c r="D19" i="2"/>
  <c r="F28" i="2"/>
  <c r="E14" i="2"/>
  <c r="C23" i="2"/>
  <c r="I3" i="2"/>
  <c r="E13" i="2"/>
  <c r="C22" i="2"/>
  <c r="G30" i="2"/>
  <c r="D16" i="2"/>
  <c r="E19" i="2"/>
  <c r="C28" i="2"/>
  <c r="H8" i="2"/>
  <c r="D8" i="2"/>
  <c r="E18" i="2"/>
  <c r="C27" i="2"/>
  <c r="H7" i="2"/>
  <c r="H17" i="2"/>
  <c r="E9" i="2"/>
  <c r="C18" i="2"/>
  <c r="G26" i="2"/>
  <c r="C9" i="2"/>
  <c r="G17" i="2"/>
  <c r="I25" i="2"/>
  <c r="C8" i="2"/>
  <c r="G16" i="2"/>
  <c r="I24" i="2"/>
  <c r="G28" i="2"/>
  <c r="C21" i="2"/>
  <c r="I26" i="2"/>
  <c r="G9" i="2"/>
  <c r="D27" i="2"/>
  <c r="I16" i="2"/>
  <c r="F29" i="2"/>
  <c r="D29" i="2"/>
  <c r="G19" i="2"/>
  <c r="F25" i="2"/>
  <c r="C12" i="2"/>
  <c r="G14" i="2"/>
  <c r="G15" i="2"/>
  <c r="G8" i="2"/>
  <c r="I17" i="2"/>
  <c r="D28" i="2"/>
  <c r="G18" i="2"/>
  <c r="C10" i="2"/>
  <c r="G27" i="2"/>
  <c r="C19" i="2"/>
  <c r="E10" i="2"/>
  <c r="C13" i="2"/>
  <c r="C20" i="2"/>
  <c r="E11" i="2"/>
  <c r="C29" i="2"/>
  <c r="I30" i="2"/>
  <c r="G22" i="2"/>
  <c r="C14" i="2"/>
  <c r="E5" i="2"/>
  <c r="G23" i="2"/>
  <c r="C15" i="2"/>
  <c r="E6" i="2"/>
  <c r="J5" i="2" l="1"/>
  <c r="J4" i="2"/>
  <c r="J7" i="2"/>
  <c r="J21" i="2"/>
  <c r="J19" i="2"/>
  <c r="J30" i="2"/>
  <c r="J22" i="2"/>
  <c r="J3" i="2"/>
  <c r="J20" i="2"/>
  <c r="J10" i="2"/>
  <c r="J12" i="2"/>
  <c r="J11" i="2"/>
  <c r="J17" i="2"/>
  <c r="J23" i="2"/>
  <c r="J15" i="2"/>
  <c r="J28" i="2"/>
  <c r="J16" i="2"/>
  <c r="J24" i="2"/>
  <c r="J6" i="2"/>
  <c r="J29" i="2"/>
  <c r="J13" i="2"/>
  <c r="J25" i="2"/>
  <c r="J14" i="2"/>
  <c r="J26" i="2"/>
  <c r="J27" i="2"/>
  <c r="J8" i="2"/>
  <c r="J18" i="2"/>
  <c r="J9" i="2"/>
  <c r="F2" i="2"/>
  <c r="H2" i="2"/>
  <c r="C2" i="2"/>
  <c r="I2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<sst xmlns="http://schemas.openxmlformats.org/spreadsheetml/2006/main" count="661" uniqueCount="221">
  <si>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</si>
  <si>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</si>
  <si>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</si>
  <si>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</si>
  <si>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</si>
  <si>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</si>
  <si>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</si>
  <si>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</si>
  <si>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</si>
  <si>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</si>
  <si>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</si>
  <si>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</si>
  <si>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</si>
  <si>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</si>
  <si>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</si>
  <si>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</si>
  <si>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</si>
  <si>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</si>
  <si>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</si>
  <si>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</si>
  <si>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</si>
  <si>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</si>
  <si>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</si>
  <si>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</si>
  <si>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</si>
  <si>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</si>
  <si>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</si>
  <si>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</si>
  <si>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</si>
  <si>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</si>
  <si>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</si>
  <si>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61/XL</t>
  </si>
  <si>
    <t>55/S</t>
  </si>
  <si>
    <t>57/M</t>
  </si>
  <si>
    <t>63/XXL</t>
  </si>
  <si>
    <t>Country of manufacture: China --- Customs tariff code: 65050030 --- Net weight: 0,10 kg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</si>
  <si>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</si>
  <si>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</si>
  <si>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</si>
  <si>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</si>
  <si>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</si>
  <si>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</si>
  <si>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</si>
  <si>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</si>
  <si>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</si>
  <si>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</si>
  <si>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</si>
  <si>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</si>
  <si>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</si>
  <si>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</si>
  <si>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Cust. no. invoice rec.: 935224 Page 2 of 8</t>
  </si>
  <si>
    <t>Line value 1.713,50 EUR</t>
  </si>
  <si>
    <t>Cust. no. invoice rec.: 935224 Page 3 of 8</t>
  </si>
  <si>
    <t>Recommended Retail Price = 39,00 EUR Total line value 834,40 EUR</t>
  </si>
  <si>
    <t>Line value 1.937,00 EUR</t>
  </si>
  <si>
    <t>Cust. no. invoice rec.: 935224 Page 4 of 8</t>
  </si>
  <si>
    <t>Line value 298,00 EUR</t>
  </si>
  <si>
    <t>Recommended Retail Price = 39,00 EUR Total line value 238,40 EUR</t>
  </si>
  <si>
    <t>Cust. no. invoice rec.: 935224 Page 5 of 8</t>
  </si>
  <si>
    <t>Line value 1.341,00 EUR</t>
  </si>
  <si>
    <t>Cust. no. invoice rec.: 935224 Page 6 of 8</t>
  </si>
  <si>
    <t>Recommended Retail Price = 39,00 EUR Total line value 298,00 EUR</t>
  </si>
  <si>
    <t>Baseball Cap Cotton Per Pc(s)</t>
  </si>
  <si>
    <t>Line value 149,00 EUR</t>
  </si>
  <si>
    <t>Texas Cotton Per Pc(s)</t>
  </si>
  <si>
    <t>Country of manufacture: China --- Customs tariff code: 65050030 --- Net weight: 0,11 kg</t>
  </si>
  <si>
    <t>Army Cap Cotton Per Pc(s)</t>
  </si>
  <si>
    <t>Country of manufacture: China --- Customs tariff code: 65050030 --- Net weight: 0,09 kg</t>
  </si>
  <si>
    <t>Cust. no. invoice rec.: 935224 Page 7 of 8</t>
  </si>
  <si>
    <t>Line value 480,90 EUR</t>
  </si>
  <si>
    <t>Tax free intracommunity delivery 0,00 EUR</t>
  </si>
  <si>
    <t>There is a tax free intra-Community supply acc. § 4 No. 1b in conjunction with § 6a UStG</t>
  </si>
  <si>
    <t>Cust. no. invoice rec.: 935224 Page 8 of 8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</si>
  <si>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</si>
  <si>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</si>
  <si>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</si>
  <si>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</si>
  <si>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</si>
  <si>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</si>
  <si>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</si>
  <si>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100-CI-2201783</t>
  </si>
  <si>
    <t>Date: 15.02.2022</t>
  </si>
  <si>
    <t>Shipping Order: 100-SO2203934 from 15.02.2022</t>
  </si>
  <si>
    <t>1 1813904 99 sonstige 8 Pc(s) 37,90 EUR</t>
  </si>
  <si>
    <t>Bucket Linen Per Pc(s)</t>
  </si>
  <si>
    <t>Country of manufacture: Germany --- Customs tariff code: 65050090 --- Net weight: 0,06 kg</t>
  </si>
  <si>
    <t>Line value 303,20 EUR</t>
  </si>
  <si>
    <t>Recommended Retail Price = 99,00 EUR Total line value 303,20 EUR</t>
  </si>
  <si>
    <t>10 7781115 3 grey / silver 12 Pc(s) 14,90 EUR</t>
  </si>
  <si>
    <t>Baseball Cap Shaka Cotton Per Pc(s)</t>
  </si>
  <si>
    <t>Line value 178,80 EUR</t>
  </si>
  <si>
    <t>Recommended Retail Price = 39,00 EUR Total line value 178,80 EUR</t>
  </si>
  <si>
    <t>11 7781115 8 rot 6 Pc(s) 14,90 EUR</t>
  </si>
  <si>
    <t>Line value 89,40 EUR</t>
  </si>
  <si>
    <t>Recommended Retail Price = 39,00 EUR Total line value 89,40 EUR</t>
  </si>
  <si>
    <t>Invoice: 100-CI-2201783</t>
  </si>
  <si>
    <t>12 7781118 75 sonstige 6 Pc(s) 14,90 EUR</t>
  </si>
  <si>
    <t>Baseball Cap Camo Cotton Per Pc(s)</t>
  </si>
  <si>
    <t>13 7781120 31 sonstige 6 Pc(s) 14,90 EUR</t>
  </si>
  <si>
    <t>14 6611130 2 navy / gun metal 21 Pc(s) 22,90 EUR</t>
  </si>
  <si>
    <t>Texas Denim Per Pc(s)</t>
  </si>
  <si>
    <t>Country of manufacture: Bulgaria --- Customs tariff code: 65050030 --- Net weight: 0,13 kg</t>
  </si>
  <si>
    <t>Recommended Retail Price = 59,00 EUR Total line value 480,90 EUR</t>
  </si>
  <si>
    <t>15 6611105 2 navy / gun metal 10 Pc(s) 12,90 EUR</t>
  </si>
  <si>
    <t>Line value 129,00 EUR</t>
  </si>
  <si>
    <t>Recommended Retail Price = 35,00 EUR Total line value 129,00 EUR</t>
  </si>
  <si>
    <t>16 6611105 32 sonstige 19 Pc(s) 12,90 EUR</t>
  </si>
  <si>
    <t>Line value 245,10 EUR</t>
  </si>
  <si>
    <t>Recommended Retail Price = 35,00 EUR Total line value 245,10 EUR</t>
  </si>
  <si>
    <t>17 6611105 55 sonstige 16 Pc(s) 12,90 EUR</t>
  </si>
  <si>
    <t>Line value 206,40 EUR</t>
  </si>
  <si>
    <t>Recommended Retail Price = 35,00 EUR Total line value 206,40 EUR</t>
  </si>
  <si>
    <t>18 7431101 1 black 20 Pc(s) 14,90 EUR</t>
  </si>
  <si>
    <t>19 7431101 55 sonstige 19 Pc(s) 14,90 EUR</t>
  </si>
  <si>
    <t>Line value 283,10 EUR</t>
  </si>
  <si>
    <t>Recommended Retail Price = 39,00 EUR Total line value 283,10 EUR</t>
  </si>
  <si>
    <t>2 7751191 27 sonstige 150 Pc(s) 14,90 EUR</t>
  </si>
  <si>
    <t>Trucker Cap Gambling Grifter Per Pc(s)</t>
  </si>
  <si>
    <t>Line value 2.235,00 EUR</t>
  </si>
  <si>
    <t>Recommended Retail Price = 39,00 EUR Total line value 2.235,00 EUR</t>
  </si>
  <si>
    <t>20 7713101 3 grey / silver 14 Pc(s) 18,90 EUR</t>
  </si>
  <si>
    <t>Baseball Cap Linen Per Pc(s)</t>
  </si>
  <si>
    <t>Country of manufacture: China --- Customs tariff code: 65050030 --- Net weight: 0,14 kg</t>
  </si>
  <si>
    <t>Line value 264,60 EUR</t>
  </si>
  <si>
    <t>Recommended Retail Price = 49,00 EUR Total line value 264,60 EUR</t>
  </si>
  <si>
    <t>21 6843116 2 navy / gun metal 21 Pc(s) 29,90 EUR</t>
  </si>
  <si>
    <t>Hatteras Linen Per Pc(s)</t>
  </si>
  <si>
    <t>Country of manufacture: Bulgaria --- Customs tariff code: 65050030 --- Net weight: 0,08 kg</t>
  </si>
  <si>
    <t>Line value 627,90 EUR</t>
  </si>
  <si>
    <t>Recommended Retail Price = 79,00 EUR Total line value 627,90 EUR</t>
  </si>
  <si>
    <t>22 6813103 6 brown, brass 15 Pc(s) 37,90 EUR</t>
  </si>
  <si>
    <t>8-Panel Cap Linen Per Pc(s)</t>
  </si>
  <si>
    <t>Country of manufacture: Germany --- Customs tariff code: 65050030 --- Net weight: 0,08 kg</t>
  </si>
  <si>
    <t>Line value 568,50 EUR</t>
  </si>
  <si>
    <t>Recommended Retail Price = 99,00 EUR Total line value 568,50 EUR</t>
  </si>
  <si>
    <t>23 6840407 267 großes Karo/Glencheck 4 Pc(s) 49,90 EUR</t>
  </si>
  <si>
    <t>Hatteras Virgin Wool/Silk Per Pc(s)</t>
  </si>
  <si>
    <t>Country of manufacture: Germany --- Customs tariff code: 65050030 --- Net weight: 0,11 kg</t>
  </si>
  <si>
    <t>Line value 199,60 EUR</t>
  </si>
  <si>
    <t>Recommended Retail Price = 129,00 EUR Total line value 199,60 EUR</t>
  </si>
  <si>
    <t>24 6382504 322 fischgrat 9 Pc(s) 49,90 EUR</t>
  </si>
  <si>
    <t>Driver Cap Silk/Virgin Wool Per Pc(s)</t>
  </si>
  <si>
    <t>Line value 449,10 EUR</t>
  </si>
  <si>
    <t>Recommended Retail Price = 129,00 EUR Total line value 449,10 EUR</t>
  </si>
  <si>
    <t>25 6842504 322 fischgrat 9 Pc(s) 49,90 EUR</t>
  </si>
  <si>
    <t>Hatteras Silk/Virgin Wool Per Pc(s)</t>
  </si>
  <si>
    <t>26 1187101 63 sonstige 17 Pc(s) 57,00 EUR</t>
  </si>
  <si>
    <t>Player Pigskin Per Pc(s)</t>
  </si>
  <si>
    <t>Country of manufacture: China --- Customs tariff code: 65069990 --- Net weight: 0,19 kg</t>
  </si>
  <si>
    <t>Line value 969,00 EUR</t>
  </si>
  <si>
    <t>Recommended Retail Price = 149,00 EUR Total line value 969,00 EUR</t>
  </si>
  <si>
    <t>27 7497105 62 sonstige 10 Pc(s) 26,90 EUR</t>
  </si>
  <si>
    <t>Army Cap Pigskin Per Pc(s)</t>
  </si>
  <si>
    <t>Country of manufacture: China --- Customs tariff code: 65069990 --- Net weight: 0,13 kg</t>
  </si>
  <si>
    <t>Line value 269,00 EUR</t>
  </si>
  <si>
    <t>Recommended Retail Price = 69,00 EUR Total line value 269,00 EUR</t>
  </si>
  <si>
    <t>28 2811101 2 navy / gun metal 10 Pc(s) 26,90 EUR</t>
  </si>
  <si>
    <t>Bucket Delave Organic Cotton Per Pc(s)</t>
  </si>
  <si>
    <t>Country of manufacture: China --- Customs tariff code: 65050090 --- Net weight: 0,07 kg</t>
  </si>
  <si>
    <t>29 2811101 1 black 25 Pc(s) 26,90 EUR</t>
  </si>
  <si>
    <t>Line value 672,50 EUR</t>
  </si>
  <si>
    <t>Recommended Retail Price = 69,00 EUR Total line value 672,50 EUR</t>
  </si>
  <si>
    <t>3 7751194 5 oliv 115 Pc(s) 14,90 EUR</t>
  </si>
  <si>
    <t>Trucker Cap Sun Per Pc(s)</t>
  </si>
  <si>
    <t>Recommended Retail Price = 39,00 EUR Total line value 1.713,50 EUR</t>
  </si>
  <si>
    <t>30 2811101 6 brown, brass 17 Pc(s) 26,90 EUR</t>
  </si>
  <si>
    <t>Line value 457,30 EUR</t>
  </si>
  <si>
    <t>Recommended Retail Price = 69,00 EUR Total line value 457,30 EUR</t>
  </si>
  <si>
    <t>31 2811101 61 sonstige 32 Pc(s) 26,90 EUR</t>
  </si>
  <si>
    <t>Line value 860,80 EUR</t>
  </si>
  <si>
    <t>Recommended Retail Price = 69,00 EUR Total line value 860,80 EUR</t>
  </si>
  <si>
    <t>32 7491101 6 brown, brass 16 Pc(s) 14,90 EUR</t>
  </si>
  <si>
    <t>Country of manufacture: Sri Lanka --- Customs tariff code: 65050030 --- Net weight: 0,10 kg</t>
  </si>
  <si>
    <t>Line value 238,40 EUR</t>
  </si>
  <si>
    <t>33 2541104 6 brown, brass 28 Pc(s) 26,90 EUR</t>
  </si>
  <si>
    <t>Traveller Waxed Cotton Per Pc(s)</t>
  </si>
  <si>
    <t>Country of manufacture: Sri Lanka --- Customs tariff code: 65050090 --- Net weight: 0,21 kg</t>
  </si>
  <si>
    <t>Line value 753,20 EUR</t>
  </si>
  <si>
    <t>Recommended Retail Price = 69,00 EUR Total line value 753,20 EUR</t>
  </si>
  <si>
    <t>34 2541109 23 sonstige 16 Pc(s) 22,90 EUR</t>
  </si>
  <si>
    <t>Traveller Cotton Per Pc(s)</t>
  </si>
  <si>
    <t>Country of manufacture: Sri Lanka --- Customs tariff code: 65050090 --- Net weight: 0,13 kg</t>
  </si>
  <si>
    <t>Line value 366,40 EUR</t>
  </si>
  <si>
    <t>Recommended Retail Price = 59,00 EUR Total line value 366,40 EUR</t>
  </si>
  <si>
    <t>35 7756112 57 sonstige 74 Pc(s) 14,90 EUR</t>
  </si>
  <si>
    <t>Trucker Cap Hiking Per Pc(s)</t>
  </si>
  <si>
    <t>Line value 1.102,60 EUR</t>
  </si>
  <si>
    <t>Recommended Retail Price = 39,00 EUR Total line value 1.102,60 EUR</t>
  </si>
  <si>
    <t>36 7756112 57 sonstige 56 Pc(s) 14,90 EUR</t>
  </si>
  <si>
    <t>Line value 834,40 EUR</t>
  </si>
  <si>
    <t>37 7785101 89 sonstige 5 Pc(s) 14,90 EUR</t>
  </si>
  <si>
    <t>Baseball Cap Toothpick Rebel Per Pc(s)</t>
  </si>
  <si>
    <t>Country of manufacture: China --- Customs tariff code: 65050030 --- Net weight: 0,12 kg</t>
  </si>
  <si>
    <t>Line value 74,50 EUR</t>
  </si>
  <si>
    <t>Recommended Retail Price = 39,00 EUR Total line value 74,50 EUR</t>
  </si>
  <si>
    <t>4 7751196 25 sonstige 115 Pc(s) 14,90 EUR</t>
  </si>
  <si>
    <t>Trucker Cap Chrome Per Pc(s)</t>
  </si>
  <si>
    <t>5 7756106 28 sonstige 105 Pc(s) 14,90 EUR</t>
  </si>
  <si>
    <t>Trucker Cap Fishermen´s Bay Per Pc(s)</t>
  </si>
  <si>
    <t>Line value 1.564,50 EUR</t>
  </si>
  <si>
    <t>Recommended Retail Price = 39,00 EUR Total line value 1.564,50 EUR</t>
  </si>
  <si>
    <t>6 7756113 37 sonstige 90 Pc(s) 14,90 EUR</t>
  </si>
  <si>
    <t>Trucker Cap Animal Nature Per Pc(s)</t>
  </si>
  <si>
    <t>Recommended Retail Price = 39,00 EUR Total line value 1.341,00 EUR</t>
  </si>
  <si>
    <t>7 7756114 28 sonstige 130 Pc(s) 14,90 EUR</t>
  </si>
  <si>
    <t>Trucker Cap Canoe Per Pc(s)</t>
  </si>
  <si>
    <t>Recommended Retail Price = 39,00 EUR Total line value 1.937,00 EUR</t>
  </si>
  <si>
    <t>8 7721110 5 oliv 10 Pc(s) 14,90 EUR</t>
  </si>
  <si>
    <t>Recommended Retail Price = 39,00 EUR Total line value 149,00 EUR</t>
  </si>
  <si>
    <t>9 7721122 6 brown, brass 40 Pc(s) 18,90 EUR</t>
  </si>
  <si>
    <t>Baseball Cap Duck Per Pc(s)</t>
  </si>
  <si>
    <t>Line value 756,00 EUR</t>
  </si>
  <si>
    <t>Recommended Retail Price = 49,00 EUR Total line value 756,00 EUR</t>
  </si>
  <si>
    <t>Total Quantity: 1.276 Pc(s)</t>
  </si>
  <si>
    <t>Total: 18.582,48 EUR</t>
  </si>
  <si>
    <t>Total Value: 18.582,48 EUR</t>
  </si>
  <si>
    <t>Valuation Date: 15.02.2022</t>
  </si>
  <si>
    <t>Cash discount 10 Days 4 % until 25.02.2022 = 743,30 EUR Payment amount: 17.839,18 EUR</t>
  </si>
  <si>
    <t>28 Days net without until 15.03.2022 Payment amount: 18.582,48 EUR</t>
  </si>
  <si>
    <t>Please always indicate your customer number 935224 and invoice number CI-2201783 when transferring the invoice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</si>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</sst>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Q603"/>
  <sheetViews>
    <sheetView tabSelected="1" topLeftCell="A16" workbookViewId="0">
      <selection activeCell="C30" sqref="C30"/>
    </sheetView>
  </sheetViews>
  <sheetFormatPr defaultRowHeight="15" x14ac:dyDescent="0.25"/>
  <cols>
    <col min="1" max="1" width="108.42578125" bestFit="1" customWidth="1"/>
    <col min="2" max="2" width="10.85546875" bestFit="1" customWidth="1"/>
    <col min="3" max="3" width="25" bestFit="1" customWidth="1"/>
    <col min="10" max="10" width="10.42578125" style="4" bestFit="1" customWidth="1"/>
  </cols>
  <sheetData>
    <row r="1" spans="1:10" x14ac:dyDescent="0.25">
      <c r="A1" t="s">
        <v>3</v>
      </c>
      <c r="B1" s="8"/>
      <c r="C1" s="8"/>
      <c r="D1" s="8"/>
      <c r="E1" s="8"/>
      <c r="F1" s="8"/>
      <c r="G1" s="8"/>
      <c r="H1" s="8"/>
      <c r="I1" s="8"/>
      <c r="J1" s="9"/>
    </row>
    <row r="2" spans="1:10" x14ac:dyDescent="0.25">
      <c r="A2" t="s">
        <v>4</v>
      </c>
      <c r="B2" s="6"/>
      <c r="C2" s="6"/>
      <c r="D2" s="6"/>
      <c r="E2" s="6"/>
      <c r="F2" s="6"/>
      <c r="G2" s="6"/>
      <c r="H2" s="6"/>
      <c r="I2" s="6"/>
      <c r="J2" s="7"/>
    </row>
    <row r="3" spans="1:10" x14ac:dyDescent="0.25">
      <c r="A3" t="s">
        <v>5</v>
      </c>
      <c r="B3" s="6"/>
      <c r="C3" s="6"/>
      <c r="D3" s="6"/>
      <c r="E3" s="6"/>
      <c r="F3" s="6"/>
      <c r="G3" s="6"/>
      <c r="H3" s="6"/>
      <c r="I3" s="6"/>
      <c r="J3" s="7"/>
    </row>
    <row r="4" spans="1:10" x14ac:dyDescent="0.25">
      <c r="A4" t="s">
        <v>6</v>
      </c>
      <c r="B4" s="6"/>
      <c r="C4" s="6"/>
      <c r="D4" s="6"/>
      <c r="E4" s="6"/>
      <c r="F4" s="6"/>
      <c r="G4" s="6"/>
      <c r="H4" s="6"/>
      <c r="I4" s="6"/>
      <c r="J4" s="7"/>
    </row>
    <row r="5" spans="1:10" x14ac:dyDescent="0.25">
      <c r="A5" t="s">
        <v>80</v>
      </c>
      <c r="B5" s="6"/>
      <c r="C5" s="6"/>
      <c r="D5" s="6"/>
      <c r="E5" s="6"/>
      <c r="F5" s="6"/>
      <c r="G5" s="6"/>
      <c r="H5" s="6"/>
      <c r="I5" s="6"/>
      <c r="J5" s="7"/>
    </row>
    <row r="6" spans="1:10" x14ac:dyDescent="0.25">
      <c r="A6" t="s">
        <v>81</v>
      </c>
      <c r="B6" s="6"/>
      <c r="C6" s="6"/>
      <c r="D6" s="6"/>
      <c r="E6" s="6"/>
      <c r="F6" s="6"/>
      <c r="G6" s="6"/>
      <c r="H6" s="6"/>
      <c r="I6" s="6"/>
      <c r="J6" s="7"/>
    </row>
    <row r="7" spans="1:10" x14ac:dyDescent="0.25">
      <c r="A7" s="6" t="s">
        <v>7</v>
      </c>
      <c r="B7" s="6"/>
      <c r="C7" s="6"/>
      <c r="D7" s="6"/>
      <c r="E7" s="6"/>
      <c r="F7" s="6"/>
      <c r="G7" s="6"/>
      <c r="H7" s="6"/>
      <c r="I7" s="6"/>
      <c r="J7" s="7"/>
    </row>
    <row r="8" spans="1:10" x14ac:dyDescent="0.25">
      <c r="A8" s="6" t="s">
        <v>8</v>
      </c>
      <c r="B8" s="6"/>
      <c r="C8" s="6"/>
      <c r="D8" s="6"/>
      <c r="E8" s="6"/>
      <c r="F8" s="6"/>
      <c r="G8" s="6"/>
      <c r="H8" s="6"/>
      <c r="I8" s="6"/>
      <c r="J8" s="7"/>
    </row>
    <row r="9" spans="1:10" x14ac:dyDescent="0.25">
      <c r="A9" s="6" t="s">
        <v>9</v>
      </c>
      <c r="B9" s="6"/>
      <c r="C9" s="6"/>
      <c r="D9" s="6"/>
      <c r="E9" s="6"/>
      <c r="F9" s="6"/>
      <c r="G9" s="6"/>
      <c r="H9" s="6"/>
      <c r="I9" s="6"/>
      <c r="J9" s="7"/>
    </row>
    <row r="10" spans="1:10" x14ac:dyDescent="0.25">
      <c r="A10" s="6" t="s">
        <v>10</v>
      </c>
      <c r="B10" s="8"/>
      <c r="C10" s="8"/>
      <c r="D10" s="8"/>
      <c r="E10" s="8"/>
      <c r="F10" s="8"/>
      <c r="G10" s="8"/>
      <c r="H10" s="8"/>
      <c r="I10" s="8"/>
      <c r="J10" s="9"/>
    </row>
    <row r="11" spans="1:10" x14ac:dyDescent="0.25">
      <c r="A11" s="6">
        <v>935224</v>
      </c>
      <c r="B11" s="6"/>
      <c r="C11" s="6"/>
      <c r="D11" s="6"/>
      <c r="E11" s="6"/>
      <c r="F11" s="6"/>
      <c r="G11" s="6"/>
      <c r="H11" s="6"/>
      <c r="I11" s="6"/>
      <c r="J11" s="7"/>
    </row>
    <row r="12" spans="1:10" x14ac:dyDescent="0.25">
      <c r="A12" s="6" t="s">
        <v>11</v>
      </c>
      <c r="B12" s="6"/>
      <c r="C12" s="6"/>
      <c r="D12" s="6"/>
      <c r="E12" s="6"/>
      <c r="F12" s="6"/>
      <c r="G12" s="6"/>
      <c r="H12" s="6"/>
      <c r="I12" s="6"/>
      <c r="J12" s="7"/>
    </row>
    <row r="13" spans="1:10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6"/>
      <c r="J13" s="7"/>
    </row>
    <row r="14" spans="1:10" x14ac:dyDescent="0.25">
      <c r="A14" s="6" t="s">
        <v>12</v>
      </c>
      <c r="B14" s="6"/>
      <c r="C14" s="6"/>
      <c r="D14" s="6"/>
      <c r="E14" s="6"/>
      <c r="F14" s="6"/>
      <c r="G14" s="6"/>
      <c r="H14" s="6"/>
      <c r="I14" s="6"/>
      <c r="J14" s="7"/>
    </row>
    <row r="15" spans="1:10" x14ac:dyDescent="0.25">
      <c r="A15" s="6" t="s">
        <v>13</v>
      </c>
      <c r="B15" s="6"/>
      <c r="C15" s="6"/>
      <c r="D15" s="6"/>
      <c r="E15" s="6"/>
      <c r="F15" s="6"/>
      <c r="G15" s="6"/>
      <c r="H15" s="6"/>
      <c r="I15" s="6"/>
      <c r="J15" s="7"/>
    </row>
    <row r="16" spans="1:10" x14ac:dyDescent="0.25">
      <c r="A16" s="6" t="s">
        <v>14</v>
      </c>
      <c r="B16" s="6"/>
      <c r="C16" s="6"/>
      <c r="D16" s="6"/>
      <c r="E16" s="6"/>
      <c r="F16" s="6"/>
      <c r="G16" s="6"/>
      <c r="H16" s="6"/>
      <c r="I16" s="6"/>
      <c r="J16" s="7"/>
    </row>
    <row r="17" spans="1:10" x14ac:dyDescent="0.25">
      <c r="A17" s="6" t="s">
        <v>15</v>
      </c>
      <c r="B17" s="6"/>
      <c r="C17" s="6"/>
      <c r="D17" s="6"/>
      <c r="E17" s="6"/>
      <c r="F17" s="6"/>
      <c r="G17" s="6"/>
      <c r="H17" s="6"/>
      <c r="I17" s="6"/>
      <c r="J17" s="7"/>
    </row>
    <row r="18" spans="1:10" x14ac:dyDescent="0.25">
      <c r="A18" s="6" t="s">
        <v>16</v>
      </c>
      <c r="B18" s="6"/>
      <c r="C18" s="6"/>
      <c r="D18" s="6"/>
      <c r="E18" s="6"/>
      <c r="F18" s="6"/>
      <c r="G18" s="6"/>
      <c r="H18" s="6"/>
      <c r="I18" s="6"/>
      <c r="J18" s="7"/>
    </row>
    <row r="19" spans="1:10" x14ac:dyDescent="0.25">
      <c r="A19" s="6" t="s">
        <v>17</v>
      </c>
      <c r="B19" s="6"/>
      <c r="C19" s="6"/>
      <c r="D19" s="6"/>
      <c r="E19" s="6"/>
      <c r="F19" s="6"/>
      <c r="G19" s="6"/>
      <c r="H19" s="6"/>
      <c r="I19" s="6"/>
      <c r="J19" s="7"/>
    </row>
    <row r="20" spans="1:10" x14ac:dyDescent="0.25">
      <c r="A20" s="6" t="s">
        <v>18</v>
      </c>
      <c r="B20" s="6"/>
      <c r="C20" s="6"/>
      <c r="D20" s="6"/>
      <c r="E20" s="6"/>
      <c r="F20" s="6"/>
      <c r="G20" s="6"/>
      <c r="H20" s="6"/>
      <c r="I20" s="6"/>
      <c r="J20" s="7"/>
    </row>
    <row r="21" spans="1:10" x14ac:dyDescent="0.25">
      <c r="A21" s="6" t="s">
        <v>19</v>
      </c>
      <c r="B21" s="6"/>
      <c r="C21" s="6"/>
      <c r="D21" s="6"/>
      <c r="E21" s="6"/>
      <c r="F21" s="6"/>
      <c r="G21" s="6"/>
      <c r="H21" s="6"/>
      <c r="I21" s="6"/>
      <c r="J21" s="7"/>
    </row>
    <row r="22" spans="1:10" x14ac:dyDescent="0.25">
      <c r="A22" s="6" t="s">
        <v>20</v>
      </c>
      <c r="B22" s="6"/>
      <c r="C22" s="6"/>
      <c r="D22" s="6"/>
      <c r="E22" s="6"/>
      <c r="F22" s="6"/>
      <c r="G22" s="6"/>
      <c r="H22" s="6"/>
      <c r="I22" s="6"/>
      <c r="J22" s="7"/>
    </row>
    <row r="23" spans="1:10" x14ac:dyDescent="0.25">
      <c r="A23" s="6" t="s">
        <v>21</v>
      </c>
      <c r="B23" s="6"/>
      <c r="C23" s="6"/>
      <c r="D23" s="6"/>
      <c r="E23" s="6"/>
      <c r="F23" s="6"/>
      <c r="G23" s="6"/>
      <c r="H23" s="6"/>
      <c r="I23" s="6"/>
      <c r="J23" s="7"/>
    </row>
    <row r="24" spans="1:10" x14ac:dyDescent="0.25">
      <c r="A24" s="6" t="s">
        <v>22</v>
      </c>
      <c r="B24" s="6"/>
      <c r="C24" s="6"/>
      <c r="D24" s="6"/>
      <c r="E24" s="6"/>
      <c r="F24" s="6"/>
      <c r="G24" s="6"/>
      <c r="H24" s="6"/>
      <c r="I24" s="6"/>
      <c r="J24" s="7"/>
    </row>
    <row r="25" spans="1:10" x14ac:dyDescent="0.25">
      <c r="A25" s="6" t="s">
        <v>23</v>
      </c>
      <c r="B25" s="8"/>
      <c r="C25" s="8"/>
      <c r="D25" s="8"/>
      <c r="E25" s="8"/>
      <c r="F25" s="8"/>
      <c r="G25" s="8"/>
      <c r="H25" s="8"/>
      <c r="I25" s="8"/>
      <c r="J25" s="9"/>
    </row>
    <row r="26" spans="1:10" x14ac:dyDescent="0.25">
      <c r="A26" s="6" t="s">
        <v>24</v>
      </c>
      <c r="B26" s="6"/>
      <c r="C26" s="6"/>
      <c r="D26" s="6"/>
      <c r="E26" s="6"/>
      <c r="F26" s="6"/>
      <c r="G26" s="6"/>
      <c r="H26" s="6"/>
      <c r="I26" s="6"/>
      <c r="J26" s="7"/>
    </row>
    <row r="27" spans="1:10" x14ac:dyDescent="0.25">
      <c r="A27" s="6" t="s">
        <v>25</v>
      </c>
      <c r="B27" s="6"/>
      <c r="C27" s="6"/>
      <c r="D27" s="6"/>
      <c r="E27" s="6"/>
      <c r="F27" s="6"/>
      <c r="G27" s="6"/>
      <c r="H27" s="6"/>
      <c r="I27" s="6"/>
      <c r="J27" s="7"/>
    </row>
    <row r="28" spans="1:10" x14ac:dyDescent="0.25">
      <c r="A28" s="6" t="s">
        <v>26</v>
      </c>
      <c r="B28" s="6"/>
      <c r="C28" s="6"/>
      <c r="D28" s="6"/>
      <c r="E28" s="6"/>
      <c r="F28" s="6"/>
      <c r="G28" s="6"/>
      <c r="H28" s="6"/>
      <c r="I28" s="6"/>
      <c r="J28" s="7"/>
    </row>
    <row r="29" spans="1:10" x14ac:dyDescent="0.25">
      <c r="A29" s="6" t="s">
        <v>27</v>
      </c>
      <c r="B29" s="6"/>
      <c r="C29" s="6"/>
      <c r="D29" s="6"/>
      <c r="E29" s="6"/>
      <c r="F29" s="6"/>
      <c r="G29" s="6"/>
      <c r="H29" s="6"/>
      <c r="I29" s="6"/>
      <c r="J29" s="7"/>
    </row>
    <row r="30" spans="1:10" x14ac:dyDescent="0.25">
      <c r="A30" s="6" t="s">
        <v>28</v>
      </c>
      <c r="B30" s="6"/>
      <c r="C30" s="6"/>
      <c r="D30" s="6"/>
      <c r="E30" s="6"/>
      <c r="F30" s="6"/>
      <c r="G30" s="6"/>
      <c r="H30" s="6"/>
      <c r="I30" s="6"/>
      <c r="J30" s="7"/>
    </row>
    <row r="31" spans="1:10" x14ac:dyDescent="0.25">
      <c r="A31" s="6" t="s">
        <v>82</v>
      </c>
      <c r="B31" s="6"/>
      <c r="C31" s="6"/>
      <c r="D31" s="6"/>
      <c r="E31" s="6"/>
      <c r="F31" s="6"/>
      <c r="G31" s="6"/>
      <c r="H31" s="6"/>
      <c r="I31" s="6"/>
      <c r="J31" s="7"/>
    </row>
    <row r="32" spans="1:10" x14ac:dyDescent="0.25">
      <c r="A32" s="6" t="s">
        <v>29</v>
      </c>
      <c r="B32" s="6"/>
      <c r="C32" s="6"/>
      <c r="D32" s="6"/>
      <c r="E32" s="6"/>
      <c r="F32" s="6"/>
      <c r="G32" s="6"/>
      <c r="H32" s="6"/>
      <c r="I32" s="6"/>
      <c r="J32" s="7"/>
    </row>
    <row r="33" spans="1:10" x14ac:dyDescent="0.25">
      <c r="A33" s="6" t="s">
        <v>4</v>
      </c>
      <c r="B33" s="6"/>
      <c r="C33" s="6"/>
      <c r="D33" s="6"/>
      <c r="E33" s="6"/>
      <c r="F33" s="6"/>
      <c r="G33" s="6"/>
      <c r="H33" s="6"/>
      <c r="I33" s="6"/>
      <c r="J33" s="7"/>
    </row>
    <row r="34" spans="1:10" x14ac:dyDescent="0.25">
      <c r="A34" s="6" t="s">
        <v>5</v>
      </c>
      <c r="B34" s="6"/>
      <c r="C34" s="6"/>
      <c r="D34" s="6"/>
      <c r="E34" s="6"/>
      <c r="F34" s="6"/>
      <c r="G34" s="6"/>
      <c r="H34" s="6"/>
      <c r="I34" s="6"/>
      <c r="J34" s="7"/>
    </row>
    <row r="35" spans="1:10" x14ac:dyDescent="0.25">
      <c r="A35" s="6" t="s">
        <v>6</v>
      </c>
      <c r="B35" s="1" t="s">
        <v>1</v>
      </c>
      <c r="C35" s="1" t="s">
        <v>220</v>
      </c>
      <c r="D35" s="1" t="s">
        <v>0</v>
      </c>
      <c r="E35" s="1">
        <v>55</v>
      </c>
      <c r="F35" s="1">
        <v>57</v>
      </c>
      <c r="G35" s="1">
        <v>59</v>
      </c>
      <c r="H35" s="1">
        <v>61</v>
      </c>
      <c r="I35" s="1">
        <v>63</v>
      </c>
      <c r="J35" s="3" t="s">
        <v>2</v>
      </c>
    </row>
    <row r="36" spans="1:10" x14ac:dyDescent="0.25">
      <c r="A36" s="6" t="s">
        <v>83</v>
      </c>
      <c r="B36" t="str" cm="1">
        <f t="array" ref="B36">БУКВЫ(MID($A36,3,12))</f>
        <v>181390499</v>
      </c>
      <c r="C36" t="str">
        <f>MID($A37,1,FIND("Per",A37)-1)</f>
        <v xml:space="preserve">Bucket Linen </v>
      </c>
      <c r="D36" t="str">
        <f>_xlfn.LET(_xlpm.Searching,"OSFA",_xlpm.inStr,IFERROR(FIND(_xlpm.Searching,$A38)&gt;=1,FALSE),IF(AND(_xlpm.inStr,LEN(A38)&lt;=6),A39,""))</f>
        <v/>
      </c>
      <c r="E36" t="str">
        <f>_xlfn.LET(_xlpm.Searching,"55",_xlpm.inStr,IFERROR(FIND(_xlpm.Searching,$A38)&gt;=1,FALSE),IF(AND(_xlpm.inStr,LEN(A38)&lt;=6),A39,""))</f>
        <v/>
      </c>
      <c r="F36" t="str">
        <f>_xlfn.LET(_xlpm.Searching,"57",_xlpm.inStr,IFERROR(FIND(_xlpm.Searching,$A38)&gt;=1,FALSE),IF(AND(_xlpm.inStr,LEN(A38)&lt;=6),$A39,""))&amp;F37</f>
        <v>2</v>
      </c>
      <c r="G36" t="str">
        <f>_xlfn.LET(_xlpm.Searching,"59",_xlpm.inStr,IFERROR(FIND(_xlpm.Searching,$A38)&gt;=1,FALSE),IF(AND(_xlpm.inStr,LEN(A38)&lt;=6),$A39,""))&amp;G37&amp;G38</f>
        <v>4</v>
      </c>
      <c r="H36" t="str">
        <f>_xlfn.LET(_xlpm.Searching,"61",_xlpm.inStr,IFERROR(FIND(_xlpm.Searching,$A38)&gt;=1,FALSE),IF(AND(_xlpm.inStr,LEN(A38)&lt;=6),$A39,""))&amp;H37&amp;H38&amp;H39</f>
        <v>2</v>
      </c>
      <c r="I36" t="str">
        <f>_xlfn.LET(_xlpm.Searching,"63",_xlpm.inStr,IFERROR(FIND(_xlpm.Searching,$A38)&gt;=1,FALSE),IF(AND(_xlpm.inStr,LEN(A38)&lt;=6),$A39,""))&amp;I37&amp;I38&amp;I39&amp;I40</f>
        <v/>
      </c>
      <c r="J36" s="4">
        <f>MID(TRIM(RIGHT(A36,10)),1,LEN(TRIM(RIGHT(A36,10)))-3)*0.8</f>
        <v>30.32</v>
      </c>
    </row>
    <row r="37" spans="1:10" x14ac:dyDescent="0.25">
      <c r="A37" s="6" t="s">
        <v>84</v>
      </c>
      <c r="B37" t="str">
        <f>B36</f>
        <v>181390499</v>
      </c>
      <c r="C37" t="str">
        <f>C36</f>
        <v xml:space="preserve">Bucket Linen </v>
      </c>
      <c r="D37" s="2"/>
      <c r="E37" s="2"/>
      <c r="F37" t="str">
        <f>_xlfn.LET(_xlpm.Searching,"57",_xlpm.inStr,IFERROR(FIND(_xlpm.Searching,$A40)&gt;=1,FALSE),IF(AND(_xlpm.inStr,LEN(A40)&lt;=6),$A41,""))</f>
        <v/>
      </c>
      <c r="G37">
        <f>_xlfn.LET(_xlpm.Searching,"59",_xlpm.inStr,IFERROR(FIND(_xlpm.Searching,$A40)&gt;=1,FALSE),IF(AND(_xlpm.inStr,LEN(A40)&lt;=6),$A41,""))</f>
        <v>4</v>
      </c>
      <c r="H37" t="str">
        <f>_xlfn.LET(_xlpm.Searching,"61",_xlpm.inStr,IFERROR(FIND(_xlpm.Searching,$A40)&gt;=1,FALSE),IF(AND(_xlpm.inStr,LEN(A40)&lt;=6),$A41,""))</f>
        <v/>
      </c>
      <c r="I37" t="str">
        <f>_xlfn.LET(_xlpm.Searching,"63",_xlpm.inStr,IFERROR(FIND(_xlpm.Searching,$A40)&gt;=1,FALSE),IF(AND(_xlpm.inStr,LEN(A40)&lt;=6),$A41,""))</f>
        <v/>
      </c>
    </row>
    <row r="38" spans="1:10" x14ac:dyDescent="0.25">
      <c r="A38" s="6" t="s">
        <v>33</v>
      </c>
      <c r="B38" t="str">
        <f t="shared" ref="B38:B40" si="0">B37</f>
        <v>181390499</v>
      </c>
      <c r="C38" t="str">
        <f t="shared" ref="C38:C40" si="1">C37</f>
        <v xml:space="preserve">Bucket Linen </v>
      </c>
      <c r="D38" s="2"/>
      <c r="E38" s="2"/>
      <c r="F38" s="2"/>
      <c r="G38" t="str">
        <f>_xlfn.LET(_xlpm.Searching,"59",_xlpm.inStr,IFERROR(FIND(_xlpm.Searching,$A42)&gt;=1,FALSE),IF(AND(_xlpm.inStr,LEN(A42)&lt;=6),$A43,""))</f>
        <v/>
      </c>
      <c r="H38">
        <f>_xlfn.LET(_xlpm.Searching,"61",_xlpm.inStr,IFERROR(FIND(_xlpm.Searching,$A42)&gt;=1,FALSE),IF(AND(_xlpm.inStr,LEN(A42)&lt;=6),$A43,""))</f>
        <v>2</v>
      </c>
      <c r="I38" t="str">
        <f>_xlfn.LET(_xlpm.Searching,"63",_xlpm.inStr,IFERROR(FIND(_xlpm.Searching,$A42)&gt;=1,FALSE),IF(AND(_xlpm.inStr,LEN(A42)&lt;=6),$A43,""))</f>
        <v/>
      </c>
    </row>
    <row r="39" spans="1:10" x14ac:dyDescent="0.25">
      <c r="A39" s="6">
        <v>2</v>
      </c>
      <c r="B39" t="str">
        <f t="shared" si="0"/>
        <v>181390499</v>
      </c>
      <c r="C39" t="str">
        <f t="shared" si="1"/>
        <v xml:space="preserve">Bucket Linen </v>
      </c>
      <c r="D39" s="2"/>
      <c r="E39" s="2"/>
      <c r="F39" s="2"/>
      <c r="G39" s="2"/>
      <c r="H39" t="str">
        <f>_xlfn.LET(_xlpm.Searching,"61",_xlpm.inStr,IFERROR(FIND(_xlpm.Searching,$A44)&gt;=1,FALSE),IF(AND(_xlpm.inStr,LEN(A44)&lt;=6),$A45,""))</f>
        <v/>
      </c>
      <c r="I39" t="str">
        <f>_xlfn.LET(_xlpm.Searching,"63",_xlpm.inStr,IFERROR(FIND(_xlpm.Searching,$A44)&gt;=1,FALSE),IF(AND(_xlpm.inStr,LEN(A44)&lt;=6),$A45,""))</f>
        <v/>
      </c>
    </row>
    <row r="40" spans="1:10" x14ac:dyDescent="0.25">
      <c r="A40" s="6" t="s">
        <v>30</v>
      </c>
      <c r="B40" t="str">
        <f t="shared" si="0"/>
        <v>181390499</v>
      </c>
      <c r="C40" t="str">
        <f t="shared" si="1"/>
        <v xml:space="preserve">Bucket Linen </v>
      </c>
      <c r="D40" s="2"/>
      <c r="E40" s="2"/>
      <c r="F40" s="2"/>
      <c r="G40" s="2"/>
      <c r="H40" s="2"/>
      <c r="I40" t="str">
        <f>_xlfn.LET(_xlpm.Searching,"63",_xlpm.inStr,IFERROR(FIND(_xlpm.Searching,$A46)&gt;=1,FALSE),IF(AND(_xlpm.inStr,LEN(A46)&lt;=6),$A47,""))</f>
        <v/>
      </c>
    </row>
    <row r="41" spans="1:10" x14ac:dyDescent="0.25">
      <c r="A41" s="6">
        <v>4</v>
      </c>
      <c r="B41" s="6"/>
      <c r="C41" s="6"/>
      <c r="D41" s="6"/>
      <c r="E41" s="6"/>
      <c r="F41" s="6"/>
      <c r="G41" s="6"/>
      <c r="H41" s="6"/>
      <c r="I41" s="6"/>
      <c r="J41" s="7"/>
    </row>
    <row r="42" spans="1:10" x14ac:dyDescent="0.25">
      <c r="A42" s="6" t="s">
        <v>31</v>
      </c>
      <c r="B42" s="6"/>
      <c r="C42" s="6"/>
      <c r="D42" s="6"/>
      <c r="E42" s="6"/>
      <c r="F42" s="6"/>
      <c r="G42" s="6"/>
      <c r="H42" s="6"/>
      <c r="I42" s="6"/>
      <c r="J42" s="7"/>
    </row>
    <row r="43" spans="1:10" x14ac:dyDescent="0.25">
      <c r="A43" s="6">
        <v>2</v>
      </c>
    </row>
    <row r="44" spans="1:10" x14ac:dyDescent="0.25">
      <c r="A44" s="6" t="s">
        <v>85</v>
      </c>
    </row>
    <row r="45" spans="1:10" x14ac:dyDescent="0.25">
      <c r="A45" s="6" t="s">
        <v>86</v>
      </c>
    </row>
    <row r="46" spans="1:10" x14ac:dyDescent="0.25">
      <c r="A46" s="6" t="s">
        <v>87</v>
      </c>
      <c r="B46" s="1" t="s">
        <v>1</v>
      </c>
      <c r="C46" s="1" t="s">
        <v>220</v>
      </c>
      <c r="D46" s="1" t="s">
        <v>0</v>
      </c>
      <c r="E46" s="1">
        <v>55</v>
      </c>
      <c r="F46" s="1">
        <v>57</v>
      </c>
      <c r="G46" s="1">
        <v>59</v>
      </c>
      <c r="H46" s="1">
        <v>61</v>
      </c>
      <c r="I46" s="1">
        <v>63</v>
      </c>
      <c r="J46" s="3" t="s">
        <v>2</v>
      </c>
    </row>
    <row r="47" spans="1:10" x14ac:dyDescent="0.25">
      <c r="A47" s="6" t="s">
        <v>88</v>
      </c>
      <c r="B47" t="str" cm="1">
        <f t="array" ref="B47">БУКВЫ(MID($A47,3,11))</f>
        <v>77811153</v>
      </c>
      <c r="C47" t="str">
        <f>MID($A48,1,FIND("Per",A48)-1)</f>
        <v xml:space="preserve">Baseball Cap Shaka Cotton </v>
      </c>
      <c r="D47">
        <f>_xlfn.LET(_xlpm.Searching,"OSFA",_xlpm.inStr,IFERROR(FIND(_xlpm.Searching,$A49)&gt;=1,FALSE),IF(AND(_xlpm.inStr,LEN(A49)&lt;=6),A50,""))</f>
        <v>12</v>
      </c>
      <c r="E47" t="str">
        <f>_xlfn.LET(_xlpm.Searching,"55",_xlpm.inStr,IFERROR(FIND(_xlpm.Searching,$A49)&gt;=1,FALSE),IF(AND(_xlpm.inStr,LEN(A49)&lt;=6),A50,""))</f>
        <v/>
      </c>
      <c r="F47" t="str">
        <f>_xlfn.LET(_xlpm.Searching,"57",_xlpm.inStr,IFERROR(FIND(_xlpm.Searching,$A49)&gt;=1,FALSE),IF(AND(_xlpm.inStr,LEN(A49)&lt;=6),$A50,""))&amp;F48</f>
        <v/>
      </c>
      <c r="G47" t="str">
        <f>_xlfn.LET(_xlpm.Searching,"59",_xlpm.inStr,IFERROR(FIND(_xlpm.Searching,$A49)&gt;=1,FALSE),IF(AND(_xlpm.inStr,LEN(A49)&lt;=6),$A50,""))&amp;G48&amp;G49</f>
        <v/>
      </c>
      <c r="H47" t="str">
        <f>_xlfn.LET(_xlpm.Searching,"61",_xlpm.inStr,IFERROR(FIND(_xlpm.Searching,$A49)&gt;=1,FALSE),IF(AND(_xlpm.inStr,LEN(A49)&lt;=6),$A50,""))&amp;H48&amp;H49&amp;H50</f>
        <v/>
      </c>
      <c r="I47" t="str">
        <f>_xlfn.LET(_xlpm.Searching,"63",_xlpm.inStr,IFERROR(FIND(_xlpm.Searching,$A49)&gt;=1,FALSE),IF(AND(_xlpm.inStr,LEN(A49)&lt;=6),$A50,""))&amp;I48&amp;I49&amp;I50&amp;I51</f>
        <v/>
      </c>
      <c r="J47" s="4">
        <f>MID(TRIM(RIGHT(A47,10)),1,LEN(TRIM(RIGHT(A47,10)))-3)*0.8</f>
        <v>11.920000000000002</v>
      </c>
    </row>
    <row r="48" spans="1:10" x14ac:dyDescent="0.25">
      <c r="A48" s="6" t="s">
        <v>89</v>
      </c>
      <c r="B48" t="str" cm="1">
        <f t="array" ref="B48">БУКВЫ(MID($A47,3,11))</f>
        <v>77811153</v>
      </c>
      <c r="C48" t="str">
        <f>C47</f>
        <v xml:space="preserve">Baseball Cap Shaka Cotton </v>
      </c>
      <c r="D48" s="2"/>
      <c r="E48" s="2"/>
      <c r="F48" t="str">
        <f>_xlfn.LET(_xlpm.Searching,"57",_xlpm.inStr,IFERROR(FIND(_xlpm.Searching,$A51)&gt;=1,FALSE),IF(AND(_xlpm.inStr,LEN(A51)&lt;=6),$A52,""))</f>
        <v/>
      </c>
      <c r="G48" t="str">
        <f>_xlfn.LET(_xlpm.Searching,"59",_xlpm.inStr,IFERROR(FIND(_xlpm.Searching,$A51)&gt;=1,FALSE),IF(AND(_xlpm.inStr,LEN(A51)&lt;=6),$A52,""))</f>
        <v/>
      </c>
      <c r="H48" t="str">
        <f>_xlfn.LET(_xlpm.Searching,"61",_xlpm.inStr,IFERROR(FIND(_xlpm.Searching,$A51)&gt;=1,FALSE),IF(AND(_xlpm.inStr,LEN(A51)&lt;=6),$A52,""))</f>
        <v/>
      </c>
      <c r="I48" t="str">
        <f>_xlfn.LET(_xlpm.Searching,"63",_xlpm.inStr,IFERROR(FIND(_xlpm.Searching,$A51)&gt;=1,FALSE),IF(AND(_xlpm.inStr,LEN(A51)&lt;=6),$A52,""))</f>
        <v/>
      </c>
    </row>
    <row r="49" spans="1:10" x14ac:dyDescent="0.25">
      <c r="A49" s="6" t="s">
        <v>0</v>
      </c>
      <c r="B49" t="str" cm="1">
        <f t="array" ref="B49">БУКВЫ(MID($A47,3,11))</f>
        <v>77811153</v>
      </c>
      <c r="C49" t="str">
        <f t="shared" ref="C49:C51" si="2">C48</f>
        <v xml:space="preserve">Baseball Cap Shaka Cotton </v>
      </c>
      <c r="D49" s="2"/>
      <c r="E49" s="2"/>
      <c r="F49" s="2"/>
      <c r="G49" t="str">
        <f>_xlfn.LET(_xlpm.Searching,"59",_xlpm.inStr,IFERROR(FIND(_xlpm.Searching,$A53)&gt;=1,FALSE),IF(AND(_xlpm.inStr,LEN(A53)&lt;=6),$A54,""))</f>
        <v/>
      </c>
      <c r="H49" t="str">
        <f>_xlfn.LET(_xlpm.Searching,"61",_xlpm.inStr,IFERROR(FIND(_xlpm.Searching,$A53)&gt;=1,FALSE),IF(AND(_xlpm.inStr,LEN(A53)&lt;=6),$A54,""))</f>
        <v/>
      </c>
      <c r="I49" t="str">
        <f>_xlfn.LET(_xlpm.Searching,"63",_xlpm.inStr,IFERROR(FIND(_xlpm.Searching,$A53)&gt;=1,FALSE),IF(AND(_xlpm.inStr,LEN(A53)&lt;=6),$A54,""))</f>
        <v/>
      </c>
    </row>
    <row r="50" spans="1:10" x14ac:dyDescent="0.25">
      <c r="A50" s="6">
        <v>12</v>
      </c>
      <c r="B50" t="str" cm="1">
        <f t="array" ref="B50">БУКВЫ(MID($A47,3,11))</f>
        <v>77811153</v>
      </c>
      <c r="C50" t="str">
        <f t="shared" si="2"/>
        <v xml:space="preserve">Baseball Cap Shaka Cotton </v>
      </c>
      <c r="D50" s="2"/>
      <c r="E50" s="2"/>
      <c r="F50" s="2"/>
      <c r="G50" s="2"/>
      <c r="H50" t="str">
        <f>_xlfn.LET(_xlpm.Searching,"61",_xlpm.inStr,IFERROR(FIND(_xlpm.Searching,$A55)&gt;=1,FALSE),IF(AND(_xlpm.inStr,LEN(A55)&lt;=6),$A56,""))</f>
        <v/>
      </c>
      <c r="I50" t="str">
        <f>_xlfn.LET(_xlpm.Searching,"63",_xlpm.inStr,IFERROR(FIND(_xlpm.Searching,$A55)&gt;=1,FALSE),IF(AND(_xlpm.inStr,LEN(A55)&lt;=6),$A56,""))</f>
        <v/>
      </c>
    </row>
    <row r="51" spans="1:10" x14ac:dyDescent="0.25">
      <c r="A51" s="6" t="s">
        <v>65</v>
      </c>
      <c r="B51" t="str" cm="1">
        <f t="array" ref="B51">БУКВЫ(MID($A47,3,11))</f>
        <v>77811153</v>
      </c>
      <c r="C51" t="str">
        <f t="shared" si="2"/>
        <v xml:space="preserve">Baseball Cap Shaka Cotton </v>
      </c>
      <c r="D51" s="2"/>
      <c r="E51" s="2"/>
      <c r="F51" s="2"/>
      <c r="G51" s="2"/>
      <c r="H51" s="2"/>
      <c r="I51" t="str">
        <f>_xlfn.LET(_xlpm.Searching,"63",_xlpm.inStr,IFERROR(FIND(_xlpm.Searching,$A57)&gt;=1,FALSE),IF(AND(_xlpm.inStr,LEN(A57)&lt;=6),$A58,""))</f>
        <v/>
      </c>
    </row>
    <row r="52" spans="1:10" x14ac:dyDescent="0.25">
      <c r="A52" s="6" t="s">
        <v>90</v>
      </c>
    </row>
    <row r="53" spans="1:10" x14ac:dyDescent="0.25">
      <c r="A53" s="6" t="s">
        <v>91</v>
      </c>
      <c r="B53" s="1" t="s">
        <v>1</v>
      </c>
      <c r="C53" s="1" t="s">
        <v>220</v>
      </c>
      <c r="D53" s="1" t="s">
        <v>0</v>
      </c>
      <c r="E53" s="1">
        <v>55</v>
      </c>
      <c r="F53" s="1">
        <v>57</v>
      </c>
      <c r="G53" s="1">
        <v>59</v>
      </c>
      <c r="H53" s="1">
        <v>61</v>
      </c>
      <c r="I53" s="1">
        <v>63</v>
      </c>
      <c r="J53" s="3" t="s">
        <v>2</v>
      </c>
    </row>
    <row r="54" spans="1:10" x14ac:dyDescent="0.25">
      <c r="A54" s="6" t="s">
        <v>92</v>
      </c>
      <c r="B54" t="str" cm="1">
        <f t="array" ref="B54">БУКВЫ(MID($A54,3,11))</f>
        <v>77811158</v>
      </c>
      <c r="C54" t="str">
        <f>MID($A55,1,FIND("Per",A55)-1)</f>
        <v xml:space="preserve">Baseball Cap Shaka Cotton </v>
      </c>
      <c r="D54">
        <f>_xlfn.LET(_xlpm.Searching,"OSFA",_xlpm.inStr,IFERROR(FIND(_xlpm.Searching,$A56)&gt;=1,FALSE),IF(AND(_xlpm.inStr,LEN(A56)&lt;=6),A57,""))</f>
        <v>6</v>
      </c>
      <c r="E54" t="str">
        <f>_xlfn.LET(_xlpm.Searching,"55",_xlpm.inStr,IFERROR(FIND(_xlpm.Searching,$A56)&gt;=1,FALSE),IF(AND(_xlpm.inStr,LEN(A56)&lt;=6),A57,""))</f>
        <v/>
      </c>
      <c r="F54" t="str">
        <f>_xlfn.LET(_xlpm.Searching,"57",_xlpm.inStr,IFERROR(FIND(_xlpm.Searching,$A56)&gt;=1,FALSE),IF(AND(_xlpm.inStr,LEN(A56)&lt;=6),$A57,""))&amp;F55</f>
        <v/>
      </c>
      <c r="G54" t="str">
        <f>_xlfn.LET(_xlpm.Searching,"59",_xlpm.inStr,IFERROR(FIND(_xlpm.Searching,$A56)&gt;=1,FALSE),IF(AND(_xlpm.inStr,LEN(A56)&lt;=6),$A57,""))&amp;G55&amp;G56</f>
        <v/>
      </c>
      <c r="H54" t="str">
        <f>_xlfn.LET(_xlpm.Searching,"61",_xlpm.inStr,IFERROR(FIND(_xlpm.Searching,$A56)&gt;=1,FALSE),IF(AND(_xlpm.inStr,LEN(A56)&lt;=6),$A57,""))&amp;H55&amp;H56&amp;H57</f>
        <v/>
      </c>
      <c r="I54" t="str">
        <f>_xlfn.LET(_xlpm.Searching,"63",_xlpm.inStr,IFERROR(FIND(_xlpm.Searching,$A56)&gt;=1,FALSE),IF(AND(_xlpm.inStr,LEN(A56)&lt;=6),$A57,""))&amp;I55&amp;I56&amp;I57&amp;I58</f>
        <v/>
      </c>
      <c r="J54" s="4">
        <f>MID(TRIM(RIGHT(A54,10)),1,LEN(TRIM(RIGHT(A54,10)))-3)*0.8</f>
        <v>11.920000000000002</v>
      </c>
    </row>
    <row r="55" spans="1:10" x14ac:dyDescent="0.25">
      <c r="A55" s="6" t="s">
        <v>89</v>
      </c>
      <c r="B55" t="str" cm="1">
        <f t="array" ref="B55">БУКВЫ(MID($A54,3,11))</f>
        <v>77811158</v>
      </c>
      <c r="C55" t="str">
        <f>C54</f>
        <v xml:space="preserve">Baseball Cap Shaka Cotton </v>
      </c>
      <c r="D55" s="2"/>
      <c r="E55" s="2"/>
      <c r="F55" t="str">
        <f>_xlfn.LET(_xlpm.Searching,"57",_xlpm.inStr,IFERROR(FIND(_xlpm.Searching,$A58)&gt;=1,FALSE),IF(AND(_xlpm.inStr,LEN(A58)&lt;=6),$A59,""))</f>
        <v/>
      </c>
      <c r="G55" t="str">
        <f>_xlfn.LET(_xlpm.Searching,"59",_xlpm.inStr,IFERROR(FIND(_xlpm.Searching,$A58)&gt;=1,FALSE),IF(AND(_xlpm.inStr,LEN(A58)&lt;=6),$A59,""))</f>
        <v/>
      </c>
      <c r="H55" t="str">
        <f>_xlfn.LET(_xlpm.Searching,"61",_xlpm.inStr,IFERROR(FIND(_xlpm.Searching,$A58)&gt;=1,FALSE),IF(AND(_xlpm.inStr,LEN(A58)&lt;=6),$A59,""))</f>
        <v/>
      </c>
      <c r="I55" t="str">
        <f>_xlfn.LET(_xlpm.Searching,"63",_xlpm.inStr,IFERROR(FIND(_xlpm.Searching,$A58)&gt;=1,FALSE),IF(AND(_xlpm.inStr,LEN(A58)&lt;=6),$A59,""))</f>
        <v/>
      </c>
    </row>
    <row r="56" spans="1:10" x14ac:dyDescent="0.25">
      <c r="A56" s="6" t="s">
        <v>0</v>
      </c>
      <c r="B56" t="str" cm="1">
        <f t="array" ref="B56">БУКВЫ(MID($A54,3,11))</f>
        <v>77811158</v>
      </c>
      <c r="C56" t="str">
        <f t="shared" ref="C56:C58" si="3">C55</f>
        <v xml:space="preserve">Baseball Cap Shaka Cotton </v>
      </c>
      <c r="D56" s="2"/>
      <c r="E56" s="2"/>
      <c r="F56" s="2"/>
      <c r="G56" t="str">
        <f>_xlfn.LET(_xlpm.Searching,"59",_xlpm.inStr,IFERROR(FIND(_xlpm.Searching,$A60)&gt;=1,FALSE),IF(AND(_xlpm.inStr,LEN(A60)&lt;=6),$A61,""))</f>
        <v/>
      </c>
      <c r="H56" t="str">
        <f>_xlfn.LET(_xlpm.Searching,"61",_xlpm.inStr,IFERROR(FIND(_xlpm.Searching,$A60)&gt;=1,FALSE),IF(AND(_xlpm.inStr,LEN(A60)&lt;=6),$A61,""))</f>
        <v/>
      </c>
      <c r="I56" t="str">
        <f>_xlfn.LET(_xlpm.Searching,"63",_xlpm.inStr,IFERROR(FIND(_xlpm.Searching,$A60)&gt;=1,FALSE),IF(AND(_xlpm.inStr,LEN(A60)&lt;=6),$A61,""))</f>
        <v/>
      </c>
    </row>
    <row r="57" spans="1:10" x14ac:dyDescent="0.25">
      <c r="A57" s="6">
        <v>6</v>
      </c>
      <c r="B57" t="str" cm="1">
        <f t="array" ref="B57">БУКВЫ(MID($A54,3,11))</f>
        <v>77811158</v>
      </c>
      <c r="C57" t="str">
        <f t="shared" si="3"/>
        <v xml:space="preserve">Baseball Cap Shaka Cotton </v>
      </c>
      <c r="D57" s="2"/>
      <c r="E57" s="2"/>
      <c r="F57" s="2"/>
      <c r="G57" s="2"/>
      <c r="H57" t="str">
        <f>_xlfn.LET(_xlpm.Searching,"61",_xlpm.inStr,IFERROR(FIND(_xlpm.Searching,$A62)&gt;=1,FALSE),IF(AND(_xlpm.inStr,LEN(A62)&lt;=6),$A63,""))</f>
        <v/>
      </c>
      <c r="I57" t="str">
        <f>_xlfn.LET(_xlpm.Searching,"63",_xlpm.inStr,IFERROR(FIND(_xlpm.Searching,$A62)&gt;=1,FALSE),IF(AND(_xlpm.inStr,LEN(A62)&lt;=6),$A63,""))</f>
        <v/>
      </c>
    </row>
    <row r="58" spans="1:10" x14ac:dyDescent="0.25">
      <c r="A58" s="6" t="s">
        <v>65</v>
      </c>
      <c r="B58" t="str" cm="1">
        <f t="array" ref="B58">БУКВЫ(MID($A54,3,11))</f>
        <v>77811158</v>
      </c>
      <c r="C58" t="str">
        <f t="shared" si="3"/>
        <v xml:space="preserve">Baseball Cap Shaka Cotton </v>
      </c>
      <c r="D58" s="2"/>
      <c r="E58" s="2"/>
      <c r="F58" s="2"/>
      <c r="G58" s="2"/>
      <c r="H58" s="2"/>
      <c r="I58" t="str">
        <f>_xlfn.LET(_xlpm.Searching,"63",_xlpm.inStr,IFERROR(FIND(_xlpm.Searching,$A64)&gt;=1,FALSE),IF(AND(_xlpm.inStr,LEN(A64)&lt;=6),$A65,""))</f>
        <v/>
      </c>
    </row>
    <row r="59" spans="1:10" x14ac:dyDescent="0.25">
      <c r="A59" s="6" t="s">
        <v>93</v>
      </c>
    </row>
    <row r="60" spans="1:10" x14ac:dyDescent="0.25">
      <c r="A60" s="6" t="s">
        <v>94</v>
      </c>
    </row>
    <row r="61" spans="1:10" x14ac:dyDescent="0.25">
      <c r="A61" s="6" t="s">
        <v>18</v>
      </c>
    </row>
    <row r="62" spans="1:10" x14ac:dyDescent="0.25">
      <c r="A62" s="6" t="s">
        <v>36</v>
      </c>
    </row>
    <row r="63" spans="1:10" x14ac:dyDescent="0.25">
      <c r="A63" s="6" t="s">
        <v>37</v>
      </c>
    </row>
    <row r="64" spans="1:10" x14ac:dyDescent="0.25">
      <c r="A64" s="6" t="s">
        <v>38</v>
      </c>
    </row>
    <row r="65" spans="1:1" x14ac:dyDescent="0.25">
      <c r="A65" s="6" t="s">
        <v>39</v>
      </c>
    </row>
    <row r="66" spans="1:1" x14ac:dyDescent="0.25">
      <c r="A66" s="6" t="s">
        <v>40</v>
      </c>
    </row>
    <row r="67" spans="1:1" x14ac:dyDescent="0.25">
      <c r="A67" s="6" t="s">
        <v>41</v>
      </c>
    </row>
    <row r="68" spans="1:1" x14ac:dyDescent="0.25">
      <c r="A68" s="6" t="s">
        <v>42</v>
      </c>
    </row>
    <row r="69" spans="1:1" x14ac:dyDescent="0.25">
      <c r="A69" s="6" t="s">
        <v>43</v>
      </c>
    </row>
    <row r="70" spans="1:1" x14ac:dyDescent="0.25">
      <c r="A70" s="6" t="s">
        <v>44</v>
      </c>
    </row>
    <row r="71" spans="1:1" x14ac:dyDescent="0.25">
      <c r="A71" s="6" t="s">
        <v>45</v>
      </c>
    </row>
    <row r="72" spans="1:1" x14ac:dyDescent="0.25">
      <c r="A72" s="6" t="s">
        <v>46</v>
      </c>
    </row>
    <row r="73" spans="1:1" x14ac:dyDescent="0.25">
      <c r="A73" s="6" t="s">
        <v>47</v>
      </c>
    </row>
    <row r="74" spans="1:1" x14ac:dyDescent="0.25">
      <c r="A74" s="6" t="s">
        <v>48</v>
      </c>
    </row>
    <row r="75" spans="1:1" x14ac:dyDescent="0.25">
      <c r="A75" s="6" t="s">
        <v>49</v>
      </c>
    </row>
    <row r="76" spans="1:1" x14ac:dyDescent="0.25">
      <c r="A76" s="6" t="s">
        <v>81</v>
      </c>
    </row>
    <row r="77" spans="1:1" x14ac:dyDescent="0.25">
      <c r="A77" s="6" t="s">
        <v>95</v>
      </c>
    </row>
    <row r="78" spans="1:1" x14ac:dyDescent="0.25">
      <c r="A78" s="6" t="s">
        <v>50</v>
      </c>
    </row>
    <row r="79" spans="1:1" x14ac:dyDescent="0.25">
      <c r="A79" s="6" t="s">
        <v>21</v>
      </c>
    </row>
    <row r="80" spans="1:1" x14ac:dyDescent="0.25">
      <c r="A80" s="6" t="s">
        <v>22</v>
      </c>
    </row>
    <row r="81" spans="1:10" x14ac:dyDescent="0.25">
      <c r="A81" s="6" t="s">
        <v>23</v>
      </c>
    </row>
    <row r="82" spans="1:10" x14ac:dyDescent="0.25">
      <c r="A82" s="6" t="s">
        <v>24</v>
      </c>
    </row>
    <row r="83" spans="1:10" x14ac:dyDescent="0.25">
      <c r="A83" s="6" t="s">
        <v>25</v>
      </c>
    </row>
    <row r="84" spans="1:10" x14ac:dyDescent="0.25">
      <c r="A84" s="6" t="s">
        <v>26</v>
      </c>
    </row>
    <row r="85" spans="1:10" x14ac:dyDescent="0.25">
      <c r="A85" s="6" t="s">
        <v>27</v>
      </c>
      <c r="B85" s="1" t="s">
        <v>1</v>
      </c>
      <c r="C85" s="1" t="s">
        <v>220</v>
      </c>
      <c r="D85" s="1" t="s">
        <v>0</v>
      </c>
      <c r="E85" s="1">
        <v>55</v>
      </c>
      <c r="F85" s="1">
        <v>57</v>
      </c>
      <c r="G85" s="1">
        <v>59</v>
      </c>
      <c r="H85" s="1">
        <v>61</v>
      </c>
      <c r="I85" s="1">
        <v>63</v>
      </c>
      <c r="J85" s="3" t="s">
        <v>2</v>
      </c>
    </row>
    <row r="86" spans="1:10" x14ac:dyDescent="0.25">
      <c r="A86" s="6" t="s">
        <v>96</v>
      </c>
      <c r="B86" t="str" cm="1">
        <f t="array" ref="B86">БУКВЫ(MID($A86,3,11))</f>
        <v>778111875</v>
      </c>
      <c r="C86" t="str">
        <f>MID($A87,1,FIND("Per",A87)-1)</f>
        <v xml:space="preserve">Baseball Cap Camo Cotton </v>
      </c>
      <c r="D86">
        <f>_xlfn.LET(_xlpm.Searching,"OSFA",_xlpm.inStr,IFERROR(FIND(_xlpm.Searching,$A88)&gt;=1,FALSE),IF(AND(_xlpm.inStr,LEN(A88)&lt;=6),A89,""))</f>
        <v>6</v>
      </c>
      <c r="E86" t="str">
        <f>_xlfn.LET(_xlpm.Searching,"55",_xlpm.inStr,IFERROR(FIND(_xlpm.Searching,$A88)&gt;=1,FALSE),IF(AND(_xlpm.inStr,LEN(A88)&lt;=6),A89,""))</f>
        <v/>
      </c>
      <c r="F86" t="str">
        <f>_xlfn.LET(_xlpm.Searching,"57",_xlpm.inStr,IFERROR(FIND(_xlpm.Searching,$A88)&gt;=1,FALSE),IF(AND(_xlpm.inStr,LEN(A88)&lt;=6),$A89,""))&amp;F87</f>
        <v/>
      </c>
      <c r="G86" t="str">
        <f>_xlfn.LET(_xlpm.Searching,"59",_xlpm.inStr,IFERROR(FIND(_xlpm.Searching,$A88)&gt;=1,FALSE),IF(AND(_xlpm.inStr,LEN(A88)&lt;=6),$A89,""))&amp;G87&amp;G88</f>
        <v/>
      </c>
      <c r="H86" t="str">
        <f>_xlfn.LET(_xlpm.Searching,"61",_xlpm.inStr,IFERROR(FIND(_xlpm.Searching,$A88)&gt;=1,FALSE),IF(AND(_xlpm.inStr,LEN(A88)&lt;=6),$A89,""))&amp;H87&amp;H88&amp;H89</f>
        <v/>
      </c>
      <c r="I86" t="str">
        <f>_xlfn.LET(_xlpm.Searching,"63",_xlpm.inStr,IFERROR(FIND(_xlpm.Searching,$A88)&gt;=1,FALSE),IF(AND(_xlpm.inStr,LEN(A88)&lt;=6),$A89,""))&amp;I87&amp;I88&amp;I89&amp;I90</f>
        <v/>
      </c>
      <c r="J86" s="4">
        <f>MID(TRIM(RIGHT(A86,10)),1,LEN(TRIM(RIGHT(A86,10)))-3)*0.8</f>
        <v>11.920000000000002</v>
      </c>
    </row>
    <row r="87" spans="1:10" x14ac:dyDescent="0.25">
      <c r="A87" s="6" t="s">
        <v>97</v>
      </c>
      <c r="B87" t="str" cm="1">
        <f t="array" ref="B87">БУКВЫ(MID($A86,3,11))</f>
        <v>778111875</v>
      </c>
      <c r="C87" t="str">
        <f>C86</f>
        <v xml:space="preserve">Baseball Cap Camo Cotton </v>
      </c>
      <c r="D87" s="2"/>
      <c r="E87" s="2"/>
      <c r="F87" t="str">
        <f>_xlfn.LET(_xlpm.Searching,"57",_xlpm.inStr,IFERROR(FIND(_xlpm.Searching,$A90)&gt;=1,FALSE),IF(AND(_xlpm.inStr,LEN(A90)&lt;=6),$A91,""))</f>
        <v/>
      </c>
      <c r="G87" t="str">
        <f>_xlfn.LET(_xlpm.Searching,"59",_xlpm.inStr,IFERROR(FIND(_xlpm.Searching,$A90)&gt;=1,FALSE),IF(AND(_xlpm.inStr,LEN(A90)&lt;=6),$A91,""))</f>
        <v/>
      </c>
      <c r="H87" t="str">
        <f>_xlfn.LET(_xlpm.Searching,"61",_xlpm.inStr,IFERROR(FIND(_xlpm.Searching,$A90)&gt;=1,FALSE),IF(AND(_xlpm.inStr,LEN(A90)&lt;=6),$A91,""))</f>
        <v/>
      </c>
      <c r="I87" t="str">
        <f>_xlfn.LET(_xlpm.Searching,"63",_xlpm.inStr,IFERROR(FIND(_xlpm.Searching,$A90)&gt;=1,FALSE),IF(AND(_xlpm.inStr,LEN(A90)&lt;=6),$A91,""))</f>
        <v/>
      </c>
    </row>
    <row r="88" spans="1:10" x14ac:dyDescent="0.25">
      <c r="A88" s="6" t="s">
        <v>0</v>
      </c>
      <c r="B88" t="str" cm="1">
        <f t="array" ref="B88">БУКВЫ(MID($A86,3,11))</f>
        <v>778111875</v>
      </c>
      <c r="C88" t="str">
        <f t="shared" ref="C88:C90" si="4">C87</f>
        <v xml:space="preserve">Baseball Cap Camo Cotton </v>
      </c>
      <c r="D88" s="2"/>
      <c r="E88" s="2"/>
      <c r="F88" s="2"/>
      <c r="G88" t="str">
        <f>_xlfn.LET(_xlpm.Searching,"59",_xlpm.inStr,IFERROR(FIND(_xlpm.Searching,$A92)&gt;=1,FALSE),IF(AND(_xlpm.inStr,LEN(A92)&lt;=6),$A93,""))</f>
        <v/>
      </c>
      <c r="H88" t="str">
        <f>_xlfn.LET(_xlpm.Searching,"61",_xlpm.inStr,IFERROR(FIND(_xlpm.Searching,$A92)&gt;=1,FALSE),IF(AND(_xlpm.inStr,LEN(A92)&lt;=6),$A93,""))</f>
        <v/>
      </c>
      <c r="I88" t="str">
        <f>_xlfn.LET(_xlpm.Searching,"63",_xlpm.inStr,IFERROR(FIND(_xlpm.Searching,$A92)&gt;=1,FALSE),IF(AND(_xlpm.inStr,LEN(A92)&lt;=6),$A93,""))</f>
        <v/>
      </c>
    </row>
    <row r="89" spans="1:10" x14ac:dyDescent="0.25">
      <c r="A89" s="6">
        <v>6</v>
      </c>
      <c r="B89" t="str" cm="1">
        <f t="array" ref="B89">БУКВЫ(MID($A86,3,11))</f>
        <v>778111875</v>
      </c>
      <c r="C89" t="str">
        <f t="shared" si="4"/>
        <v xml:space="preserve">Baseball Cap Camo Cotton </v>
      </c>
      <c r="D89" s="2"/>
      <c r="E89" s="2"/>
      <c r="F89" s="2"/>
      <c r="G89" s="2"/>
      <c r="H89" t="str">
        <f>_xlfn.LET(_xlpm.Searching,"61",_xlpm.inStr,IFERROR(FIND(_xlpm.Searching,$A94)&gt;=1,FALSE),IF(AND(_xlpm.inStr,LEN(A94)&lt;=6),$A95,""))</f>
        <v/>
      </c>
      <c r="I89" t="str">
        <f>_xlfn.LET(_xlpm.Searching,"63",_xlpm.inStr,IFERROR(FIND(_xlpm.Searching,$A94)&gt;=1,FALSE),IF(AND(_xlpm.inStr,LEN(A94)&lt;=6),$A95,""))</f>
        <v/>
      </c>
    </row>
    <row r="90" spans="1:10" x14ac:dyDescent="0.25">
      <c r="A90" s="6" t="s">
        <v>65</v>
      </c>
      <c r="B90" t="str" cm="1">
        <f t="array" ref="B90">БУКВЫ(MID($A86,3,11))</f>
        <v>778111875</v>
      </c>
      <c r="C90" t="str">
        <f t="shared" si="4"/>
        <v xml:space="preserve">Baseball Cap Camo Cotton </v>
      </c>
      <c r="D90" s="2"/>
      <c r="E90" s="2"/>
      <c r="F90" s="2"/>
      <c r="G90" s="2"/>
      <c r="H90" s="2"/>
      <c r="I90" t="str">
        <f>_xlfn.LET(_xlpm.Searching,"63",_xlpm.inStr,IFERROR(FIND(_xlpm.Searching,$A96)&gt;=1,FALSE),IF(AND(_xlpm.inStr,LEN(A96)&lt;=6),$A97,""))</f>
        <v/>
      </c>
    </row>
    <row r="91" spans="1:10" x14ac:dyDescent="0.25">
      <c r="A91" s="6" t="s">
        <v>93</v>
      </c>
    </row>
    <row r="92" spans="1:10" x14ac:dyDescent="0.25">
      <c r="A92" s="6" t="s">
        <v>94</v>
      </c>
      <c r="B92" s="1" t="s">
        <v>1</v>
      </c>
      <c r="C92" s="1" t="s">
        <v>220</v>
      </c>
      <c r="D92" s="1" t="s">
        <v>0</v>
      </c>
      <c r="E92" s="1">
        <v>55</v>
      </c>
      <c r="F92" s="1">
        <v>57</v>
      </c>
      <c r="G92" s="1">
        <v>59</v>
      </c>
      <c r="H92" s="1">
        <v>61</v>
      </c>
      <c r="I92" s="1">
        <v>63</v>
      </c>
      <c r="J92" s="3" t="s">
        <v>2</v>
      </c>
    </row>
    <row r="93" spans="1:10" x14ac:dyDescent="0.25">
      <c r="A93" s="6" t="s">
        <v>98</v>
      </c>
      <c r="B93" t="str" cm="1">
        <f t="array" ref="B93">БУКВЫ(MID($A93,3,11))</f>
        <v>778112031</v>
      </c>
      <c r="C93" t="str">
        <f>MID($A94,1,FIND("Per",A94)-1)</f>
        <v xml:space="preserve">Baseball Cap Cotton </v>
      </c>
      <c r="D93">
        <f>_xlfn.LET(_xlpm.Searching,"OSFA",_xlpm.inStr,IFERROR(FIND(_xlpm.Searching,$A95)&gt;=1,FALSE),IF(AND(_xlpm.inStr,LEN(A95)&lt;=6),A96,""))</f>
        <v>6</v>
      </c>
      <c r="E93" t="str">
        <f>_xlfn.LET(_xlpm.Searching,"55",_xlpm.inStr,IFERROR(FIND(_xlpm.Searching,$A95)&gt;=1,FALSE),IF(AND(_xlpm.inStr,LEN(A95)&lt;=6),A96,""))</f>
        <v/>
      </c>
      <c r="F93" t="str">
        <f>_xlfn.LET(_xlpm.Searching,"57",_xlpm.inStr,IFERROR(FIND(_xlpm.Searching,$A95)&gt;=1,FALSE),IF(AND(_xlpm.inStr,LEN(A95)&lt;=6),$A96,""))&amp;F94</f>
        <v/>
      </c>
      <c r="G93" t="str">
        <f>_xlfn.LET(_xlpm.Searching,"59",_xlpm.inStr,IFERROR(FIND(_xlpm.Searching,$A95)&gt;=1,FALSE),IF(AND(_xlpm.inStr,LEN(A95)&lt;=6),$A96,""))&amp;G94&amp;G95</f>
        <v/>
      </c>
      <c r="H93" t="str">
        <f>_xlfn.LET(_xlpm.Searching,"61",_xlpm.inStr,IFERROR(FIND(_xlpm.Searching,$A95)&gt;=1,FALSE),IF(AND(_xlpm.inStr,LEN(A95)&lt;=6),$A96,""))&amp;H94&amp;H95&amp;H96</f>
        <v/>
      </c>
      <c r="I93" t="str">
        <f>_xlfn.LET(_xlpm.Searching,"63",_xlpm.inStr,IFERROR(FIND(_xlpm.Searching,$A95)&gt;=1,FALSE),IF(AND(_xlpm.inStr,LEN(A95)&lt;=6),$A96,""))&amp;I94&amp;I95&amp;I96&amp;I97</f>
        <v/>
      </c>
      <c r="J93" s="4">
        <f>MID(TRIM(RIGHT(A93,10)),1,LEN(TRIM(RIGHT(A93,10)))-3)*0.8</f>
        <v>11.920000000000002</v>
      </c>
    </row>
    <row r="94" spans="1:10" x14ac:dyDescent="0.25">
      <c r="A94" s="6" t="s">
        <v>62</v>
      </c>
      <c r="B94" t="str" cm="1">
        <f t="array" ref="B94">БУКВЫ(MID($A93,3,11))</f>
        <v>778112031</v>
      </c>
      <c r="C94" t="str">
        <f>C93</f>
        <v xml:space="preserve">Baseball Cap Cotton </v>
      </c>
      <c r="D94" s="2"/>
      <c r="E94" s="2"/>
      <c r="F94" t="str">
        <f>_xlfn.LET(_xlpm.Searching,"57",_xlpm.inStr,IFERROR(FIND(_xlpm.Searching,$A97)&gt;=1,FALSE),IF(AND(_xlpm.inStr,LEN(A97)&lt;=6),$A98,""))</f>
        <v/>
      </c>
      <c r="G94" t="str">
        <f>_xlfn.LET(_xlpm.Searching,"59",_xlpm.inStr,IFERROR(FIND(_xlpm.Searching,$A97)&gt;=1,FALSE),IF(AND(_xlpm.inStr,LEN(A97)&lt;=6),$A98,""))</f>
        <v/>
      </c>
      <c r="H94" t="str">
        <f>_xlfn.LET(_xlpm.Searching,"61",_xlpm.inStr,IFERROR(FIND(_xlpm.Searching,$A97)&gt;=1,FALSE),IF(AND(_xlpm.inStr,LEN(A97)&lt;=6),$A98,""))</f>
        <v/>
      </c>
      <c r="I94" t="str">
        <f>_xlfn.LET(_xlpm.Searching,"63",_xlpm.inStr,IFERROR(FIND(_xlpm.Searching,$A97)&gt;=1,FALSE),IF(AND(_xlpm.inStr,LEN(A97)&lt;=6),$A98,""))</f>
        <v/>
      </c>
    </row>
    <row r="95" spans="1:10" x14ac:dyDescent="0.25">
      <c r="A95" s="6" t="s">
        <v>0</v>
      </c>
      <c r="B95" t="str" cm="1">
        <f t="array" ref="B95">БУКВЫ(MID($A93,3,11))</f>
        <v>778112031</v>
      </c>
      <c r="C95" t="str">
        <f t="shared" ref="C95:C97" si="5">C94</f>
        <v xml:space="preserve">Baseball Cap Cotton </v>
      </c>
      <c r="D95" s="2"/>
      <c r="E95" s="2"/>
      <c r="F95" s="2"/>
      <c r="G95" t="str">
        <f>_xlfn.LET(_xlpm.Searching,"59",_xlpm.inStr,IFERROR(FIND(_xlpm.Searching,$A99)&gt;=1,FALSE),IF(AND(_xlpm.inStr,LEN(A99)&lt;=6),$A100,""))</f>
        <v/>
      </c>
      <c r="H95" t="str">
        <f>_xlfn.LET(_xlpm.Searching,"61",_xlpm.inStr,IFERROR(FIND(_xlpm.Searching,$A99)&gt;=1,FALSE),IF(AND(_xlpm.inStr,LEN(A99)&lt;=6),$A100,""))</f>
        <v/>
      </c>
      <c r="I95" t="str">
        <f>_xlfn.LET(_xlpm.Searching,"63",_xlpm.inStr,IFERROR(FIND(_xlpm.Searching,$A99)&gt;=1,FALSE),IF(AND(_xlpm.inStr,LEN(A99)&lt;=6),$A100,""))</f>
        <v/>
      </c>
    </row>
    <row r="96" spans="1:10" x14ac:dyDescent="0.25">
      <c r="A96" s="6">
        <v>6</v>
      </c>
      <c r="B96" t="str" cm="1">
        <f t="array" ref="B96">БУКВЫ(MID($A93,3,11))</f>
        <v>778112031</v>
      </c>
      <c r="C96" t="str">
        <f t="shared" si="5"/>
        <v xml:space="preserve">Baseball Cap Cotton </v>
      </c>
      <c r="D96" s="2"/>
      <c r="E96" s="2"/>
      <c r="F96" s="2"/>
      <c r="G96" s="2"/>
      <c r="H96" t="str">
        <f>_xlfn.LET(_xlpm.Searching,"61",_xlpm.inStr,IFERROR(FIND(_xlpm.Searching,$A101)&gt;=1,FALSE),IF(AND(_xlpm.inStr,LEN(A101)&lt;=6),$A102,""))</f>
        <v/>
      </c>
      <c r="I96" t="str">
        <f>_xlfn.LET(_xlpm.Searching,"63",_xlpm.inStr,IFERROR(FIND(_xlpm.Searching,$A101)&gt;=1,FALSE),IF(AND(_xlpm.inStr,LEN(A101)&lt;=6),$A102,""))</f>
        <v/>
      </c>
    </row>
    <row r="97" spans="1:10" x14ac:dyDescent="0.25">
      <c r="A97" s="6" t="s">
        <v>65</v>
      </c>
      <c r="B97" t="str" cm="1">
        <f t="array" ref="B97">БУКВЫ(MID($A93,3,11))</f>
        <v>778112031</v>
      </c>
      <c r="C97" t="str">
        <f t="shared" si="5"/>
        <v xml:space="preserve">Baseball Cap Cotton </v>
      </c>
      <c r="D97" s="2"/>
      <c r="E97" s="2"/>
      <c r="F97" s="2"/>
      <c r="G97" s="2"/>
      <c r="H97" s="2"/>
      <c r="I97" t="str">
        <f>_xlfn.LET(_xlpm.Searching,"63",_xlpm.inStr,IFERROR(FIND(_xlpm.Searching,$A103)&gt;=1,FALSE),IF(AND(_xlpm.inStr,LEN(A103)&lt;=6),$A104,""))</f>
        <v/>
      </c>
    </row>
    <row r="98" spans="1:10" x14ac:dyDescent="0.25">
      <c r="A98" s="6" t="s">
        <v>93</v>
      </c>
    </row>
    <row r="99" spans="1:10" x14ac:dyDescent="0.25">
      <c r="A99" s="6" t="s">
        <v>94</v>
      </c>
      <c r="B99" s="1" t="s">
        <v>1</v>
      </c>
      <c r="C99" s="1" t="s">
        <v>220</v>
      </c>
      <c r="D99" s="1" t="s">
        <v>0</v>
      </c>
      <c r="E99" s="1">
        <v>55</v>
      </c>
      <c r="F99" s="1">
        <v>57</v>
      </c>
      <c r="G99" s="1">
        <v>59</v>
      </c>
      <c r="H99" s="1">
        <v>61</v>
      </c>
      <c r="I99" s="1">
        <v>63</v>
      </c>
      <c r="J99" s="3" t="s">
        <v>2</v>
      </c>
    </row>
    <row r="100" spans="1:10" x14ac:dyDescent="0.25">
      <c r="A100" s="6" t="s">
        <v>99</v>
      </c>
      <c r="B100" t="str" cm="1">
        <f t="array" ref="B100">БУКВЫ(MID($A100,3,11))</f>
        <v>66111302</v>
      </c>
      <c r="C100" t="str">
        <f>MID($A101,1,FIND("Per",A101)-1)</f>
        <v xml:space="preserve">Texas Denim </v>
      </c>
      <c r="D100" t="str">
        <f>_xlfn.LET(_xlpm.Searching,"OSFA",_xlpm.inStr,IFERROR(FIND(_xlpm.Searching,$A102)&gt;=1,FALSE),IF(AND(_xlpm.inStr,LEN(A102)&lt;=6),A103,""))</f>
        <v/>
      </c>
      <c r="E100">
        <f>_xlfn.LET(_xlpm.Searching,"55",_xlpm.inStr,IFERROR(FIND(_xlpm.Searching,$A102)&gt;=1,FALSE),IF(AND(_xlpm.inStr,LEN(A102)&lt;=6),A103,""))</f>
        <v>1</v>
      </c>
      <c r="F100" t="str">
        <f>_xlfn.LET(_xlpm.Searching,"57",_xlpm.inStr,IFERROR(FIND(_xlpm.Searching,$A102)&gt;=1,FALSE),IF(AND(_xlpm.inStr,LEN(A102)&lt;=6),$A103,""))&amp;F101</f>
        <v>5</v>
      </c>
      <c r="G100" t="str">
        <f>_xlfn.LET(_xlpm.Searching,"59",_xlpm.inStr,IFERROR(FIND(_xlpm.Searching,$A102)&gt;=1,FALSE),IF(AND(_xlpm.inStr,LEN(A102)&lt;=6),$A103,""))&amp;G101&amp;G102</f>
        <v>7</v>
      </c>
      <c r="H100" t="str">
        <f>_xlfn.LET(_xlpm.Searching,"61",_xlpm.inStr,IFERROR(FIND(_xlpm.Searching,$A102)&gt;=1,FALSE),IF(AND(_xlpm.inStr,LEN(A102)&lt;=6),$A103,""))&amp;H101&amp;H102&amp;H103</f>
        <v>5</v>
      </c>
      <c r="I100" t="str">
        <f>_xlfn.LET(_xlpm.Searching,"63",_xlpm.inStr,IFERROR(FIND(_xlpm.Searching,$A102)&gt;=1,FALSE),IF(AND(_xlpm.inStr,LEN(A102)&lt;=6),$A103,""))&amp;I101&amp;I102&amp;I103&amp;I104</f>
        <v>3</v>
      </c>
      <c r="J100" s="4">
        <f>MID(TRIM(RIGHT(A100,10)),1,LEN(TRIM(RIGHT(A100,10)))-3)*0.8</f>
        <v>18.32</v>
      </c>
    </row>
    <row r="101" spans="1:10" x14ac:dyDescent="0.25">
      <c r="A101" s="6" t="s">
        <v>100</v>
      </c>
      <c r="B101" t="str" cm="1">
        <f t="array" ref="B101">БУКВЫ(MID($A100,3,11))</f>
        <v>66111302</v>
      </c>
      <c r="C101" t="str">
        <f>C100</f>
        <v xml:space="preserve">Texas Denim </v>
      </c>
      <c r="D101" s="2"/>
      <c r="E101" s="2"/>
      <c r="F101">
        <f>_xlfn.LET(_xlpm.Searching,"57",_xlpm.inStr,IFERROR(FIND(_xlpm.Searching,$A104)&gt;=1,FALSE),IF(AND(_xlpm.inStr,LEN(A104)&lt;=6),$A105,""))</f>
        <v>5</v>
      </c>
      <c r="G101" t="str">
        <f>_xlfn.LET(_xlpm.Searching,"59",_xlpm.inStr,IFERROR(FIND(_xlpm.Searching,$A104)&gt;=1,FALSE),IF(AND(_xlpm.inStr,LEN(A104)&lt;=6),$A105,""))</f>
        <v/>
      </c>
      <c r="H101" t="str">
        <f>_xlfn.LET(_xlpm.Searching,"61",_xlpm.inStr,IFERROR(FIND(_xlpm.Searching,$A104)&gt;=1,FALSE),IF(AND(_xlpm.inStr,LEN(A104)&lt;=6),$A105,""))</f>
        <v/>
      </c>
      <c r="I101" t="str">
        <f>_xlfn.LET(_xlpm.Searching,"63",_xlpm.inStr,IFERROR(FIND(_xlpm.Searching,$A104)&gt;=1,FALSE),IF(AND(_xlpm.inStr,LEN(A104)&lt;=6),$A105,""))</f>
        <v/>
      </c>
    </row>
    <row r="102" spans="1:10" x14ac:dyDescent="0.25">
      <c r="A102" s="6" t="s">
        <v>32</v>
      </c>
      <c r="B102" t="str" cm="1">
        <f t="array" ref="B102">БУКВЫ(MID($A100,3,11))</f>
        <v>66111302</v>
      </c>
      <c r="C102" t="str">
        <f t="shared" ref="C102:C104" si="6">C101</f>
        <v xml:space="preserve">Texas Denim </v>
      </c>
      <c r="D102" s="2"/>
      <c r="E102" s="2"/>
      <c r="F102" s="2"/>
      <c r="G102">
        <f>_xlfn.LET(_xlpm.Searching,"59",_xlpm.inStr,IFERROR(FIND(_xlpm.Searching,$A106)&gt;=1,FALSE),IF(AND(_xlpm.inStr,LEN(A106)&lt;=6),$A107,""))</f>
        <v>7</v>
      </c>
      <c r="H102" t="str">
        <f>_xlfn.LET(_xlpm.Searching,"61",_xlpm.inStr,IFERROR(FIND(_xlpm.Searching,$A106)&gt;=1,FALSE),IF(AND(_xlpm.inStr,LEN(A106)&lt;=6),$A107,""))</f>
        <v/>
      </c>
      <c r="I102" t="str">
        <f>_xlfn.LET(_xlpm.Searching,"63",_xlpm.inStr,IFERROR(FIND(_xlpm.Searching,$A106)&gt;=1,FALSE),IF(AND(_xlpm.inStr,LEN(A106)&lt;=6),$A107,""))</f>
        <v/>
      </c>
    </row>
    <row r="103" spans="1:10" x14ac:dyDescent="0.25">
      <c r="A103" s="6">
        <v>1</v>
      </c>
      <c r="B103" t="str" cm="1">
        <f t="array" ref="B103">БУКВЫ(MID($A100,3,11))</f>
        <v>66111302</v>
      </c>
      <c r="C103" t="str">
        <f t="shared" si="6"/>
        <v xml:space="preserve">Texas Denim </v>
      </c>
      <c r="D103" s="2"/>
      <c r="E103" s="2"/>
      <c r="F103" s="2"/>
      <c r="G103" s="2"/>
      <c r="H103">
        <f>_xlfn.LET(_xlpm.Searching,"61",_xlpm.inStr,IFERROR(FIND(_xlpm.Searching,$A108)&gt;=1,FALSE),IF(AND(_xlpm.inStr,LEN(A108)&lt;=6),$A109,""))</f>
        <v>5</v>
      </c>
      <c r="I103" t="str">
        <f>_xlfn.LET(_xlpm.Searching,"63",_xlpm.inStr,IFERROR(FIND(_xlpm.Searching,$A108)&gt;=1,FALSE),IF(AND(_xlpm.inStr,LEN(A108)&lt;=6),$A109,""))</f>
        <v/>
      </c>
    </row>
    <row r="104" spans="1:10" x14ac:dyDescent="0.25">
      <c r="A104" s="6" t="s">
        <v>33</v>
      </c>
      <c r="B104" t="str" cm="1">
        <f t="array" ref="B104">БУКВЫ(MID($A100,3,11))</f>
        <v>66111302</v>
      </c>
      <c r="C104" t="str">
        <f t="shared" si="6"/>
        <v xml:space="preserve">Texas Denim </v>
      </c>
      <c r="D104" s="2"/>
      <c r="E104" s="2"/>
      <c r="F104" s="2"/>
      <c r="G104" s="2"/>
      <c r="H104" s="2"/>
      <c r="I104">
        <f>_xlfn.LET(_xlpm.Searching,"63",_xlpm.inStr,IFERROR(FIND(_xlpm.Searching,$A110)&gt;=1,FALSE),IF(AND(_xlpm.inStr,LEN(A110)&lt;=6),$A111,""))</f>
        <v>3</v>
      </c>
    </row>
    <row r="105" spans="1:10" x14ac:dyDescent="0.25">
      <c r="A105" s="6">
        <v>5</v>
      </c>
    </row>
    <row r="106" spans="1:10" x14ac:dyDescent="0.25">
      <c r="A106" s="6" t="s">
        <v>30</v>
      </c>
    </row>
    <row r="107" spans="1:10" x14ac:dyDescent="0.25">
      <c r="A107" s="6">
        <v>7</v>
      </c>
    </row>
    <row r="108" spans="1:10" x14ac:dyDescent="0.25">
      <c r="A108" s="6" t="s">
        <v>31</v>
      </c>
    </row>
    <row r="109" spans="1:10" x14ac:dyDescent="0.25">
      <c r="A109" s="6">
        <v>5</v>
      </c>
    </row>
    <row r="110" spans="1:10" x14ac:dyDescent="0.25">
      <c r="A110" s="6" t="s">
        <v>34</v>
      </c>
    </row>
    <row r="111" spans="1:10" x14ac:dyDescent="0.25">
      <c r="A111" s="6">
        <v>3</v>
      </c>
    </row>
    <row r="112" spans="1:10" x14ac:dyDescent="0.25">
      <c r="A112" s="6" t="s">
        <v>101</v>
      </c>
    </row>
    <row r="113" spans="1:10" x14ac:dyDescent="0.25">
      <c r="A113" s="6" t="s">
        <v>69</v>
      </c>
    </row>
    <row r="114" spans="1:10" x14ac:dyDescent="0.25">
      <c r="A114" s="6" t="s">
        <v>102</v>
      </c>
      <c r="B114" s="1" t="s">
        <v>1</v>
      </c>
      <c r="C114" s="1" t="s">
        <v>220</v>
      </c>
      <c r="D114" s="1" t="s">
        <v>0</v>
      </c>
      <c r="E114" s="1">
        <v>55</v>
      </c>
      <c r="F114" s="1">
        <v>57</v>
      </c>
      <c r="G114" s="1">
        <v>59</v>
      </c>
      <c r="H114" s="1">
        <v>61</v>
      </c>
      <c r="I114" s="1">
        <v>63</v>
      </c>
      <c r="J114" s="3" t="s">
        <v>2</v>
      </c>
    </row>
    <row r="115" spans="1:10" x14ac:dyDescent="0.25">
      <c r="A115" s="6" t="s">
        <v>103</v>
      </c>
      <c r="B115" t="str" cm="1">
        <f t="array" ref="B115">БУКВЫ(MID($A115,3,11))</f>
        <v>66111052</v>
      </c>
      <c r="C115" t="str">
        <f>MID($A116,1,FIND("Per",A116)-1)</f>
        <v xml:space="preserve">Texas Cotton </v>
      </c>
      <c r="D115" t="str">
        <f>_xlfn.LET(_xlpm.Searching,"OSFA",_xlpm.inStr,IFERROR(FIND(_xlpm.Searching,$A117)&gt;=1,FALSE),IF(AND(_xlpm.inStr,LEN(A117)&lt;=6),A118,""))</f>
        <v/>
      </c>
      <c r="E115" t="str">
        <f>_xlfn.LET(_xlpm.Searching,"55",_xlpm.inStr,IFERROR(FIND(_xlpm.Searching,$A117)&gt;=1,FALSE),IF(AND(_xlpm.inStr,LEN(A117)&lt;=6),A118,""))</f>
        <v/>
      </c>
      <c r="F115" t="str">
        <f>_xlfn.LET(_xlpm.Searching,"57",_xlpm.inStr,IFERROR(FIND(_xlpm.Searching,$A117)&gt;=1,FALSE),IF(AND(_xlpm.inStr,LEN(A117)&lt;=6),$A118,""))&amp;F116</f>
        <v>5</v>
      </c>
      <c r="G115" t="str">
        <f>_xlfn.LET(_xlpm.Searching,"59",_xlpm.inStr,IFERROR(FIND(_xlpm.Searching,$A117)&gt;=1,FALSE),IF(AND(_xlpm.inStr,LEN(A117)&lt;=6),$A118,""))&amp;G116&amp;G117</f>
        <v>5</v>
      </c>
      <c r="H115" t="str">
        <f>_xlfn.LET(_xlpm.Searching,"61",_xlpm.inStr,IFERROR(FIND(_xlpm.Searching,$A117)&gt;=1,FALSE),IF(AND(_xlpm.inStr,LEN(A117)&lt;=6),$A118,""))&amp;H116&amp;H117&amp;H118</f>
        <v/>
      </c>
      <c r="I115" t="str">
        <f>_xlfn.LET(_xlpm.Searching,"63",_xlpm.inStr,IFERROR(FIND(_xlpm.Searching,$A117)&gt;=1,FALSE),IF(AND(_xlpm.inStr,LEN(A117)&lt;=6),$A118,""))&amp;I116&amp;I117&amp;I118&amp;I119</f>
        <v/>
      </c>
      <c r="J115" s="4">
        <f>MID(TRIM(RIGHT(A115,10)),1,LEN(TRIM(RIGHT(A115,10)))-3)*0.8</f>
        <v>10.32</v>
      </c>
    </row>
    <row r="116" spans="1:10" x14ac:dyDescent="0.25">
      <c r="A116" s="6" t="s">
        <v>64</v>
      </c>
      <c r="B116" t="str" cm="1">
        <f t="array" ref="B116">БУКВЫ(MID($A115,3,11))</f>
        <v>66111052</v>
      </c>
      <c r="C116" t="str">
        <f>C115</f>
        <v xml:space="preserve">Texas Cotton </v>
      </c>
      <c r="D116" s="2"/>
      <c r="E116" s="2"/>
      <c r="F116" t="str">
        <f>_xlfn.LET(_xlpm.Searching,"57",_xlpm.inStr,IFERROR(FIND(_xlpm.Searching,$A119)&gt;=1,FALSE),IF(AND(_xlpm.inStr,LEN(A119)&lt;=6),$A120,""))</f>
        <v/>
      </c>
      <c r="G116">
        <f>_xlfn.LET(_xlpm.Searching,"59",_xlpm.inStr,IFERROR(FIND(_xlpm.Searching,$A119)&gt;=1,FALSE),IF(AND(_xlpm.inStr,LEN(A119)&lt;=6),$A120,""))</f>
        <v>5</v>
      </c>
      <c r="H116" t="str">
        <f>_xlfn.LET(_xlpm.Searching,"61",_xlpm.inStr,IFERROR(FIND(_xlpm.Searching,$A119)&gt;=1,FALSE),IF(AND(_xlpm.inStr,LEN(A119)&lt;=6),$A120,""))</f>
        <v/>
      </c>
      <c r="I116" t="str">
        <f>_xlfn.LET(_xlpm.Searching,"63",_xlpm.inStr,IFERROR(FIND(_xlpm.Searching,$A119)&gt;=1,FALSE),IF(AND(_xlpm.inStr,LEN(A119)&lt;=6),$A120,""))</f>
        <v/>
      </c>
    </row>
    <row r="117" spans="1:10" x14ac:dyDescent="0.25">
      <c r="A117" s="6" t="s">
        <v>33</v>
      </c>
      <c r="B117" t="str" cm="1">
        <f t="array" ref="B117">БУКВЫ(MID($A115,3,11))</f>
        <v>66111052</v>
      </c>
      <c r="C117" t="str">
        <f t="shared" ref="C117:C119" si="7">C116</f>
        <v xml:space="preserve">Texas Cotton </v>
      </c>
      <c r="D117" s="2"/>
      <c r="E117" s="2"/>
      <c r="F117" s="2"/>
      <c r="G117" t="str">
        <f>_xlfn.LET(_xlpm.Searching,"59",_xlpm.inStr,IFERROR(FIND(_xlpm.Searching,$A121)&gt;=1,FALSE),IF(AND(_xlpm.inStr,LEN(A121)&lt;=6),$A122,""))</f>
        <v/>
      </c>
      <c r="H117" t="str">
        <f>_xlfn.LET(_xlpm.Searching,"61",_xlpm.inStr,IFERROR(FIND(_xlpm.Searching,$A121)&gt;=1,FALSE),IF(AND(_xlpm.inStr,LEN(A121)&lt;=6),$A122,""))</f>
        <v/>
      </c>
      <c r="I117" t="str">
        <f>_xlfn.LET(_xlpm.Searching,"63",_xlpm.inStr,IFERROR(FIND(_xlpm.Searching,$A121)&gt;=1,FALSE),IF(AND(_xlpm.inStr,LEN(A121)&lt;=6),$A122,""))</f>
        <v/>
      </c>
    </row>
    <row r="118" spans="1:10" x14ac:dyDescent="0.25">
      <c r="A118" s="6">
        <v>5</v>
      </c>
      <c r="B118" t="str" cm="1">
        <f t="array" ref="B118">БУКВЫ(MID($A115,3,11))</f>
        <v>66111052</v>
      </c>
      <c r="C118" t="str">
        <f t="shared" si="7"/>
        <v xml:space="preserve">Texas Cotton </v>
      </c>
      <c r="D118" s="2"/>
      <c r="E118" s="2"/>
      <c r="F118" s="2"/>
      <c r="G118" s="2"/>
      <c r="H118" t="str">
        <f>_xlfn.LET(_xlpm.Searching,"61",_xlpm.inStr,IFERROR(FIND(_xlpm.Searching,$A123)&gt;=1,FALSE),IF(AND(_xlpm.inStr,LEN(A123)&lt;=6),$A124,""))</f>
        <v/>
      </c>
      <c r="I118" t="str">
        <f>_xlfn.LET(_xlpm.Searching,"63",_xlpm.inStr,IFERROR(FIND(_xlpm.Searching,$A123)&gt;=1,FALSE),IF(AND(_xlpm.inStr,LEN(A123)&lt;=6),$A124,""))</f>
        <v/>
      </c>
    </row>
    <row r="119" spans="1:10" x14ac:dyDescent="0.25">
      <c r="A119" s="6" t="s">
        <v>30</v>
      </c>
      <c r="B119" t="str" cm="1">
        <f t="array" ref="B119">БУКВЫ(MID($A115,3,11))</f>
        <v>66111052</v>
      </c>
      <c r="C119" t="str">
        <f t="shared" si="7"/>
        <v xml:space="preserve">Texas Cotton </v>
      </c>
      <c r="D119" s="2"/>
      <c r="E119" s="2"/>
      <c r="F119" s="2"/>
      <c r="G119" s="2"/>
      <c r="H119" s="2"/>
      <c r="I119" t="str">
        <f>_xlfn.LET(_xlpm.Searching,"63",_xlpm.inStr,IFERROR(FIND(_xlpm.Searching,$A125)&gt;=1,FALSE),IF(AND(_xlpm.inStr,LEN(A125)&lt;=6),$A126,""))</f>
        <v/>
      </c>
    </row>
    <row r="120" spans="1:10" x14ac:dyDescent="0.25">
      <c r="A120" s="6">
        <v>5</v>
      </c>
    </row>
    <row r="121" spans="1:10" x14ac:dyDescent="0.25">
      <c r="A121" s="6" t="s">
        <v>65</v>
      </c>
    </row>
    <row r="122" spans="1:10" x14ac:dyDescent="0.25">
      <c r="A122" s="6" t="s">
        <v>104</v>
      </c>
    </row>
    <row r="123" spans="1:10" x14ac:dyDescent="0.25">
      <c r="A123" s="6" t="s">
        <v>105</v>
      </c>
      <c r="B123" s="1" t="s">
        <v>1</v>
      </c>
      <c r="C123" s="1" t="s">
        <v>220</v>
      </c>
      <c r="D123" s="1" t="s">
        <v>0</v>
      </c>
      <c r="E123" s="1">
        <v>55</v>
      </c>
      <c r="F123" s="1">
        <v>57</v>
      </c>
      <c r="G123" s="1">
        <v>59</v>
      </c>
      <c r="H123" s="1">
        <v>61</v>
      </c>
      <c r="I123" s="1">
        <v>63</v>
      </c>
      <c r="J123" s="3" t="s">
        <v>2</v>
      </c>
    </row>
    <row r="124" spans="1:10" x14ac:dyDescent="0.25">
      <c r="A124" s="6" t="s">
        <v>106</v>
      </c>
      <c r="B124" t="str" cm="1">
        <f t="array" ref="B124">БУКВЫ(MID($A124,3,11))</f>
        <v>661110532</v>
      </c>
      <c r="C124" t="str">
        <f>MID($A125,1,FIND("Per",A125)-1)</f>
        <v xml:space="preserve">Texas Cotton </v>
      </c>
      <c r="D124" t="str">
        <f>_xlfn.LET(_xlpm.Searching,"OSFA",_xlpm.inStr,IFERROR(FIND(_xlpm.Searching,$A126)&gt;=1,FALSE),IF(AND(_xlpm.inStr,LEN(A126)&lt;=6),A127,""))</f>
        <v/>
      </c>
      <c r="E124" t="str">
        <f>_xlfn.LET(_xlpm.Searching,"55",_xlpm.inStr,IFERROR(FIND(_xlpm.Searching,$A126)&gt;=1,FALSE),IF(AND(_xlpm.inStr,LEN(A126)&lt;=6),A127,""))</f>
        <v/>
      </c>
      <c r="F124" t="str">
        <f>_xlfn.LET(_xlpm.Searching,"57",_xlpm.inStr,IFERROR(FIND(_xlpm.Searching,$A126)&gt;=1,FALSE),IF(AND(_xlpm.inStr,LEN(A126)&lt;=6),$A127,""))&amp;F125</f>
        <v>4</v>
      </c>
      <c r="G124" t="str">
        <f>_xlfn.LET(_xlpm.Searching,"59",_xlpm.inStr,IFERROR(FIND(_xlpm.Searching,$A126)&gt;=1,FALSE),IF(AND(_xlpm.inStr,LEN(A126)&lt;=6),$A127,""))&amp;G125&amp;G126</f>
        <v>9</v>
      </c>
      <c r="H124" t="str">
        <f>_xlfn.LET(_xlpm.Searching,"61",_xlpm.inStr,IFERROR(FIND(_xlpm.Searching,$A126)&gt;=1,FALSE),IF(AND(_xlpm.inStr,LEN(A126)&lt;=6),$A127,""))&amp;H125&amp;H126&amp;H127</f>
        <v>6</v>
      </c>
      <c r="I124" t="str">
        <f>_xlfn.LET(_xlpm.Searching,"63",_xlpm.inStr,IFERROR(FIND(_xlpm.Searching,$A126)&gt;=1,FALSE),IF(AND(_xlpm.inStr,LEN(A126)&lt;=6),$A127,""))&amp;I125&amp;I126&amp;I127&amp;I128</f>
        <v/>
      </c>
      <c r="J124" s="4">
        <f>MID(TRIM(RIGHT(A124,10)),1,LEN(TRIM(RIGHT(A124,10)))-3)*0.8</f>
        <v>10.32</v>
      </c>
    </row>
    <row r="125" spans="1:10" x14ac:dyDescent="0.25">
      <c r="A125" s="6" t="s">
        <v>64</v>
      </c>
      <c r="B125" t="str" cm="1">
        <f t="array" ref="B125">БУКВЫ(MID($A124,3,11))</f>
        <v>661110532</v>
      </c>
      <c r="C125" t="str">
        <f>C124</f>
        <v xml:space="preserve">Texas Cotton </v>
      </c>
      <c r="D125" s="2"/>
      <c r="E125" s="2"/>
      <c r="F125" t="str">
        <f>_xlfn.LET(_xlpm.Searching,"57",_xlpm.inStr,IFERROR(FIND(_xlpm.Searching,$A128)&gt;=1,FALSE),IF(AND(_xlpm.inStr,LEN(A128)&lt;=6),$A129,""))</f>
        <v/>
      </c>
      <c r="G125">
        <f>_xlfn.LET(_xlpm.Searching,"59",_xlpm.inStr,IFERROR(FIND(_xlpm.Searching,$A128)&gt;=1,FALSE),IF(AND(_xlpm.inStr,LEN(A128)&lt;=6),$A129,""))</f>
        <v>9</v>
      </c>
      <c r="H125" t="str">
        <f>_xlfn.LET(_xlpm.Searching,"61",_xlpm.inStr,IFERROR(FIND(_xlpm.Searching,$A128)&gt;=1,FALSE),IF(AND(_xlpm.inStr,LEN(A128)&lt;=6),$A129,""))</f>
        <v/>
      </c>
      <c r="I125" t="str">
        <f>_xlfn.LET(_xlpm.Searching,"63",_xlpm.inStr,IFERROR(FIND(_xlpm.Searching,$A128)&gt;=1,FALSE),IF(AND(_xlpm.inStr,LEN(A128)&lt;=6),$A129,""))</f>
        <v/>
      </c>
    </row>
    <row r="126" spans="1:10" x14ac:dyDescent="0.25">
      <c r="A126" s="6" t="s">
        <v>33</v>
      </c>
      <c r="B126" t="str" cm="1">
        <f t="array" ref="B126">БУКВЫ(MID($A124,3,11))</f>
        <v>661110532</v>
      </c>
      <c r="C126" t="str">
        <f t="shared" ref="C126:C128" si="8">C125</f>
        <v xml:space="preserve">Texas Cotton </v>
      </c>
      <c r="D126" s="2"/>
      <c r="E126" s="2"/>
      <c r="F126" s="2"/>
      <c r="G126" t="str">
        <f>_xlfn.LET(_xlpm.Searching,"59",_xlpm.inStr,IFERROR(FIND(_xlpm.Searching,$A130)&gt;=1,FALSE),IF(AND(_xlpm.inStr,LEN(A130)&lt;=6),$A131,""))</f>
        <v/>
      </c>
      <c r="H126">
        <f>_xlfn.LET(_xlpm.Searching,"61",_xlpm.inStr,IFERROR(FIND(_xlpm.Searching,$A130)&gt;=1,FALSE),IF(AND(_xlpm.inStr,LEN(A130)&lt;=6),$A131,""))</f>
        <v>6</v>
      </c>
      <c r="I126" t="str">
        <f>_xlfn.LET(_xlpm.Searching,"63",_xlpm.inStr,IFERROR(FIND(_xlpm.Searching,$A130)&gt;=1,FALSE),IF(AND(_xlpm.inStr,LEN(A130)&lt;=6),$A131,""))</f>
        <v/>
      </c>
    </row>
    <row r="127" spans="1:10" x14ac:dyDescent="0.25">
      <c r="A127" s="6">
        <v>4</v>
      </c>
      <c r="B127" t="str" cm="1">
        <f t="array" ref="B127">БУКВЫ(MID($A124,3,11))</f>
        <v>661110532</v>
      </c>
      <c r="C127" t="str">
        <f t="shared" si="8"/>
        <v xml:space="preserve">Texas Cotton </v>
      </c>
      <c r="D127" s="2"/>
      <c r="E127" s="2"/>
      <c r="F127" s="2"/>
      <c r="G127" s="2"/>
      <c r="H127" t="str">
        <f>_xlfn.LET(_xlpm.Searching,"61",_xlpm.inStr,IFERROR(FIND(_xlpm.Searching,$A132)&gt;=1,FALSE),IF(AND(_xlpm.inStr,LEN(A132)&lt;=6),$A133,""))</f>
        <v/>
      </c>
      <c r="I127" t="str">
        <f>_xlfn.LET(_xlpm.Searching,"63",_xlpm.inStr,IFERROR(FIND(_xlpm.Searching,$A132)&gt;=1,FALSE),IF(AND(_xlpm.inStr,LEN(A132)&lt;=6),$A133,""))</f>
        <v/>
      </c>
    </row>
    <row r="128" spans="1:10" x14ac:dyDescent="0.25">
      <c r="A128" s="6" t="s">
        <v>30</v>
      </c>
      <c r="B128" t="str" cm="1">
        <f t="array" ref="B128">БУКВЫ(MID($A124,3,11))</f>
        <v>661110532</v>
      </c>
      <c r="C128" t="str">
        <f t="shared" si="8"/>
        <v xml:space="preserve">Texas Cotton </v>
      </c>
      <c r="D128" s="2"/>
      <c r="E128" s="2"/>
      <c r="F128" s="2"/>
      <c r="G128" s="2"/>
      <c r="H128" s="2"/>
      <c r="I128" t="str">
        <f>_xlfn.LET(_xlpm.Searching,"63",_xlpm.inStr,IFERROR(FIND(_xlpm.Searching,$A134)&gt;=1,FALSE),IF(AND(_xlpm.inStr,LEN(A134)&lt;=6),$A135,""))</f>
        <v/>
      </c>
    </row>
    <row r="129" spans="1:10" x14ac:dyDescent="0.25">
      <c r="A129" s="6">
        <v>9</v>
      </c>
    </row>
    <row r="130" spans="1:10" x14ac:dyDescent="0.25">
      <c r="A130" s="6" t="s">
        <v>31</v>
      </c>
    </row>
    <row r="131" spans="1:10" x14ac:dyDescent="0.25">
      <c r="A131" s="6">
        <v>6</v>
      </c>
    </row>
    <row r="132" spans="1:10" x14ac:dyDescent="0.25">
      <c r="A132" s="6" t="s">
        <v>65</v>
      </c>
    </row>
    <row r="133" spans="1:10" x14ac:dyDescent="0.25">
      <c r="A133" s="6" t="s">
        <v>107</v>
      </c>
    </row>
    <row r="134" spans="1:10" x14ac:dyDescent="0.25">
      <c r="A134" s="6" t="s">
        <v>108</v>
      </c>
      <c r="B134" s="1" t="s">
        <v>1</v>
      </c>
      <c r="C134" s="1" t="s">
        <v>220</v>
      </c>
      <c r="D134" s="1" t="s">
        <v>0</v>
      </c>
      <c r="E134" s="1">
        <v>55</v>
      </c>
      <c r="F134" s="1">
        <v>57</v>
      </c>
      <c r="G134" s="1">
        <v>59</v>
      </c>
      <c r="H134" s="1">
        <v>61</v>
      </c>
      <c r="I134" s="1">
        <v>63</v>
      </c>
      <c r="J134" s="3" t="s">
        <v>2</v>
      </c>
    </row>
    <row r="135" spans="1:10" x14ac:dyDescent="0.25">
      <c r="A135" s="6" t="s">
        <v>109</v>
      </c>
      <c r="B135" t="str" cm="1">
        <f t="array" ref="B135">БУКВЫ(MID($A135,3,11))</f>
        <v>661110555</v>
      </c>
      <c r="C135" t="str">
        <f>MID($A136,1,FIND("Per",A136)-1)</f>
        <v xml:space="preserve">Texas Cotton </v>
      </c>
      <c r="D135" t="str">
        <f>_xlfn.LET(_xlpm.Searching,"OSFA",_xlpm.inStr,IFERROR(FIND(_xlpm.Searching,$A137)&gt;=1,FALSE),IF(AND(_xlpm.inStr,LEN(A137)&lt;=6),A138,""))</f>
        <v/>
      </c>
      <c r="E135" t="str">
        <f>_xlfn.LET(_xlpm.Searching,"55",_xlpm.inStr,IFERROR(FIND(_xlpm.Searching,$A137)&gt;=1,FALSE),IF(AND(_xlpm.inStr,LEN(A137)&lt;=6),A138,""))</f>
        <v/>
      </c>
      <c r="F135" t="str">
        <f>_xlfn.LET(_xlpm.Searching,"57",_xlpm.inStr,IFERROR(FIND(_xlpm.Searching,$A137)&gt;=1,FALSE),IF(AND(_xlpm.inStr,LEN(A137)&lt;=6),$A138,""))&amp;F136</f>
        <v>5</v>
      </c>
      <c r="G135" t="str">
        <f>_xlfn.LET(_xlpm.Searching,"59",_xlpm.inStr,IFERROR(FIND(_xlpm.Searching,$A137)&gt;=1,FALSE),IF(AND(_xlpm.inStr,LEN(A137)&lt;=6),$A138,""))&amp;G136&amp;G137</f>
        <v>6</v>
      </c>
      <c r="H135" t="str">
        <f>_xlfn.LET(_xlpm.Searching,"61",_xlpm.inStr,IFERROR(FIND(_xlpm.Searching,$A137)&gt;=1,FALSE),IF(AND(_xlpm.inStr,LEN(A137)&lt;=6),$A138,""))&amp;H136&amp;H137&amp;H138</f>
        <v>5</v>
      </c>
      <c r="I135" t="str">
        <f>_xlfn.LET(_xlpm.Searching,"63",_xlpm.inStr,IFERROR(FIND(_xlpm.Searching,$A137)&gt;=1,FALSE),IF(AND(_xlpm.inStr,LEN(A137)&lt;=6),$A138,""))&amp;I136&amp;I137&amp;I138&amp;I139</f>
        <v/>
      </c>
      <c r="J135" s="4">
        <f>MID(TRIM(RIGHT(A135,10)),1,LEN(TRIM(RIGHT(A135,10)))-3)*0.8</f>
        <v>10.32</v>
      </c>
    </row>
    <row r="136" spans="1:10" x14ac:dyDescent="0.25">
      <c r="A136" s="6" t="s">
        <v>64</v>
      </c>
      <c r="B136" t="str" cm="1">
        <f t="array" ref="B136">БУКВЫ(MID($A135,3,11))</f>
        <v>661110555</v>
      </c>
      <c r="C136" t="str">
        <f>C135</f>
        <v xml:space="preserve">Texas Cotton </v>
      </c>
      <c r="D136" s="2"/>
      <c r="E136" s="2"/>
      <c r="F136" t="str">
        <f>_xlfn.LET(_xlpm.Searching,"57",_xlpm.inStr,IFERROR(FIND(_xlpm.Searching,$A139)&gt;=1,FALSE),IF(AND(_xlpm.inStr,LEN(A139)&lt;=6),$A140,""))</f>
        <v/>
      </c>
      <c r="G136">
        <f>_xlfn.LET(_xlpm.Searching,"59",_xlpm.inStr,IFERROR(FIND(_xlpm.Searching,$A139)&gt;=1,FALSE),IF(AND(_xlpm.inStr,LEN(A139)&lt;=6),$A140,""))</f>
        <v>6</v>
      </c>
      <c r="H136" t="str">
        <f>_xlfn.LET(_xlpm.Searching,"61",_xlpm.inStr,IFERROR(FIND(_xlpm.Searching,$A139)&gt;=1,FALSE),IF(AND(_xlpm.inStr,LEN(A139)&lt;=6),$A140,""))</f>
        <v/>
      </c>
      <c r="I136" t="str">
        <f>_xlfn.LET(_xlpm.Searching,"63",_xlpm.inStr,IFERROR(FIND(_xlpm.Searching,$A139)&gt;=1,FALSE),IF(AND(_xlpm.inStr,LEN(A139)&lt;=6),$A140,""))</f>
        <v/>
      </c>
    </row>
    <row r="137" spans="1:10" x14ac:dyDescent="0.25">
      <c r="A137" s="6" t="s">
        <v>33</v>
      </c>
      <c r="B137" t="str" cm="1">
        <f t="array" ref="B137">БУКВЫ(MID($A135,3,11))</f>
        <v>661110555</v>
      </c>
      <c r="C137" t="str">
        <f t="shared" ref="C137:C139" si="9">C136</f>
        <v xml:space="preserve">Texas Cotton </v>
      </c>
      <c r="D137" s="2"/>
      <c r="E137" s="2"/>
      <c r="F137" s="2"/>
      <c r="G137" t="str">
        <f>_xlfn.LET(_xlpm.Searching,"59",_xlpm.inStr,IFERROR(FIND(_xlpm.Searching,$A141)&gt;=1,FALSE),IF(AND(_xlpm.inStr,LEN(A141)&lt;=6),$A142,""))</f>
        <v/>
      </c>
      <c r="H137">
        <f>_xlfn.LET(_xlpm.Searching,"61",_xlpm.inStr,IFERROR(FIND(_xlpm.Searching,$A141)&gt;=1,FALSE),IF(AND(_xlpm.inStr,LEN(A141)&lt;=6),$A142,""))</f>
        <v>5</v>
      </c>
      <c r="I137" t="str">
        <f>_xlfn.LET(_xlpm.Searching,"63",_xlpm.inStr,IFERROR(FIND(_xlpm.Searching,$A141)&gt;=1,FALSE),IF(AND(_xlpm.inStr,LEN(A141)&lt;=6),$A142,""))</f>
        <v/>
      </c>
    </row>
    <row r="138" spans="1:10" x14ac:dyDescent="0.25">
      <c r="A138" s="6">
        <v>5</v>
      </c>
      <c r="B138" t="str" cm="1">
        <f t="array" ref="B138">БУКВЫ(MID($A135,3,11))</f>
        <v>661110555</v>
      </c>
      <c r="C138" t="str">
        <f t="shared" si="9"/>
        <v xml:space="preserve">Texas Cotton </v>
      </c>
      <c r="D138" s="2"/>
      <c r="E138" s="2"/>
      <c r="F138" s="2"/>
      <c r="G138" s="2"/>
      <c r="H138" t="str">
        <f>_xlfn.LET(_xlpm.Searching,"61",_xlpm.inStr,IFERROR(FIND(_xlpm.Searching,$A143)&gt;=1,FALSE),IF(AND(_xlpm.inStr,LEN(A143)&lt;=6),$A144,""))</f>
        <v/>
      </c>
      <c r="I138" t="str">
        <f>_xlfn.LET(_xlpm.Searching,"63",_xlpm.inStr,IFERROR(FIND(_xlpm.Searching,$A143)&gt;=1,FALSE),IF(AND(_xlpm.inStr,LEN(A143)&lt;=6),$A144,""))</f>
        <v/>
      </c>
    </row>
    <row r="139" spans="1:10" x14ac:dyDescent="0.25">
      <c r="A139" s="6" t="s">
        <v>30</v>
      </c>
      <c r="B139" t="str" cm="1">
        <f t="array" ref="B139">БУКВЫ(MID($A135,3,11))</f>
        <v>661110555</v>
      </c>
      <c r="C139" t="str">
        <f t="shared" si="9"/>
        <v xml:space="preserve">Texas Cotton </v>
      </c>
      <c r="D139" s="2"/>
      <c r="E139" s="2"/>
      <c r="F139" s="2"/>
      <c r="G139" s="2"/>
      <c r="H139" s="2"/>
      <c r="I139" t="str">
        <f>_xlfn.LET(_xlpm.Searching,"63",_xlpm.inStr,IFERROR(FIND(_xlpm.Searching,$A145)&gt;=1,FALSE),IF(AND(_xlpm.inStr,LEN(A145)&lt;=6),$A146,""))</f>
        <v/>
      </c>
    </row>
    <row r="140" spans="1:10" x14ac:dyDescent="0.25">
      <c r="A140" s="6">
        <v>6</v>
      </c>
    </row>
    <row r="141" spans="1:10" x14ac:dyDescent="0.25">
      <c r="A141" s="6" t="s">
        <v>31</v>
      </c>
    </row>
    <row r="142" spans="1:10" x14ac:dyDescent="0.25">
      <c r="A142" s="6">
        <v>5</v>
      </c>
    </row>
    <row r="143" spans="1:10" x14ac:dyDescent="0.25">
      <c r="A143" s="6" t="s">
        <v>65</v>
      </c>
    </row>
    <row r="144" spans="1:10" x14ac:dyDescent="0.25">
      <c r="A144" s="6" t="s">
        <v>110</v>
      </c>
    </row>
    <row r="145" spans="1:1" x14ac:dyDescent="0.25">
      <c r="A145" s="6" t="s">
        <v>111</v>
      </c>
    </row>
    <row r="146" spans="1:1" x14ac:dyDescent="0.25">
      <c r="A146" s="6" t="s">
        <v>18</v>
      </c>
    </row>
    <row r="147" spans="1:1" x14ac:dyDescent="0.25">
      <c r="A147" s="6" t="s">
        <v>36</v>
      </c>
    </row>
    <row r="148" spans="1:1" x14ac:dyDescent="0.25">
      <c r="A148" s="6" t="s">
        <v>37</v>
      </c>
    </row>
    <row r="149" spans="1:1" x14ac:dyDescent="0.25">
      <c r="A149" s="6" t="s">
        <v>38</v>
      </c>
    </row>
    <row r="150" spans="1:1" x14ac:dyDescent="0.25">
      <c r="A150" s="6" t="s">
        <v>39</v>
      </c>
    </row>
    <row r="151" spans="1:1" x14ac:dyDescent="0.25">
      <c r="A151" s="6" t="s">
        <v>40</v>
      </c>
    </row>
    <row r="152" spans="1:1" x14ac:dyDescent="0.25">
      <c r="A152" s="6" t="s">
        <v>41</v>
      </c>
    </row>
    <row r="153" spans="1:1" x14ac:dyDescent="0.25">
      <c r="A153" s="6" t="s">
        <v>42</v>
      </c>
    </row>
    <row r="154" spans="1:1" x14ac:dyDescent="0.25">
      <c r="A154" s="6" t="s">
        <v>43</v>
      </c>
    </row>
    <row r="155" spans="1:1" x14ac:dyDescent="0.25">
      <c r="A155" s="6" t="s">
        <v>44</v>
      </c>
    </row>
    <row r="156" spans="1:1" x14ac:dyDescent="0.25">
      <c r="A156" s="6" t="s">
        <v>45</v>
      </c>
    </row>
    <row r="157" spans="1:1" x14ac:dyDescent="0.25">
      <c r="A157" s="6" t="s">
        <v>46</v>
      </c>
    </row>
    <row r="158" spans="1:1" x14ac:dyDescent="0.25">
      <c r="A158" s="6" t="s">
        <v>47</v>
      </c>
    </row>
    <row r="159" spans="1:1" x14ac:dyDescent="0.25">
      <c r="A159" s="6" t="s">
        <v>48</v>
      </c>
    </row>
    <row r="160" spans="1:1" x14ac:dyDescent="0.25">
      <c r="A160" s="6" t="s">
        <v>49</v>
      </c>
    </row>
    <row r="161" spans="1:10" x14ac:dyDescent="0.25">
      <c r="A161" s="6" t="s">
        <v>81</v>
      </c>
    </row>
    <row r="162" spans="1:10" x14ac:dyDescent="0.25">
      <c r="A162" s="6" t="s">
        <v>95</v>
      </c>
    </row>
    <row r="163" spans="1:10" x14ac:dyDescent="0.25">
      <c r="A163" s="6" t="s">
        <v>52</v>
      </c>
    </row>
    <row r="164" spans="1:10" x14ac:dyDescent="0.25">
      <c r="A164" s="6" t="s">
        <v>21</v>
      </c>
    </row>
    <row r="165" spans="1:10" x14ac:dyDescent="0.25">
      <c r="A165" s="6" t="s">
        <v>22</v>
      </c>
    </row>
    <row r="166" spans="1:10" x14ac:dyDescent="0.25">
      <c r="A166" s="6" t="s">
        <v>23</v>
      </c>
    </row>
    <row r="167" spans="1:10" x14ac:dyDescent="0.25">
      <c r="A167" s="6" t="s">
        <v>24</v>
      </c>
    </row>
    <row r="168" spans="1:10" x14ac:dyDescent="0.25">
      <c r="A168" s="6" t="s">
        <v>25</v>
      </c>
    </row>
    <row r="169" spans="1:10" x14ac:dyDescent="0.25">
      <c r="A169" s="6" t="s">
        <v>26</v>
      </c>
    </row>
    <row r="170" spans="1:10" x14ac:dyDescent="0.25">
      <c r="A170" s="6" t="s">
        <v>27</v>
      </c>
      <c r="B170" s="1" t="s">
        <v>1</v>
      </c>
      <c r="C170" s="1" t="s">
        <v>220</v>
      </c>
      <c r="D170" s="1" t="s">
        <v>0</v>
      </c>
      <c r="E170" s="1">
        <v>55</v>
      </c>
      <c r="F170" s="1">
        <v>57</v>
      </c>
      <c r="G170" s="1">
        <v>59</v>
      </c>
      <c r="H170" s="1">
        <v>61</v>
      </c>
      <c r="I170" s="1">
        <v>63</v>
      </c>
      <c r="J170" s="3" t="s">
        <v>2</v>
      </c>
    </row>
    <row r="171" spans="1:10" x14ac:dyDescent="0.25">
      <c r="A171" s="6" t="s">
        <v>112</v>
      </c>
      <c r="B171" t="str" cm="1">
        <f t="array" ref="B171">БУКВЫ(MID($A171,3,11))</f>
        <v>74311011</v>
      </c>
      <c r="C171" t="str">
        <f>MID($A172,1,FIND("Per",A172)-1)</f>
        <v xml:space="preserve">Army Cap Cotton </v>
      </c>
      <c r="D171" t="str">
        <f>_xlfn.LET(_xlpm.Searching,"OSFA",_xlpm.inStr,IFERROR(FIND(_xlpm.Searching,$A173)&gt;=1,FALSE),IF(AND(_xlpm.inStr,LEN(A173)&lt;=6),A174,""))</f>
        <v/>
      </c>
      <c r="E171" t="str">
        <f>_xlfn.LET(_xlpm.Searching,"55",_xlpm.inStr,IFERROR(FIND(_xlpm.Searching,$A173)&gt;=1,FALSE),IF(AND(_xlpm.inStr,LEN(A173)&lt;=6),A174,""))</f>
        <v/>
      </c>
      <c r="F171" t="str">
        <f>_xlfn.LET(_xlpm.Searching,"57",_xlpm.inStr,IFERROR(FIND(_xlpm.Searching,$A173)&gt;=1,FALSE),IF(AND(_xlpm.inStr,LEN(A173)&lt;=6),$A174,""))&amp;F172</f>
        <v>3</v>
      </c>
      <c r="G171" t="str">
        <f>_xlfn.LET(_xlpm.Searching,"59",_xlpm.inStr,IFERROR(FIND(_xlpm.Searching,$A173)&gt;=1,FALSE),IF(AND(_xlpm.inStr,LEN(A173)&lt;=6),$A174,""))&amp;G172&amp;G173</f>
        <v>8</v>
      </c>
      <c r="H171" t="str">
        <f>_xlfn.LET(_xlpm.Searching,"61",_xlpm.inStr,IFERROR(FIND(_xlpm.Searching,$A173)&gt;=1,FALSE),IF(AND(_xlpm.inStr,LEN(A173)&lt;=6),$A174,""))&amp;H172&amp;H173&amp;H174</f>
        <v>5</v>
      </c>
      <c r="I171" t="str">
        <f>_xlfn.LET(_xlpm.Searching,"63",_xlpm.inStr,IFERROR(FIND(_xlpm.Searching,$A173)&gt;=1,FALSE),IF(AND(_xlpm.inStr,LEN(A173)&lt;=6),$A174,""))&amp;I172&amp;I173&amp;I174&amp;I175</f>
        <v>4</v>
      </c>
      <c r="J171" s="4">
        <f>MID(TRIM(RIGHT(A171,10)),1,LEN(TRIM(RIGHT(A171,10)))-3)*0.8</f>
        <v>11.920000000000002</v>
      </c>
    </row>
    <row r="172" spans="1:10" x14ac:dyDescent="0.25">
      <c r="A172" s="6" t="s">
        <v>66</v>
      </c>
      <c r="B172" t="str" cm="1">
        <f t="array" ref="B172">БУКВЫ(MID($A171,3,11))</f>
        <v>74311011</v>
      </c>
      <c r="C172" t="str">
        <f>C171</f>
        <v xml:space="preserve">Army Cap Cotton </v>
      </c>
      <c r="D172" s="2"/>
      <c r="E172" s="2"/>
      <c r="F172" t="str">
        <f>_xlfn.LET(_xlpm.Searching,"57",_xlpm.inStr,IFERROR(FIND(_xlpm.Searching,$A175)&gt;=1,FALSE),IF(AND(_xlpm.inStr,LEN(A175)&lt;=6),$A176,""))</f>
        <v/>
      </c>
      <c r="G172">
        <f>_xlfn.LET(_xlpm.Searching,"59",_xlpm.inStr,IFERROR(FIND(_xlpm.Searching,$A175)&gt;=1,FALSE),IF(AND(_xlpm.inStr,LEN(A175)&lt;=6),$A176,""))</f>
        <v>8</v>
      </c>
      <c r="H172" t="str">
        <f>_xlfn.LET(_xlpm.Searching,"61",_xlpm.inStr,IFERROR(FIND(_xlpm.Searching,$A175)&gt;=1,FALSE),IF(AND(_xlpm.inStr,LEN(A175)&lt;=6),$A176,""))</f>
        <v/>
      </c>
      <c r="I172" t="str">
        <f>_xlfn.LET(_xlpm.Searching,"63",_xlpm.inStr,IFERROR(FIND(_xlpm.Searching,$A175)&gt;=1,FALSE),IF(AND(_xlpm.inStr,LEN(A175)&lt;=6),$A176,""))</f>
        <v/>
      </c>
    </row>
    <row r="173" spans="1:10" x14ac:dyDescent="0.25">
      <c r="A173" s="6" t="s">
        <v>33</v>
      </c>
      <c r="B173" t="str" cm="1">
        <f t="array" ref="B173">БУКВЫ(MID($A171,3,11))</f>
        <v>74311011</v>
      </c>
      <c r="C173" t="str">
        <f t="shared" ref="C173:C175" si="10">C172</f>
        <v xml:space="preserve">Army Cap Cotton </v>
      </c>
      <c r="D173" s="2"/>
      <c r="E173" s="2"/>
      <c r="F173" s="2"/>
      <c r="G173" t="str">
        <f>_xlfn.LET(_xlpm.Searching,"59",_xlpm.inStr,IFERROR(FIND(_xlpm.Searching,$A177)&gt;=1,FALSE),IF(AND(_xlpm.inStr,LEN(A177)&lt;=6),$A178,""))</f>
        <v/>
      </c>
      <c r="H173">
        <f>_xlfn.LET(_xlpm.Searching,"61",_xlpm.inStr,IFERROR(FIND(_xlpm.Searching,$A177)&gt;=1,FALSE),IF(AND(_xlpm.inStr,LEN(A177)&lt;=6),$A178,""))</f>
        <v>5</v>
      </c>
      <c r="I173" t="str">
        <f>_xlfn.LET(_xlpm.Searching,"63",_xlpm.inStr,IFERROR(FIND(_xlpm.Searching,$A177)&gt;=1,FALSE),IF(AND(_xlpm.inStr,LEN(A177)&lt;=6),$A178,""))</f>
        <v/>
      </c>
    </row>
    <row r="174" spans="1:10" x14ac:dyDescent="0.25">
      <c r="A174" s="6">
        <v>3</v>
      </c>
      <c r="B174" t="str" cm="1">
        <f t="array" ref="B174">БУКВЫ(MID($A171,3,11))</f>
        <v>74311011</v>
      </c>
      <c r="C174" t="str">
        <f t="shared" si="10"/>
        <v xml:space="preserve">Army Cap Cotton </v>
      </c>
      <c r="D174" s="2"/>
      <c r="E174" s="2"/>
      <c r="F174" s="2"/>
      <c r="G174" s="2"/>
      <c r="H174" t="str">
        <f>_xlfn.LET(_xlpm.Searching,"61",_xlpm.inStr,IFERROR(FIND(_xlpm.Searching,$A179)&gt;=1,FALSE),IF(AND(_xlpm.inStr,LEN(A179)&lt;=6),$A180,""))</f>
        <v/>
      </c>
      <c r="I174">
        <f>_xlfn.LET(_xlpm.Searching,"63",_xlpm.inStr,IFERROR(FIND(_xlpm.Searching,$A179)&gt;=1,FALSE),IF(AND(_xlpm.inStr,LEN(A179)&lt;=6),$A180,""))</f>
        <v>4</v>
      </c>
    </row>
    <row r="175" spans="1:10" x14ac:dyDescent="0.25">
      <c r="A175" s="6" t="s">
        <v>30</v>
      </c>
      <c r="B175" t="str" cm="1">
        <f t="array" ref="B175">БУКВЫ(MID($A171,3,11))</f>
        <v>74311011</v>
      </c>
      <c r="C175" t="str">
        <f t="shared" si="10"/>
        <v xml:space="preserve">Army Cap Cotton </v>
      </c>
      <c r="D175" s="2"/>
      <c r="E175" s="2"/>
      <c r="F175" s="2"/>
      <c r="G175" s="2"/>
      <c r="H175" s="2"/>
      <c r="I175" t="str">
        <f>_xlfn.LET(_xlpm.Searching,"63",_xlpm.inStr,IFERROR(FIND(_xlpm.Searching,$A181)&gt;=1,FALSE),IF(AND(_xlpm.inStr,LEN(A181)&lt;=6),$A182,""))</f>
        <v/>
      </c>
    </row>
    <row r="176" spans="1:10" x14ac:dyDescent="0.25">
      <c r="A176" s="6">
        <v>8</v>
      </c>
    </row>
    <row r="177" spans="1:10" x14ac:dyDescent="0.25">
      <c r="A177" s="6" t="s">
        <v>31</v>
      </c>
    </row>
    <row r="178" spans="1:10" x14ac:dyDescent="0.25">
      <c r="A178" s="6">
        <v>5</v>
      </c>
    </row>
    <row r="179" spans="1:10" x14ac:dyDescent="0.25">
      <c r="A179" s="6" t="s">
        <v>34</v>
      </c>
    </row>
    <row r="180" spans="1:10" x14ac:dyDescent="0.25">
      <c r="A180" s="6">
        <v>4</v>
      </c>
    </row>
    <row r="181" spans="1:10" x14ac:dyDescent="0.25">
      <c r="A181" s="6" t="s">
        <v>67</v>
      </c>
    </row>
    <row r="182" spans="1:10" x14ac:dyDescent="0.25">
      <c r="A182" s="6" t="s">
        <v>56</v>
      </c>
    </row>
    <row r="183" spans="1:10" x14ac:dyDescent="0.25">
      <c r="A183" s="6" t="s">
        <v>61</v>
      </c>
      <c r="B183" s="1" t="s">
        <v>1</v>
      </c>
      <c r="C183" s="1" t="s">
        <v>220</v>
      </c>
      <c r="D183" s="1" t="s">
        <v>0</v>
      </c>
      <c r="E183" s="1">
        <v>55</v>
      </c>
      <c r="F183" s="1">
        <v>57</v>
      </c>
      <c r="G183" s="1">
        <v>59</v>
      </c>
      <c r="H183" s="1">
        <v>61</v>
      </c>
      <c r="I183" s="1">
        <v>63</v>
      </c>
      <c r="J183" s="3" t="s">
        <v>2</v>
      </c>
    </row>
    <row r="184" spans="1:10" x14ac:dyDescent="0.25">
      <c r="A184" s="6" t="s">
        <v>113</v>
      </c>
      <c r="B184" t="str" cm="1">
        <f t="array" ref="B184">БУКВЫ(MID($A184,3,11))</f>
        <v>743110155</v>
      </c>
      <c r="C184" t="str">
        <f>MID($A185,1,FIND("Per",A185)-1)</f>
        <v xml:space="preserve">Army Cap Cotton </v>
      </c>
      <c r="D184" t="str">
        <f>_xlfn.LET(_xlpm.Searching,"OSFA",_xlpm.inStr,IFERROR(FIND(_xlpm.Searching,$A186)&gt;=1,FALSE),IF(AND(_xlpm.inStr,LEN(A186)&lt;=6),A187,""))</f>
        <v/>
      </c>
      <c r="E184">
        <f>_xlfn.LET(_xlpm.Searching,"55",_xlpm.inStr,IFERROR(FIND(_xlpm.Searching,$A186)&gt;=1,FALSE),IF(AND(_xlpm.inStr,LEN(A186)&lt;=6),A187,""))</f>
        <v>1</v>
      </c>
      <c r="F184" t="str">
        <f>_xlfn.LET(_xlpm.Searching,"57",_xlpm.inStr,IFERROR(FIND(_xlpm.Searching,$A186)&gt;=1,FALSE),IF(AND(_xlpm.inStr,LEN(A186)&lt;=6),$A187,""))&amp;F185</f>
        <v>4</v>
      </c>
      <c r="G184" t="str">
        <f>_xlfn.LET(_xlpm.Searching,"59",_xlpm.inStr,IFERROR(FIND(_xlpm.Searching,$A186)&gt;=1,FALSE),IF(AND(_xlpm.inStr,LEN(A186)&lt;=6),$A187,""))&amp;G185&amp;G186</f>
        <v>7</v>
      </c>
      <c r="H184" t="str">
        <f>_xlfn.LET(_xlpm.Searching,"61",_xlpm.inStr,IFERROR(FIND(_xlpm.Searching,$A186)&gt;=1,FALSE),IF(AND(_xlpm.inStr,LEN(A186)&lt;=6),$A187,""))&amp;H185&amp;H186&amp;H187</f>
        <v>5</v>
      </c>
      <c r="I184" t="str">
        <f>_xlfn.LET(_xlpm.Searching,"63",_xlpm.inStr,IFERROR(FIND(_xlpm.Searching,$A186)&gt;=1,FALSE),IF(AND(_xlpm.inStr,LEN(A186)&lt;=6),$A187,""))&amp;I185&amp;I186&amp;I187&amp;I188</f>
        <v>2</v>
      </c>
      <c r="J184" s="4">
        <f>MID(TRIM(RIGHT(A184,10)),1,LEN(TRIM(RIGHT(A184,10)))-3)*0.8</f>
        <v>11.920000000000002</v>
      </c>
    </row>
    <row r="185" spans="1:10" x14ac:dyDescent="0.25">
      <c r="A185" s="6" t="s">
        <v>66</v>
      </c>
      <c r="B185" t="str" cm="1">
        <f t="array" ref="B185">БУКВЫ(MID($A184,3,11))</f>
        <v>743110155</v>
      </c>
      <c r="C185" t="str">
        <f>C184</f>
        <v xml:space="preserve">Army Cap Cotton </v>
      </c>
      <c r="D185" s="2"/>
      <c r="E185" s="2"/>
      <c r="F185">
        <f>_xlfn.LET(_xlpm.Searching,"57",_xlpm.inStr,IFERROR(FIND(_xlpm.Searching,$A188)&gt;=1,FALSE),IF(AND(_xlpm.inStr,LEN(A188)&lt;=6),$A189,""))</f>
        <v>4</v>
      </c>
      <c r="G185" t="str">
        <f>_xlfn.LET(_xlpm.Searching,"59",_xlpm.inStr,IFERROR(FIND(_xlpm.Searching,$A188)&gt;=1,FALSE),IF(AND(_xlpm.inStr,LEN(A188)&lt;=6),$A189,""))</f>
        <v/>
      </c>
      <c r="H185" t="str">
        <f>_xlfn.LET(_xlpm.Searching,"61",_xlpm.inStr,IFERROR(FIND(_xlpm.Searching,$A188)&gt;=1,FALSE),IF(AND(_xlpm.inStr,LEN(A188)&lt;=6),$A189,""))</f>
        <v/>
      </c>
      <c r="I185" t="str">
        <f>_xlfn.LET(_xlpm.Searching,"63",_xlpm.inStr,IFERROR(FIND(_xlpm.Searching,$A188)&gt;=1,FALSE),IF(AND(_xlpm.inStr,LEN(A188)&lt;=6),$A189,""))</f>
        <v/>
      </c>
    </row>
    <row r="186" spans="1:10" x14ac:dyDescent="0.25">
      <c r="A186" s="6" t="s">
        <v>32</v>
      </c>
      <c r="B186" t="str" cm="1">
        <f t="array" ref="B186">БУКВЫ(MID($A184,3,11))</f>
        <v>743110155</v>
      </c>
      <c r="C186" t="str">
        <f t="shared" ref="C186:C188" si="11">C185</f>
        <v xml:space="preserve">Army Cap Cotton </v>
      </c>
      <c r="D186" s="2"/>
      <c r="E186" s="2"/>
      <c r="F186" s="2"/>
      <c r="G186">
        <f>_xlfn.LET(_xlpm.Searching,"59",_xlpm.inStr,IFERROR(FIND(_xlpm.Searching,$A190)&gt;=1,FALSE),IF(AND(_xlpm.inStr,LEN(A190)&lt;=6),$A191,""))</f>
        <v>7</v>
      </c>
      <c r="H186" t="str">
        <f>_xlfn.LET(_xlpm.Searching,"61",_xlpm.inStr,IFERROR(FIND(_xlpm.Searching,$A190)&gt;=1,FALSE),IF(AND(_xlpm.inStr,LEN(A190)&lt;=6),$A191,""))</f>
        <v/>
      </c>
      <c r="I186" t="str">
        <f>_xlfn.LET(_xlpm.Searching,"63",_xlpm.inStr,IFERROR(FIND(_xlpm.Searching,$A190)&gt;=1,FALSE),IF(AND(_xlpm.inStr,LEN(A190)&lt;=6),$A191,""))</f>
        <v/>
      </c>
    </row>
    <row r="187" spans="1:10" x14ac:dyDescent="0.25">
      <c r="A187" s="6">
        <v>1</v>
      </c>
      <c r="B187" t="str" cm="1">
        <f t="array" ref="B187">БУКВЫ(MID($A184,3,11))</f>
        <v>743110155</v>
      </c>
      <c r="C187" t="str">
        <f t="shared" si="11"/>
        <v xml:space="preserve">Army Cap Cotton </v>
      </c>
      <c r="D187" s="2"/>
      <c r="E187" s="2"/>
      <c r="F187" s="2"/>
      <c r="G187" s="2"/>
      <c r="H187">
        <f>_xlfn.LET(_xlpm.Searching,"61",_xlpm.inStr,IFERROR(FIND(_xlpm.Searching,$A192)&gt;=1,FALSE),IF(AND(_xlpm.inStr,LEN(A192)&lt;=6),$A193,""))</f>
        <v>5</v>
      </c>
      <c r="I187" t="str">
        <f>_xlfn.LET(_xlpm.Searching,"63",_xlpm.inStr,IFERROR(FIND(_xlpm.Searching,$A192)&gt;=1,FALSE),IF(AND(_xlpm.inStr,LEN(A192)&lt;=6),$A193,""))</f>
        <v/>
      </c>
    </row>
    <row r="188" spans="1:10" x14ac:dyDescent="0.25">
      <c r="A188" s="6" t="s">
        <v>33</v>
      </c>
      <c r="B188" t="str" cm="1">
        <f t="array" ref="B188">БУКВЫ(MID($A184,3,11))</f>
        <v>743110155</v>
      </c>
      <c r="C188" t="str">
        <f t="shared" si="11"/>
        <v xml:space="preserve">Army Cap Cotton </v>
      </c>
      <c r="D188" s="2"/>
      <c r="E188" s="2"/>
      <c r="F188" s="2"/>
      <c r="G188" s="2"/>
      <c r="H188" s="2"/>
      <c r="I188">
        <f>_xlfn.LET(_xlpm.Searching,"63",_xlpm.inStr,IFERROR(FIND(_xlpm.Searching,$A194)&gt;=1,FALSE),IF(AND(_xlpm.inStr,LEN(A194)&lt;=6),$A195,""))</f>
        <v>2</v>
      </c>
    </row>
    <row r="189" spans="1:10" x14ac:dyDescent="0.25">
      <c r="A189" s="6">
        <v>4</v>
      </c>
    </row>
    <row r="190" spans="1:10" x14ac:dyDescent="0.25">
      <c r="A190" s="6" t="s">
        <v>30</v>
      </c>
    </row>
    <row r="191" spans="1:10" x14ac:dyDescent="0.25">
      <c r="A191" s="6">
        <v>7</v>
      </c>
    </row>
    <row r="192" spans="1:10" x14ac:dyDescent="0.25">
      <c r="A192" s="6" t="s">
        <v>31</v>
      </c>
    </row>
    <row r="193" spans="1:10" x14ac:dyDescent="0.25">
      <c r="A193" s="6">
        <v>5</v>
      </c>
    </row>
    <row r="194" spans="1:10" x14ac:dyDescent="0.25">
      <c r="A194" s="6" t="s">
        <v>34</v>
      </c>
    </row>
    <row r="195" spans="1:10" x14ac:dyDescent="0.25">
      <c r="A195" s="6">
        <v>2</v>
      </c>
    </row>
    <row r="196" spans="1:10" x14ac:dyDescent="0.25">
      <c r="A196" s="6" t="s">
        <v>67</v>
      </c>
    </row>
    <row r="197" spans="1:10" x14ac:dyDescent="0.25">
      <c r="A197" s="6" t="s">
        <v>114</v>
      </c>
    </row>
    <row r="198" spans="1:10" x14ac:dyDescent="0.25">
      <c r="A198" s="6" t="s">
        <v>115</v>
      </c>
      <c r="B198" s="1" t="s">
        <v>1</v>
      </c>
      <c r="C198" s="1" t="s">
        <v>220</v>
      </c>
      <c r="D198" s="1" t="s">
        <v>0</v>
      </c>
      <c r="E198" s="1">
        <v>55</v>
      </c>
      <c r="F198" s="1">
        <v>57</v>
      </c>
      <c r="G198" s="1">
        <v>59</v>
      </c>
      <c r="H198" s="1">
        <v>61</v>
      </c>
      <c r="I198" s="1">
        <v>63</v>
      </c>
      <c r="J198" s="3" t="s">
        <v>2</v>
      </c>
    </row>
    <row r="199" spans="1:10" x14ac:dyDescent="0.25">
      <c r="A199" s="6" t="s">
        <v>116</v>
      </c>
      <c r="B199" t="str" cm="1">
        <f t="array" ref="B199">БУКВЫ(MID($A199,3,11))</f>
        <v>775119127</v>
      </c>
      <c r="C199" t="str">
        <f>MID($A200,1,FIND("Per",A200)-1)</f>
        <v xml:space="preserve">Trucker Cap Gambling Grifter </v>
      </c>
      <c r="D199">
        <f>_xlfn.LET(_xlpm.Searching,"OSFA",_xlpm.inStr,IFERROR(FIND(_xlpm.Searching,$A201)&gt;=1,FALSE),IF(AND(_xlpm.inStr,LEN(A201)&lt;=6),A202,""))</f>
        <v>150</v>
      </c>
      <c r="E199" t="str">
        <f>_xlfn.LET(_xlpm.Searching,"55",_xlpm.inStr,IFERROR(FIND(_xlpm.Searching,$A201)&gt;=1,FALSE),IF(AND(_xlpm.inStr,LEN(A201)&lt;=6),A202,""))</f>
        <v/>
      </c>
      <c r="F199" t="str">
        <f>_xlfn.LET(_xlpm.Searching,"57",_xlpm.inStr,IFERROR(FIND(_xlpm.Searching,$A201)&gt;=1,FALSE),IF(AND(_xlpm.inStr,LEN(A201)&lt;=6),$A202,""))&amp;F200</f>
        <v/>
      </c>
      <c r="G199" t="str">
        <f>_xlfn.LET(_xlpm.Searching,"59",_xlpm.inStr,IFERROR(FIND(_xlpm.Searching,$A201)&gt;=1,FALSE),IF(AND(_xlpm.inStr,LEN(A201)&lt;=6),$A202,""))&amp;G200&amp;G201</f>
        <v/>
      </c>
      <c r="H199" t="str">
        <f>_xlfn.LET(_xlpm.Searching,"61",_xlpm.inStr,IFERROR(FIND(_xlpm.Searching,$A201)&gt;=1,FALSE),IF(AND(_xlpm.inStr,LEN(A201)&lt;=6),$A202,""))&amp;H200&amp;H201&amp;H202</f>
        <v/>
      </c>
      <c r="I199" t="str">
        <f>_xlfn.LET(_xlpm.Searching,"63",_xlpm.inStr,IFERROR(FIND(_xlpm.Searching,$A201)&gt;=1,FALSE),IF(AND(_xlpm.inStr,LEN(A201)&lt;=6),$A202,""))&amp;I200&amp;I201&amp;I202&amp;I203</f>
        <v/>
      </c>
      <c r="J199" s="4">
        <f>MID(TRIM(RIGHT(A199,10)),1,LEN(TRIM(RIGHT(A199,10)))-3)*0.8</f>
        <v>11.920000000000002</v>
      </c>
    </row>
    <row r="200" spans="1:10" x14ac:dyDescent="0.25">
      <c r="A200" s="6" t="s">
        <v>117</v>
      </c>
      <c r="B200" t="str" cm="1">
        <f t="array" ref="B200">БУКВЫ(MID($A199,3,11))</f>
        <v>775119127</v>
      </c>
      <c r="C200" t="str">
        <f>C199</f>
        <v xml:space="preserve">Trucker Cap Gambling Grifter </v>
      </c>
      <c r="D200" s="2"/>
      <c r="E200" s="2"/>
      <c r="F200" t="str">
        <f>_xlfn.LET(_xlpm.Searching,"57",_xlpm.inStr,IFERROR(FIND(_xlpm.Searching,$A203)&gt;=1,FALSE),IF(AND(_xlpm.inStr,LEN(A203)&lt;=6),$A204,""))</f>
        <v/>
      </c>
      <c r="G200" t="str">
        <f>_xlfn.LET(_xlpm.Searching,"59",_xlpm.inStr,IFERROR(FIND(_xlpm.Searching,$A203)&gt;=1,FALSE),IF(AND(_xlpm.inStr,LEN(A203)&lt;=6),$A204,""))</f>
        <v/>
      </c>
      <c r="H200" t="str">
        <f>_xlfn.LET(_xlpm.Searching,"61",_xlpm.inStr,IFERROR(FIND(_xlpm.Searching,$A203)&gt;=1,FALSE),IF(AND(_xlpm.inStr,LEN(A203)&lt;=6),$A204,""))</f>
        <v/>
      </c>
      <c r="I200" t="str">
        <f>_xlfn.LET(_xlpm.Searching,"63",_xlpm.inStr,IFERROR(FIND(_xlpm.Searching,$A203)&gt;=1,FALSE),IF(AND(_xlpm.inStr,LEN(A203)&lt;=6),$A204,""))</f>
        <v/>
      </c>
    </row>
    <row r="201" spans="1:10" x14ac:dyDescent="0.25">
      <c r="A201" s="6" t="s">
        <v>0</v>
      </c>
      <c r="B201" t="str" cm="1">
        <f t="array" ref="B201">БУКВЫ(MID($A199,3,11))</f>
        <v>775119127</v>
      </c>
      <c r="C201" t="str">
        <f t="shared" ref="C201:C203" si="12">C200</f>
        <v xml:space="preserve">Trucker Cap Gambling Grifter </v>
      </c>
      <c r="D201" s="2"/>
      <c r="E201" s="2"/>
      <c r="F201" s="2"/>
      <c r="G201" t="str">
        <f>_xlfn.LET(_xlpm.Searching,"59",_xlpm.inStr,IFERROR(FIND(_xlpm.Searching,$A205)&gt;=1,FALSE),IF(AND(_xlpm.inStr,LEN(A205)&lt;=6),$A206,""))</f>
        <v/>
      </c>
      <c r="H201" t="str">
        <f>_xlfn.LET(_xlpm.Searching,"61",_xlpm.inStr,IFERROR(FIND(_xlpm.Searching,$A205)&gt;=1,FALSE),IF(AND(_xlpm.inStr,LEN(A205)&lt;=6),$A206,""))</f>
        <v/>
      </c>
      <c r="I201" t="str">
        <f>_xlfn.LET(_xlpm.Searching,"63",_xlpm.inStr,IFERROR(FIND(_xlpm.Searching,$A205)&gt;=1,FALSE),IF(AND(_xlpm.inStr,LEN(A205)&lt;=6),$A206,""))</f>
        <v/>
      </c>
    </row>
    <row r="202" spans="1:10" x14ac:dyDescent="0.25">
      <c r="A202" s="6">
        <v>150</v>
      </c>
      <c r="B202" t="str" cm="1">
        <f t="array" ref="B202">БУКВЫ(MID($A199,3,11))</f>
        <v>775119127</v>
      </c>
      <c r="C202" t="str">
        <f t="shared" si="12"/>
        <v xml:space="preserve">Trucker Cap Gambling Grifter </v>
      </c>
      <c r="D202" s="2"/>
      <c r="E202" s="2"/>
      <c r="F202" s="2"/>
      <c r="G202" s="2"/>
      <c r="H202" t="str">
        <f>_xlfn.LET(_xlpm.Searching,"61",_xlpm.inStr,IFERROR(FIND(_xlpm.Searching,$A207)&gt;=1,FALSE),IF(AND(_xlpm.inStr,LEN(A207)&lt;=6),$A208,""))</f>
        <v/>
      </c>
      <c r="I202" t="str">
        <f>_xlfn.LET(_xlpm.Searching,"63",_xlpm.inStr,IFERROR(FIND(_xlpm.Searching,$A207)&gt;=1,FALSE),IF(AND(_xlpm.inStr,LEN(A207)&lt;=6),$A208,""))</f>
        <v/>
      </c>
    </row>
    <row r="203" spans="1:10" x14ac:dyDescent="0.25">
      <c r="A203" s="6" t="s">
        <v>35</v>
      </c>
      <c r="B203" t="str" cm="1">
        <f t="array" ref="B203">БУКВЫ(MID($A199,3,11))</f>
        <v>775119127</v>
      </c>
      <c r="C203" t="str">
        <f t="shared" si="12"/>
        <v xml:space="preserve">Trucker Cap Gambling Grifter </v>
      </c>
      <c r="D203" s="2"/>
      <c r="E203" s="2"/>
      <c r="F203" s="2"/>
      <c r="G203" s="2"/>
      <c r="H203" s="2"/>
      <c r="I203" t="str">
        <f>_xlfn.LET(_xlpm.Searching,"63",_xlpm.inStr,IFERROR(FIND(_xlpm.Searching,$A209)&gt;=1,FALSE),IF(AND(_xlpm.inStr,LEN(A209)&lt;=6),$A210,""))</f>
        <v/>
      </c>
    </row>
    <row r="204" spans="1:10" x14ac:dyDescent="0.25">
      <c r="A204" s="6" t="s">
        <v>118</v>
      </c>
    </row>
    <row r="205" spans="1:10" x14ac:dyDescent="0.25">
      <c r="A205" s="6" t="s">
        <v>119</v>
      </c>
      <c r="B205" s="1" t="s">
        <v>1</v>
      </c>
      <c r="C205" s="1" t="s">
        <v>220</v>
      </c>
      <c r="D205" s="1" t="s">
        <v>0</v>
      </c>
      <c r="E205" s="1">
        <v>55</v>
      </c>
      <c r="F205" s="1">
        <v>57</v>
      </c>
      <c r="G205" s="1">
        <v>59</v>
      </c>
      <c r="H205" s="1">
        <v>61</v>
      </c>
      <c r="I205" s="1">
        <v>63</v>
      </c>
      <c r="J205" s="3" t="s">
        <v>2</v>
      </c>
    </row>
    <row r="206" spans="1:10" x14ac:dyDescent="0.25">
      <c r="A206" s="6" t="s">
        <v>120</v>
      </c>
      <c r="B206" t="str" cm="1">
        <f t="array" ref="B206">БУКВЫ(MID($A206,3,11))</f>
        <v>77131013</v>
      </c>
      <c r="C206" t="str">
        <f>MID($A207,1,FIND("Per",A207)-1)</f>
        <v xml:space="preserve">Baseball Cap Linen </v>
      </c>
      <c r="D206" t="str">
        <f>_xlfn.LET(_xlpm.Searching,"OSFA",_xlpm.inStr,IFERROR(FIND(_xlpm.Searching,$A208)&gt;=1,FALSE),IF(AND(_xlpm.inStr,LEN(A208)&lt;=6),A209,""))</f>
        <v/>
      </c>
      <c r="E206" t="str">
        <f>_xlfn.LET(_xlpm.Searching,"55",_xlpm.inStr,IFERROR(FIND(_xlpm.Searching,$A208)&gt;=1,FALSE),IF(AND(_xlpm.inStr,LEN(A208)&lt;=6),A209,""))</f>
        <v/>
      </c>
      <c r="F206" t="str">
        <f>_xlfn.LET(_xlpm.Searching,"57",_xlpm.inStr,IFERROR(FIND(_xlpm.Searching,$A208)&gt;=1,FALSE),IF(AND(_xlpm.inStr,LEN(A208)&lt;=6),$A209,""))&amp;F207</f>
        <v>4</v>
      </c>
      <c r="G206" t="str">
        <f>_xlfn.LET(_xlpm.Searching,"59",_xlpm.inStr,IFERROR(FIND(_xlpm.Searching,$A208)&gt;=1,FALSE),IF(AND(_xlpm.inStr,LEN(A208)&lt;=6),$A209,""))&amp;G207&amp;G208</f>
        <v>6</v>
      </c>
      <c r="H206" t="str">
        <f>_xlfn.LET(_xlpm.Searching,"61",_xlpm.inStr,IFERROR(FIND(_xlpm.Searching,$A208)&gt;=1,FALSE),IF(AND(_xlpm.inStr,LEN(A208)&lt;=6),$A209,""))&amp;H207&amp;H208&amp;H209</f>
        <v>4</v>
      </c>
      <c r="I206" t="str">
        <f>_xlfn.LET(_xlpm.Searching,"63",_xlpm.inStr,IFERROR(FIND(_xlpm.Searching,$A208)&gt;=1,FALSE),IF(AND(_xlpm.inStr,LEN(A208)&lt;=6),$A209,""))&amp;I207&amp;I208&amp;I209&amp;I210</f>
        <v/>
      </c>
      <c r="J206" s="4">
        <f>MID(TRIM(RIGHT(A206,10)),1,LEN(TRIM(RIGHT(A206,10)))-3)*0.8</f>
        <v>15.12</v>
      </c>
    </row>
    <row r="207" spans="1:10" x14ac:dyDescent="0.25">
      <c r="A207" s="6" t="s">
        <v>121</v>
      </c>
      <c r="B207" t="str" cm="1">
        <f t="array" ref="B207">БУКВЫ(MID($A206,3,11))</f>
        <v>77131013</v>
      </c>
      <c r="C207" t="str">
        <f>C206</f>
        <v xml:space="preserve">Baseball Cap Linen </v>
      </c>
      <c r="D207" s="2"/>
      <c r="E207" s="2"/>
      <c r="F207" t="str">
        <f>_xlfn.LET(_xlpm.Searching,"57",_xlpm.inStr,IFERROR(FIND(_xlpm.Searching,$A210)&gt;=1,FALSE),IF(AND(_xlpm.inStr,LEN(A210)&lt;=6),$A211,""))</f>
        <v/>
      </c>
      <c r="G207">
        <f>_xlfn.LET(_xlpm.Searching,"59",_xlpm.inStr,IFERROR(FIND(_xlpm.Searching,$A210)&gt;=1,FALSE),IF(AND(_xlpm.inStr,LEN(A210)&lt;=6),$A211,""))</f>
        <v>6</v>
      </c>
      <c r="H207" t="str">
        <f>_xlfn.LET(_xlpm.Searching,"61",_xlpm.inStr,IFERROR(FIND(_xlpm.Searching,$A210)&gt;=1,FALSE),IF(AND(_xlpm.inStr,LEN(A210)&lt;=6),$A211,""))</f>
        <v/>
      </c>
      <c r="I207" t="str">
        <f>_xlfn.LET(_xlpm.Searching,"63",_xlpm.inStr,IFERROR(FIND(_xlpm.Searching,$A210)&gt;=1,FALSE),IF(AND(_xlpm.inStr,LEN(A210)&lt;=6),$A211,""))</f>
        <v/>
      </c>
    </row>
    <row r="208" spans="1:10" x14ac:dyDescent="0.25">
      <c r="A208" s="6" t="s">
        <v>33</v>
      </c>
      <c r="B208" t="str" cm="1">
        <f t="array" ref="B208">БУКВЫ(MID($A206,3,11))</f>
        <v>77131013</v>
      </c>
      <c r="C208" t="str">
        <f t="shared" ref="C208:C210" si="13">C207</f>
        <v xml:space="preserve">Baseball Cap Linen </v>
      </c>
      <c r="D208" s="2"/>
      <c r="E208" s="2"/>
      <c r="F208" s="2"/>
      <c r="G208" t="str">
        <f>_xlfn.LET(_xlpm.Searching,"59",_xlpm.inStr,IFERROR(FIND(_xlpm.Searching,$A212)&gt;=1,FALSE),IF(AND(_xlpm.inStr,LEN(A212)&lt;=6),$A213,""))</f>
        <v/>
      </c>
      <c r="H208">
        <f>_xlfn.LET(_xlpm.Searching,"61",_xlpm.inStr,IFERROR(FIND(_xlpm.Searching,$A212)&gt;=1,FALSE),IF(AND(_xlpm.inStr,LEN(A212)&lt;=6),$A213,""))</f>
        <v>4</v>
      </c>
      <c r="I208" t="str">
        <f>_xlfn.LET(_xlpm.Searching,"63",_xlpm.inStr,IFERROR(FIND(_xlpm.Searching,$A212)&gt;=1,FALSE),IF(AND(_xlpm.inStr,LEN(A212)&lt;=6),$A213,""))</f>
        <v/>
      </c>
    </row>
    <row r="209" spans="1:17" x14ac:dyDescent="0.25">
      <c r="A209" s="6">
        <v>4</v>
      </c>
      <c r="B209" t="str" cm="1">
        <f t="array" ref="B209">БУКВЫ(MID($A206,3,11))</f>
        <v>77131013</v>
      </c>
      <c r="C209" t="str">
        <f t="shared" si="13"/>
        <v xml:space="preserve">Baseball Cap Linen </v>
      </c>
      <c r="D209" s="2"/>
      <c r="E209" s="2"/>
      <c r="F209" s="2"/>
      <c r="G209" s="2"/>
      <c r="H209" t="str">
        <f>_xlfn.LET(_xlpm.Searching,"61",_xlpm.inStr,IFERROR(FIND(_xlpm.Searching,$A214)&gt;=1,FALSE),IF(AND(_xlpm.inStr,LEN(A214)&lt;=6),$A215,""))</f>
        <v/>
      </c>
      <c r="I209" t="str">
        <f>_xlfn.LET(_xlpm.Searching,"63",_xlpm.inStr,IFERROR(FIND(_xlpm.Searching,$A214)&gt;=1,FALSE),IF(AND(_xlpm.inStr,LEN(A214)&lt;=6),$A215,""))</f>
        <v/>
      </c>
    </row>
    <row r="210" spans="1:17" x14ac:dyDescent="0.25">
      <c r="A210" s="6" t="s">
        <v>30</v>
      </c>
      <c r="B210" t="str" cm="1">
        <f t="array" ref="B210">БУКВЫ(MID($A206,3,11))</f>
        <v>77131013</v>
      </c>
      <c r="C210" t="str">
        <f t="shared" si="13"/>
        <v xml:space="preserve">Baseball Cap Linen </v>
      </c>
      <c r="D210" s="2"/>
      <c r="E210" s="2"/>
      <c r="F210" s="2"/>
      <c r="G210" s="2"/>
      <c r="H210" s="2"/>
      <c r="I210" t="str">
        <f>_xlfn.LET(_xlpm.Searching,"63",_xlpm.inStr,IFERROR(FIND(_xlpm.Searching,$A216)&gt;=1,FALSE),IF(AND(_xlpm.inStr,LEN(A216)&lt;=6),$A217,""))</f>
        <v/>
      </c>
    </row>
    <row r="211" spans="1:17" x14ac:dyDescent="0.25">
      <c r="A211" s="6">
        <v>6</v>
      </c>
    </row>
    <row r="212" spans="1:17" x14ac:dyDescent="0.25">
      <c r="A212" s="6" t="s">
        <v>31</v>
      </c>
    </row>
    <row r="213" spans="1:17" x14ac:dyDescent="0.25">
      <c r="A213" s="6">
        <v>4</v>
      </c>
    </row>
    <row r="214" spans="1:17" x14ac:dyDescent="0.25">
      <c r="A214" s="6" t="s">
        <v>122</v>
      </c>
    </row>
    <row r="215" spans="1:17" x14ac:dyDescent="0.25">
      <c r="A215" s="6" t="s">
        <v>123</v>
      </c>
    </row>
    <row r="216" spans="1:17" x14ac:dyDescent="0.25">
      <c r="A216" s="6" t="s">
        <v>124</v>
      </c>
      <c r="B216" s="1" t="s">
        <v>1</v>
      </c>
      <c r="C216" s="1" t="s">
        <v>220</v>
      </c>
      <c r="D216" s="1" t="s">
        <v>0</v>
      </c>
      <c r="E216" s="1">
        <v>55</v>
      </c>
      <c r="F216" s="1">
        <v>57</v>
      </c>
      <c r="G216" s="1">
        <v>59</v>
      </c>
      <c r="H216" s="1">
        <v>61</v>
      </c>
      <c r="I216" s="1">
        <v>63</v>
      </c>
      <c r="J216" s="3" t="s">
        <v>2</v>
      </c>
    </row>
    <row r="217" spans="1:17" x14ac:dyDescent="0.25">
      <c r="A217" s="6" t="s">
        <v>125</v>
      </c>
      <c r="B217" t="str" cm="1">
        <f t="array" ref="B217">БУКВЫ(MID($A217,3,11))</f>
        <v>68431162</v>
      </c>
      <c r="C217" t="str">
        <f>MID($A218,1,FIND("Per",A218)-1)</f>
        <v xml:space="preserve">Hatteras Linen </v>
      </c>
      <c r="D217" t="str">
        <f>_xlfn.LET(_xlpm.Searching,"OSFA",_xlpm.inStr,IFERROR(FIND(_xlpm.Searching,$A219)&gt;=1,FALSE),IF(AND(_xlpm.inStr,LEN(A219)&lt;=6),A220,""))</f>
        <v/>
      </c>
      <c r="E217">
        <f>_xlfn.LET(_xlpm.Searching,"55",_xlpm.inStr,IFERROR(FIND(_xlpm.Searching,$A219)&gt;=1,FALSE),IF(AND(_xlpm.inStr,LEN(A219)&lt;=6),A220,""))</f>
        <v>1</v>
      </c>
      <c r="F217" t="str">
        <f>_xlfn.LET(_xlpm.Searching,"57",_xlpm.inStr,IFERROR(FIND(_xlpm.Searching,$A219)&gt;=1,FALSE),IF(AND(_xlpm.inStr,LEN(A219)&lt;=6),$A220,""))&amp;F218</f>
        <v>5</v>
      </c>
      <c r="G217" t="str">
        <f>_xlfn.LET(_xlpm.Searching,"59",_xlpm.inStr,IFERROR(FIND(_xlpm.Searching,$A219)&gt;=1,FALSE),IF(AND(_xlpm.inStr,LEN(A219)&lt;=6),$A220,""))&amp;G218&amp;G219</f>
        <v>8</v>
      </c>
      <c r="H217" t="str">
        <f>_xlfn.LET(_xlpm.Searching,"61",_xlpm.inStr,IFERROR(FIND(_xlpm.Searching,$A219)&gt;=1,FALSE),IF(AND(_xlpm.inStr,LEN(A219)&lt;=6),$A220,""))&amp;H218&amp;H219&amp;H220</f>
        <v>5</v>
      </c>
      <c r="I217" t="str">
        <f>_xlfn.LET(_xlpm.Searching,"63",_xlpm.inStr,IFERROR(FIND(_xlpm.Searching,$A219)&gt;=1,FALSE),IF(AND(_xlpm.inStr,LEN(A219)&lt;=6),$A220,""))&amp;I218&amp;I219&amp;I220&amp;I221</f>
        <v>2</v>
      </c>
      <c r="J217" s="4">
        <f>MID(TRIM(RIGHT(A217,10)),1,LEN(TRIM(RIGHT(A217,10)))-3)*0.8</f>
        <v>23.92</v>
      </c>
    </row>
    <row r="218" spans="1:17" x14ac:dyDescent="0.25">
      <c r="A218" s="6" t="s">
        <v>126</v>
      </c>
      <c r="B218" t="str" cm="1">
        <f t="array" ref="B218">БУКВЫ(MID($A217,3,11))</f>
        <v>68431162</v>
      </c>
      <c r="C218" t="str">
        <f>C217</f>
        <v xml:space="preserve">Hatteras Linen </v>
      </c>
      <c r="D218" s="2"/>
      <c r="E218" s="2"/>
      <c r="F218">
        <f>_xlfn.LET(_xlpm.Searching,"57",_xlpm.inStr,IFERROR(FIND(_xlpm.Searching,$A221)&gt;=1,FALSE),IF(AND(_xlpm.inStr,LEN(A221)&lt;=6),$A222,""))</f>
        <v>5</v>
      </c>
      <c r="G218" t="str">
        <f>_xlfn.LET(_xlpm.Searching,"59",_xlpm.inStr,IFERROR(FIND(_xlpm.Searching,$A221)&gt;=1,FALSE),IF(AND(_xlpm.inStr,LEN(A221)&lt;=6),$A222,""))</f>
        <v/>
      </c>
      <c r="H218" t="str">
        <f>_xlfn.LET(_xlpm.Searching,"61",_xlpm.inStr,IFERROR(FIND(_xlpm.Searching,$A221)&gt;=1,FALSE),IF(AND(_xlpm.inStr,LEN(A221)&lt;=6),$A222,""))</f>
        <v/>
      </c>
      <c r="I218" t="str">
        <f>_xlfn.LET(_xlpm.Searching,"63",_xlpm.inStr,IFERROR(FIND(_xlpm.Searching,$A221)&gt;=1,FALSE),IF(AND(_xlpm.inStr,LEN(A221)&lt;=6),$A222,""))</f>
        <v/>
      </c>
    </row>
    <row r="219" spans="1:17" x14ac:dyDescent="0.25">
      <c r="A219" s="6" t="s">
        <v>32</v>
      </c>
      <c r="B219" t="str" cm="1">
        <f t="array" ref="B219">БУКВЫ(MID($A217,3,11))</f>
        <v>68431162</v>
      </c>
      <c r="C219" t="str">
        <f t="shared" ref="C219:C221" si="14">C218</f>
        <v xml:space="preserve">Hatteras Linen </v>
      </c>
      <c r="D219" s="2"/>
      <c r="E219" s="2"/>
      <c r="F219" s="2"/>
      <c r="G219">
        <f>_xlfn.LET(_xlpm.Searching,"59",_xlpm.inStr,IFERROR(FIND(_xlpm.Searching,$A223)&gt;=1,FALSE),IF(AND(_xlpm.inStr,LEN(A223)&lt;=6),$A224,""))</f>
        <v>8</v>
      </c>
      <c r="H219" t="str">
        <f>_xlfn.LET(_xlpm.Searching,"61",_xlpm.inStr,IFERROR(FIND(_xlpm.Searching,$A223)&gt;=1,FALSE),IF(AND(_xlpm.inStr,LEN(A223)&lt;=6),$A224,""))</f>
        <v/>
      </c>
      <c r="I219" t="str">
        <f>_xlfn.LET(_xlpm.Searching,"63",_xlpm.inStr,IFERROR(FIND(_xlpm.Searching,$A223)&gt;=1,FALSE),IF(AND(_xlpm.inStr,LEN(A223)&lt;=6),$A224,""))</f>
        <v/>
      </c>
    </row>
    <row r="220" spans="1:17" x14ac:dyDescent="0.25">
      <c r="A220" s="6">
        <v>1</v>
      </c>
      <c r="B220" t="str" cm="1">
        <f t="array" ref="B220">БУКВЫ(MID($A217,3,11))</f>
        <v>68431162</v>
      </c>
      <c r="C220" t="str">
        <f t="shared" si="14"/>
        <v xml:space="preserve">Hatteras Linen </v>
      </c>
      <c r="D220" s="2"/>
      <c r="E220" s="2"/>
      <c r="F220" s="2"/>
      <c r="G220" s="2"/>
      <c r="H220">
        <f>_xlfn.LET(_xlpm.Searching,"61",_xlpm.inStr,IFERROR(FIND(_xlpm.Searching,$A225)&gt;=1,FALSE),IF(AND(_xlpm.inStr,LEN(A225)&lt;=6),$A226,""))</f>
        <v>5</v>
      </c>
      <c r="I220" t="str">
        <f>_xlfn.LET(_xlpm.Searching,"63",_xlpm.inStr,IFERROR(FIND(_xlpm.Searching,$A225)&gt;=1,FALSE),IF(AND(_xlpm.inStr,LEN(A225)&lt;=6),$A226,""))</f>
        <v/>
      </c>
    </row>
    <row r="221" spans="1:17" x14ac:dyDescent="0.25">
      <c r="A221" s="6" t="s">
        <v>33</v>
      </c>
      <c r="B221" t="str" cm="1">
        <f t="array" ref="B221">БУКВЫ(MID($A217,3,11))</f>
        <v>68431162</v>
      </c>
      <c r="C221" t="str">
        <f t="shared" si="14"/>
        <v xml:space="preserve">Hatteras Linen </v>
      </c>
      <c r="D221" s="2"/>
      <c r="E221" s="2"/>
      <c r="F221" s="2"/>
      <c r="G221" s="2"/>
      <c r="H221" s="2"/>
      <c r="I221">
        <f>_xlfn.LET(_xlpm.Searching,"63",_xlpm.inStr,IFERROR(FIND(_xlpm.Searching,$A227)&gt;=1,FALSE),IF(AND(_xlpm.inStr,LEN(A227)&lt;=6),$A228,""))</f>
        <v>2</v>
      </c>
      <c r="L221" s="1"/>
      <c r="M221" s="1"/>
      <c r="N221" s="1"/>
      <c r="O221" s="1"/>
      <c r="P221" s="1"/>
      <c r="Q221" s="1"/>
    </row>
    <row r="222" spans="1:17" x14ac:dyDescent="0.25">
      <c r="A222" s="6">
        <v>5</v>
      </c>
    </row>
    <row r="223" spans="1:17" x14ac:dyDescent="0.25">
      <c r="A223" s="6" t="s">
        <v>30</v>
      </c>
    </row>
    <row r="224" spans="1:17" x14ac:dyDescent="0.25">
      <c r="A224" s="6">
        <v>8</v>
      </c>
    </row>
    <row r="225" spans="1:10" x14ac:dyDescent="0.25">
      <c r="A225" s="6" t="s">
        <v>31</v>
      </c>
    </row>
    <row r="226" spans="1:10" x14ac:dyDescent="0.25">
      <c r="A226" s="6">
        <v>5</v>
      </c>
    </row>
    <row r="227" spans="1:10" x14ac:dyDescent="0.25">
      <c r="A227" s="6" t="s">
        <v>34</v>
      </c>
    </row>
    <row r="228" spans="1:10" x14ac:dyDescent="0.25">
      <c r="A228" s="6">
        <v>2</v>
      </c>
    </row>
    <row r="229" spans="1:10" x14ac:dyDescent="0.25">
      <c r="A229" s="6" t="s">
        <v>127</v>
      </c>
    </row>
    <row r="230" spans="1:10" x14ac:dyDescent="0.25">
      <c r="A230" s="6" t="s">
        <v>128</v>
      </c>
    </row>
    <row r="231" spans="1:10" x14ac:dyDescent="0.25">
      <c r="A231" s="6" t="s">
        <v>129</v>
      </c>
      <c r="B231" s="1" t="s">
        <v>1</v>
      </c>
      <c r="C231" s="1" t="s">
        <v>220</v>
      </c>
      <c r="D231" s="1" t="s">
        <v>0</v>
      </c>
      <c r="E231" s="1">
        <v>55</v>
      </c>
      <c r="F231" s="1">
        <v>57</v>
      </c>
      <c r="G231" s="1">
        <v>59</v>
      </c>
      <c r="H231" s="1">
        <v>61</v>
      </c>
      <c r="I231" s="1">
        <v>63</v>
      </c>
      <c r="J231" s="3" t="s">
        <v>2</v>
      </c>
    </row>
    <row r="232" spans="1:10" x14ac:dyDescent="0.25">
      <c r="A232" s="6" t="s">
        <v>130</v>
      </c>
      <c r="B232" t="str" cm="1">
        <f t="array" ref="B232">БУКВЫ(MID($A232,3,11))</f>
        <v>68131036</v>
      </c>
      <c r="C232" t="str">
        <f>MID($A233,1,FIND("Per",A233)-1)</f>
        <v xml:space="preserve">8-Panel Cap Linen </v>
      </c>
      <c r="D232" t="str">
        <f>_xlfn.LET(_xlpm.Searching,"OSFA",_xlpm.inStr,IFERROR(FIND(_xlpm.Searching,$A234)&gt;=1,FALSE),IF(AND(_xlpm.inStr,LEN(A234)&lt;=6),A235,""))</f>
        <v/>
      </c>
      <c r="E232" t="str">
        <f>_xlfn.LET(_xlpm.Searching,"55",_xlpm.inStr,IFERROR(FIND(_xlpm.Searching,$A234)&gt;=1,FALSE),IF(AND(_xlpm.inStr,LEN(A234)&lt;=6),A235,""))</f>
        <v/>
      </c>
      <c r="F232" t="str">
        <f>_xlfn.LET(_xlpm.Searching,"57",_xlpm.inStr,IFERROR(FIND(_xlpm.Searching,$A234)&gt;=1,FALSE),IF(AND(_xlpm.inStr,LEN(A234)&lt;=6),$A235,""))&amp;F233</f>
        <v>4</v>
      </c>
      <c r="G232" t="str">
        <f>_xlfn.LET(_xlpm.Searching,"59",_xlpm.inStr,IFERROR(FIND(_xlpm.Searching,$A234)&gt;=1,FALSE),IF(AND(_xlpm.inStr,LEN(A234)&lt;=6),$A235,""))&amp;G233&amp;G234</f>
        <v>6</v>
      </c>
      <c r="H232" t="str">
        <f>_xlfn.LET(_xlpm.Searching,"61",_xlpm.inStr,IFERROR(FIND(_xlpm.Searching,$A234)&gt;=1,FALSE),IF(AND(_xlpm.inStr,LEN(A234)&lt;=6),$A235,""))&amp;H233&amp;H234&amp;H235</f>
        <v>4</v>
      </c>
      <c r="I232" t="str">
        <f>_xlfn.LET(_xlpm.Searching,"63",_xlpm.inStr,IFERROR(FIND(_xlpm.Searching,$A234)&gt;=1,FALSE),IF(AND(_xlpm.inStr,LEN(A234)&lt;=6),$A235,""))&amp;I233&amp;I234&amp;I235&amp;I236</f>
        <v>1</v>
      </c>
      <c r="J232" s="4">
        <f>MID(TRIM(RIGHT(A232,10)),1,LEN(TRIM(RIGHT(A232,10)))-3)*0.8</f>
        <v>30.32</v>
      </c>
    </row>
    <row r="233" spans="1:10" x14ac:dyDescent="0.25">
      <c r="A233" s="6" t="s">
        <v>131</v>
      </c>
      <c r="B233" t="str" cm="1">
        <f t="array" ref="B233">БУКВЫ(MID($A232,3,11))</f>
        <v>68131036</v>
      </c>
      <c r="C233" t="str">
        <f>C232</f>
        <v xml:space="preserve">8-Panel Cap Linen </v>
      </c>
      <c r="D233" s="2"/>
      <c r="E233" s="2"/>
      <c r="F233" t="str">
        <f>_xlfn.LET(_xlpm.Searching,"57",_xlpm.inStr,IFERROR(FIND(_xlpm.Searching,$A236)&gt;=1,FALSE),IF(AND(_xlpm.inStr,LEN(A236)&lt;=6),$A237,""))</f>
        <v/>
      </c>
      <c r="G233">
        <f>_xlfn.LET(_xlpm.Searching,"59",_xlpm.inStr,IFERROR(FIND(_xlpm.Searching,$A236)&gt;=1,FALSE),IF(AND(_xlpm.inStr,LEN(A236)&lt;=6),$A237,""))</f>
        <v>6</v>
      </c>
      <c r="H233" t="str">
        <f>_xlfn.LET(_xlpm.Searching,"61",_xlpm.inStr,IFERROR(FIND(_xlpm.Searching,$A236)&gt;=1,FALSE),IF(AND(_xlpm.inStr,LEN(A236)&lt;=6),$A237,""))</f>
        <v/>
      </c>
      <c r="I233" t="str">
        <f>_xlfn.LET(_xlpm.Searching,"63",_xlpm.inStr,IFERROR(FIND(_xlpm.Searching,$A236)&gt;=1,FALSE),IF(AND(_xlpm.inStr,LEN(A236)&lt;=6),$A237,""))</f>
        <v/>
      </c>
    </row>
    <row r="234" spans="1:10" x14ac:dyDescent="0.25">
      <c r="A234" s="6" t="s">
        <v>33</v>
      </c>
      <c r="B234" t="str" cm="1">
        <f t="array" ref="B234">БУКВЫ(MID($A232,3,11))</f>
        <v>68131036</v>
      </c>
      <c r="C234" t="str">
        <f t="shared" ref="C234:C236" si="15">C233</f>
        <v xml:space="preserve">8-Panel Cap Linen </v>
      </c>
      <c r="D234" s="2"/>
      <c r="E234" s="2"/>
      <c r="F234" s="2"/>
      <c r="G234" t="str">
        <f>_xlfn.LET(_xlpm.Searching,"59",_xlpm.inStr,IFERROR(FIND(_xlpm.Searching,$A238)&gt;=1,FALSE),IF(AND(_xlpm.inStr,LEN(A238)&lt;=6),$A239,""))</f>
        <v/>
      </c>
      <c r="H234">
        <f>_xlfn.LET(_xlpm.Searching,"61",_xlpm.inStr,IFERROR(FIND(_xlpm.Searching,$A238)&gt;=1,FALSE),IF(AND(_xlpm.inStr,LEN(A238)&lt;=6),$A239,""))</f>
        <v>4</v>
      </c>
      <c r="I234" t="str">
        <f>_xlfn.LET(_xlpm.Searching,"63",_xlpm.inStr,IFERROR(FIND(_xlpm.Searching,$A238)&gt;=1,FALSE),IF(AND(_xlpm.inStr,LEN(A238)&lt;=6),$A239,""))</f>
        <v/>
      </c>
    </row>
    <row r="235" spans="1:10" x14ac:dyDescent="0.25">
      <c r="A235" s="6">
        <v>4</v>
      </c>
      <c r="B235" t="str" cm="1">
        <f t="array" ref="B235">БУКВЫ(MID($A232,3,11))</f>
        <v>68131036</v>
      </c>
      <c r="C235" t="str">
        <f t="shared" si="15"/>
        <v xml:space="preserve">8-Panel Cap Linen </v>
      </c>
      <c r="D235" s="2"/>
      <c r="E235" s="2"/>
      <c r="F235" s="2"/>
      <c r="G235" s="2"/>
      <c r="H235" t="str">
        <f>_xlfn.LET(_xlpm.Searching,"61",_xlpm.inStr,IFERROR(FIND(_xlpm.Searching,$A240)&gt;=1,FALSE),IF(AND(_xlpm.inStr,LEN(A240)&lt;=6),$A241,""))</f>
        <v/>
      </c>
      <c r="I235">
        <f>_xlfn.LET(_xlpm.Searching,"63",_xlpm.inStr,IFERROR(FIND(_xlpm.Searching,$A240)&gt;=1,FALSE),IF(AND(_xlpm.inStr,LEN(A240)&lt;=6),$A241,""))</f>
        <v>1</v>
      </c>
    </row>
    <row r="236" spans="1:10" x14ac:dyDescent="0.25">
      <c r="A236" s="6" t="s">
        <v>30</v>
      </c>
      <c r="B236" t="str" cm="1">
        <f t="array" ref="B236">БУКВЫ(MID($A232,3,11))</f>
        <v>68131036</v>
      </c>
      <c r="C236" t="str">
        <f t="shared" si="15"/>
        <v xml:space="preserve">8-Panel Cap Linen </v>
      </c>
      <c r="D236" s="2"/>
      <c r="E236" s="2"/>
      <c r="F236" s="2"/>
      <c r="G236" s="2"/>
      <c r="H236" s="2"/>
      <c r="I236" t="str">
        <f>_xlfn.LET(_xlpm.Searching,"63",_xlpm.inStr,IFERROR(FIND(_xlpm.Searching,$A242)&gt;=1,FALSE),IF(AND(_xlpm.inStr,LEN(A242)&lt;=6),$A243,""))</f>
        <v/>
      </c>
    </row>
    <row r="237" spans="1:10" x14ac:dyDescent="0.25">
      <c r="A237" s="6">
        <v>6</v>
      </c>
    </row>
    <row r="238" spans="1:10" x14ac:dyDescent="0.25">
      <c r="A238" s="6" t="s">
        <v>31</v>
      </c>
    </row>
    <row r="239" spans="1:10" x14ac:dyDescent="0.25">
      <c r="A239" s="6">
        <v>4</v>
      </c>
    </row>
    <row r="240" spans="1:10" x14ac:dyDescent="0.25">
      <c r="A240" s="6" t="s">
        <v>34</v>
      </c>
    </row>
    <row r="241" spans="1:1" x14ac:dyDescent="0.25">
      <c r="A241" s="6">
        <v>1</v>
      </c>
    </row>
    <row r="242" spans="1:1" x14ac:dyDescent="0.25">
      <c r="A242" s="6" t="s">
        <v>132</v>
      </c>
    </row>
    <row r="243" spans="1:1" x14ac:dyDescent="0.25">
      <c r="A243" s="6" t="s">
        <v>133</v>
      </c>
    </row>
    <row r="244" spans="1:1" x14ac:dyDescent="0.25">
      <c r="A244" s="6" t="s">
        <v>134</v>
      </c>
    </row>
    <row r="245" spans="1:1" x14ac:dyDescent="0.25">
      <c r="A245" s="6" t="s">
        <v>18</v>
      </c>
    </row>
    <row r="246" spans="1:1" x14ac:dyDescent="0.25">
      <c r="A246" s="6" t="s">
        <v>36</v>
      </c>
    </row>
    <row r="247" spans="1:1" x14ac:dyDescent="0.25">
      <c r="A247" s="6" t="s">
        <v>37</v>
      </c>
    </row>
    <row r="248" spans="1:1" x14ac:dyDescent="0.25">
      <c r="A248" s="6" t="s">
        <v>38</v>
      </c>
    </row>
    <row r="249" spans="1:1" x14ac:dyDescent="0.25">
      <c r="A249" s="6" t="s">
        <v>39</v>
      </c>
    </row>
    <row r="250" spans="1:1" x14ac:dyDescent="0.25">
      <c r="A250" s="6" t="s">
        <v>40</v>
      </c>
    </row>
    <row r="251" spans="1:1" x14ac:dyDescent="0.25">
      <c r="A251" s="6" t="s">
        <v>41</v>
      </c>
    </row>
    <row r="252" spans="1:1" x14ac:dyDescent="0.25">
      <c r="A252" s="6" t="s">
        <v>42</v>
      </c>
    </row>
    <row r="253" spans="1:1" x14ac:dyDescent="0.25">
      <c r="A253" s="6" t="s">
        <v>43</v>
      </c>
    </row>
    <row r="254" spans="1:1" x14ac:dyDescent="0.25">
      <c r="A254" s="6" t="s">
        <v>44</v>
      </c>
    </row>
    <row r="255" spans="1:1" x14ac:dyDescent="0.25">
      <c r="A255" s="6" t="s">
        <v>45</v>
      </c>
    </row>
    <row r="256" spans="1:1" x14ac:dyDescent="0.25">
      <c r="A256" s="6" t="s">
        <v>46</v>
      </c>
    </row>
    <row r="257" spans="1:10" x14ac:dyDescent="0.25">
      <c r="A257" s="6" t="s">
        <v>47</v>
      </c>
    </row>
    <row r="258" spans="1:10" x14ac:dyDescent="0.25">
      <c r="A258" s="6" t="s">
        <v>48</v>
      </c>
    </row>
    <row r="259" spans="1:10" x14ac:dyDescent="0.25">
      <c r="A259" s="6" t="s">
        <v>49</v>
      </c>
    </row>
    <row r="260" spans="1:10" x14ac:dyDescent="0.25">
      <c r="A260" s="6" t="s">
        <v>81</v>
      </c>
    </row>
    <row r="261" spans="1:10" x14ac:dyDescent="0.25">
      <c r="A261" s="6" t="s">
        <v>95</v>
      </c>
    </row>
    <row r="262" spans="1:10" x14ac:dyDescent="0.25">
      <c r="A262" s="6" t="s">
        <v>55</v>
      </c>
    </row>
    <row r="263" spans="1:10" x14ac:dyDescent="0.25">
      <c r="A263" s="6" t="s">
        <v>21</v>
      </c>
    </row>
    <row r="264" spans="1:10" x14ac:dyDescent="0.25">
      <c r="A264" s="6" t="s">
        <v>22</v>
      </c>
    </row>
    <row r="265" spans="1:10" x14ac:dyDescent="0.25">
      <c r="A265" s="6" t="s">
        <v>23</v>
      </c>
    </row>
    <row r="266" spans="1:10" x14ac:dyDescent="0.25">
      <c r="A266" s="6" t="s">
        <v>24</v>
      </c>
    </row>
    <row r="267" spans="1:10" x14ac:dyDescent="0.25">
      <c r="A267" s="6" t="s">
        <v>25</v>
      </c>
    </row>
    <row r="268" spans="1:10" x14ac:dyDescent="0.25">
      <c r="A268" s="6" t="s">
        <v>26</v>
      </c>
    </row>
    <row r="269" spans="1:10" x14ac:dyDescent="0.25">
      <c r="A269" s="6" t="s">
        <v>27</v>
      </c>
      <c r="B269" s="1" t="s">
        <v>1</v>
      </c>
      <c r="C269" s="1" t="s">
        <v>220</v>
      </c>
      <c r="D269" s="1" t="s">
        <v>0</v>
      </c>
      <c r="E269" s="1">
        <v>55</v>
      </c>
      <c r="F269" s="1">
        <v>57</v>
      </c>
      <c r="G269" s="1">
        <v>59</v>
      </c>
      <c r="H269" s="1">
        <v>61</v>
      </c>
      <c r="I269" s="1">
        <v>63</v>
      </c>
      <c r="J269" s="3" t="s">
        <v>2</v>
      </c>
    </row>
    <row r="270" spans="1:10" x14ac:dyDescent="0.25">
      <c r="A270" s="6" t="s">
        <v>135</v>
      </c>
      <c r="B270" t="str" cm="1">
        <f t="array" ref="B270">БУКВЫ(MID($A270,3,12))</f>
        <v>6840407267</v>
      </c>
      <c r="C270" t="str">
        <f>MID($A271,1,FIND("Per",A271)-1)</f>
        <v xml:space="preserve">Hatteras Virgin Wool/Silk </v>
      </c>
      <c r="D270" t="str">
        <f>_xlfn.LET(_xlpm.Searching,"OSFA",_xlpm.inStr,IFERROR(FIND(_xlpm.Searching,$A272)&gt;=1,FALSE),IF(AND(_xlpm.inStr,LEN(A272)&lt;=6),A273,""))</f>
        <v/>
      </c>
      <c r="E270" t="str">
        <f>_xlfn.LET(_xlpm.Searching,"55",_xlpm.inStr,IFERROR(FIND(_xlpm.Searching,$A272)&gt;=1,FALSE),IF(AND(_xlpm.inStr,LEN(A272)&lt;=6),A273,""))</f>
        <v/>
      </c>
      <c r="F270" t="str">
        <f>_xlfn.LET(_xlpm.Searching,"57",_xlpm.inStr,IFERROR(FIND(_xlpm.Searching,$A272)&gt;=1,FALSE),IF(AND(_xlpm.inStr,LEN(A272)&lt;=6),$A273,""))&amp;F271</f>
        <v>1</v>
      </c>
      <c r="G270" t="str">
        <f>_xlfn.LET(_xlpm.Searching,"59",_xlpm.inStr,IFERROR(FIND(_xlpm.Searching,$A272)&gt;=1,FALSE),IF(AND(_xlpm.inStr,LEN(A272)&lt;=6),$A273,""))&amp;G271&amp;G272</f>
        <v>2</v>
      </c>
      <c r="H270" t="str">
        <f>_xlfn.LET(_xlpm.Searching,"61",_xlpm.inStr,IFERROR(FIND(_xlpm.Searching,$A272)&gt;=1,FALSE),IF(AND(_xlpm.inStr,LEN(A272)&lt;=6),$A273,""))&amp;H271&amp;H272&amp;H273</f>
        <v>1</v>
      </c>
      <c r="I270" t="str">
        <f>_xlfn.LET(_xlpm.Searching,"63",_xlpm.inStr,IFERROR(FIND(_xlpm.Searching,$A272)&gt;=1,FALSE),IF(AND(_xlpm.inStr,LEN(A272)&lt;=6),$A273,""))&amp;I271&amp;I272&amp;I273&amp;I274</f>
        <v/>
      </c>
      <c r="J270" s="4">
        <f>MID(TRIM(RIGHT(A270,10)),1,LEN(TRIM(RIGHT(A270,10)))-3)*0.8</f>
        <v>39.92</v>
      </c>
    </row>
    <row r="271" spans="1:10" x14ac:dyDescent="0.25">
      <c r="A271" s="6" t="s">
        <v>136</v>
      </c>
      <c r="B271" t="str">
        <f>B270</f>
        <v>6840407267</v>
      </c>
      <c r="C271" t="str">
        <f>C270</f>
        <v xml:space="preserve">Hatteras Virgin Wool/Silk </v>
      </c>
      <c r="D271" s="2"/>
      <c r="E271" s="2"/>
      <c r="F271" t="str">
        <f>_xlfn.LET(_xlpm.Searching,"57",_xlpm.inStr,IFERROR(FIND(_xlpm.Searching,$A274)&gt;=1,FALSE),IF(AND(_xlpm.inStr,LEN(A274)&lt;=6),$A275,""))</f>
        <v/>
      </c>
      <c r="G271">
        <f>_xlfn.LET(_xlpm.Searching,"59",_xlpm.inStr,IFERROR(FIND(_xlpm.Searching,$A274)&gt;=1,FALSE),IF(AND(_xlpm.inStr,LEN(A274)&lt;=6),$A275,""))</f>
        <v>2</v>
      </c>
      <c r="H271" t="str">
        <f>_xlfn.LET(_xlpm.Searching,"61",_xlpm.inStr,IFERROR(FIND(_xlpm.Searching,$A274)&gt;=1,FALSE),IF(AND(_xlpm.inStr,LEN(A274)&lt;=6),$A275,""))</f>
        <v/>
      </c>
      <c r="I271" t="str">
        <f>_xlfn.LET(_xlpm.Searching,"63",_xlpm.inStr,IFERROR(FIND(_xlpm.Searching,$A274)&gt;=1,FALSE),IF(AND(_xlpm.inStr,LEN(A274)&lt;=6),$A275,""))</f>
        <v/>
      </c>
    </row>
    <row r="272" spans="1:10" x14ac:dyDescent="0.25">
      <c r="A272" s="6" t="s">
        <v>33</v>
      </c>
      <c r="B272" t="str">
        <f t="shared" ref="B272:B274" si="16">B271</f>
        <v>6840407267</v>
      </c>
      <c r="C272" t="str">
        <f t="shared" ref="C272:C274" si="17">C271</f>
        <v xml:space="preserve">Hatteras Virgin Wool/Silk </v>
      </c>
      <c r="D272" s="2"/>
      <c r="E272" s="2"/>
      <c r="F272" s="2"/>
      <c r="G272" t="str">
        <f>_xlfn.LET(_xlpm.Searching,"59",_xlpm.inStr,IFERROR(FIND(_xlpm.Searching,$A276)&gt;=1,FALSE),IF(AND(_xlpm.inStr,LEN(A276)&lt;=6),$A277,""))</f>
        <v/>
      </c>
      <c r="H272">
        <f>_xlfn.LET(_xlpm.Searching,"61",_xlpm.inStr,IFERROR(FIND(_xlpm.Searching,$A276)&gt;=1,FALSE),IF(AND(_xlpm.inStr,LEN(A276)&lt;=6),$A277,""))</f>
        <v>1</v>
      </c>
      <c r="I272" t="str">
        <f>_xlfn.LET(_xlpm.Searching,"63",_xlpm.inStr,IFERROR(FIND(_xlpm.Searching,$A276)&gt;=1,FALSE),IF(AND(_xlpm.inStr,LEN(A276)&lt;=6),$A277,""))</f>
        <v/>
      </c>
    </row>
    <row r="273" spans="1:10" x14ac:dyDescent="0.25">
      <c r="A273" s="6">
        <v>1</v>
      </c>
      <c r="B273" t="str">
        <f t="shared" si="16"/>
        <v>6840407267</v>
      </c>
      <c r="C273" t="str">
        <f t="shared" si="17"/>
        <v xml:space="preserve">Hatteras Virgin Wool/Silk </v>
      </c>
      <c r="D273" s="2"/>
      <c r="E273" s="2"/>
      <c r="F273" s="2"/>
      <c r="G273" s="2"/>
      <c r="H273" t="str">
        <f>_xlfn.LET(_xlpm.Searching,"61",_xlpm.inStr,IFERROR(FIND(_xlpm.Searching,$A278)&gt;=1,FALSE),IF(AND(_xlpm.inStr,LEN(A278)&lt;=6),$A279,""))</f>
        <v/>
      </c>
      <c r="I273" t="str">
        <f>_xlfn.LET(_xlpm.Searching,"63",_xlpm.inStr,IFERROR(FIND(_xlpm.Searching,$A278)&gt;=1,FALSE),IF(AND(_xlpm.inStr,LEN(A278)&lt;=6),$A279,""))</f>
        <v/>
      </c>
    </row>
    <row r="274" spans="1:10" x14ac:dyDescent="0.25">
      <c r="A274" s="6" t="s">
        <v>30</v>
      </c>
      <c r="B274" t="str">
        <f t="shared" si="16"/>
        <v>6840407267</v>
      </c>
      <c r="C274" t="str">
        <f t="shared" si="17"/>
        <v xml:space="preserve">Hatteras Virgin Wool/Silk </v>
      </c>
      <c r="D274" s="2"/>
      <c r="E274" s="2"/>
      <c r="F274" s="2"/>
      <c r="G274" s="2"/>
      <c r="H274" s="2"/>
      <c r="I274" t="str">
        <f>_xlfn.LET(_xlpm.Searching,"63",_xlpm.inStr,IFERROR(FIND(_xlpm.Searching,$A280)&gt;=1,FALSE),IF(AND(_xlpm.inStr,LEN(A280)&lt;=6),$A281,""))</f>
        <v/>
      </c>
    </row>
    <row r="275" spans="1:10" x14ac:dyDescent="0.25">
      <c r="A275" s="6">
        <v>2</v>
      </c>
    </row>
    <row r="276" spans="1:10" x14ac:dyDescent="0.25">
      <c r="A276" s="6" t="s">
        <v>31</v>
      </c>
    </row>
    <row r="277" spans="1:10" x14ac:dyDescent="0.25">
      <c r="A277" s="6">
        <v>1</v>
      </c>
    </row>
    <row r="278" spans="1:10" x14ac:dyDescent="0.25">
      <c r="A278" s="6" t="s">
        <v>137</v>
      </c>
    </row>
    <row r="279" spans="1:10" x14ac:dyDescent="0.25">
      <c r="A279" s="6" t="s">
        <v>138</v>
      </c>
    </row>
    <row r="280" spans="1:10" x14ac:dyDescent="0.25">
      <c r="A280" s="6" t="s">
        <v>139</v>
      </c>
      <c r="B280" s="1" t="s">
        <v>1</v>
      </c>
      <c r="C280" s="1" t="s">
        <v>220</v>
      </c>
      <c r="D280" s="1" t="s">
        <v>0</v>
      </c>
      <c r="E280" s="1">
        <v>55</v>
      </c>
      <c r="F280" s="1">
        <v>57</v>
      </c>
      <c r="G280" s="1">
        <v>59</v>
      </c>
      <c r="H280" s="1">
        <v>61</v>
      </c>
      <c r="I280" s="1">
        <v>63</v>
      </c>
      <c r="J280" s="3" t="s">
        <v>2</v>
      </c>
    </row>
    <row r="281" spans="1:10" x14ac:dyDescent="0.25">
      <c r="A281" s="6" t="s">
        <v>140</v>
      </c>
      <c r="B281" t="str" cm="1">
        <f t="array" ref="B281">БУКВЫ(MID($A281,3,12))</f>
        <v>6382504322</v>
      </c>
      <c r="C281" t="str">
        <f>MID($A282,1,FIND("Per",A282)-1)</f>
        <v xml:space="preserve">Driver Cap Silk/Virgin Wool </v>
      </c>
      <c r="D281" t="str">
        <f>_xlfn.LET(_xlpm.Searching,"OSFA",_xlpm.inStr,IFERROR(FIND(_xlpm.Searching,$A283)&gt;=1,FALSE),IF(AND(_xlpm.inStr,LEN(A283)&lt;=6),A284,""))</f>
        <v/>
      </c>
      <c r="E281" t="str">
        <f>_xlfn.LET(_xlpm.Searching,"55",_xlpm.inStr,IFERROR(FIND(_xlpm.Searching,$A283)&gt;=1,FALSE),IF(AND(_xlpm.inStr,LEN(A283)&lt;=6),A284,""))</f>
        <v/>
      </c>
      <c r="F281" t="str">
        <f>_xlfn.LET(_xlpm.Searching,"57",_xlpm.inStr,IFERROR(FIND(_xlpm.Searching,$A283)&gt;=1,FALSE),IF(AND(_xlpm.inStr,LEN(A283)&lt;=6),$A284,""))&amp;F282</f>
        <v>2</v>
      </c>
      <c r="G281" t="str">
        <f>_xlfn.LET(_xlpm.Searching,"59",_xlpm.inStr,IFERROR(FIND(_xlpm.Searching,$A283)&gt;=1,FALSE),IF(AND(_xlpm.inStr,LEN(A283)&lt;=6),$A284,""))&amp;G282&amp;G283</f>
        <v>4</v>
      </c>
      <c r="H281" t="str">
        <f>_xlfn.LET(_xlpm.Searching,"61",_xlpm.inStr,IFERROR(FIND(_xlpm.Searching,$A283)&gt;=1,FALSE),IF(AND(_xlpm.inStr,LEN(A283)&lt;=6),$A284,""))&amp;H282&amp;H283&amp;H284</f>
        <v>3</v>
      </c>
      <c r="I281" t="str">
        <f>_xlfn.LET(_xlpm.Searching,"63",_xlpm.inStr,IFERROR(FIND(_xlpm.Searching,$A283)&gt;=1,FALSE),IF(AND(_xlpm.inStr,LEN(A283)&lt;=6),$A284,""))&amp;I282&amp;I283&amp;I284&amp;I285</f>
        <v/>
      </c>
      <c r="J281" s="4">
        <f>MID(TRIM(RIGHT(A281,10)),1,LEN(TRIM(RIGHT(A281,10)))-3)*0.8</f>
        <v>39.92</v>
      </c>
    </row>
    <row r="282" spans="1:10" x14ac:dyDescent="0.25">
      <c r="A282" s="6" t="s">
        <v>141</v>
      </c>
      <c r="B282" t="str">
        <f>B281</f>
        <v>6382504322</v>
      </c>
      <c r="C282" t="str">
        <f>C281</f>
        <v xml:space="preserve">Driver Cap Silk/Virgin Wool </v>
      </c>
      <c r="D282" s="2"/>
      <c r="E282" s="2"/>
      <c r="F282" t="str">
        <f>_xlfn.LET(_xlpm.Searching,"57",_xlpm.inStr,IFERROR(FIND(_xlpm.Searching,$A285)&gt;=1,FALSE),IF(AND(_xlpm.inStr,LEN(A285)&lt;=6),$A286,""))</f>
        <v/>
      </c>
      <c r="G282">
        <f>_xlfn.LET(_xlpm.Searching,"59",_xlpm.inStr,IFERROR(FIND(_xlpm.Searching,$A285)&gt;=1,FALSE),IF(AND(_xlpm.inStr,LEN(A285)&lt;=6),$A286,""))</f>
        <v>4</v>
      </c>
      <c r="H282" t="str">
        <f>_xlfn.LET(_xlpm.Searching,"61",_xlpm.inStr,IFERROR(FIND(_xlpm.Searching,$A285)&gt;=1,FALSE),IF(AND(_xlpm.inStr,LEN(A285)&lt;=6),$A286,""))</f>
        <v/>
      </c>
      <c r="I282" t="str">
        <f>_xlfn.LET(_xlpm.Searching,"63",_xlpm.inStr,IFERROR(FIND(_xlpm.Searching,$A285)&gt;=1,FALSE),IF(AND(_xlpm.inStr,LEN(A285)&lt;=6),$A286,""))</f>
        <v/>
      </c>
    </row>
    <row r="283" spans="1:10" x14ac:dyDescent="0.25">
      <c r="A283" s="6" t="s">
        <v>33</v>
      </c>
      <c r="B283" t="str">
        <f t="shared" ref="B283:C285" si="18">B282</f>
        <v>6382504322</v>
      </c>
      <c r="C283" t="str">
        <f t="shared" si="18"/>
        <v xml:space="preserve">Driver Cap Silk/Virgin Wool </v>
      </c>
      <c r="D283" s="2"/>
      <c r="E283" s="2"/>
      <c r="F283" s="2"/>
      <c r="G283" t="str">
        <f>_xlfn.LET(_xlpm.Searching,"59",_xlpm.inStr,IFERROR(FIND(_xlpm.Searching,$A287)&gt;=1,FALSE),IF(AND(_xlpm.inStr,LEN(A287)&lt;=6),$A288,""))</f>
        <v/>
      </c>
      <c r="H283">
        <f>_xlfn.LET(_xlpm.Searching,"61",_xlpm.inStr,IFERROR(FIND(_xlpm.Searching,$A287)&gt;=1,FALSE),IF(AND(_xlpm.inStr,LEN(A287)&lt;=6),$A288,""))</f>
        <v>3</v>
      </c>
      <c r="I283" t="str">
        <f>_xlfn.LET(_xlpm.Searching,"63",_xlpm.inStr,IFERROR(FIND(_xlpm.Searching,$A287)&gt;=1,FALSE),IF(AND(_xlpm.inStr,LEN(A287)&lt;=6),$A288,""))</f>
        <v/>
      </c>
    </row>
    <row r="284" spans="1:10" x14ac:dyDescent="0.25">
      <c r="A284" s="6">
        <v>2</v>
      </c>
      <c r="B284" t="str">
        <f t="shared" si="18"/>
        <v>6382504322</v>
      </c>
      <c r="C284" t="str">
        <f t="shared" si="18"/>
        <v xml:space="preserve">Driver Cap Silk/Virgin Wool </v>
      </c>
      <c r="D284" s="2"/>
      <c r="E284" s="2"/>
      <c r="F284" s="2"/>
      <c r="G284" s="2"/>
      <c r="H284" t="str">
        <f>_xlfn.LET(_xlpm.Searching,"61",_xlpm.inStr,IFERROR(FIND(_xlpm.Searching,$A289)&gt;=1,FALSE),IF(AND(_xlpm.inStr,LEN(A289)&lt;=6),$A290,""))</f>
        <v/>
      </c>
      <c r="I284" t="str">
        <f>_xlfn.LET(_xlpm.Searching,"63",_xlpm.inStr,IFERROR(FIND(_xlpm.Searching,$A289)&gt;=1,FALSE),IF(AND(_xlpm.inStr,LEN(A289)&lt;=6),$A290,""))</f>
        <v/>
      </c>
    </row>
    <row r="285" spans="1:10" x14ac:dyDescent="0.25">
      <c r="A285" s="6" t="s">
        <v>30</v>
      </c>
      <c r="B285" t="str">
        <f t="shared" si="18"/>
        <v>6382504322</v>
      </c>
      <c r="C285" t="str">
        <f t="shared" si="18"/>
        <v xml:space="preserve">Driver Cap Silk/Virgin Wool </v>
      </c>
      <c r="D285" s="2"/>
      <c r="E285" s="2"/>
      <c r="F285" s="2"/>
      <c r="G285" s="2"/>
      <c r="H285" s="2"/>
      <c r="I285" t="str">
        <f>_xlfn.LET(_xlpm.Searching,"63",_xlpm.inStr,IFERROR(FIND(_xlpm.Searching,$A291)&gt;=1,FALSE),IF(AND(_xlpm.inStr,LEN(A291)&lt;=6),$A292,""))</f>
        <v/>
      </c>
    </row>
    <row r="286" spans="1:10" x14ac:dyDescent="0.25">
      <c r="A286" s="6">
        <v>4</v>
      </c>
    </row>
    <row r="287" spans="1:10" x14ac:dyDescent="0.25">
      <c r="A287" s="6" t="s">
        <v>31</v>
      </c>
    </row>
    <row r="288" spans="1:10" x14ac:dyDescent="0.25">
      <c r="A288" s="6">
        <v>3</v>
      </c>
    </row>
    <row r="289" spans="1:10" x14ac:dyDescent="0.25">
      <c r="A289" s="6" t="s">
        <v>137</v>
      </c>
    </row>
    <row r="290" spans="1:10" x14ac:dyDescent="0.25">
      <c r="A290" s="6" t="s">
        <v>142</v>
      </c>
    </row>
    <row r="291" spans="1:10" x14ac:dyDescent="0.25">
      <c r="A291" s="6" t="s">
        <v>143</v>
      </c>
      <c r="B291" s="1" t="s">
        <v>1</v>
      </c>
      <c r="C291" s="1" t="s">
        <v>220</v>
      </c>
      <c r="D291" s="1" t="s">
        <v>0</v>
      </c>
      <c r="E291" s="1">
        <v>55</v>
      </c>
      <c r="F291" s="1">
        <v>57</v>
      </c>
      <c r="G291" s="1">
        <v>59</v>
      </c>
      <c r="H291" s="1">
        <v>61</v>
      </c>
      <c r="I291" s="1">
        <v>63</v>
      </c>
      <c r="J291" s="3" t="s">
        <v>2</v>
      </c>
    </row>
    <row r="292" spans="1:10" x14ac:dyDescent="0.25">
      <c r="A292" s="6" t="s">
        <v>144</v>
      </c>
      <c r="B292" t="str" cm="1">
        <f t="array" ref="B292">БУКВЫ(MID($A292,3,12))</f>
        <v>6842504322</v>
      </c>
      <c r="C292" t="str">
        <f>MID($A293,1,FIND("Per",A293)-1)</f>
        <v xml:space="preserve">Hatteras Silk/Virgin Wool </v>
      </c>
      <c r="D292" t="str">
        <f>_xlfn.LET(_xlpm.Searching,"OSFA",_xlpm.inStr,IFERROR(FIND(_xlpm.Searching,$A294)&gt;=1,FALSE),IF(AND(_xlpm.inStr,LEN(A294)&lt;=6),A295,""))</f>
        <v/>
      </c>
      <c r="E292" t="str">
        <f>_xlfn.LET(_xlpm.Searching,"55",_xlpm.inStr,IFERROR(FIND(_xlpm.Searching,$A294)&gt;=1,FALSE),IF(AND(_xlpm.inStr,LEN(A294)&lt;=6),A295,""))</f>
        <v/>
      </c>
      <c r="F292" t="str">
        <f>_xlfn.LET(_xlpm.Searching,"57",_xlpm.inStr,IFERROR(FIND(_xlpm.Searching,$A294)&gt;=1,FALSE),IF(AND(_xlpm.inStr,LEN(A294)&lt;=6),$A295,""))&amp;F293</f>
        <v>2</v>
      </c>
      <c r="G292" t="str">
        <f>_xlfn.LET(_xlpm.Searching,"59",_xlpm.inStr,IFERROR(FIND(_xlpm.Searching,$A294)&gt;=1,FALSE),IF(AND(_xlpm.inStr,LEN(A294)&lt;=6),$A295,""))&amp;G293&amp;G294</f>
        <v>4</v>
      </c>
      <c r="H292" t="str">
        <f>_xlfn.LET(_xlpm.Searching,"61",_xlpm.inStr,IFERROR(FIND(_xlpm.Searching,$A294)&gt;=1,FALSE),IF(AND(_xlpm.inStr,LEN(A294)&lt;=6),$A295,""))&amp;H293&amp;H294&amp;H295</f>
        <v>3</v>
      </c>
      <c r="I292" t="str">
        <f>_xlfn.LET(_xlpm.Searching,"63",_xlpm.inStr,IFERROR(FIND(_xlpm.Searching,$A294)&gt;=1,FALSE),IF(AND(_xlpm.inStr,LEN(A294)&lt;=6),$A295,""))&amp;I293&amp;I294&amp;I295&amp;I296</f>
        <v/>
      </c>
      <c r="J292" s="4">
        <f>MID(TRIM(RIGHT(A292,10)),1,LEN(TRIM(RIGHT(A292,10)))-3)*0.8</f>
        <v>39.92</v>
      </c>
    </row>
    <row r="293" spans="1:10" x14ac:dyDescent="0.25">
      <c r="A293" s="6" t="s">
        <v>145</v>
      </c>
      <c r="B293" t="str">
        <f>B292</f>
        <v>6842504322</v>
      </c>
      <c r="C293" t="str">
        <f>C292</f>
        <v xml:space="preserve">Hatteras Silk/Virgin Wool </v>
      </c>
      <c r="D293" s="2"/>
      <c r="E293" s="2"/>
      <c r="F293" t="str">
        <f>_xlfn.LET(_xlpm.Searching,"57",_xlpm.inStr,IFERROR(FIND(_xlpm.Searching,$A296)&gt;=1,FALSE),IF(AND(_xlpm.inStr,LEN(A296)&lt;=6),$A297,""))</f>
        <v/>
      </c>
      <c r="G293">
        <f>_xlfn.LET(_xlpm.Searching,"59",_xlpm.inStr,IFERROR(FIND(_xlpm.Searching,$A296)&gt;=1,FALSE),IF(AND(_xlpm.inStr,LEN(A296)&lt;=6),$A297,""))</f>
        <v>4</v>
      </c>
      <c r="H293" t="str">
        <f>_xlfn.LET(_xlpm.Searching,"61",_xlpm.inStr,IFERROR(FIND(_xlpm.Searching,$A296)&gt;=1,FALSE),IF(AND(_xlpm.inStr,LEN(A296)&lt;=6),$A297,""))</f>
        <v/>
      </c>
      <c r="I293" t="str">
        <f>_xlfn.LET(_xlpm.Searching,"63",_xlpm.inStr,IFERROR(FIND(_xlpm.Searching,$A296)&gt;=1,FALSE),IF(AND(_xlpm.inStr,LEN(A296)&lt;=6),$A297,""))</f>
        <v/>
      </c>
    </row>
    <row r="294" spans="1:10" x14ac:dyDescent="0.25">
      <c r="A294" s="6" t="s">
        <v>33</v>
      </c>
      <c r="B294" t="str">
        <f t="shared" ref="B294:C296" si="19">B293</f>
        <v>6842504322</v>
      </c>
      <c r="C294" t="str">
        <f t="shared" si="19"/>
        <v xml:space="preserve">Hatteras Silk/Virgin Wool </v>
      </c>
      <c r="D294" s="2"/>
      <c r="E294" s="2"/>
      <c r="F294" s="2"/>
      <c r="G294" t="str">
        <f>_xlfn.LET(_xlpm.Searching,"59",_xlpm.inStr,IFERROR(FIND(_xlpm.Searching,$A298)&gt;=1,FALSE),IF(AND(_xlpm.inStr,LEN(A298)&lt;=6),$A299,""))</f>
        <v/>
      </c>
      <c r="H294">
        <f>_xlfn.LET(_xlpm.Searching,"61",_xlpm.inStr,IFERROR(FIND(_xlpm.Searching,$A298)&gt;=1,FALSE),IF(AND(_xlpm.inStr,LEN(A298)&lt;=6),$A299,""))</f>
        <v>3</v>
      </c>
      <c r="I294" t="str">
        <f>_xlfn.LET(_xlpm.Searching,"63",_xlpm.inStr,IFERROR(FIND(_xlpm.Searching,$A298)&gt;=1,FALSE),IF(AND(_xlpm.inStr,LEN(A298)&lt;=6),$A299,""))</f>
        <v/>
      </c>
    </row>
    <row r="295" spans="1:10" x14ac:dyDescent="0.25">
      <c r="A295" s="6">
        <v>2</v>
      </c>
      <c r="B295" t="str">
        <f t="shared" si="19"/>
        <v>6842504322</v>
      </c>
      <c r="C295" t="str">
        <f t="shared" si="19"/>
        <v xml:space="preserve">Hatteras Silk/Virgin Wool </v>
      </c>
      <c r="D295" s="2"/>
      <c r="E295" s="2"/>
      <c r="F295" s="2"/>
      <c r="G295" s="2"/>
      <c r="H295" t="str">
        <f>_xlfn.LET(_xlpm.Searching,"61",_xlpm.inStr,IFERROR(FIND(_xlpm.Searching,$A300)&gt;=1,FALSE),IF(AND(_xlpm.inStr,LEN(A300)&lt;=6),$A301,""))</f>
        <v/>
      </c>
      <c r="I295" t="str">
        <f>_xlfn.LET(_xlpm.Searching,"63",_xlpm.inStr,IFERROR(FIND(_xlpm.Searching,$A300)&gt;=1,FALSE),IF(AND(_xlpm.inStr,LEN(A300)&lt;=6),$A301,""))</f>
        <v/>
      </c>
    </row>
    <row r="296" spans="1:10" x14ac:dyDescent="0.25">
      <c r="A296" s="6" t="s">
        <v>30</v>
      </c>
      <c r="B296" t="str">
        <f t="shared" si="19"/>
        <v>6842504322</v>
      </c>
      <c r="C296" t="str">
        <f t="shared" si="19"/>
        <v xml:space="preserve">Hatteras Silk/Virgin Wool </v>
      </c>
      <c r="D296" s="2"/>
      <c r="E296" s="2"/>
      <c r="F296" s="2"/>
      <c r="G296" s="2"/>
      <c r="H296" s="2"/>
      <c r="I296" t="str">
        <f>_xlfn.LET(_xlpm.Searching,"63",_xlpm.inStr,IFERROR(FIND(_xlpm.Searching,$A302)&gt;=1,FALSE),IF(AND(_xlpm.inStr,LEN(A302)&lt;=6),$A303,""))</f>
        <v/>
      </c>
    </row>
    <row r="297" spans="1:10" x14ac:dyDescent="0.25">
      <c r="A297" s="6">
        <v>4</v>
      </c>
    </row>
    <row r="298" spans="1:10" x14ac:dyDescent="0.25">
      <c r="A298" s="6" t="s">
        <v>31</v>
      </c>
    </row>
    <row r="299" spans="1:10" x14ac:dyDescent="0.25">
      <c r="A299" s="6">
        <v>3</v>
      </c>
    </row>
    <row r="300" spans="1:10" x14ac:dyDescent="0.25">
      <c r="A300" s="6" t="s">
        <v>137</v>
      </c>
    </row>
    <row r="301" spans="1:10" x14ac:dyDescent="0.25">
      <c r="A301" s="6" t="s">
        <v>142</v>
      </c>
    </row>
    <row r="302" spans="1:10" x14ac:dyDescent="0.25">
      <c r="A302" s="6" t="s">
        <v>143</v>
      </c>
      <c r="B302" s="1" t="s">
        <v>1</v>
      </c>
      <c r="C302" s="1" t="s">
        <v>220</v>
      </c>
      <c r="D302" s="1" t="s">
        <v>0</v>
      </c>
      <c r="E302" s="1">
        <v>55</v>
      </c>
      <c r="F302" s="1">
        <v>57</v>
      </c>
      <c r="G302" s="1">
        <v>59</v>
      </c>
      <c r="H302" s="1">
        <v>61</v>
      </c>
      <c r="I302" s="1">
        <v>63</v>
      </c>
      <c r="J302" s="3" t="s">
        <v>2</v>
      </c>
    </row>
    <row r="303" spans="1:10" x14ac:dyDescent="0.25">
      <c r="A303" s="6" t="s">
        <v>146</v>
      </c>
      <c r="B303" t="str" cm="1">
        <f t="array" ref="B303">БУКВЫ(MID($A303,3,12))</f>
        <v>118710163</v>
      </c>
      <c r="C303" t="str">
        <f>MID($A304,1,FIND("Per",A304)-1)</f>
        <v xml:space="preserve">Player Pigskin </v>
      </c>
      <c r="D303" t="str">
        <f>_xlfn.LET(_xlpm.Searching,"OSFA",_xlpm.inStr,IFERROR(FIND(_xlpm.Searching,$A305)&gt;=1,FALSE),IF(AND(_xlpm.inStr,LEN(A305)&lt;=6),A306,""))</f>
        <v/>
      </c>
      <c r="E303" t="str">
        <f>_xlfn.LET(_xlpm.Searching,"55",_xlpm.inStr,IFERROR(FIND(_xlpm.Searching,$A305)&gt;=1,FALSE),IF(AND(_xlpm.inStr,LEN(A305)&lt;=6),A306,""))</f>
        <v/>
      </c>
      <c r="F303" t="str">
        <f>_xlfn.LET(_xlpm.Searching,"57",_xlpm.inStr,IFERROR(FIND(_xlpm.Searching,$A305)&gt;=1,FALSE),IF(AND(_xlpm.inStr,LEN(A305)&lt;=6),$A306,""))&amp;F304</f>
        <v>8</v>
      </c>
      <c r="G303" t="str">
        <f>_xlfn.LET(_xlpm.Searching,"59",_xlpm.inStr,IFERROR(FIND(_xlpm.Searching,$A305)&gt;=1,FALSE),IF(AND(_xlpm.inStr,LEN(A305)&lt;=6),$A306,""))&amp;G304&amp;G305</f>
        <v>9</v>
      </c>
      <c r="H303" t="str">
        <f>_xlfn.LET(_xlpm.Searching,"61",_xlpm.inStr,IFERROR(FIND(_xlpm.Searching,$A305)&gt;=1,FALSE),IF(AND(_xlpm.inStr,LEN(A305)&lt;=6),$A306,""))&amp;H304&amp;H305&amp;H306</f>
        <v/>
      </c>
      <c r="I303" t="str">
        <f>_xlfn.LET(_xlpm.Searching,"63",_xlpm.inStr,IFERROR(FIND(_xlpm.Searching,$A305)&gt;=1,FALSE),IF(AND(_xlpm.inStr,LEN(A305)&lt;=6),$A306,""))&amp;I304&amp;I305&amp;I306&amp;I307</f>
        <v/>
      </c>
      <c r="J303" s="4">
        <f>MID(TRIM(RIGHT(A303,10)),1,LEN(TRIM(RIGHT(A303,10)))-3)*0.8</f>
        <v>45.6</v>
      </c>
    </row>
    <row r="304" spans="1:10" x14ac:dyDescent="0.25">
      <c r="A304" s="6" t="s">
        <v>147</v>
      </c>
      <c r="B304" t="str">
        <f>B303</f>
        <v>118710163</v>
      </c>
      <c r="C304" t="str">
        <f>C303</f>
        <v xml:space="preserve">Player Pigskin </v>
      </c>
      <c r="D304" s="2"/>
      <c r="E304" s="2"/>
      <c r="F304" t="str">
        <f>_xlfn.LET(_xlpm.Searching,"57",_xlpm.inStr,IFERROR(FIND(_xlpm.Searching,$A307)&gt;=1,FALSE),IF(AND(_xlpm.inStr,LEN(A307)&lt;=6),$A308,""))</f>
        <v/>
      </c>
      <c r="G304">
        <f>_xlfn.LET(_xlpm.Searching,"59",_xlpm.inStr,IFERROR(FIND(_xlpm.Searching,$A307)&gt;=1,FALSE),IF(AND(_xlpm.inStr,LEN(A307)&lt;=6),$A308,""))</f>
        <v>9</v>
      </c>
      <c r="H304" t="str">
        <f>_xlfn.LET(_xlpm.Searching,"61",_xlpm.inStr,IFERROR(FIND(_xlpm.Searching,$A307)&gt;=1,FALSE),IF(AND(_xlpm.inStr,LEN(A307)&lt;=6),$A308,""))</f>
        <v/>
      </c>
      <c r="I304" t="str">
        <f>_xlfn.LET(_xlpm.Searching,"63",_xlpm.inStr,IFERROR(FIND(_xlpm.Searching,$A307)&gt;=1,FALSE),IF(AND(_xlpm.inStr,LEN(A307)&lt;=6),$A308,""))</f>
        <v/>
      </c>
    </row>
    <row r="305" spans="1:10" x14ac:dyDescent="0.25">
      <c r="A305" s="6" t="s">
        <v>33</v>
      </c>
      <c r="B305" t="str">
        <f t="shared" ref="B305:C307" si="20">B304</f>
        <v>118710163</v>
      </c>
      <c r="C305" t="str">
        <f t="shared" si="20"/>
        <v xml:space="preserve">Player Pigskin </v>
      </c>
      <c r="D305" s="2"/>
      <c r="E305" s="2"/>
      <c r="F305" s="2"/>
      <c r="G305" t="str">
        <f>_xlfn.LET(_xlpm.Searching,"59",_xlpm.inStr,IFERROR(FIND(_xlpm.Searching,$A309)&gt;=1,FALSE),IF(AND(_xlpm.inStr,LEN(A309)&lt;=6),$A310,""))</f>
        <v/>
      </c>
      <c r="H305" t="str">
        <f>_xlfn.LET(_xlpm.Searching,"61",_xlpm.inStr,IFERROR(FIND(_xlpm.Searching,$A309)&gt;=1,FALSE),IF(AND(_xlpm.inStr,LEN(A309)&lt;=6),$A310,""))</f>
        <v/>
      </c>
      <c r="I305" t="str">
        <f>_xlfn.LET(_xlpm.Searching,"63",_xlpm.inStr,IFERROR(FIND(_xlpm.Searching,$A309)&gt;=1,FALSE),IF(AND(_xlpm.inStr,LEN(A309)&lt;=6),$A310,""))</f>
        <v/>
      </c>
    </row>
    <row r="306" spans="1:10" x14ac:dyDescent="0.25">
      <c r="A306" s="6">
        <v>8</v>
      </c>
      <c r="B306" t="str">
        <f t="shared" si="20"/>
        <v>118710163</v>
      </c>
      <c r="C306" t="str">
        <f t="shared" si="20"/>
        <v xml:space="preserve">Player Pigskin </v>
      </c>
      <c r="D306" s="2"/>
      <c r="E306" s="2"/>
      <c r="F306" s="2"/>
      <c r="G306" s="2"/>
      <c r="H306" t="str">
        <f>_xlfn.LET(_xlpm.Searching,"61",_xlpm.inStr,IFERROR(FIND(_xlpm.Searching,$A311)&gt;=1,FALSE),IF(AND(_xlpm.inStr,LEN(A311)&lt;=6),$A312,""))</f>
        <v/>
      </c>
      <c r="I306" t="str">
        <f>_xlfn.LET(_xlpm.Searching,"63",_xlpm.inStr,IFERROR(FIND(_xlpm.Searching,$A311)&gt;=1,FALSE),IF(AND(_xlpm.inStr,LEN(A311)&lt;=6),$A312,""))</f>
        <v/>
      </c>
    </row>
    <row r="307" spans="1:10" x14ac:dyDescent="0.25">
      <c r="A307" s="6" t="s">
        <v>30</v>
      </c>
      <c r="B307" t="str">
        <f t="shared" si="20"/>
        <v>118710163</v>
      </c>
      <c r="C307" t="str">
        <f t="shared" si="20"/>
        <v xml:space="preserve">Player Pigskin </v>
      </c>
      <c r="D307" s="2"/>
      <c r="E307" s="2"/>
      <c r="F307" s="2"/>
      <c r="G307" s="2"/>
      <c r="H307" s="2"/>
      <c r="I307" t="str">
        <f>_xlfn.LET(_xlpm.Searching,"63",_xlpm.inStr,IFERROR(FIND(_xlpm.Searching,$A313)&gt;=1,FALSE),IF(AND(_xlpm.inStr,LEN(A313)&lt;=6),$A314,""))</f>
        <v/>
      </c>
    </row>
    <row r="308" spans="1:10" x14ac:dyDescent="0.25">
      <c r="A308" s="6">
        <v>9</v>
      </c>
    </row>
    <row r="309" spans="1:10" x14ac:dyDescent="0.25">
      <c r="A309" s="6" t="s">
        <v>148</v>
      </c>
    </row>
    <row r="310" spans="1:10" x14ac:dyDescent="0.25">
      <c r="A310" s="6" t="s">
        <v>149</v>
      </c>
    </row>
    <row r="311" spans="1:10" x14ac:dyDescent="0.25">
      <c r="A311" s="6" t="s">
        <v>150</v>
      </c>
      <c r="B311" s="1" t="s">
        <v>1</v>
      </c>
      <c r="C311" s="1" t="s">
        <v>220</v>
      </c>
      <c r="D311" s="1" t="s">
        <v>0</v>
      </c>
      <c r="E311" s="1">
        <v>55</v>
      </c>
      <c r="F311" s="1">
        <v>57</v>
      </c>
      <c r="G311" s="1">
        <v>59</v>
      </c>
      <c r="H311" s="1">
        <v>61</v>
      </c>
      <c r="I311" s="1">
        <v>63</v>
      </c>
      <c r="J311" s="3" t="s">
        <v>2</v>
      </c>
    </row>
    <row r="312" spans="1:10" x14ac:dyDescent="0.25">
      <c r="A312" s="6" t="s">
        <v>151</v>
      </c>
      <c r="B312" t="str" cm="1">
        <f t="array" ref="B312">БУКВЫ(MID($A312,3,12))</f>
        <v>749710562</v>
      </c>
      <c r="C312" t="str">
        <f>MID($A313,1,FIND("Per",A313)-1)</f>
        <v xml:space="preserve">Army Cap Pigskin </v>
      </c>
      <c r="D312">
        <f>_xlfn.LET(_xlpm.Searching,"OSFA",_xlpm.inStr,IFERROR(FIND(_xlpm.Searching,$A314)&gt;=1,FALSE),IF(AND(_xlpm.inStr,LEN(A314)&lt;=6),A315,""))</f>
        <v>10</v>
      </c>
      <c r="E312" t="str">
        <f>_xlfn.LET(_xlpm.Searching,"55",_xlpm.inStr,IFERROR(FIND(_xlpm.Searching,$A314)&gt;=1,FALSE),IF(AND(_xlpm.inStr,LEN(A314)&lt;=6),A315,""))</f>
        <v/>
      </c>
      <c r="F312" t="str">
        <f>_xlfn.LET(_xlpm.Searching,"57",_xlpm.inStr,IFERROR(FIND(_xlpm.Searching,$A314)&gt;=1,FALSE),IF(AND(_xlpm.inStr,LEN(A314)&lt;=6),$A315,""))&amp;F313</f>
        <v/>
      </c>
      <c r="G312" t="str">
        <f>_xlfn.LET(_xlpm.Searching,"59",_xlpm.inStr,IFERROR(FIND(_xlpm.Searching,$A314)&gt;=1,FALSE),IF(AND(_xlpm.inStr,LEN(A314)&lt;=6),$A315,""))&amp;G313&amp;G314</f>
        <v/>
      </c>
      <c r="H312" t="str">
        <f>_xlfn.LET(_xlpm.Searching,"61",_xlpm.inStr,IFERROR(FIND(_xlpm.Searching,$A314)&gt;=1,FALSE),IF(AND(_xlpm.inStr,LEN(A314)&lt;=6),$A315,""))&amp;H313&amp;H314&amp;H315</f>
        <v/>
      </c>
      <c r="I312" t="str">
        <f>_xlfn.LET(_xlpm.Searching,"63",_xlpm.inStr,IFERROR(FIND(_xlpm.Searching,$A314)&gt;=1,FALSE),IF(AND(_xlpm.inStr,LEN(A314)&lt;=6),$A315,""))&amp;I313&amp;I314&amp;I315&amp;I316</f>
        <v/>
      </c>
      <c r="J312" s="4">
        <f>MID(TRIM(RIGHT(A312,10)),1,LEN(TRIM(RIGHT(A312,10)))-3)*0.8</f>
        <v>21.52</v>
      </c>
    </row>
    <row r="313" spans="1:10" x14ac:dyDescent="0.25">
      <c r="A313" s="6" t="s">
        <v>152</v>
      </c>
      <c r="B313" t="str">
        <f>B312</f>
        <v>749710562</v>
      </c>
      <c r="C313" t="str">
        <f>C312</f>
        <v xml:space="preserve">Army Cap Pigskin </v>
      </c>
      <c r="D313" s="2"/>
      <c r="E313" s="2"/>
      <c r="F313" t="str">
        <f>_xlfn.LET(_xlpm.Searching,"57",_xlpm.inStr,IFERROR(FIND(_xlpm.Searching,$A316)&gt;=1,FALSE),IF(AND(_xlpm.inStr,LEN(A316)&lt;=6),$A317,""))</f>
        <v/>
      </c>
      <c r="G313" t="str">
        <f>_xlfn.LET(_xlpm.Searching,"59",_xlpm.inStr,IFERROR(FIND(_xlpm.Searching,$A316)&gt;=1,FALSE),IF(AND(_xlpm.inStr,LEN(A316)&lt;=6),$A317,""))</f>
        <v/>
      </c>
      <c r="H313" t="str">
        <f>_xlfn.LET(_xlpm.Searching,"61",_xlpm.inStr,IFERROR(FIND(_xlpm.Searching,$A316)&gt;=1,FALSE),IF(AND(_xlpm.inStr,LEN(A316)&lt;=6),$A317,""))</f>
        <v/>
      </c>
      <c r="I313" t="str">
        <f>_xlfn.LET(_xlpm.Searching,"63",_xlpm.inStr,IFERROR(FIND(_xlpm.Searching,$A316)&gt;=1,FALSE),IF(AND(_xlpm.inStr,LEN(A316)&lt;=6),$A317,""))</f>
        <v/>
      </c>
    </row>
    <row r="314" spans="1:10" x14ac:dyDescent="0.25">
      <c r="A314" s="6" t="s">
        <v>0</v>
      </c>
      <c r="B314" t="str">
        <f t="shared" ref="B314:C316" si="21">B313</f>
        <v>749710562</v>
      </c>
      <c r="C314" t="str">
        <f t="shared" si="21"/>
        <v xml:space="preserve">Army Cap Pigskin </v>
      </c>
      <c r="D314" s="2"/>
      <c r="E314" s="2"/>
      <c r="F314" s="2"/>
      <c r="G314" t="str">
        <f>_xlfn.LET(_xlpm.Searching,"59",_xlpm.inStr,IFERROR(FIND(_xlpm.Searching,$A318)&gt;=1,FALSE),IF(AND(_xlpm.inStr,LEN(A318)&lt;=6),$A319,""))</f>
        <v/>
      </c>
      <c r="H314" t="str">
        <f>_xlfn.LET(_xlpm.Searching,"61",_xlpm.inStr,IFERROR(FIND(_xlpm.Searching,$A318)&gt;=1,FALSE),IF(AND(_xlpm.inStr,LEN(A318)&lt;=6),$A319,""))</f>
        <v/>
      </c>
      <c r="I314" t="str">
        <f>_xlfn.LET(_xlpm.Searching,"63",_xlpm.inStr,IFERROR(FIND(_xlpm.Searching,$A318)&gt;=1,FALSE),IF(AND(_xlpm.inStr,LEN(A318)&lt;=6),$A319,""))</f>
        <v/>
      </c>
    </row>
    <row r="315" spans="1:10" x14ac:dyDescent="0.25">
      <c r="A315" s="6">
        <v>10</v>
      </c>
      <c r="B315" t="str">
        <f t="shared" si="21"/>
        <v>749710562</v>
      </c>
      <c r="C315" t="str">
        <f t="shared" si="21"/>
        <v xml:space="preserve">Army Cap Pigskin </v>
      </c>
      <c r="D315" s="2"/>
      <c r="E315" s="2"/>
      <c r="F315" s="2"/>
      <c r="G315" s="2"/>
      <c r="H315" t="str">
        <f>_xlfn.LET(_xlpm.Searching,"61",_xlpm.inStr,IFERROR(FIND(_xlpm.Searching,$A320)&gt;=1,FALSE),IF(AND(_xlpm.inStr,LEN(A320)&lt;=6),$A321,""))</f>
        <v/>
      </c>
      <c r="I315" t="str">
        <f>_xlfn.LET(_xlpm.Searching,"63",_xlpm.inStr,IFERROR(FIND(_xlpm.Searching,$A320)&gt;=1,FALSE),IF(AND(_xlpm.inStr,LEN(A320)&lt;=6),$A321,""))</f>
        <v/>
      </c>
    </row>
    <row r="316" spans="1:10" x14ac:dyDescent="0.25">
      <c r="A316" s="6" t="s">
        <v>153</v>
      </c>
      <c r="B316" t="str">
        <f t="shared" si="21"/>
        <v>749710562</v>
      </c>
      <c r="C316" t="str">
        <f t="shared" si="21"/>
        <v xml:space="preserve">Army Cap Pigskin </v>
      </c>
      <c r="D316" s="2"/>
      <c r="E316" s="2"/>
      <c r="F316" s="2"/>
      <c r="G316" s="2"/>
      <c r="H316" s="2"/>
      <c r="I316" t="str">
        <f>_xlfn.LET(_xlpm.Searching,"63",_xlpm.inStr,IFERROR(FIND(_xlpm.Searching,$A322)&gt;=1,FALSE),IF(AND(_xlpm.inStr,LEN(A322)&lt;=6),$A323,""))</f>
        <v/>
      </c>
    </row>
    <row r="317" spans="1:10" x14ac:dyDescent="0.25">
      <c r="A317" s="6" t="s">
        <v>154</v>
      </c>
    </row>
    <row r="318" spans="1:10" x14ac:dyDescent="0.25">
      <c r="A318" s="6" t="s">
        <v>155</v>
      </c>
      <c r="B318" s="1" t="s">
        <v>1</v>
      </c>
      <c r="C318" s="1" t="s">
        <v>220</v>
      </c>
      <c r="D318" s="1" t="s">
        <v>0</v>
      </c>
      <c r="E318" s="1">
        <v>55</v>
      </c>
      <c r="F318" s="1">
        <v>57</v>
      </c>
      <c r="G318" s="1">
        <v>59</v>
      </c>
      <c r="H318" s="1">
        <v>61</v>
      </c>
      <c r="I318" s="1">
        <v>63</v>
      </c>
      <c r="J318" s="3" t="s">
        <v>2</v>
      </c>
    </row>
    <row r="319" spans="1:10" x14ac:dyDescent="0.25">
      <c r="A319" s="6" t="s">
        <v>156</v>
      </c>
      <c r="B319" t="str" cm="1">
        <f t="array" ref="B319">БУКВЫ(MID($A319,3,12))</f>
        <v>28111012</v>
      </c>
      <c r="C319" t="str">
        <f>MID($A320,1,FIND("Per",A320)-1)</f>
        <v xml:space="preserve">Bucket Delave Organic Cotton </v>
      </c>
      <c r="D319" t="str">
        <f>_xlfn.LET(_xlpm.Searching,"OSFA",_xlpm.inStr,IFERROR(FIND(_xlpm.Searching,$A321)&gt;=1,FALSE),IF(AND(_xlpm.inStr,LEN(A321)&lt;=6),A322,""))</f>
        <v/>
      </c>
      <c r="E319" t="str">
        <f>_xlfn.LET(_xlpm.Searching,"55",_xlpm.inStr,IFERROR(FIND(_xlpm.Searching,$A321)&gt;=1,FALSE),IF(AND(_xlpm.inStr,LEN(A321)&lt;=6),A322,""))</f>
        <v/>
      </c>
      <c r="F319" t="str">
        <f>_xlfn.LET(_xlpm.Searching,"57",_xlpm.inStr,IFERROR(FIND(_xlpm.Searching,$A321)&gt;=1,FALSE),IF(AND(_xlpm.inStr,LEN(A321)&lt;=6),$A322,""))&amp;F320</f>
        <v/>
      </c>
      <c r="G319" t="str">
        <f>_xlfn.LET(_xlpm.Searching,"59",_xlpm.inStr,IFERROR(FIND(_xlpm.Searching,$A321)&gt;=1,FALSE),IF(AND(_xlpm.inStr,LEN(A321)&lt;=6),$A322,""))&amp;G320&amp;G321</f>
        <v>4</v>
      </c>
      <c r="H319" t="str">
        <f>_xlfn.LET(_xlpm.Searching,"61",_xlpm.inStr,IFERROR(FIND(_xlpm.Searching,$A321)&gt;=1,FALSE),IF(AND(_xlpm.inStr,LEN(A321)&lt;=6),$A322,""))&amp;H320&amp;H321&amp;H322</f>
        <v>4</v>
      </c>
      <c r="I319" t="str">
        <f>_xlfn.LET(_xlpm.Searching,"63",_xlpm.inStr,IFERROR(FIND(_xlpm.Searching,$A321)&gt;=1,FALSE),IF(AND(_xlpm.inStr,LEN(A321)&lt;=6),$A322,""))&amp;I320&amp;I321&amp;I322&amp;I323</f>
        <v>2</v>
      </c>
      <c r="J319" s="4">
        <f>MID(TRIM(RIGHT(A319,10)),1,LEN(TRIM(RIGHT(A319,10)))-3)*0.8</f>
        <v>21.52</v>
      </c>
    </row>
    <row r="320" spans="1:10" x14ac:dyDescent="0.25">
      <c r="A320" s="6" t="s">
        <v>157</v>
      </c>
      <c r="B320" t="str">
        <f>B319</f>
        <v>28111012</v>
      </c>
      <c r="C320" t="str">
        <f>C319</f>
        <v xml:space="preserve">Bucket Delave Organic Cotton </v>
      </c>
      <c r="D320" s="2"/>
      <c r="E320" s="2"/>
      <c r="F320" t="str">
        <f>_xlfn.LET(_xlpm.Searching,"57",_xlpm.inStr,IFERROR(FIND(_xlpm.Searching,$A323)&gt;=1,FALSE),IF(AND(_xlpm.inStr,LEN(A323)&lt;=6),$A324,""))</f>
        <v/>
      </c>
      <c r="G320" t="str">
        <f>_xlfn.LET(_xlpm.Searching,"59",_xlpm.inStr,IFERROR(FIND(_xlpm.Searching,$A323)&gt;=1,FALSE),IF(AND(_xlpm.inStr,LEN(A323)&lt;=6),$A324,""))</f>
        <v/>
      </c>
      <c r="H320">
        <f>_xlfn.LET(_xlpm.Searching,"61",_xlpm.inStr,IFERROR(FIND(_xlpm.Searching,$A323)&gt;=1,FALSE),IF(AND(_xlpm.inStr,LEN(A323)&lt;=6),$A324,""))</f>
        <v>4</v>
      </c>
      <c r="I320" t="str">
        <f>_xlfn.LET(_xlpm.Searching,"63",_xlpm.inStr,IFERROR(FIND(_xlpm.Searching,$A323)&gt;=1,FALSE),IF(AND(_xlpm.inStr,LEN(A323)&lt;=6),$A324,""))</f>
        <v/>
      </c>
    </row>
    <row r="321" spans="1:9" x14ac:dyDescent="0.25">
      <c r="A321" s="6" t="s">
        <v>30</v>
      </c>
      <c r="B321" t="str">
        <f t="shared" ref="B321:C323" si="22">B320</f>
        <v>28111012</v>
      </c>
      <c r="C321" t="str">
        <f t="shared" si="22"/>
        <v xml:space="preserve">Bucket Delave Organic Cotton </v>
      </c>
      <c r="D321" s="2"/>
      <c r="E321" s="2"/>
      <c r="F321" s="2"/>
      <c r="G321" t="str">
        <f>_xlfn.LET(_xlpm.Searching,"59",_xlpm.inStr,IFERROR(FIND(_xlpm.Searching,$A325)&gt;=1,FALSE),IF(AND(_xlpm.inStr,LEN(A325)&lt;=6),$A326,""))</f>
        <v/>
      </c>
      <c r="H321" t="str">
        <f>_xlfn.LET(_xlpm.Searching,"61",_xlpm.inStr,IFERROR(FIND(_xlpm.Searching,$A325)&gt;=1,FALSE),IF(AND(_xlpm.inStr,LEN(A325)&lt;=6),$A326,""))</f>
        <v/>
      </c>
      <c r="I321">
        <f>_xlfn.LET(_xlpm.Searching,"63",_xlpm.inStr,IFERROR(FIND(_xlpm.Searching,$A325)&gt;=1,FALSE),IF(AND(_xlpm.inStr,LEN(A325)&lt;=6),$A326,""))</f>
        <v>2</v>
      </c>
    </row>
    <row r="322" spans="1:9" x14ac:dyDescent="0.25">
      <c r="A322" s="6">
        <v>4</v>
      </c>
      <c r="B322" t="str">
        <f t="shared" si="22"/>
        <v>28111012</v>
      </c>
      <c r="C322" t="str">
        <f t="shared" si="22"/>
        <v xml:space="preserve">Bucket Delave Organic Cotton </v>
      </c>
      <c r="D322" s="2"/>
      <c r="E322" s="2"/>
      <c r="F322" s="2"/>
      <c r="G322" s="2"/>
      <c r="H322" t="str">
        <f>_xlfn.LET(_xlpm.Searching,"61",_xlpm.inStr,IFERROR(FIND(_xlpm.Searching,$A327)&gt;=1,FALSE),IF(AND(_xlpm.inStr,LEN(A327)&lt;=6),$A328,""))</f>
        <v/>
      </c>
      <c r="I322" t="str">
        <f>_xlfn.LET(_xlpm.Searching,"63",_xlpm.inStr,IFERROR(FIND(_xlpm.Searching,$A327)&gt;=1,FALSE),IF(AND(_xlpm.inStr,LEN(A327)&lt;=6),$A328,""))</f>
        <v/>
      </c>
    </row>
    <row r="323" spans="1:9" x14ac:dyDescent="0.25">
      <c r="A323" s="6" t="s">
        <v>31</v>
      </c>
      <c r="B323" t="str">
        <f t="shared" si="22"/>
        <v>28111012</v>
      </c>
      <c r="C323" t="str">
        <f t="shared" si="22"/>
        <v xml:space="preserve">Bucket Delave Organic Cotton </v>
      </c>
      <c r="D323" s="2"/>
      <c r="E323" s="2"/>
      <c r="F323" s="2"/>
      <c r="G323" s="2"/>
      <c r="H323" s="2"/>
      <c r="I323" t="str">
        <f>_xlfn.LET(_xlpm.Searching,"63",_xlpm.inStr,IFERROR(FIND(_xlpm.Searching,$A329)&gt;=1,FALSE),IF(AND(_xlpm.inStr,LEN(A329)&lt;=6),$A330,""))</f>
        <v/>
      </c>
    </row>
    <row r="324" spans="1:9" x14ac:dyDescent="0.25">
      <c r="A324" s="6">
        <v>4</v>
      </c>
    </row>
    <row r="325" spans="1:9" x14ac:dyDescent="0.25">
      <c r="A325" s="6" t="s">
        <v>34</v>
      </c>
    </row>
    <row r="326" spans="1:9" x14ac:dyDescent="0.25">
      <c r="A326" s="6">
        <v>2</v>
      </c>
    </row>
    <row r="327" spans="1:9" x14ac:dyDescent="0.25">
      <c r="A327" s="6" t="s">
        <v>158</v>
      </c>
    </row>
    <row r="328" spans="1:9" x14ac:dyDescent="0.25">
      <c r="A328" s="6" t="s">
        <v>154</v>
      </c>
    </row>
    <row r="329" spans="1:9" x14ac:dyDescent="0.25">
      <c r="A329" s="6" t="s">
        <v>155</v>
      </c>
    </row>
    <row r="330" spans="1:9" x14ac:dyDescent="0.25">
      <c r="A330" s="6" t="s">
        <v>18</v>
      </c>
    </row>
    <row r="331" spans="1:9" x14ac:dyDescent="0.25">
      <c r="A331" s="6" t="s">
        <v>36</v>
      </c>
    </row>
    <row r="332" spans="1:9" x14ac:dyDescent="0.25">
      <c r="A332" s="6" t="s">
        <v>37</v>
      </c>
    </row>
    <row r="333" spans="1:9" x14ac:dyDescent="0.25">
      <c r="A333" s="6" t="s">
        <v>38</v>
      </c>
    </row>
    <row r="334" spans="1:9" x14ac:dyDescent="0.25">
      <c r="A334" s="6" t="s">
        <v>39</v>
      </c>
    </row>
    <row r="335" spans="1:9" x14ac:dyDescent="0.25">
      <c r="A335" s="6" t="s">
        <v>40</v>
      </c>
    </row>
    <row r="336" spans="1:9" x14ac:dyDescent="0.25">
      <c r="A336" s="6" t="s">
        <v>41</v>
      </c>
    </row>
    <row r="337" spans="1:1" x14ac:dyDescent="0.25">
      <c r="A337" s="6" t="s">
        <v>42</v>
      </c>
    </row>
    <row r="338" spans="1:1" x14ac:dyDescent="0.25">
      <c r="A338" s="6" t="s">
        <v>43</v>
      </c>
    </row>
    <row r="339" spans="1:1" x14ac:dyDescent="0.25">
      <c r="A339" s="6" t="s">
        <v>44</v>
      </c>
    </row>
    <row r="340" spans="1:1" x14ac:dyDescent="0.25">
      <c r="A340" s="6" t="s">
        <v>45</v>
      </c>
    </row>
    <row r="341" spans="1:1" x14ac:dyDescent="0.25">
      <c r="A341" s="6" t="s">
        <v>46</v>
      </c>
    </row>
    <row r="342" spans="1:1" x14ac:dyDescent="0.25">
      <c r="A342" s="6" t="s">
        <v>47</v>
      </c>
    </row>
    <row r="343" spans="1:1" x14ac:dyDescent="0.25">
      <c r="A343" s="6" t="s">
        <v>48</v>
      </c>
    </row>
    <row r="344" spans="1:1" x14ac:dyDescent="0.25">
      <c r="A344" s="6" t="s">
        <v>49</v>
      </c>
    </row>
    <row r="345" spans="1:1" x14ac:dyDescent="0.25">
      <c r="A345" s="6" t="s">
        <v>81</v>
      </c>
    </row>
    <row r="346" spans="1:1" x14ac:dyDescent="0.25">
      <c r="A346" s="6" t="s">
        <v>95</v>
      </c>
    </row>
    <row r="347" spans="1:1" x14ac:dyDescent="0.25">
      <c r="A347" s="6" t="s">
        <v>58</v>
      </c>
    </row>
    <row r="348" spans="1:1" x14ac:dyDescent="0.25">
      <c r="A348" s="6" t="s">
        <v>21</v>
      </c>
    </row>
    <row r="349" spans="1:1" x14ac:dyDescent="0.25">
      <c r="A349" s="6" t="s">
        <v>22</v>
      </c>
    </row>
    <row r="350" spans="1:1" x14ac:dyDescent="0.25">
      <c r="A350" s="6" t="s">
        <v>23</v>
      </c>
    </row>
    <row r="351" spans="1:1" x14ac:dyDescent="0.25">
      <c r="A351" s="6" t="s">
        <v>24</v>
      </c>
    </row>
    <row r="352" spans="1:1" x14ac:dyDescent="0.25">
      <c r="A352" s="6" t="s">
        <v>25</v>
      </c>
    </row>
    <row r="353" spans="1:10" x14ac:dyDescent="0.25">
      <c r="A353" s="6" t="s">
        <v>26</v>
      </c>
    </row>
    <row r="354" spans="1:10" x14ac:dyDescent="0.25">
      <c r="A354" s="6" t="s">
        <v>27</v>
      </c>
      <c r="B354" s="1" t="s">
        <v>1</v>
      </c>
      <c r="C354" s="1" t="s">
        <v>220</v>
      </c>
      <c r="D354" s="1" t="s">
        <v>0</v>
      </c>
      <c r="E354" s="1">
        <v>55</v>
      </c>
      <c r="F354" s="1">
        <v>57</v>
      </c>
      <c r="G354" s="1">
        <v>59</v>
      </c>
      <c r="H354" s="1">
        <v>61</v>
      </c>
      <c r="I354" s="1">
        <v>63</v>
      </c>
      <c r="J354" s="3" t="s">
        <v>2</v>
      </c>
    </row>
    <row r="355" spans="1:10" x14ac:dyDescent="0.25">
      <c r="A355" s="6" t="s">
        <v>159</v>
      </c>
      <c r="B355" t="str" cm="1">
        <f t="array" ref="B355">БУКВЫ(MID($A355,3,11))</f>
        <v>28111011</v>
      </c>
      <c r="C355" t="str">
        <f>MID($A356,1,FIND("Per",A356)-1)</f>
        <v xml:space="preserve">Bucket Delave Organic Cotton </v>
      </c>
      <c r="D355" t="str">
        <f>_xlfn.LET(_xlpm.Searching,"OSFA",_xlpm.inStr,IFERROR(FIND(_xlpm.Searching,$A357)&gt;=1,FALSE),IF(AND(_xlpm.inStr,LEN(A357)&lt;=6),A358,""))</f>
        <v/>
      </c>
      <c r="E355" t="str">
        <f>_xlfn.LET(_xlpm.Searching,"55",_xlpm.inStr,IFERROR(FIND(_xlpm.Searching,$A357)&gt;=1,FALSE),IF(AND(_xlpm.inStr,LEN(A357)&lt;=6),A358,""))</f>
        <v/>
      </c>
      <c r="F355" t="str">
        <f>_xlfn.LET(_xlpm.Searching,"57",_xlpm.inStr,IFERROR(FIND(_xlpm.Searching,$A357)&gt;=1,FALSE),IF(AND(_xlpm.inStr,LEN(A357)&lt;=6),$A358,""))&amp;F356</f>
        <v>2</v>
      </c>
      <c r="G355" t="str">
        <f>_xlfn.LET(_xlpm.Searching,"59",_xlpm.inStr,IFERROR(FIND(_xlpm.Searching,$A357)&gt;=1,FALSE),IF(AND(_xlpm.inStr,LEN(A357)&lt;=6),$A358,""))&amp;G356&amp;G357</f>
        <v>8</v>
      </c>
      <c r="H355" t="str">
        <f>_xlfn.LET(_xlpm.Searching,"61",_xlpm.inStr,IFERROR(FIND(_xlpm.Searching,$A357)&gt;=1,FALSE),IF(AND(_xlpm.inStr,LEN(A357)&lt;=6),$A358,""))&amp;H356&amp;H357&amp;H358</f>
        <v>10</v>
      </c>
      <c r="I355" t="str">
        <f>_xlfn.LET(_xlpm.Searching,"63",_xlpm.inStr,IFERROR(FIND(_xlpm.Searching,$A357)&gt;=1,FALSE),IF(AND(_xlpm.inStr,LEN(A357)&lt;=6),$A358,""))&amp;I356&amp;I357&amp;I358&amp;I359</f>
        <v>5</v>
      </c>
      <c r="J355" s="4">
        <f>MID(TRIM(RIGHT(A355,10)),1,LEN(TRIM(RIGHT(A355,10)))-3)*0.8</f>
        <v>21.52</v>
      </c>
    </row>
    <row r="356" spans="1:10" x14ac:dyDescent="0.25">
      <c r="A356" s="6" t="s">
        <v>157</v>
      </c>
      <c r="B356" t="str" cm="1">
        <f t="array" ref="B356">БУКВЫ(MID($A355,3,11))</f>
        <v>28111011</v>
      </c>
      <c r="C356" t="str">
        <f>C355</f>
        <v xml:space="preserve">Bucket Delave Organic Cotton </v>
      </c>
      <c r="D356" s="2"/>
      <c r="E356" s="2"/>
      <c r="F356" t="str">
        <f>_xlfn.LET(_xlpm.Searching,"57",_xlpm.inStr,IFERROR(FIND(_xlpm.Searching,$A359)&gt;=1,FALSE),IF(AND(_xlpm.inStr,LEN(A359)&lt;=6),$A360,""))</f>
        <v/>
      </c>
      <c r="G356">
        <f>_xlfn.LET(_xlpm.Searching,"59",_xlpm.inStr,IFERROR(FIND(_xlpm.Searching,$A359)&gt;=1,FALSE),IF(AND(_xlpm.inStr,LEN(A359)&lt;=6),$A360,""))</f>
        <v>8</v>
      </c>
      <c r="H356" t="str">
        <f>_xlfn.LET(_xlpm.Searching,"61",_xlpm.inStr,IFERROR(FIND(_xlpm.Searching,$A359)&gt;=1,FALSE),IF(AND(_xlpm.inStr,LEN(A359)&lt;=6),$A360,""))</f>
        <v/>
      </c>
      <c r="I356" t="str">
        <f>_xlfn.LET(_xlpm.Searching,"63",_xlpm.inStr,IFERROR(FIND(_xlpm.Searching,$A359)&gt;=1,FALSE),IF(AND(_xlpm.inStr,LEN(A359)&lt;=6),$A360,""))</f>
        <v/>
      </c>
    </row>
    <row r="357" spans="1:10" x14ac:dyDescent="0.25">
      <c r="A357" s="6" t="s">
        <v>33</v>
      </c>
      <c r="B357" t="str" cm="1">
        <f t="array" ref="B357">БУКВЫ(MID($A355,3,11))</f>
        <v>28111011</v>
      </c>
      <c r="C357" t="str">
        <f t="shared" ref="C357:C359" si="23">C356</f>
        <v xml:space="preserve">Bucket Delave Organic Cotton </v>
      </c>
      <c r="D357" s="2"/>
      <c r="E357" s="2"/>
      <c r="F357" s="2"/>
      <c r="G357" t="str">
        <f>_xlfn.LET(_xlpm.Searching,"59",_xlpm.inStr,IFERROR(FIND(_xlpm.Searching,$A361)&gt;=1,FALSE),IF(AND(_xlpm.inStr,LEN(A361)&lt;=6),$A362,""))</f>
        <v/>
      </c>
      <c r="H357">
        <f>_xlfn.LET(_xlpm.Searching,"61",_xlpm.inStr,IFERROR(FIND(_xlpm.Searching,$A361)&gt;=1,FALSE),IF(AND(_xlpm.inStr,LEN(A361)&lt;=6),$A362,""))</f>
        <v>10</v>
      </c>
      <c r="I357" t="str">
        <f>_xlfn.LET(_xlpm.Searching,"63",_xlpm.inStr,IFERROR(FIND(_xlpm.Searching,$A361)&gt;=1,FALSE),IF(AND(_xlpm.inStr,LEN(A361)&lt;=6),$A362,""))</f>
        <v/>
      </c>
    </row>
    <row r="358" spans="1:10" x14ac:dyDescent="0.25">
      <c r="A358" s="6">
        <v>2</v>
      </c>
      <c r="B358" t="str" cm="1">
        <f t="array" ref="B358">БУКВЫ(MID($A355,3,11))</f>
        <v>28111011</v>
      </c>
      <c r="C358" t="str">
        <f t="shared" si="23"/>
        <v xml:space="preserve">Bucket Delave Organic Cotton </v>
      </c>
      <c r="D358" s="2"/>
      <c r="E358" s="2"/>
      <c r="F358" s="2"/>
      <c r="G358" s="2"/>
      <c r="H358" t="str">
        <f>_xlfn.LET(_xlpm.Searching,"61",_xlpm.inStr,IFERROR(FIND(_xlpm.Searching,$A363)&gt;=1,FALSE),IF(AND(_xlpm.inStr,LEN(A363)&lt;=6),$A364,""))</f>
        <v/>
      </c>
      <c r="I358">
        <f>_xlfn.LET(_xlpm.Searching,"63",_xlpm.inStr,IFERROR(FIND(_xlpm.Searching,$A363)&gt;=1,FALSE),IF(AND(_xlpm.inStr,LEN(A363)&lt;=6),$A364,""))</f>
        <v>5</v>
      </c>
    </row>
    <row r="359" spans="1:10" x14ac:dyDescent="0.25">
      <c r="A359" s="6" t="s">
        <v>30</v>
      </c>
      <c r="B359" t="str" cm="1">
        <f t="array" ref="B359">БУКВЫ(MID($A355,3,11))</f>
        <v>28111011</v>
      </c>
      <c r="C359" t="str">
        <f t="shared" si="23"/>
        <v xml:space="preserve">Bucket Delave Organic Cotton </v>
      </c>
      <c r="D359" s="2"/>
      <c r="E359" s="2"/>
      <c r="F359" s="2"/>
      <c r="G359" s="2"/>
      <c r="H359" s="2"/>
      <c r="I359" t="str">
        <f>_xlfn.LET(_xlpm.Searching,"63",_xlpm.inStr,IFERROR(FIND(_xlpm.Searching,$A365)&gt;=1,FALSE),IF(AND(_xlpm.inStr,LEN(A365)&lt;=6),$A366,""))</f>
        <v/>
      </c>
    </row>
    <row r="360" spans="1:10" x14ac:dyDescent="0.25">
      <c r="A360" s="6">
        <v>8</v>
      </c>
    </row>
    <row r="361" spans="1:10" x14ac:dyDescent="0.25">
      <c r="A361" s="6" t="s">
        <v>31</v>
      </c>
    </row>
    <row r="362" spans="1:10" x14ac:dyDescent="0.25">
      <c r="A362" s="6">
        <v>10</v>
      </c>
    </row>
    <row r="363" spans="1:10" x14ac:dyDescent="0.25">
      <c r="A363" s="6" t="s">
        <v>34</v>
      </c>
    </row>
    <row r="364" spans="1:10" x14ac:dyDescent="0.25">
      <c r="A364" s="6">
        <v>5</v>
      </c>
    </row>
    <row r="365" spans="1:10" x14ac:dyDescent="0.25">
      <c r="A365" s="6" t="s">
        <v>158</v>
      </c>
    </row>
    <row r="366" spans="1:10" x14ac:dyDescent="0.25">
      <c r="A366" s="6" t="s">
        <v>160</v>
      </c>
    </row>
    <row r="367" spans="1:10" x14ac:dyDescent="0.25">
      <c r="A367" s="6" t="s">
        <v>161</v>
      </c>
      <c r="B367" s="1" t="s">
        <v>1</v>
      </c>
      <c r="C367" s="1" t="s">
        <v>220</v>
      </c>
      <c r="D367" s="1" t="s">
        <v>0</v>
      </c>
      <c r="E367" s="1">
        <v>55</v>
      </c>
      <c r="F367" s="1">
        <v>57</v>
      </c>
      <c r="G367" s="1">
        <v>59</v>
      </c>
      <c r="H367" s="1">
        <v>61</v>
      </c>
      <c r="I367" s="1">
        <v>63</v>
      </c>
      <c r="J367" s="3" t="s">
        <v>2</v>
      </c>
    </row>
    <row r="368" spans="1:10" x14ac:dyDescent="0.25">
      <c r="A368" s="6" t="s">
        <v>162</v>
      </c>
      <c r="B368" t="str" cm="1">
        <f t="array" ref="B368">БУКВЫ(MID($A368,3,11))</f>
        <v>77511945</v>
      </c>
      <c r="C368" t="str">
        <f>MID($A369,1,FIND("Per",A369)-1)</f>
        <v xml:space="preserve">Trucker Cap Sun </v>
      </c>
      <c r="D368">
        <f>_xlfn.LET(_xlpm.Searching,"OSFA",_xlpm.inStr,IFERROR(FIND(_xlpm.Searching,$A370)&gt;=1,FALSE),IF(AND(_xlpm.inStr,LEN(A370)&lt;=6),A371,""))</f>
        <v>115</v>
      </c>
      <c r="E368" t="str">
        <f>_xlfn.LET(_xlpm.Searching,"55",_xlpm.inStr,IFERROR(FIND(_xlpm.Searching,$A370)&gt;=1,FALSE),IF(AND(_xlpm.inStr,LEN(A370)&lt;=6),A371,""))</f>
        <v/>
      </c>
      <c r="F368" t="str">
        <f>_xlfn.LET(_xlpm.Searching,"57",_xlpm.inStr,IFERROR(FIND(_xlpm.Searching,$A370)&gt;=1,FALSE),IF(AND(_xlpm.inStr,LEN(A370)&lt;=6),$A371,""))&amp;F369</f>
        <v/>
      </c>
      <c r="G368" t="str">
        <f>_xlfn.LET(_xlpm.Searching,"59",_xlpm.inStr,IFERROR(FIND(_xlpm.Searching,$A370)&gt;=1,FALSE),IF(AND(_xlpm.inStr,LEN(A370)&lt;=6),$A371,""))&amp;G369&amp;G370</f>
        <v/>
      </c>
      <c r="H368" t="str">
        <f>_xlfn.LET(_xlpm.Searching,"61",_xlpm.inStr,IFERROR(FIND(_xlpm.Searching,$A370)&gt;=1,FALSE),IF(AND(_xlpm.inStr,LEN(A370)&lt;=6),$A371,""))&amp;H369&amp;H370&amp;H371</f>
        <v/>
      </c>
      <c r="I368" t="str">
        <f>_xlfn.LET(_xlpm.Searching,"63",_xlpm.inStr,IFERROR(FIND(_xlpm.Searching,$A370)&gt;=1,FALSE),IF(AND(_xlpm.inStr,LEN(A370)&lt;=6),$A371,""))&amp;I369&amp;I370&amp;I371&amp;I372</f>
        <v/>
      </c>
      <c r="J368" s="4">
        <f>MID(TRIM(RIGHT(A368,10)),1,LEN(TRIM(RIGHT(A368,10)))-3)*0.8</f>
        <v>11.920000000000002</v>
      </c>
    </row>
    <row r="369" spans="1:10" x14ac:dyDescent="0.25">
      <c r="A369" s="6" t="s">
        <v>163</v>
      </c>
      <c r="B369" t="str" cm="1">
        <f t="array" ref="B369">БУКВЫ(MID($A368,3,11))</f>
        <v>77511945</v>
      </c>
      <c r="C369" t="str">
        <f>C368</f>
        <v xml:space="preserve">Trucker Cap Sun </v>
      </c>
      <c r="D369" s="2"/>
      <c r="E369" s="2"/>
      <c r="F369" t="str">
        <f>_xlfn.LET(_xlpm.Searching,"57",_xlpm.inStr,IFERROR(FIND(_xlpm.Searching,$A372)&gt;=1,FALSE),IF(AND(_xlpm.inStr,LEN(A372)&lt;=6),$A373,""))</f>
        <v/>
      </c>
      <c r="G369" t="str">
        <f>_xlfn.LET(_xlpm.Searching,"59",_xlpm.inStr,IFERROR(FIND(_xlpm.Searching,$A372)&gt;=1,FALSE),IF(AND(_xlpm.inStr,LEN(A372)&lt;=6),$A373,""))</f>
        <v/>
      </c>
      <c r="H369" t="str">
        <f>_xlfn.LET(_xlpm.Searching,"61",_xlpm.inStr,IFERROR(FIND(_xlpm.Searching,$A372)&gt;=1,FALSE),IF(AND(_xlpm.inStr,LEN(A372)&lt;=6),$A373,""))</f>
        <v/>
      </c>
      <c r="I369" t="str">
        <f>_xlfn.LET(_xlpm.Searching,"63",_xlpm.inStr,IFERROR(FIND(_xlpm.Searching,$A372)&gt;=1,FALSE),IF(AND(_xlpm.inStr,LEN(A372)&lt;=6),$A373,""))</f>
        <v/>
      </c>
    </row>
    <row r="370" spans="1:10" x14ac:dyDescent="0.25">
      <c r="A370" s="6" t="s">
        <v>0</v>
      </c>
      <c r="B370" t="str" cm="1">
        <f t="array" ref="B370">БУКВЫ(MID($A368,3,11))</f>
        <v>77511945</v>
      </c>
      <c r="C370" t="str">
        <f t="shared" ref="C370:C372" si="24">C369</f>
        <v xml:space="preserve">Trucker Cap Sun </v>
      </c>
      <c r="D370" s="2"/>
      <c r="E370" s="2"/>
      <c r="F370" s="2"/>
      <c r="G370" t="str">
        <f>_xlfn.LET(_xlpm.Searching,"59",_xlpm.inStr,IFERROR(FIND(_xlpm.Searching,$A374)&gt;=1,FALSE),IF(AND(_xlpm.inStr,LEN(A374)&lt;=6),$A375,""))</f>
        <v/>
      </c>
      <c r="H370" t="str">
        <f>_xlfn.LET(_xlpm.Searching,"61",_xlpm.inStr,IFERROR(FIND(_xlpm.Searching,$A374)&gt;=1,FALSE),IF(AND(_xlpm.inStr,LEN(A374)&lt;=6),$A375,""))</f>
        <v/>
      </c>
      <c r="I370" t="str">
        <f>_xlfn.LET(_xlpm.Searching,"63",_xlpm.inStr,IFERROR(FIND(_xlpm.Searching,$A374)&gt;=1,FALSE),IF(AND(_xlpm.inStr,LEN(A374)&lt;=6),$A375,""))</f>
        <v/>
      </c>
    </row>
    <row r="371" spans="1:10" x14ac:dyDescent="0.25">
      <c r="A371" s="6">
        <v>115</v>
      </c>
      <c r="B371" t="str" cm="1">
        <f t="array" ref="B371">БУКВЫ(MID($A368,3,11))</f>
        <v>77511945</v>
      </c>
      <c r="C371" t="str">
        <f t="shared" si="24"/>
        <v xml:space="preserve">Trucker Cap Sun </v>
      </c>
      <c r="D371" s="2"/>
      <c r="E371" s="2"/>
      <c r="F371" s="2"/>
      <c r="G371" s="2"/>
      <c r="H371" t="str">
        <f>_xlfn.LET(_xlpm.Searching,"61",_xlpm.inStr,IFERROR(FIND(_xlpm.Searching,$A376)&gt;=1,FALSE),IF(AND(_xlpm.inStr,LEN(A376)&lt;=6),$A377,""))</f>
        <v/>
      </c>
      <c r="I371" t="str">
        <f>_xlfn.LET(_xlpm.Searching,"63",_xlpm.inStr,IFERROR(FIND(_xlpm.Searching,$A376)&gt;=1,FALSE),IF(AND(_xlpm.inStr,LEN(A376)&lt;=6),$A377,""))</f>
        <v/>
      </c>
    </row>
    <row r="372" spans="1:10" x14ac:dyDescent="0.25">
      <c r="A372" s="6" t="s">
        <v>35</v>
      </c>
      <c r="B372" t="str" cm="1">
        <f t="array" ref="B372">БУКВЫ(MID($A368,3,11))</f>
        <v>77511945</v>
      </c>
      <c r="C372" t="str">
        <f t="shared" si="24"/>
        <v xml:space="preserve">Trucker Cap Sun </v>
      </c>
      <c r="D372" s="2"/>
      <c r="E372" s="2"/>
      <c r="F372" s="2"/>
      <c r="G372" s="2"/>
      <c r="H372" s="2"/>
      <c r="I372" t="str">
        <f>_xlfn.LET(_xlpm.Searching,"63",_xlpm.inStr,IFERROR(FIND(_xlpm.Searching,$A378)&gt;=1,FALSE),IF(AND(_xlpm.inStr,LEN(A378)&lt;=6),$A379,""))</f>
        <v/>
      </c>
    </row>
    <row r="373" spans="1:10" x14ac:dyDescent="0.25">
      <c r="A373" s="6" t="s">
        <v>51</v>
      </c>
    </row>
    <row r="374" spans="1:10" x14ac:dyDescent="0.25">
      <c r="A374" s="6" t="s">
        <v>164</v>
      </c>
      <c r="B374" s="1" t="s">
        <v>1</v>
      </c>
      <c r="C374" s="1" t="s">
        <v>220</v>
      </c>
      <c r="D374" s="1" t="s">
        <v>0</v>
      </c>
      <c r="E374" s="1">
        <v>55</v>
      </c>
      <c r="F374" s="1">
        <v>57</v>
      </c>
      <c r="G374" s="1">
        <v>59</v>
      </c>
      <c r="H374" s="1">
        <v>61</v>
      </c>
      <c r="I374" s="1">
        <v>63</v>
      </c>
      <c r="J374" s="3" t="s">
        <v>2</v>
      </c>
    </row>
    <row r="375" spans="1:10" x14ac:dyDescent="0.25">
      <c r="A375" s="6" t="s">
        <v>165</v>
      </c>
      <c r="B375" t="str" cm="1">
        <f t="array" ref="B375">БУКВЫ(MID($A375,3,11))</f>
        <v>28111016</v>
      </c>
      <c r="C375" t="str">
        <f>MID($A376,1,FIND("Per",A376)-1)</f>
        <v xml:space="preserve">Bucket Delave Organic Cotton </v>
      </c>
      <c r="D375" t="str">
        <f>_xlfn.LET(_xlpm.Searching,"OSFA",_xlpm.inStr,IFERROR(FIND(_xlpm.Searching,$A377)&gt;=1,FALSE),IF(AND(_xlpm.inStr,LEN(A377)&lt;=6),A378,""))</f>
        <v/>
      </c>
      <c r="E375" t="str">
        <f>_xlfn.LET(_xlpm.Searching,"55",_xlpm.inStr,IFERROR(FIND(_xlpm.Searching,$A377)&gt;=1,FALSE),IF(AND(_xlpm.inStr,LEN(A377)&lt;=6),A378,""))</f>
        <v/>
      </c>
      <c r="F375" t="str">
        <f>_xlfn.LET(_xlpm.Searching,"57",_xlpm.inStr,IFERROR(FIND(_xlpm.Searching,$A377)&gt;=1,FALSE),IF(AND(_xlpm.inStr,LEN(A377)&lt;=6),$A378,""))&amp;F376</f>
        <v>2</v>
      </c>
      <c r="G375" t="str">
        <f>_xlfn.LET(_xlpm.Searching,"59",_xlpm.inStr,IFERROR(FIND(_xlpm.Searching,$A377)&gt;=1,FALSE),IF(AND(_xlpm.inStr,LEN(A377)&lt;=6),$A378,""))&amp;G376&amp;G377</f>
        <v>6</v>
      </c>
      <c r="H375" t="str">
        <f>_xlfn.LET(_xlpm.Searching,"61",_xlpm.inStr,IFERROR(FIND(_xlpm.Searching,$A377)&gt;=1,FALSE),IF(AND(_xlpm.inStr,LEN(A377)&lt;=6),$A378,""))&amp;H376&amp;H377&amp;H378</f>
        <v>6</v>
      </c>
      <c r="I375" t="str">
        <f>_xlfn.LET(_xlpm.Searching,"63",_xlpm.inStr,IFERROR(FIND(_xlpm.Searching,$A377)&gt;=1,FALSE),IF(AND(_xlpm.inStr,LEN(A377)&lt;=6),$A378,""))&amp;I376&amp;I377&amp;I378&amp;I379</f>
        <v>3</v>
      </c>
      <c r="J375" s="4">
        <f>MID(TRIM(RIGHT(A375,10)),1,LEN(TRIM(RIGHT(A375,10)))-3)*0.8</f>
        <v>21.52</v>
      </c>
    </row>
    <row r="376" spans="1:10" x14ac:dyDescent="0.25">
      <c r="A376" s="6" t="s">
        <v>157</v>
      </c>
      <c r="B376" t="str" cm="1">
        <f t="array" ref="B376">БУКВЫ(MID($A375,3,11))</f>
        <v>28111016</v>
      </c>
      <c r="C376" t="str">
        <f>C375</f>
        <v xml:space="preserve">Bucket Delave Organic Cotton </v>
      </c>
      <c r="D376" s="2"/>
      <c r="E376" s="2"/>
      <c r="F376" t="str">
        <f>_xlfn.LET(_xlpm.Searching,"57",_xlpm.inStr,IFERROR(FIND(_xlpm.Searching,$A379)&gt;=1,FALSE),IF(AND(_xlpm.inStr,LEN(A379)&lt;=6),$A380,""))</f>
        <v/>
      </c>
      <c r="G376">
        <f>_xlfn.LET(_xlpm.Searching,"59",_xlpm.inStr,IFERROR(FIND(_xlpm.Searching,$A379)&gt;=1,FALSE),IF(AND(_xlpm.inStr,LEN(A379)&lt;=6),$A380,""))</f>
        <v>6</v>
      </c>
      <c r="H376" t="str">
        <f>_xlfn.LET(_xlpm.Searching,"61",_xlpm.inStr,IFERROR(FIND(_xlpm.Searching,$A379)&gt;=1,FALSE),IF(AND(_xlpm.inStr,LEN(A379)&lt;=6),$A380,""))</f>
        <v/>
      </c>
      <c r="I376" t="str">
        <f>_xlfn.LET(_xlpm.Searching,"63",_xlpm.inStr,IFERROR(FIND(_xlpm.Searching,$A379)&gt;=1,FALSE),IF(AND(_xlpm.inStr,LEN(A379)&lt;=6),$A380,""))</f>
        <v/>
      </c>
    </row>
    <row r="377" spans="1:10" x14ac:dyDescent="0.25">
      <c r="A377" s="6" t="s">
        <v>33</v>
      </c>
      <c r="B377" t="str" cm="1">
        <f t="array" ref="B377">БУКВЫ(MID($A375,3,11))</f>
        <v>28111016</v>
      </c>
      <c r="C377" t="str">
        <f t="shared" ref="C377:C379" si="25">C376</f>
        <v xml:space="preserve">Bucket Delave Organic Cotton </v>
      </c>
      <c r="D377" s="2"/>
      <c r="E377" s="2"/>
      <c r="F377" s="2"/>
      <c r="G377" t="str">
        <f>_xlfn.LET(_xlpm.Searching,"59",_xlpm.inStr,IFERROR(FIND(_xlpm.Searching,$A381)&gt;=1,FALSE),IF(AND(_xlpm.inStr,LEN(A381)&lt;=6),$A382,""))</f>
        <v/>
      </c>
      <c r="H377">
        <f>_xlfn.LET(_xlpm.Searching,"61",_xlpm.inStr,IFERROR(FIND(_xlpm.Searching,$A381)&gt;=1,FALSE),IF(AND(_xlpm.inStr,LEN(A381)&lt;=6),$A382,""))</f>
        <v>6</v>
      </c>
      <c r="I377" t="str">
        <f>_xlfn.LET(_xlpm.Searching,"63",_xlpm.inStr,IFERROR(FIND(_xlpm.Searching,$A381)&gt;=1,FALSE),IF(AND(_xlpm.inStr,LEN(A381)&lt;=6),$A382,""))</f>
        <v/>
      </c>
    </row>
    <row r="378" spans="1:10" x14ac:dyDescent="0.25">
      <c r="A378" s="6">
        <v>2</v>
      </c>
      <c r="B378" t="str" cm="1">
        <f t="array" ref="B378">БУКВЫ(MID($A375,3,11))</f>
        <v>28111016</v>
      </c>
      <c r="C378" t="str">
        <f t="shared" si="25"/>
        <v xml:space="preserve">Bucket Delave Organic Cotton </v>
      </c>
      <c r="D378" s="2"/>
      <c r="E378" s="2"/>
      <c r="F378" s="2"/>
      <c r="G378" s="2"/>
      <c r="H378" t="str">
        <f>_xlfn.LET(_xlpm.Searching,"61",_xlpm.inStr,IFERROR(FIND(_xlpm.Searching,$A383)&gt;=1,FALSE),IF(AND(_xlpm.inStr,LEN(A383)&lt;=6),$A384,""))</f>
        <v/>
      </c>
      <c r="I378">
        <f>_xlfn.LET(_xlpm.Searching,"63",_xlpm.inStr,IFERROR(FIND(_xlpm.Searching,$A383)&gt;=1,FALSE),IF(AND(_xlpm.inStr,LEN(A383)&lt;=6),$A384,""))</f>
        <v>3</v>
      </c>
    </row>
    <row r="379" spans="1:10" x14ac:dyDescent="0.25">
      <c r="A379" s="6" t="s">
        <v>30</v>
      </c>
      <c r="B379" t="str" cm="1">
        <f t="array" ref="B379">БУКВЫ(MID($A375,3,11))</f>
        <v>28111016</v>
      </c>
      <c r="C379" t="str">
        <f t="shared" si="25"/>
        <v xml:space="preserve">Bucket Delave Organic Cotton </v>
      </c>
      <c r="D379" s="2"/>
      <c r="E379" s="2"/>
      <c r="F379" s="2"/>
      <c r="G379" s="2"/>
      <c r="H379" s="2"/>
      <c r="I379" t="str">
        <f>_xlfn.LET(_xlpm.Searching,"63",_xlpm.inStr,IFERROR(FIND(_xlpm.Searching,$A385)&gt;=1,FALSE),IF(AND(_xlpm.inStr,LEN(A385)&lt;=6),$A386,""))</f>
        <v/>
      </c>
    </row>
    <row r="380" spans="1:10" x14ac:dyDescent="0.25">
      <c r="A380" s="6">
        <v>6</v>
      </c>
    </row>
    <row r="381" spans="1:10" x14ac:dyDescent="0.25">
      <c r="A381" s="6" t="s">
        <v>31</v>
      </c>
    </row>
    <row r="382" spans="1:10" x14ac:dyDescent="0.25">
      <c r="A382" s="6">
        <v>6</v>
      </c>
    </row>
    <row r="383" spans="1:10" x14ac:dyDescent="0.25">
      <c r="A383" s="6" t="s">
        <v>34</v>
      </c>
    </row>
    <row r="384" spans="1:10" x14ac:dyDescent="0.25">
      <c r="A384" s="6">
        <v>3</v>
      </c>
    </row>
    <row r="385" spans="1:10" x14ac:dyDescent="0.25">
      <c r="A385" s="6" t="s">
        <v>158</v>
      </c>
    </row>
    <row r="386" spans="1:10" x14ac:dyDescent="0.25">
      <c r="A386" s="6" t="s">
        <v>166</v>
      </c>
    </row>
    <row r="387" spans="1:10" x14ac:dyDescent="0.25">
      <c r="A387" s="6" t="s">
        <v>167</v>
      </c>
      <c r="B387" s="1" t="s">
        <v>1</v>
      </c>
      <c r="C387" s="1" t="s">
        <v>220</v>
      </c>
      <c r="D387" s="1" t="s">
        <v>0</v>
      </c>
      <c r="E387" s="1">
        <v>55</v>
      </c>
      <c r="F387" s="1">
        <v>57</v>
      </c>
      <c r="G387" s="1">
        <v>59</v>
      </c>
      <c r="H387" s="1">
        <v>61</v>
      </c>
      <c r="I387" s="1">
        <v>63</v>
      </c>
      <c r="J387" s="3" t="s">
        <v>2</v>
      </c>
    </row>
    <row r="388" spans="1:10" x14ac:dyDescent="0.25">
      <c r="A388" s="6" t="s">
        <v>168</v>
      </c>
      <c r="B388" t="str" cm="1">
        <f t="array" ref="B388">БУКВЫ(MID($A388,3,11))</f>
        <v>281110161</v>
      </c>
      <c r="C388" t="str">
        <f>MID($A389,1,FIND("Per",A389)-1)</f>
        <v xml:space="preserve">Bucket Delave Organic Cotton </v>
      </c>
      <c r="D388" t="str">
        <f>_xlfn.LET(_xlpm.Searching,"OSFA",_xlpm.inStr,IFERROR(FIND(_xlpm.Searching,$A390)&gt;=1,FALSE),IF(AND(_xlpm.inStr,LEN(A390)&lt;=6),A391,""))</f>
        <v/>
      </c>
      <c r="E388" t="str">
        <f>_xlfn.LET(_xlpm.Searching,"55",_xlpm.inStr,IFERROR(FIND(_xlpm.Searching,$A390)&gt;=1,FALSE),IF(AND(_xlpm.inStr,LEN(A390)&lt;=6),A391,""))</f>
        <v/>
      </c>
      <c r="F388" t="str">
        <f>_xlfn.LET(_xlpm.Searching,"57",_xlpm.inStr,IFERROR(FIND(_xlpm.Searching,$A390)&gt;=1,FALSE),IF(AND(_xlpm.inStr,LEN(A390)&lt;=6),$A391,""))&amp;F389</f>
        <v/>
      </c>
      <c r="G388" t="str">
        <f>_xlfn.LET(_xlpm.Searching,"59",_xlpm.inStr,IFERROR(FIND(_xlpm.Searching,$A390)&gt;=1,FALSE),IF(AND(_xlpm.inStr,LEN(A390)&lt;=6),$A391,""))&amp;G389&amp;G390</f>
        <v>13</v>
      </c>
      <c r="H388" t="str">
        <f>_xlfn.LET(_xlpm.Searching,"61",_xlpm.inStr,IFERROR(FIND(_xlpm.Searching,$A390)&gt;=1,FALSE),IF(AND(_xlpm.inStr,LEN(A390)&lt;=6),$A391,""))&amp;H389&amp;H390&amp;H391</f>
        <v>13</v>
      </c>
      <c r="I388" t="str">
        <f>_xlfn.LET(_xlpm.Searching,"63",_xlpm.inStr,IFERROR(FIND(_xlpm.Searching,$A390)&gt;=1,FALSE),IF(AND(_xlpm.inStr,LEN(A390)&lt;=6),$A391,""))&amp;I389&amp;I390&amp;I391&amp;I392</f>
        <v>6</v>
      </c>
      <c r="J388" s="4">
        <f>MID(TRIM(RIGHT(A388,10)),1,LEN(TRIM(RIGHT(A388,10)))-3)*0.8</f>
        <v>21.52</v>
      </c>
    </row>
    <row r="389" spans="1:10" x14ac:dyDescent="0.25">
      <c r="A389" s="6" t="s">
        <v>157</v>
      </c>
      <c r="B389" t="str" cm="1">
        <f t="array" ref="B389">БУКВЫ(MID($A388,3,11))</f>
        <v>281110161</v>
      </c>
      <c r="C389" t="str">
        <f>C388</f>
        <v xml:space="preserve">Bucket Delave Organic Cotton </v>
      </c>
      <c r="D389" s="2"/>
      <c r="E389" s="2"/>
      <c r="F389" t="str">
        <f>_xlfn.LET(_xlpm.Searching,"57",_xlpm.inStr,IFERROR(FIND(_xlpm.Searching,$A392)&gt;=1,FALSE),IF(AND(_xlpm.inStr,LEN(A392)&lt;=6),$A393,""))</f>
        <v/>
      </c>
      <c r="G389" t="str">
        <f>_xlfn.LET(_xlpm.Searching,"59",_xlpm.inStr,IFERROR(FIND(_xlpm.Searching,$A392)&gt;=1,FALSE),IF(AND(_xlpm.inStr,LEN(A392)&lt;=6),$A393,""))</f>
        <v/>
      </c>
      <c r="H389">
        <f>_xlfn.LET(_xlpm.Searching,"61",_xlpm.inStr,IFERROR(FIND(_xlpm.Searching,$A392)&gt;=1,FALSE),IF(AND(_xlpm.inStr,LEN(A392)&lt;=6),$A393,""))</f>
        <v>13</v>
      </c>
      <c r="I389" t="str">
        <f>_xlfn.LET(_xlpm.Searching,"63",_xlpm.inStr,IFERROR(FIND(_xlpm.Searching,$A392)&gt;=1,FALSE),IF(AND(_xlpm.inStr,LEN(A392)&lt;=6),$A393,""))</f>
        <v/>
      </c>
    </row>
    <row r="390" spans="1:10" x14ac:dyDescent="0.25">
      <c r="A390" s="6" t="s">
        <v>30</v>
      </c>
      <c r="B390" t="str" cm="1">
        <f t="array" ref="B390">БУКВЫ(MID($A388,3,11))</f>
        <v>281110161</v>
      </c>
      <c r="C390" t="str">
        <f t="shared" ref="C390:C392" si="26">C389</f>
        <v xml:space="preserve">Bucket Delave Organic Cotton </v>
      </c>
      <c r="D390" s="2"/>
      <c r="E390" s="2"/>
      <c r="F390" s="2"/>
      <c r="G390" t="str">
        <f>_xlfn.LET(_xlpm.Searching,"59",_xlpm.inStr,IFERROR(FIND(_xlpm.Searching,$A394)&gt;=1,FALSE),IF(AND(_xlpm.inStr,LEN(A394)&lt;=6),$A395,""))</f>
        <v/>
      </c>
      <c r="H390" t="str">
        <f>_xlfn.LET(_xlpm.Searching,"61",_xlpm.inStr,IFERROR(FIND(_xlpm.Searching,$A394)&gt;=1,FALSE),IF(AND(_xlpm.inStr,LEN(A394)&lt;=6),$A395,""))</f>
        <v/>
      </c>
      <c r="I390">
        <f>_xlfn.LET(_xlpm.Searching,"63",_xlpm.inStr,IFERROR(FIND(_xlpm.Searching,$A394)&gt;=1,FALSE),IF(AND(_xlpm.inStr,LEN(A394)&lt;=6),$A395,""))</f>
        <v>6</v>
      </c>
    </row>
    <row r="391" spans="1:10" x14ac:dyDescent="0.25">
      <c r="A391" s="6">
        <v>13</v>
      </c>
      <c r="B391" t="str" cm="1">
        <f t="array" ref="B391">БУКВЫ(MID($A388,3,11))</f>
        <v>281110161</v>
      </c>
      <c r="C391" t="str">
        <f t="shared" si="26"/>
        <v xml:space="preserve">Bucket Delave Organic Cotton </v>
      </c>
      <c r="D391" s="2"/>
      <c r="E391" s="2"/>
      <c r="F391" s="2"/>
      <c r="G391" s="2"/>
      <c r="H391" t="str">
        <f>_xlfn.LET(_xlpm.Searching,"61",_xlpm.inStr,IFERROR(FIND(_xlpm.Searching,$A396)&gt;=1,FALSE),IF(AND(_xlpm.inStr,LEN(A396)&lt;=6),$A397,""))</f>
        <v/>
      </c>
      <c r="I391" t="str">
        <f>_xlfn.LET(_xlpm.Searching,"63",_xlpm.inStr,IFERROR(FIND(_xlpm.Searching,$A396)&gt;=1,FALSE),IF(AND(_xlpm.inStr,LEN(A396)&lt;=6),$A397,""))</f>
        <v/>
      </c>
    </row>
    <row r="392" spans="1:10" x14ac:dyDescent="0.25">
      <c r="A392" s="6" t="s">
        <v>31</v>
      </c>
      <c r="B392" t="str" cm="1">
        <f t="array" ref="B392">БУКВЫ(MID($A388,3,11))</f>
        <v>281110161</v>
      </c>
      <c r="C392" t="str">
        <f t="shared" si="26"/>
        <v xml:space="preserve">Bucket Delave Organic Cotton </v>
      </c>
      <c r="D392" s="2"/>
      <c r="E392" s="2"/>
      <c r="F392" s="2"/>
      <c r="G392" s="2"/>
      <c r="H392" s="2"/>
      <c r="I392" t="str">
        <f>_xlfn.LET(_xlpm.Searching,"63",_xlpm.inStr,IFERROR(FIND(_xlpm.Searching,$A398)&gt;=1,FALSE),IF(AND(_xlpm.inStr,LEN(A398)&lt;=6),$A399,""))</f>
        <v/>
      </c>
    </row>
    <row r="393" spans="1:10" x14ac:dyDescent="0.25">
      <c r="A393" s="6">
        <v>13</v>
      </c>
    </row>
    <row r="394" spans="1:10" x14ac:dyDescent="0.25">
      <c r="A394" s="6" t="s">
        <v>34</v>
      </c>
    </row>
    <row r="395" spans="1:10" x14ac:dyDescent="0.25">
      <c r="A395" s="6">
        <v>6</v>
      </c>
    </row>
    <row r="396" spans="1:10" x14ac:dyDescent="0.25">
      <c r="A396" s="6" t="s">
        <v>158</v>
      </c>
    </row>
    <row r="397" spans="1:10" x14ac:dyDescent="0.25">
      <c r="A397" s="6" t="s">
        <v>169</v>
      </c>
    </row>
    <row r="398" spans="1:10" x14ac:dyDescent="0.25">
      <c r="A398" s="6" t="s">
        <v>170</v>
      </c>
      <c r="B398" s="1" t="s">
        <v>1</v>
      </c>
      <c r="C398" s="1" t="s">
        <v>220</v>
      </c>
      <c r="D398" s="1" t="s">
        <v>0</v>
      </c>
      <c r="E398" s="1">
        <v>55</v>
      </c>
      <c r="F398" s="1">
        <v>57</v>
      </c>
      <c r="G398" s="1">
        <v>59</v>
      </c>
      <c r="H398" s="1">
        <v>61</v>
      </c>
      <c r="I398" s="1">
        <v>63</v>
      </c>
      <c r="J398" s="3" t="s">
        <v>2</v>
      </c>
    </row>
    <row r="399" spans="1:10" x14ac:dyDescent="0.25">
      <c r="A399" s="6" t="s">
        <v>171</v>
      </c>
      <c r="B399" t="str" cm="1">
        <f t="array" ref="B399">БУКВЫ(MID($A399,3,11))</f>
        <v>74911016</v>
      </c>
      <c r="C399" t="str">
        <f>MID($A400,1,FIND("Per",A400)-1)</f>
        <v xml:space="preserve">Army Cap Cotton </v>
      </c>
      <c r="D399" t="str">
        <f>_xlfn.LET(_xlpm.Searching,"OSFA",_xlpm.inStr,IFERROR(FIND(_xlpm.Searching,$A401)&gt;=1,FALSE),IF(AND(_xlpm.inStr,LEN(A401)&lt;=6),A402,""))</f>
        <v/>
      </c>
      <c r="E399" t="str">
        <f>_xlfn.LET(_xlpm.Searching,"55",_xlpm.inStr,IFERROR(FIND(_xlpm.Searching,$A401)&gt;=1,FALSE),IF(AND(_xlpm.inStr,LEN(A401)&lt;=6),A402,""))</f>
        <v/>
      </c>
      <c r="F399" t="str">
        <f>_xlfn.LET(_xlpm.Searching,"57",_xlpm.inStr,IFERROR(FIND(_xlpm.Searching,$A401)&gt;=1,FALSE),IF(AND(_xlpm.inStr,LEN(A401)&lt;=6),$A402,""))&amp;F400</f>
        <v>2</v>
      </c>
      <c r="G399" t="str">
        <f>_xlfn.LET(_xlpm.Searching,"59",_xlpm.inStr,IFERROR(FIND(_xlpm.Searching,$A401)&gt;=1,FALSE),IF(AND(_xlpm.inStr,LEN(A401)&lt;=6),$A402,""))&amp;G400&amp;G401</f>
        <v>7</v>
      </c>
      <c r="H399" t="str">
        <f>_xlfn.LET(_xlpm.Searching,"61",_xlpm.inStr,IFERROR(FIND(_xlpm.Searching,$A401)&gt;=1,FALSE),IF(AND(_xlpm.inStr,LEN(A401)&lt;=6),$A402,""))&amp;H400&amp;H401&amp;H402</f>
        <v>7</v>
      </c>
      <c r="I399" t="str">
        <f>_xlfn.LET(_xlpm.Searching,"63",_xlpm.inStr,IFERROR(FIND(_xlpm.Searching,$A401)&gt;=1,FALSE),IF(AND(_xlpm.inStr,LEN(A401)&lt;=6),$A402,""))&amp;I400&amp;I401&amp;I402&amp;I403</f>
        <v/>
      </c>
      <c r="J399" s="4">
        <f>MID(TRIM(RIGHT(A399,10)),1,LEN(TRIM(RIGHT(A399,10)))-3)*0.8</f>
        <v>11.920000000000002</v>
      </c>
    </row>
    <row r="400" spans="1:10" x14ac:dyDescent="0.25">
      <c r="A400" s="6" t="s">
        <v>66</v>
      </c>
      <c r="B400" t="str" cm="1">
        <f t="array" ref="B400">БУКВЫ(MID($A399,3,11))</f>
        <v>74911016</v>
      </c>
      <c r="C400" t="str">
        <f>C399</f>
        <v xml:space="preserve">Army Cap Cotton </v>
      </c>
      <c r="D400" s="2"/>
      <c r="E400" s="2"/>
      <c r="F400" t="str">
        <f>_xlfn.LET(_xlpm.Searching,"57",_xlpm.inStr,IFERROR(FIND(_xlpm.Searching,$A403)&gt;=1,FALSE),IF(AND(_xlpm.inStr,LEN(A403)&lt;=6),$A404,""))</f>
        <v/>
      </c>
      <c r="G400">
        <f>_xlfn.LET(_xlpm.Searching,"59",_xlpm.inStr,IFERROR(FIND(_xlpm.Searching,$A403)&gt;=1,FALSE),IF(AND(_xlpm.inStr,LEN(A403)&lt;=6),$A404,""))</f>
        <v>7</v>
      </c>
      <c r="H400" t="str">
        <f>_xlfn.LET(_xlpm.Searching,"61",_xlpm.inStr,IFERROR(FIND(_xlpm.Searching,$A403)&gt;=1,FALSE),IF(AND(_xlpm.inStr,LEN(A403)&lt;=6),$A404,""))</f>
        <v/>
      </c>
      <c r="I400" t="str">
        <f>_xlfn.LET(_xlpm.Searching,"63",_xlpm.inStr,IFERROR(FIND(_xlpm.Searching,$A403)&gt;=1,FALSE),IF(AND(_xlpm.inStr,LEN(A403)&lt;=6),$A404,""))</f>
        <v/>
      </c>
    </row>
    <row r="401" spans="1:10" x14ac:dyDescent="0.25">
      <c r="A401" s="6" t="s">
        <v>33</v>
      </c>
      <c r="B401" t="str" cm="1">
        <f t="array" ref="B401">БУКВЫ(MID($A399,3,11))</f>
        <v>74911016</v>
      </c>
      <c r="C401" t="str">
        <f t="shared" ref="C401:C403" si="27">C400</f>
        <v xml:space="preserve">Army Cap Cotton </v>
      </c>
      <c r="D401" s="2"/>
      <c r="E401" s="2"/>
      <c r="F401" s="2"/>
      <c r="G401" t="str">
        <f>_xlfn.LET(_xlpm.Searching,"59",_xlpm.inStr,IFERROR(FIND(_xlpm.Searching,$A405)&gt;=1,FALSE),IF(AND(_xlpm.inStr,LEN(A405)&lt;=6),$A406,""))</f>
        <v/>
      </c>
      <c r="H401">
        <f>_xlfn.LET(_xlpm.Searching,"61",_xlpm.inStr,IFERROR(FIND(_xlpm.Searching,$A405)&gt;=1,FALSE),IF(AND(_xlpm.inStr,LEN(A405)&lt;=6),$A406,""))</f>
        <v>7</v>
      </c>
      <c r="I401" t="str">
        <f>_xlfn.LET(_xlpm.Searching,"63",_xlpm.inStr,IFERROR(FIND(_xlpm.Searching,$A405)&gt;=1,FALSE),IF(AND(_xlpm.inStr,LEN(A405)&lt;=6),$A406,""))</f>
        <v/>
      </c>
    </row>
    <row r="402" spans="1:10" x14ac:dyDescent="0.25">
      <c r="A402" s="6">
        <v>2</v>
      </c>
      <c r="B402" t="str" cm="1">
        <f t="array" ref="B402">БУКВЫ(MID($A399,3,11))</f>
        <v>74911016</v>
      </c>
      <c r="C402" t="str">
        <f t="shared" si="27"/>
        <v xml:space="preserve">Army Cap Cotton </v>
      </c>
      <c r="D402" s="2"/>
      <c r="E402" s="2"/>
      <c r="F402" s="2"/>
      <c r="G402" s="2"/>
      <c r="H402" t="str">
        <f>_xlfn.LET(_xlpm.Searching,"61",_xlpm.inStr,IFERROR(FIND(_xlpm.Searching,$A407)&gt;=1,FALSE),IF(AND(_xlpm.inStr,LEN(A407)&lt;=6),$A408,""))</f>
        <v/>
      </c>
      <c r="I402" t="str">
        <f>_xlfn.LET(_xlpm.Searching,"63",_xlpm.inStr,IFERROR(FIND(_xlpm.Searching,$A407)&gt;=1,FALSE),IF(AND(_xlpm.inStr,LEN(A407)&lt;=6),$A408,""))</f>
        <v/>
      </c>
    </row>
    <row r="403" spans="1:10" x14ac:dyDescent="0.25">
      <c r="A403" s="6" t="s">
        <v>30</v>
      </c>
      <c r="B403" t="str" cm="1">
        <f t="array" ref="B403">БУКВЫ(MID($A399,3,11))</f>
        <v>74911016</v>
      </c>
      <c r="C403" t="str">
        <f t="shared" si="27"/>
        <v xml:space="preserve">Army Cap Cotton </v>
      </c>
      <c r="D403" s="2"/>
      <c r="E403" s="2"/>
      <c r="F403" s="2"/>
      <c r="G403" s="2"/>
      <c r="H403" s="2"/>
      <c r="I403" t="str">
        <f>_xlfn.LET(_xlpm.Searching,"63",_xlpm.inStr,IFERROR(FIND(_xlpm.Searching,$A409)&gt;=1,FALSE),IF(AND(_xlpm.inStr,LEN(A409)&lt;=6),$A410,""))</f>
        <v/>
      </c>
    </row>
    <row r="404" spans="1:10" x14ac:dyDescent="0.25">
      <c r="A404" s="6">
        <v>7</v>
      </c>
    </row>
    <row r="405" spans="1:10" x14ac:dyDescent="0.25">
      <c r="A405" s="6" t="s">
        <v>31</v>
      </c>
    </row>
    <row r="406" spans="1:10" x14ac:dyDescent="0.25">
      <c r="A406" s="6">
        <v>7</v>
      </c>
    </row>
    <row r="407" spans="1:10" x14ac:dyDescent="0.25">
      <c r="A407" s="6" t="s">
        <v>172</v>
      </c>
    </row>
    <row r="408" spans="1:10" x14ac:dyDescent="0.25">
      <c r="A408" s="6" t="s">
        <v>173</v>
      </c>
    </row>
    <row r="409" spans="1:10" x14ac:dyDescent="0.25">
      <c r="A409" s="6" t="s">
        <v>57</v>
      </c>
      <c r="B409" s="1" t="s">
        <v>1</v>
      </c>
      <c r="C409" s="1" t="s">
        <v>220</v>
      </c>
      <c r="D409" s="1" t="s">
        <v>0</v>
      </c>
      <c r="E409" s="1">
        <v>55</v>
      </c>
      <c r="F409" s="1">
        <v>57</v>
      </c>
      <c r="G409" s="1">
        <v>59</v>
      </c>
      <c r="H409" s="1">
        <v>61</v>
      </c>
      <c r="I409" s="1">
        <v>63</v>
      </c>
      <c r="J409" s="3" t="s">
        <v>2</v>
      </c>
    </row>
    <row r="410" spans="1:10" x14ac:dyDescent="0.25">
      <c r="A410" s="6" t="s">
        <v>174</v>
      </c>
      <c r="B410" t="str" cm="1">
        <f t="array" ref="B410">БУКВЫ(MID($A410,3,11))</f>
        <v>25411046</v>
      </c>
      <c r="C410" t="str">
        <f>MID($A411,1,FIND("Per",A411)-1)</f>
        <v xml:space="preserve">Traveller Waxed Cotton </v>
      </c>
      <c r="D410" t="str">
        <f>_xlfn.LET(_xlpm.Searching,"OSFA",_xlpm.inStr,IFERROR(FIND(_xlpm.Searching,$A412)&gt;=1,FALSE),IF(AND(_xlpm.inStr,LEN(A412)&lt;=6),A413,""))</f>
        <v/>
      </c>
      <c r="E410" t="str">
        <f>_xlfn.LET(_xlpm.Searching,"55",_xlpm.inStr,IFERROR(FIND(_xlpm.Searching,$A412)&gt;=1,FALSE),IF(AND(_xlpm.inStr,LEN(A412)&lt;=6),A413,""))</f>
        <v/>
      </c>
      <c r="F410" t="str">
        <f>_xlfn.LET(_xlpm.Searching,"57",_xlpm.inStr,IFERROR(FIND(_xlpm.Searching,$A412)&gt;=1,FALSE),IF(AND(_xlpm.inStr,LEN(A412)&lt;=6),$A413,""))&amp;F411</f>
        <v>8</v>
      </c>
      <c r="G410" t="str">
        <f>_xlfn.LET(_xlpm.Searching,"59",_xlpm.inStr,IFERROR(FIND(_xlpm.Searching,$A412)&gt;=1,FALSE),IF(AND(_xlpm.inStr,LEN(A412)&lt;=6),$A413,""))&amp;G411&amp;G412</f>
        <v>8</v>
      </c>
      <c r="H410" t="str">
        <f>_xlfn.LET(_xlpm.Searching,"61",_xlpm.inStr,IFERROR(FIND(_xlpm.Searching,$A412)&gt;=1,FALSE),IF(AND(_xlpm.inStr,LEN(A412)&lt;=6),$A413,""))&amp;H411&amp;H412&amp;H413</f>
        <v>6</v>
      </c>
      <c r="I410" t="str">
        <f>_xlfn.LET(_xlpm.Searching,"63",_xlpm.inStr,IFERROR(FIND(_xlpm.Searching,$A412)&gt;=1,FALSE),IF(AND(_xlpm.inStr,LEN(A412)&lt;=6),$A413,""))&amp;I411&amp;I412&amp;I413&amp;I414</f>
        <v>6</v>
      </c>
      <c r="J410" s="4">
        <f>MID(TRIM(RIGHT(A410,10)),1,LEN(TRIM(RIGHT(A410,10)))-3)*0.8</f>
        <v>21.52</v>
      </c>
    </row>
    <row r="411" spans="1:10" x14ac:dyDescent="0.25">
      <c r="A411" s="6" t="s">
        <v>175</v>
      </c>
      <c r="B411" t="str" cm="1">
        <f t="array" ref="B411">БУКВЫ(MID($A410,3,11))</f>
        <v>25411046</v>
      </c>
      <c r="C411" t="str">
        <f>C410</f>
        <v xml:space="preserve">Traveller Waxed Cotton </v>
      </c>
      <c r="D411" s="2"/>
      <c r="E411" s="2"/>
      <c r="F411" t="str">
        <f>_xlfn.LET(_xlpm.Searching,"57",_xlpm.inStr,IFERROR(FIND(_xlpm.Searching,$A414)&gt;=1,FALSE),IF(AND(_xlpm.inStr,LEN(A414)&lt;=6),$A415,""))</f>
        <v/>
      </c>
      <c r="G411">
        <f>_xlfn.LET(_xlpm.Searching,"59",_xlpm.inStr,IFERROR(FIND(_xlpm.Searching,$A414)&gt;=1,FALSE),IF(AND(_xlpm.inStr,LEN(A414)&lt;=6),$A415,""))</f>
        <v>8</v>
      </c>
      <c r="H411" t="str">
        <f>_xlfn.LET(_xlpm.Searching,"61",_xlpm.inStr,IFERROR(FIND(_xlpm.Searching,$A414)&gt;=1,FALSE),IF(AND(_xlpm.inStr,LEN(A414)&lt;=6),$A415,""))</f>
        <v/>
      </c>
      <c r="I411" t="str">
        <f>_xlfn.LET(_xlpm.Searching,"63",_xlpm.inStr,IFERROR(FIND(_xlpm.Searching,$A414)&gt;=1,FALSE),IF(AND(_xlpm.inStr,LEN(A414)&lt;=6),$A415,""))</f>
        <v/>
      </c>
    </row>
    <row r="412" spans="1:10" x14ac:dyDescent="0.25">
      <c r="A412" s="6" t="s">
        <v>33</v>
      </c>
      <c r="B412" t="str" cm="1">
        <f t="array" ref="B412">БУКВЫ(MID($A410,3,11))</f>
        <v>25411046</v>
      </c>
      <c r="C412" t="str">
        <f t="shared" ref="C412:C414" si="28">C411</f>
        <v xml:space="preserve">Traveller Waxed Cotton </v>
      </c>
      <c r="D412" s="2"/>
      <c r="E412" s="2"/>
      <c r="F412" s="2"/>
      <c r="G412" t="str">
        <f>_xlfn.LET(_xlpm.Searching,"59",_xlpm.inStr,IFERROR(FIND(_xlpm.Searching,$A416)&gt;=1,FALSE),IF(AND(_xlpm.inStr,LEN(A416)&lt;=6),$A417,""))</f>
        <v/>
      </c>
      <c r="H412">
        <f>_xlfn.LET(_xlpm.Searching,"61",_xlpm.inStr,IFERROR(FIND(_xlpm.Searching,$A416)&gt;=1,FALSE),IF(AND(_xlpm.inStr,LEN(A416)&lt;=6),$A417,""))</f>
        <v>6</v>
      </c>
      <c r="I412" t="str">
        <f>_xlfn.LET(_xlpm.Searching,"63",_xlpm.inStr,IFERROR(FIND(_xlpm.Searching,$A416)&gt;=1,FALSE),IF(AND(_xlpm.inStr,LEN(A416)&lt;=6),$A417,""))</f>
        <v/>
      </c>
    </row>
    <row r="413" spans="1:10" x14ac:dyDescent="0.25">
      <c r="A413" s="6">
        <v>8</v>
      </c>
      <c r="B413" t="str" cm="1">
        <f t="array" ref="B413">БУКВЫ(MID($A410,3,11))</f>
        <v>25411046</v>
      </c>
      <c r="C413" t="str">
        <f t="shared" si="28"/>
        <v xml:space="preserve">Traveller Waxed Cotton </v>
      </c>
      <c r="D413" s="2"/>
      <c r="E413" s="2"/>
      <c r="F413" s="2"/>
      <c r="G413" s="2"/>
      <c r="H413" t="str">
        <f>_xlfn.LET(_xlpm.Searching,"61",_xlpm.inStr,IFERROR(FIND(_xlpm.Searching,$A418)&gt;=1,FALSE),IF(AND(_xlpm.inStr,LEN(A418)&lt;=6),$A419,""))</f>
        <v/>
      </c>
      <c r="I413">
        <f>_xlfn.LET(_xlpm.Searching,"63",_xlpm.inStr,IFERROR(FIND(_xlpm.Searching,$A418)&gt;=1,FALSE),IF(AND(_xlpm.inStr,LEN(A418)&lt;=6),$A419,""))</f>
        <v>6</v>
      </c>
    </row>
    <row r="414" spans="1:10" x14ac:dyDescent="0.25">
      <c r="A414" s="6" t="s">
        <v>30</v>
      </c>
      <c r="B414" t="str" cm="1">
        <f t="array" ref="B414">БУКВЫ(MID($A410,3,11))</f>
        <v>25411046</v>
      </c>
      <c r="C414" t="str">
        <f t="shared" si="28"/>
        <v xml:space="preserve">Traveller Waxed Cotton </v>
      </c>
      <c r="D414" s="2"/>
      <c r="E414" s="2"/>
      <c r="F414" s="2"/>
      <c r="G414" s="2"/>
      <c r="H414" s="2"/>
      <c r="I414" t="str">
        <f>_xlfn.LET(_xlpm.Searching,"63",_xlpm.inStr,IFERROR(FIND(_xlpm.Searching,$A420)&gt;=1,FALSE),IF(AND(_xlpm.inStr,LEN(A420)&lt;=6),$A421,""))</f>
        <v/>
      </c>
    </row>
    <row r="415" spans="1:10" x14ac:dyDescent="0.25">
      <c r="A415" s="6">
        <v>8</v>
      </c>
    </row>
    <row r="416" spans="1:10" x14ac:dyDescent="0.25">
      <c r="A416" s="6" t="s">
        <v>31</v>
      </c>
    </row>
    <row r="417" spans="1:1" x14ac:dyDescent="0.25">
      <c r="A417" s="6">
        <v>6</v>
      </c>
    </row>
    <row r="418" spans="1:1" x14ac:dyDescent="0.25">
      <c r="A418" s="6" t="s">
        <v>34</v>
      </c>
    </row>
    <row r="419" spans="1:1" x14ac:dyDescent="0.25">
      <c r="A419" s="6">
        <v>6</v>
      </c>
    </row>
    <row r="420" spans="1:1" x14ac:dyDescent="0.25">
      <c r="A420" s="6" t="s">
        <v>176</v>
      </c>
    </row>
    <row r="421" spans="1:1" x14ac:dyDescent="0.25">
      <c r="A421" s="6" t="s">
        <v>177</v>
      </c>
    </row>
    <row r="422" spans="1:1" x14ac:dyDescent="0.25">
      <c r="A422" s="6" t="s">
        <v>178</v>
      </c>
    </row>
    <row r="423" spans="1:1" x14ac:dyDescent="0.25">
      <c r="A423" s="6" t="s">
        <v>18</v>
      </c>
    </row>
    <row r="424" spans="1:1" x14ac:dyDescent="0.25">
      <c r="A424" s="6" t="s">
        <v>36</v>
      </c>
    </row>
    <row r="425" spans="1:1" x14ac:dyDescent="0.25">
      <c r="A425" s="6" t="s">
        <v>37</v>
      </c>
    </row>
    <row r="426" spans="1:1" x14ac:dyDescent="0.25">
      <c r="A426" s="6" t="s">
        <v>38</v>
      </c>
    </row>
    <row r="427" spans="1:1" x14ac:dyDescent="0.25">
      <c r="A427" s="6" t="s">
        <v>39</v>
      </c>
    </row>
    <row r="428" spans="1:1" x14ac:dyDescent="0.25">
      <c r="A428" s="6" t="s">
        <v>40</v>
      </c>
    </row>
    <row r="429" spans="1:1" x14ac:dyDescent="0.25">
      <c r="A429" s="6" t="s">
        <v>41</v>
      </c>
    </row>
    <row r="430" spans="1:1" x14ac:dyDescent="0.25">
      <c r="A430" s="6" t="s">
        <v>42</v>
      </c>
    </row>
    <row r="431" spans="1:1" x14ac:dyDescent="0.25">
      <c r="A431" s="6" t="s">
        <v>43</v>
      </c>
    </row>
    <row r="432" spans="1:1" x14ac:dyDescent="0.25">
      <c r="A432" s="6" t="s">
        <v>44</v>
      </c>
    </row>
    <row r="433" spans="1:10" x14ac:dyDescent="0.25">
      <c r="A433" s="6" t="s">
        <v>45</v>
      </c>
    </row>
    <row r="434" spans="1:10" x14ac:dyDescent="0.25">
      <c r="A434" s="6" t="s">
        <v>46</v>
      </c>
    </row>
    <row r="435" spans="1:10" x14ac:dyDescent="0.25">
      <c r="A435" s="6" t="s">
        <v>47</v>
      </c>
    </row>
    <row r="436" spans="1:10" x14ac:dyDescent="0.25">
      <c r="A436" s="6" t="s">
        <v>48</v>
      </c>
    </row>
    <row r="437" spans="1:10" x14ac:dyDescent="0.25">
      <c r="A437" s="6" t="s">
        <v>49</v>
      </c>
    </row>
    <row r="438" spans="1:10" x14ac:dyDescent="0.25">
      <c r="A438" s="6" t="s">
        <v>81</v>
      </c>
    </row>
    <row r="439" spans="1:10" x14ac:dyDescent="0.25">
      <c r="A439" s="6" t="s">
        <v>95</v>
      </c>
    </row>
    <row r="440" spans="1:10" x14ac:dyDescent="0.25">
      <c r="A440" s="6" t="s">
        <v>60</v>
      </c>
    </row>
    <row r="441" spans="1:10" x14ac:dyDescent="0.25">
      <c r="A441" s="6" t="s">
        <v>21</v>
      </c>
    </row>
    <row r="442" spans="1:10" x14ac:dyDescent="0.25">
      <c r="A442" s="6" t="s">
        <v>22</v>
      </c>
    </row>
    <row r="443" spans="1:10" x14ac:dyDescent="0.25">
      <c r="A443" s="6" t="s">
        <v>23</v>
      </c>
    </row>
    <row r="444" spans="1:10" x14ac:dyDescent="0.25">
      <c r="A444" s="6" t="s">
        <v>24</v>
      </c>
    </row>
    <row r="445" spans="1:10" x14ac:dyDescent="0.25">
      <c r="A445" s="6" t="s">
        <v>25</v>
      </c>
    </row>
    <row r="446" spans="1:10" x14ac:dyDescent="0.25">
      <c r="A446" s="6" t="s">
        <v>26</v>
      </c>
    </row>
    <row r="447" spans="1:10" x14ac:dyDescent="0.25">
      <c r="A447" s="6" t="s">
        <v>27</v>
      </c>
      <c r="B447" s="1" t="s">
        <v>1</v>
      </c>
      <c r="C447" s="1" t="s">
        <v>220</v>
      </c>
      <c r="D447" s="1" t="s">
        <v>0</v>
      </c>
      <c r="E447" s="1">
        <v>55</v>
      </c>
      <c r="F447" s="1">
        <v>57</v>
      </c>
      <c r="G447" s="1">
        <v>59</v>
      </c>
      <c r="H447" s="1">
        <v>61</v>
      </c>
      <c r="I447" s="1">
        <v>63</v>
      </c>
      <c r="J447" s="3" t="s">
        <v>2</v>
      </c>
    </row>
    <row r="448" spans="1:10" x14ac:dyDescent="0.25">
      <c r="A448" s="6" t="s">
        <v>179</v>
      </c>
      <c r="B448" t="str" cm="1">
        <f t="array" ref="B448">БУКВЫ(MID($A448,3,11))</f>
        <v>254110923</v>
      </c>
      <c r="C448" t="str">
        <f>MID($A449,1,FIND("Per",A449)-1)</f>
        <v xml:space="preserve">Traveller Cotton </v>
      </c>
      <c r="D448" t="str">
        <f>_xlfn.LET(_xlpm.Searching,"OSFA",_xlpm.inStr,IFERROR(FIND(_xlpm.Searching,$A450)&gt;=1,FALSE),IF(AND(_xlpm.inStr,LEN(A450)&lt;=6),A451,""))</f>
        <v/>
      </c>
      <c r="E448" t="str">
        <f>_xlfn.LET(_xlpm.Searching,"55",_xlpm.inStr,IFERROR(FIND(_xlpm.Searching,$A450)&gt;=1,FALSE),IF(AND(_xlpm.inStr,LEN(A450)&lt;=6),A451,""))</f>
        <v/>
      </c>
      <c r="F448" t="str">
        <f>_xlfn.LET(_xlpm.Searching,"57",_xlpm.inStr,IFERROR(FIND(_xlpm.Searching,$A450)&gt;=1,FALSE),IF(AND(_xlpm.inStr,LEN(A450)&lt;=6),$A451,""))&amp;F449</f>
        <v>3</v>
      </c>
      <c r="G448" t="str">
        <f>_xlfn.LET(_xlpm.Searching,"59",_xlpm.inStr,IFERROR(FIND(_xlpm.Searching,$A450)&gt;=1,FALSE),IF(AND(_xlpm.inStr,LEN(A450)&lt;=6),$A451,""))&amp;G449&amp;G450</f>
        <v>5</v>
      </c>
      <c r="H448" t="str">
        <f>_xlfn.LET(_xlpm.Searching,"61",_xlpm.inStr,IFERROR(FIND(_xlpm.Searching,$A450)&gt;=1,FALSE),IF(AND(_xlpm.inStr,LEN(A450)&lt;=6),$A451,""))&amp;H449&amp;H450&amp;H451</f>
        <v>5</v>
      </c>
      <c r="I448" t="str">
        <f>_xlfn.LET(_xlpm.Searching,"63",_xlpm.inStr,IFERROR(FIND(_xlpm.Searching,$A450)&gt;=1,FALSE),IF(AND(_xlpm.inStr,LEN(A450)&lt;=6),$A451,""))&amp;I449&amp;I450&amp;I451&amp;I452</f>
        <v>3</v>
      </c>
      <c r="J448" s="4">
        <f>MID(TRIM(RIGHT(A448,10)),1,LEN(TRIM(RIGHT(A448,10)))-3)*0.8</f>
        <v>18.32</v>
      </c>
    </row>
    <row r="449" spans="1:10" x14ac:dyDescent="0.25">
      <c r="A449" s="6" t="s">
        <v>180</v>
      </c>
      <c r="B449" t="str" cm="1">
        <f t="array" ref="B449">БУКВЫ(MID($A448,3,11))</f>
        <v>254110923</v>
      </c>
      <c r="C449" t="str">
        <f>C448</f>
        <v xml:space="preserve">Traveller Cotton </v>
      </c>
      <c r="D449" s="2"/>
      <c r="E449" s="2"/>
      <c r="F449" t="str">
        <f>_xlfn.LET(_xlpm.Searching,"57",_xlpm.inStr,IFERROR(FIND(_xlpm.Searching,$A452)&gt;=1,FALSE),IF(AND(_xlpm.inStr,LEN(A452)&lt;=6),$A453,""))</f>
        <v/>
      </c>
      <c r="G449">
        <f>_xlfn.LET(_xlpm.Searching,"59",_xlpm.inStr,IFERROR(FIND(_xlpm.Searching,$A452)&gt;=1,FALSE),IF(AND(_xlpm.inStr,LEN(A452)&lt;=6),$A453,""))</f>
        <v>5</v>
      </c>
      <c r="H449" t="str">
        <f>_xlfn.LET(_xlpm.Searching,"61",_xlpm.inStr,IFERROR(FIND(_xlpm.Searching,$A452)&gt;=1,FALSE),IF(AND(_xlpm.inStr,LEN(A452)&lt;=6),$A453,""))</f>
        <v/>
      </c>
      <c r="I449" t="str">
        <f>_xlfn.LET(_xlpm.Searching,"63",_xlpm.inStr,IFERROR(FIND(_xlpm.Searching,$A452)&gt;=1,FALSE),IF(AND(_xlpm.inStr,LEN(A452)&lt;=6),$A453,""))</f>
        <v/>
      </c>
    </row>
    <row r="450" spans="1:10" x14ac:dyDescent="0.25">
      <c r="A450" s="6" t="s">
        <v>33</v>
      </c>
      <c r="B450" t="str" cm="1">
        <f t="array" ref="B450">БУКВЫ(MID($A448,3,11))</f>
        <v>254110923</v>
      </c>
      <c r="C450" t="str">
        <f t="shared" ref="C450:C452" si="29">C449</f>
        <v xml:space="preserve">Traveller Cotton </v>
      </c>
      <c r="D450" s="2"/>
      <c r="E450" s="2"/>
      <c r="F450" s="2"/>
      <c r="G450" t="str">
        <f>_xlfn.LET(_xlpm.Searching,"59",_xlpm.inStr,IFERROR(FIND(_xlpm.Searching,$A454)&gt;=1,FALSE),IF(AND(_xlpm.inStr,LEN(A454)&lt;=6),$A455,""))</f>
        <v/>
      </c>
      <c r="H450">
        <f>_xlfn.LET(_xlpm.Searching,"61",_xlpm.inStr,IFERROR(FIND(_xlpm.Searching,$A454)&gt;=1,FALSE),IF(AND(_xlpm.inStr,LEN(A454)&lt;=6),$A455,""))</f>
        <v>5</v>
      </c>
      <c r="I450" t="str">
        <f>_xlfn.LET(_xlpm.Searching,"63",_xlpm.inStr,IFERROR(FIND(_xlpm.Searching,$A454)&gt;=1,FALSE),IF(AND(_xlpm.inStr,LEN(A454)&lt;=6),$A455,""))</f>
        <v/>
      </c>
    </row>
    <row r="451" spans="1:10" x14ac:dyDescent="0.25">
      <c r="A451" s="6">
        <v>3</v>
      </c>
      <c r="B451" t="str" cm="1">
        <f t="array" ref="B451">БУКВЫ(MID($A448,3,11))</f>
        <v>254110923</v>
      </c>
      <c r="C451" t="str">
        <f t="shared" si="29"/>
        <v xml:space="preserve">Traveller Cotton </v>
      </c>
      <c r="D451" s="2"/>
      <c r="E451" s="2"/>
      <c r="F451" s="2"/>
      <c r="G451" s="2"/>
      <c r="H451" t="str">
        <f>_xlfn.LET(_xlpm.Searching,"61",_xlpm.inStr,IFERROR(FIND(_xlpm.Searching,$A456)&gt;=1,FALSE),IF(AND(_xlpm.inStr,LEN(A456)&lt;=6),$A457,""))</f>
        <v/>
      </c>
      <c r="I451">
        <f>_xlfn.LET(_xlpm.Searching,"63",_xlpm.inStr,IFERROR(FIND(_xlpm.Searching,$A456)&gt;=1,FALSE),IF(AND(_xlpm.inStr,LEN(A456)&lt;=6),$A457,""))</f>
        <v>3</v>
      </c>
    </row>
    <row r="452" spans="1:10" x14ac:dyDescent="0.25">
      <c r="A452" s="6" t="s">
        <v>30</v>
      </c>
      <c r="B452" t="str" cm="1">
        <f t="array" ref="B452">БУКВЫ(MID($A448,3,11))</f>
        <v>254110923</v>
      </c>
      <c r="C452" t="str">
        <f t="shared" si="29"/>
        <v xml:space="preserve">Traveller Cotton </v>
      </c>
      <c r="D452" s="2"/>
      <c r="E452" s="2"/>
      <c r="F452" s="2"/>
      <c r="G452" s="2"/>
      <c r="H452" s="2"/>
      <c r="I452" t="str">
        <f>_xlfn.LET(_xlpm.Searching,"63",_xlpm.inStr,IFERROR(FIND(_xlpm.Searching,$A458)&gt;=1,FALSE),IF(AND(_xlpm.inStr,LEN(A458)&lt;=6),$A459,""))</f>
        <v/>
      </c>
    </row>
    <row r="453" spans="1:10" x14ac:dyDescent="0.25">
      <c r="A453" s="6">
        <v>5</v>
      </c>
    </row>
    <row r="454" spans="1:10" x14ac:dyDescent="0.25">
      <c r="A454" s="6" t="s">
        <v>31</v>
      </c>
    </row>
    <row r="455" spans="1:10" x14ac:dyDescent="0.25">
      <c r="A455" s="6">
        <v>5</v>
      </c>
    </row>
    <row r="456" spans="1:10" x14ac:dyDescent="0.25">
      <c r="A456" s="6" t="s">
        <v>34</v>
      </c>
    </row>
    <row r="457" spans="1:10" x14ac:dyDescent="0.25">
      <c r="A457" s="6">
        <v>3</v>
      </c>
    </row>
    <row r="458" spans="1:10" x14ac:dyDescent="0.25">
      <c r="A458" s="6" t="s">
        <v>181</v>
      </c>
    </row>
    <row r="459" spans="1:10" x14ac:dyDescent="0.25">
      <c r="A459" s="6" t="s">
        <v>182</v>
      </c>
    </row>
    <row r="460" spans="1:10" x14ac:dyDescent="0.25">
      <c r="A460" s="6" t="s">
        <v>183</v>
      </c>
      <c r="B460" s="1" t="s">
        <v>1</v>
      </c>
      <c r="C460" s="1" t="s">
        <v>220</v>
      </c>
      <c r="D460" s="1" t="s">
        <v>0</v>
      </c>
      <c r="E460" s="1">
        <v>55</v>
      </c>
      <c r="F460" s="1">
        <v>57</v>
      </c>
      <c r="G460" s="1">
        <v>59</v>
      </c>
      <c r="H460" s="1">
        <v>61</v>
      </c>
      <c r="I460" s="1">
        <v>63</v>
      </c>
      <c r="J460" s="3" t="s">
        <v>2</v>
      </c>
    </row>
    <row r="461" spans="1:10" x14ac:dyDescent="0.25">
      <c r="A461" s="6" t="s">
        <v>184</v>
      </c>
      <c r="B461" t="str" cm="1">
        <f t="array" ref="B461">БУКВЫ(MID($A461,3,11))</f>
        <v>775611257</v>
      </c>
      <c r="C461" t="str">
        <f>MID($A462,1,FIND("Per",A462)-1)</f>
        <v xml:space="preserve">Trucker Cap Hiking </v>
      </c>
      <c r="D461">
        <f>_xlfn.LET(_xlpm.Searching,"OSFA",_xlpm.inStr,IFERROR(FIND(_xlpm.Searching,$A463)&gt;=1,FALSE),IF(AND(_xlpm.inStr,LEN(A463)&lt;=6),A464,""))</f>
        <v>74</v>
      </c>
      <c r="E461" t="str">
        <f>_xlfn.LET(_xlpm.Searching,"55",_xlpm.inStr,IFERROR(FIND(_xlpm.Searching,$A463)&gt;=1,FALSE),IF(AND(_xlpm.inStr,LEN(A463)&lt;=6),A464,""))</f>
        <v/>
      </c>
      <c r="F461" t="str">
        <f>_xlfn.LET(_xlpm.Searching,"57",_xlpm.inStr,IFERROR(FIND(_xlpm.Searching,$A463)&gt;=1,FALSE),IF(AND(_xlpm.inStr,LEN(A463)&lt;=6),$A464,""))&amp;F462</f>
        <v/>
      </c>
      <c r="G461" t="str">
        <f>_xlfn.LET(_xlpm.Searching,"59",_xlpm.inStr,IFERROR(FIND(_xlpm.Searching,$A463)&gt;=1,FALSE),IF(AND(_xlpm.inStr,LEN(A463)&lt;=6),$A464,""))&amp;G462&amp;G463</f>
        <v/>
      </c>
      <c r="H461" t="str">
        <f>_xlfn.LET(_xlpm.Searching,"61",_xlpm.inStr,IFERROR(FIND(_xlpm.Searching,$A463)&gt;=1,FALSE),IF(AND(_xlpm.inStr,LEN(A463)&lt;=6),$A464,""))&amp;H462&amp;H463&amp;H464</f>
        <v/>
      </c>
      <c r="I461" t="str">
        <f>_xlfn.LET(_xlpm.Searching,"63",_xlpm.inStr,IFERROR(FIND(_xlpm.Searching,$A463)&gt;=1,FALSE),IF(AND(_xlpm.inStr,LEN(A463)&lt;=6),$A464,""))&amp;I462&amp;I463&amp;I464&amp;I465</f>
        <v/>
      </c>
      <c r="J461" s="4">
        <f>MID(TRIM(RIGHT(A461,10)),1,LEN(TRIM(RIGHT(A461,10)))-3)*0.8</f>
        <v>11.920000000000002</v>
      </c>
    </row>
    <row r="462" spans="1:10" x14ac:dyDescent="0.25">
      <c r="A462" s="6" t="s">
        <v>185</v>
      </c>
      <c r="B462" t="str" cm="1">
        <f t="array" ref="B462">БУКВЫ(MID($A461,3,11))</f>
        <v>775611257</v>
      </c>
      <c r="C462" t="str">
        <f>C461</f>
        <v xml:space="preserve">Trucker Cap Hiking </v>
      </c>
      <c r="D462" s="2"/>
      <c r="E462" s="2"/>
      <c r="F462" t="str">
        <f>_xlfn.LET(_xlpm.Searching,"57",_xlpm.inStr,IFERROR(FIND(_xlpm.Searching,$A465)&gt;=1,FALSE),IF(AND(_xlpm.inStr,LEN(A465)&lt;=6),$A466,""))</f>
        <v/>
      </c>
      <c r="G462" t="str">
        <f>_xlfn.LET(_xlpm.Searching,"59",_xlpm.inStr,IFERROR(FIND(_xlpm.Searching,$A465)&gt;=1,FALSE),IF(AND(_xlpm.inStr,LEN(A465)&lt;=6),$A466,""))</f>
        <v/>
      </c>
      <c r="H462" t="str">
        <f>_xlfn.LET(_xlpm.Searching,"61",_xlpm.inStr,IFERROR(FIND(_xlpm.Searching,$A465)&gt;=1,FALSE),IF(AND(_xlpm.inStr,LEN(A465)&lt;=6),$A466,""))</f>
        <v/>
      </c>
      <c r="I462" t="str">
        <f>_xlfn.LET(_xlpm.Searching,"63",_xlpm.inStr,IFERROR(FIND(_xlpm.Searching,$A465)&gt;=1,FALSE),IF(AND(_xlpm.inStr,LEN(A465)&lt;=6),$A466,""))</f>
        <v/>
      </c>
    </row>
    <row r="463" spans="1:10" x14ac:dyDescent="0.25">
      <c r="A463" s="6" t="s">
        <v>0</v>
      </c>
      <c r="B463" t="str" cm="1">
        <f t="array" ref="B463">БУКВЫ(MID($A461,3,11))</f>
        <v>775611257</v>
      </c>
      <c r="C463" t="str">
        <f t="shared" ref="C463:C465" si="30">C462</f>
        <v xml:space="preserve">Trucker Cap Hiking </v>
      </c>
      <c r="D463" s="2"/>
      <c r="E463" s="2"/>
      <c r="F463" s="2"/>
      <c r="G463" t="str">
        <f>_xlfn.LET(_xlpm.Searching,"59",_xlpm.inStr,IFERROR(FIND(_xlpm.Searching,$A467)&gt;=1,FALSE),IF(AND(_xlpm.inStr,LEN(A467)&lt;=6),$A468,""))</f>
        <v/>
      </c>
      <c r="H463" t="str">
        <f>_xlfn.LET(_xlpm.Searching,"61",_xlpm.inStr,IFERROR(FIND(_xlpm.Searching,$A467)&gt;=1,FALSE),IF(AND(_xlpm.inStr,LEN(A467)&lt;=6),$A468,""))</f>
        <v/>
      </c>
      <c r="I463" t="str">
        <f>_xlfn.LET(_xlpm.Searching,"63",_xlpm.inStr,IFERROR(FIND(_xlpm.Searching,$A467)&gt;=1,FALSE),IF(AND(_xlpm.inStr,LEN(A467)&lt;=6),$A468,""))</f>
        <v/>
      </c>
    </row>
    <row r="464" spans="1:10" x14ac:dyDescent="0.25">
      <c r="A464" s="6">
        <v>74</v>
      </c>
      <c r="B464" t="str" cm="1">
        <f t="array" ref="B464">БУКВЫ(MID($A461,3,11))</f>
        <v>775611257</v>
      </c>
      <c r="C464" t="str">
        <f t="shared" si="30"/>
        <v xml:space="preserve">Trucker Cap Hiking </v>
      </c>
      <c r="D464" s="2"/>
      <c r="E464" s="2"/>
      <c r="F464" s="2"/>
      <c r="G464" s="2"/>
      <c r="H464" t="str">
        <f>_xlfn.LET(_xlpm.Searching,"61",_xlpm.inStr,IFERROR(FIND(_xlpm.Searching,$A469)&gt;=1,FALSE),IF(AND(_xlpm.inStr,LEN(A469)&lt;=6),$A470,""))</f>
        <v/>
      </c>
      <c r="I464" t="str">
        <f>_xlfn.LET(_xlpm.Searching,"63",_xlpm.inStr,IFERROR(FIND(_xlpm.Searching,$A469)&gt;=1,FALSE),IF(AND(_xlpm.inStr,LEN(A469)&lt;=6),$A470,""))</f>
        <v/>
      </c>
    </row>
    <row r="465" spans="1:10" x14ac:dyDescent="0.25">
      <c r="A465" s="6" t="s">
        <v>35</v>
      </c>
      <c r="B465" t="str" cm="1">
        <f t="array" ref="B465">БУКВЫ(MID($A461,3,11))</f>
        <v>775611257</v>
      </c>
      <c r="C465" t="str">
        <f t="shared" si="30"/>
        <v xml:space="preserve">Trucker Cap Hiking </v>
      </c>
      <c r="D465" s="2"/>
      <c r="E465" s="2"/>
      <c r="F465" s="2"/>
      <c r="G465" s="2"/>
      <c r="H465" s="2"/>
      <c r="I465" t="str">
        <f>_xlfn.LET(_xlpm.Searching,"63",_xlpm.inStr,IFERROR(FIND(_xlpm.Searching,$A471)&gt;=1,FALSE),IF(AND(_xlpm.inStr,LEN(A471)&lt;=6),$A472,""))</f>
        <v/>
      </c>
    </row>
    <row r="466" spans="1:10" x14ac:dyDescent="0.25">
      <c r="A466" s="6" t="s">
        <v>186</v>
      </c>
    </row>
    <row r="467" spans="1:10" x14ac:dyDescent="0.25">
      <c r="A467" s="6" t="s">
        <v>187</v>
      </c>
      <c r="B467" s="1" t="s">
        <v>1</v>
      </c>
      <c r="C467" s="1" t="s">
        <v>220</v>
      </c>
      <c r="D467" s="1" t="s">
        <v>0</v>
      </c>
      <c r="E467" s="1">
        <v>55</v>
      </c>
      <c r="F467" s="1">
        <v>57</v>
      </c>
      <c r="G467" s="1">
        <v>59</v>
      </c>
      <c r="H467" s="1">
        <v>61</v>
      </c>
      <c r="I467" s="1">
        <v>63</v>
      </c>
      <c r="J467" s="3" t="s">
        <v>2</v>
      </c>
    </row>
    <row r="468" spans="1:10" x14ac:dyDescent="0.25">
      <c r="A468" s="6" t="s">
        <v>188</v>
      </c>
      <c r="B468" t="str" cm="1">
        <f t="array" ref="B468">БУКВЫ(MID($A468,3,11))</f>
        <v>775611257</v>
      </c>
      <c r="C468" t="str">
        <f>MID($A469,1,FIND("Per",A469)-1)</f>
        <v xml:space="preserve">Trucker Cap Hiking </v>
      </c>
      <c r="D468">
        <f>_xlfn.LET(_xlpm.Searching,"OSFA",_xlpm.inStr,IFERROR(FIND(_xlpm.Searching,$A470)&gt;=1,FALSE),IF(AND(_xlpm.inStr,LEN(A470)&lt;=6),A471,""))</f>
        <v>56</v>
      </c>
      <c r="E468" t="str">
        <f>_xlfn.LET(_xlpm.Searching,"55",_xlpm.inStr,IFERROR(FIND(_xlpm.Searching,$A470)&gt;=1,FALSE),IF(AND(_xlpm.inStr,LEN(A470)&lt;=6),A471,""))</f>
        <v/>
      </c>
      <c r="F468" t="str">
        <f>_xlfn.LET(_xlpm.Searching,"57",_xlpm.inStr,IFERROR(FIND(_xlpm.Searching,$A470)&gt;=1,FALSE),IF(AND(_xlpm.inStr,LEN(A470)&lt;=6),$A471,""))&amp;F469</f>
        <v/>
      </c>
      <c r="G468" t="str">
        <f>_xlfn.LET(_xlpm.Searching,"59",_xlpm.inStr,IFERROR(FIND(_xlpm.Searching,$A470)&gt;=1,FALSE),IF(AND(_xlpm.inStr,LEN(A470)&lt;=6),$A471,""))&amp;G469&amp;G470</f>
        <v/>
      </c>
      <c r="H468" t="str">
        <f>_xlfn.LET(_xlpm.Searching,"61",_xlpm.inStr,IFERROR(FIND(_xlpm.Searching,$A470)&gt;=1,FALSE),IF(AND(_xlpm.inStr,LEN(A470)&lt;=6),$A471,""))&amp;H469&amp;H470&amp;H471</f>
        <v/>
      </c>
      <c r="I468" t="str">
        <f>_xlfn.LET(_xlpm.Searching,"63",_xlpm.inStr,IFERROR(FIND(_xlpm.Searching,$A470)&gt;=1,FALSE),IF(AND(_xlpm.inStr,LEN(A470)&lt;=6),$A471,""))&amp;I469&amp;I470&amp;I471&amp;I472</f>
        <v/>
      </c>
      <c r="J468" s="4">
        <f>MID(TRIM(RIGHT(A468,10)),1,LEN(TRIM(RIGHT(A468,10)))-3)*0.8</f>
        <v>11.920000000000002</v>
      </c>
    </row>
    <row r="469" spans="1:10" x14ac:dyDescent="0.25">
      <c r="A469" s="6" t="s">
        <v>185</v>
      </c>
      <c r="B469" t="str" cm="1">
        <f t="array" ref="B469">БУКВЫ(MID($A468,3,11))</f>
        <v>775611257</v>
      </c>
      <c r="C469" t="str">
        <f>C468</f>
        <v xml:space="preserve">Trucker Cap Hiking </v>
      </c>
      <c r="D469" s="2"/>
      <c r="E469" s="2"/>
      <c r="F469" t="str">
        <f>_xlfn.LET(_xlpm.Searching,"57",_xlpm.inStr,IFERROR(FIND(_xlpm.Searching,$A472)&gt;=1,FALSE),IF(AND(_xlpm.inStr,LEN(A472)&lt;=6),$A473,""))</f>
        <v/>
      </c>
      <c r="G469" t="str">
        <f>_xlfn.LET(_xlpm.Searching,"59",_xlpm.inStr,IFERROR(FIND(_xlpm.Searching,$A472)&gt;=1,FALSE),IF(AND(_xlpm.inStr,LEN(A472)&lt;=6),$A473,""))</f>
        <v/>
      </c>
      <c r="H469" t="str">
        <f>_xlfn.LET(_xlpm.Searching,"61",_xlpm.inStr,IFERROR(FIND(_xlpm.Searching,$A472)&gt;=1,FALSE),IF(AND(_xlpm.inStr,LEN(A472)&lt;=6),$A473,""))</f>
        <v/>
      </c>
      <c r="I469" t="str">
        <f>_xlfn.LET(_xlpm.Searching,"63",_xlpm.inStr,IFERROR(FIND(_xlpm.Searching,$A472)&gt;=1,FALSE),IF(AND(_xlpm.inStr,LEN(A472)&lt;=6),$A473,""))</f>
        <v/>
      </c>
    </row>
    <row r="470" spans="1:10" x14ac:dyDescent="0.25">
      <c r="A470" s="6" t="s">
        <v>0</v>
      </c>
      <c r="B470" t="str" cm="1">
        <f t="array" ref="B470">БУКВЫ(MID($A468,3,11))</f>
        <v>775611257</v>
      </c>
      <c r="C470" t="str">
        <f t="shared" ref="C470:C472" si="31">C469</f>
        <v xml:space="preserve">Trucker Cap Hiking </v>
      </c>
      <c r="D470" s="2"/>
      <c r="E470" s="2"/>
      <c r="F470" s="2"/>
      <c r="G470" t="str">
        <f>_xlfn.LET(_xlpm.Searching,"59",_xlpm.inStr,IFERROR(FIND(_xlpm.Searching,$A474)&gt;=1,FALSE),IF(AND(_xlpm.inStr,LEN(A474)&lt;=6),$A475,""))</f>
        <v/>
      </c>
      <c r="H470" t="str">
        <f>_xlfn.LET(_xlpm.Searching,"61",_xlpm.inStr,IFERROR(FIND(_xlpm.Searching,$A474)&gt;=1,FALSE),IF(AND(_xlpm.inStr,LEN(A474)&lt;=6),$A475,""))</f>
        <v/>
      </c>
      <c r="I470" t="str">
        <f>_xlfn.LET(_xlpm.Searching,"63",_xlpm.inStr,IFERROR(FIND(_xlpm.Searching,$A474)&gt;=1,FALSE),IF(AND(_xlpm.inStr,LEN(A474)&lt;=6),$A475,""))</f>
        <v/>
      </c>
    </row>
    <row r="471" spans="1:10" x14ac:dyDescent="0.25">
      <c r="A471" s="6">
        <v>56</v>
      </c>
      <c r="B471" t="str" cm="1">
        <f t="array" ref="B471">БУКВЫ(MID($A468,3,11))</f>
        <v>775611257</v>
      </c>
      <c r="C471" t="str">
        <f t="shared" si="31"/>
        <v xml:space="preserve">Trucker Cap Hiking </v>
      </c>
      <c r="D471" s="2"/>
      <c r="E471" s="2"/>
      <c r="F471" s="2"/>
      <c r="G471" s="2"/>
      <c r="H471" t="str">
        <f>_xlfn.LET(_xlpm.Searching,"61",_xlpm.inStr,IFERROR(FIND(_xlpm.Searching,$A476)&gt;=1,FALSE),IF(AND(_xlpm.inStr,LEN(A476)&lt;=6),$A477,""))</f>
        <v/>
      </c>
      <c r="I471" t="str">
        <f>_xlfn.LET(_xlpm.Searching,"63",_xlpm.inStr,IFERROR(FIND(_xlpm.Searching,$A476)&gt;=1,FALSE),IF(AND(_xlpm.inStr,LEN(A476)&lt;=6),$A477,""))</f>
        <v/>
      </c>
    </row>
    <row r="472" spans="1:10" x14ac:dyDescent="0.25">
      <c r="A472" s="6" t="s">
        <v>35</v>
      </c>
      <c r="B472" t="str" cm="1">
        <f t="array" ref="B472">БУКВЫ(MID($A468,3,11))</f>
        <v>775611257</v>
      </c>
      <c r="C472" t="str">
        <f t="shared" si="31"/>
        <v xml:space="preserve">Trucker Cap Hiking </v>
      </c>
      <c r="D472" s="2"/>
      <c r="E472" s="2"/>
      <c r="F472" s="2"/>
      <c r="G472" s="2"/>
      <c r="H472" s="2"/>
      <c r="I472" t="str">
        <f>_xlfn.LET(_xlpm.Searching,"63",_xlpm.inStr,IFERROR(FIND(_xlpm.Searching,$A478)&gt;=1,FALSE),IF(AND(_xlpm.inStr,LEN(A478)&lt;=6),$A479,""))</f>
        <v/>
      </c>
    </row>
    <row r="473" spans="1:10" x14ac:dyDescent="0.25">
      <c r="A473" s="6" t="s">
        <v>189</v>
      </c>
    </row>
    <row r="474" spans="1:10" x14ac:dyDescent="0.25">
      <c r="A474" s="6" t="s">
        <v>53</v>
      </c>
      <c r="B474" s="1" t="s">
        <v>1</v>
      </c>
      <c r="C474" s="1" t="s">
        <v>220</v>
      </c>
      <c r="D474" s="1" t="s">
        <v>0</v>
      </c>
      <c r="E474" s="1">
        <v>55</v>
      </c>
      <c r="F474" s="1">
        <v>57</v>
      </c>
      <c r="G474" s="1">
        <v>59</v>
      </c>
      <c r="H474" s="1">
        <v>61</v>
      </c>
      <c r="I474" s="1">
        <v>63</v>
      </c>
      <c r="J474" s="3" t="s">
        <v>2</v>
      </c>
    </row>
    <row r="475" spans="1:10" x14ac:dyDescent="0.25">
      <c r="A475" s="6" t="s">
        <v>190</v>
      </c>
      <c r="B475" t="str" cm="1">
        <f t="array" ref="B475">БУКВЫ(MID($A475,3,11))</f>
        <v>778510189</v>
      </c>
      <c r="C475" t="str">
        <f>MID($A476,1,FIND("Per",A476)-1)</f>
        <v xml:space="preserve">Baseball Cap Toothpick Rebel </v>
      </c>
      <c r="D475">
        <f>_xlfn.LET(_xlpm.Searching,"OSFA",_xlpm.inStr,IFERROR(FIND(_xlpm.Searching,$A477)&gt;=1,FALSE),IF(AND(_xlpm.inStr,LEN(A477)&lt;=6),A478,""))</f>
        <v>5</v>
      </c>
      <c r="E475" t="str">
        <f>_xlfn.LET(_xlpm.Searching,"55",_xlpm.inStr,IFERROR(FIND(_xlpm.Searching,$A477)&gt;=1,FALSE),IF(AND(_xlpm.inStr,LEN(A477)&lt;=6),A478,""))</f>
        <v/>
      </c>
      <c r="F475" t="str">
        <f>_xlfn.LET(_xlpm.Searching,"57",_xlpm.inStr,IFERROR(FIND(_xlpm.Searching,$A477)&gt;=1,FALSE),IF(AND(_xlpm.inStr,LEN(A477)&lt;=6),$A478,""))&amp;F476</f>
        <v/>
      </c>
      <c r="G475" t="str">
        <f>_xlfn.LET(_xlpm.Searching,"59",_xlpm.inStr,IFERROR(FIND(_xlpm.Searching,$A477)&gt;=1,FALSE),IF(AND(_xlpm.inStr,LEN(A477)&lt;=6),$A478,""))&amp;G476&amp;G477</f>
        <v/>
      </c>
      <c r="H475" t="str">
        <f>_xlfn.LET(_xlpm.Searching,"61",_xlpm.inStr,IFERROR(FIND(_xlpm.Searching,$A477)&gt;=1,FALSE),IF(AND(_xlpm.inStr,LEN(A477)&lt;=6),$A478,""))&amp;H476&amp;H477&amp;H478</f>
        <v/>
      </c>
      <c r="I475" t="str">
        <f>_xlfn.LET(_xlpm.Searching,"63",_xlpm.inStr,IFERROR(FIND(_xlpm.Searching,$A477)&gt;=1,FALSE),IF(AND(_xlpm.inStr,LEN(A477)&lt;=6),$A478,""))&amp;I476&amp;I477&amp;I478&amp;I479</f>
        <v/>
      </c>
      <c r="J475" s="4">
        <f>MID(TRIM(RIGHT(A475,10)),1,LEN(TRIM(RIGHT(A475,10)))-3)*0.8</f>
        <v>11.920000000000002</v>
      </c>
    </row>
    <row r="476" spans="1:10" x14ac:dyDescent="0.25">
      <c r="A476" s="6" t="s">
        <v>191</v>
      </c>
      <c r="B476" t="str" cm="1">
        <f t="array" ref="B476">БУКВЫ(MID($A475,3,11))</f>
        <v>778510189</v>
      </c>
      <c r="C476" t="str">
        <f>C475</f>
        <v xml:space="preserve">Baseball Cap Toothpick Rebel </v>
      </c>
      <c r="D476" s="2"/>
      <c r="E476" s="2"/>
      <c r="F476" t="str">
        <f>_xlfn.LET(_xlpm.Searching,"57",_xlpm.inStr,IFERROR(FIND(_xlpm.Searching,$A479)&gt;=1,FALSE),IF(AND(_xlpm.inStr,LEN(A479)&lt;=6),$A480,""))</f>
        <v/>
      </c>
      <c r="G476" t="str">
        <f>_xlfn.LET(_xlpm.Searching,"59",_xlpm.inStr,IFERROR(FIND(_xlpm.Searching,$A479)&gt;=1,FALSE),IF(AND(_xlpm.inStr,LEN(A479)&lt;=6),$A480,""))</f>
        <v/>
      </c>
      <c r="H476" t="str">
        <f>_xlfn.LET(_xlpm.Searching,"61",_xlpm.inStr,IFERROR(FIND(_xlpm.Searching,$A479)&gt;=1,FALSE),IF(AND(_xlpm.inStr,LEN(A479)&lt;=6),$A480,""))</f>
        <v/>
      </c>
      <c r="I476" t="str">
        <f>_xlfn.LET(_xlpm.Searching,"63",_xlpm.inStr,IFERROR(FIND(_xlpm.Searching,$A479)&gt;=1,FALSE),IF(AND(_xlpm.inStr,LEN(A479)&lt;=6),$A480,""))</f>
        <v/>
      </c>
    </row>
    <row r="477" spans="1:10" x14ac:dyDescent="0.25">
      <c r="A477" s="6" t="s">
        <v>0</v>
      </c>
      <c r="B477" t="str" cm="1">
        <f t="array" ref="B477">БУКВЫ(MID($A475,3,11))</f>
        <v>778510189</v>
      </c>
      <c r="C477" t="str">
        <f t="shared" ref="C477:C479" si="32">C476</f>
        <v xml:space="preserve">Baseball Cap Toothpick Rebel </v>
      </c>
      <c r="D477" s="2"/>
      <c r="E477" s="2"/>
      <c r="F477" s="2"/>
      <c r="G477" t="str">
        <f>_xlfn.LET(_xlpm.Searching,"59",_xlpm.inStr,IFERROR(FIND(_xlpm.Searching,$A481)&gt;=1,FALSE),IF(AND(_xlpm.inStr,LEN(A481)&lt;=6),$A482,""))</f>
        <v/>
      </c>
      <c r="H477" t="str">
        <f>_xlfn.LET(_xlpm.Searching,"61",_xlpm.inStr,IFERROR(FIND(_xlpm.Searching,$A481)&gt;=1,FALSE),IF(AND(_xlpm.inStr,LEN(A481)&lt;=6),$A482,""))</f>
        <v/>
      </c>
      <c r="I477" t="str">
        <f>_xlfn.LET(_xlpm.Searching,"63",_xlpm.inStr,IFERROR(FIND(_xlpm.Searching,$A481)&gt;=1,FALSE),IF(AND(_xlpm.inStr,LEN(A481)&lt;=6),$A482,""))</f>
        <v/>
      </c>
    </row>
    <row r="478" spans="1:10" x14ac:dyDescent="0.25">
      <c r="A478" s="6">
        <v>5</v>
      </c>
      <c r="B478" t="str" cm="1">
        <f t="array" ref="B478">БУКВЫ(MID($A475,3,11))</f>
        <v>778510189</v>
      </c>
      <c r="C478" t="str">
        <f t="shared" si="32"/>
        <v xml:space="preserve">Baseball Cap Toothpick Rebel </v>
      </c>
      <c r="D478" s="2"/>
      <c r="E478" s="2"/>
      <c r="F478" s="2"/>
      <c r="G478" s="2"/>
      <c r="H478" t="str">
        <f>_xlfn.LET(_xlpm.Searching,"61",_xlpm.inStr,IFERROR(FIND(_xlpm.Searching,$A483)&gt;=1,FALSE),IF(AND(_xlpm.inStr,LEN(A483)&lt;=6),$A484,""))</f>
        <v/>
      </c>
      <c r="I478" t="str">
        <f>_xlfn.LET(_xlpm.Searching,"63",_xlpm.inStr,IFERROR(FIND(_xlpm.Searching,$A483)&gt;=1,FALSE),IF(AND(_xlpm.inStr,LEN(A483)&lt;=6),$A484,""))</f>
        <v/>
      </c>
    </row>
    <row r="479" spans="1:10" x14ac:dyDescent="0.25">
      <c r="A479" s="6" t="s">
        <v>192</v>
      </c>
      <c r="B479" t="str" cm="1">
        <f t="array" ref="B479">БУКВЫ(MID($A475,3,11))</f>
        <v>778510189</v>
      </c>
      <c r="C479" t="str">
        <f t="shared" si="32"/>
        <v xml:space="preserve">Baseball Cap Toothpick Rebel </v>
      </c>
      <c r="D479" s="2"/>
      <c r="E479" s="2"/>
      <c r="F479" s="2"/>
      <c r="G479" s="2"/>
      <c r="H479" s="2"/>
      <c r="I479" t="str">
        <f>_xlfn.LET(_xlpm.Searching,"63",_xlpm.inStr,IFERROR(FIND(_xlpm.Searching,$A485)&gt;=1,FALSE),IF(AND(_xlpm.inStr,LEN(A485)&lt;=6),$A486,""))</f>
        <v/>
      </c>
    </row>
    <row r="480" spans="1:10" x14ac:dyDescent="0.25">
      <c r="A480" s="6" t="s">
        <v>193</v>
      </c>
    </row>
    <row r="481" spans="1:10" x14ac:dyDescent="0.25">
      <c r="A481" s="6" t="s">
        <v>194</v>
      </c>
      <c r="B481" s="1" t="s">
        <v>1</v>
      </c>
      <c r="C481" s="1" t="s">
        <v>220</v>
      </c>
      <c r="D481" s="1" t="s">
        <v>0</v>
      </c>
      <c r="E481" s="1">
        <v>55</v>
      </c>
      <c r="F481" s="1">
        <v>57</v>
      </c>
      <c r="G481" s="1">
        <v>59</v>
      </c>
      <c r="H481" s="1">
        <v>61</v>
      </c>
      <c r="I481" s="1">
        <v>63</v>
      </c>
      <c r="J481" s="3" t="s">
        <v>2</v>
      </c>
    </row>
    <row r="482" spans="1:10" x14ac:dyDescent="0.25">
      <c r="A482" s="6" t="s">
        <v>195</v>
      </c>
      <c r="B482" t="str" cm="1">
        <f t="array" ref="B482">БУКВЫ(MID($A482,3,11))</f>
        <v>775119625</v>
      </c>
      <c r="C482" t="str">
        <f>MID($A483,1,FIND("Per",A483)-1)</f>
        <v xml:space="preserve">Trucker Cap Chrome </v>
      </c>
      <c r="D482">
        <f>_xlfn.LET(_xlpm.Searching,"OSFA",_xlpm.inStr,IFERROR(FIND(_xlpm.Searching,$A484)&gt;=1,FALSE),IF(AND(_xlpm.inStr,LEN(A484)&lt;=6),A485,""))</f>
        <v>115</v>
      </c>
      <c r="E482" t="str">
        <f>_xlfn.LET(_xlpm.Searching,"55",_xlpm.inStr,IFERROR(FIND(_xlpm.Searching,$A484)&gt;=1,FALSE),IF(AND(_xlpm.inStr,LEN(A484)&lt;=6),A485,""))</f>
        <v/>
      </c>
      <c r="F482" t="str">
        <f>_xlfn.LET(_xlpm.Searching,"57",_xlpm.inStr,IFERROR(FIND(_xlpm.Searching,$A484)&gt;=1,FALSE),IF(AND(_xlpm.inStr,LEN(A484)&lt;=6),$A485,""))&amp;F483</f>
        <v/>
      </c>
      <c r="G482" t="str">
        <f>_xlfn.LET(_xlpm.Searching,"59",_xlpm.inStr,IFERROR(FIND(_xlpm.Searching,$A484)&gt;=1,FALSE),IF(AND(_xlpm.inStr,LEN(A484)&lt;=6),$A485,""))&amp;G483&amp;G484</f>
        <v/>
      </c>
      <c r="H482" t="str">
        <f>_xlfn.LET(_xlpm.Searching,"61",_xlpm.inStr,IFERROR(FIND(_xlpm.Searching,$A484)&gt;=1,FALSE),IF(AND(_xlpm.inStr,LEN(A484)&lt;=6),$A485,""))&amp;H483&amp;H484&amp;H485</f>
        <v/>
      </c>
      <c r="I482" t="str">
        <f>_xlfn.LET(_xlpm.Searching,"63",_xlpm.inStr,IFERROR(FIND(_xlpm.Searching,$A484)&gt;=1,FALSE),IF(AND(_xlpm.inStr,LEN(A484)&lt;=6),$A485,""))&amp;I483&amp;I484&amp;I485&amp;I486</f>
        <v/>
      </c>
      <c r="J482" s="4">
        <f>MID(TRIM(RIGHT(A482,10)),1,LEN(TRIM(RIGHT(A482,10)))-3)*0.8</f>
        <v>11.920000000000002</v>
      </c>
    </row>
    <row r="483" spans="1:10" x14ac:dyDescent="0.25">
      <c r="A483" s="6" t="s">
        <v>196</v>
      </c>
      <c r="B483" t="str" cm="1">
        <f t="array" ref="B483">БУКВЫ(MID($A482,3,11))</f>
        <v>775119625</v>
      </c>
      <c r="C483" t="str">
        <f>C482</f>
        <v xml:space="preserve">Trucker Cap Chrome </v>
      </c>
      <c r="D483" s="2"/>
      <c r="E483" s="2"/>
      <c r="F483" t="str">
        <f>_xlfn.LET(_xlpm.Searching,"57",_xlpm.inStr,IFERROR(FIND(_xlpm.Searching,$A486)&gt;=1,FALSE),IF(AND(_xlpm.inStr,LEN(A486)&lt;=6),$A487,""))</f>
        <v/>
      </c>
      <c r="G483" t="str">
        <f>_xlfn.LET(_xlpm.Searching,"59",_xlpm.inStr,IFERROR(FIND(_xlpm.Searching,$A486)&gt;=1,FALSE),IF(AND(_xlpm.inStr,LEN(A486)&lt;=6),$A487,""))</f>
        <v/>
      </c>
      <c r="H483" t="str">
        <f>_xlfn.LET(_xlpm.Searching,"61",_xlpm.inStr,IFERROR(FIND(_xlpm.Searching,$A486)&gt;=1,FALSE),IF(AND(_xlpm.inStr,LEN(A486)&lt;=6),$A487,""))</f>
        <v/>
      </c>
      <c r="I483" t="str">
        <f>_xlfn.LET(_xlpm.Searching,"63",_xlpm.inStr,IFERROR(FIND(_xlpm.Searching,$A486)&gt;=1,FALSE),IF(AND(_xlpm.inStr,LEN(A486)&lt;=6),$A487,""))</f>
        <v/>
      </c>
    </row>
    <row r="484" spans="1:10" x14ac:dyDescent="0.25">
      <c r="A484" s="6" t="s">
        <v>0</v>
      </c>
      <c r="B484" t="str" cm="1">
        <f t="array" ref="B484">БУКВЫ(MID($A482,3,11))</f>
        <v>775119625</v>
      </c>
      <c r="C484" t="str">
        <f t="shared" ref="C484:C486" si="33">C483</f>
        <v xml:space="preserve">Trucker Cap Chrome </v>
      </c>
      <c r="D484" s="2"/>
      <c r="E484" s="2"/>
      <c r="F484" s="2"/>
      <c r="G484" t="str">
        <f>_xlfn.LET(_xlpm.Searching,"59",_xlpm.inStr,IFERROR(FIND(_xlpm.Searching,$A488)&gt;=1,FALSE),IF(AND(_xlpm.inStr,LEN(A488)&lt;=6),$A489,""))</f>
        <v/>
      </c>
      <c r="H484" t="str">
        <f>_xlfn.LET(_xlpm.Searching,"61",_xlpm.inStr,IFERROR(FIND(_xlpm.Searching,$A488)&gt;=1,FALSE),IF(AND(_xlpm.inStr,LEN(A488)&lt;=6),$A489,""))</f>
        <v/>
      </c>
      <c r="I484" t="str">
        <f>_xlfn.LET(_xlpm.Searching,"63",_xlpm.inStr,IFERROR(FIND(_xlpm.Searching,$A488)&gt;=1,FALSE),IF(AND(_xlpm.inStr,LEN(A488)&lt;=6),$A489,""))</f>
        <v/>
      </c>
    </row>
    <row r="485" spans="1:10" x14ac:dyDescent="0.25">
      <c r="A485" s="6">
        <v>115</v>
      </c>
      <c r="B485" t="str" cm="1">
        <f t="array" ref="B485">БУКВЫ(MID($A482,3,11))</f>
        <v>775119625</v>
      </c>
      <c r="C485" t="str">
        <f t="shared" si="33"/>
        <v xml:space="preserve">Trucker Cap Chrome </v>
      </c>
      <c r="D485" s="2"/>
      <c r="E485" s="2"/>
      <c r="F485" s="2"/>
      <c r="G485" s="2"/>
      <c r="H485" t="str">
        <f>_xlfn.LET(_xlpm.Searching,"61",_xlpm.inStr,IFERROR(FIND(_xlpm.Searching,$A490)&gt;=1,FALSE),IF(AND(_xlpm.inStr,LEN(A490)&lt;=6),$A491,""))</f>
        <v/>
      </c>
      <c r="I485" t="str">
        <f>_xlfn.LET(_xlpm.Searching,"63",_xlpm.inStr,IFERROR(FIND(_xlpm.Searching,$A490)&gt;=1,FALSE),IF(AND(_xlpm.inStr,LEN(A490)&lt;=6),$A491,""))</f>
        <v/>
      </c>
    </row>
    <row r="486" spans="1:10" x14ac:dyDescent="0.25">
      <c r="A486" s="6" t="s">
        <v>35</v>
      </c>
      <c r="B486" t="str" cm="1">
        <f t="array" ref="B486">БУКВЫ(MID($A482,3,11))</f>
        <v>775119625</v>
      </c>
      <c r="C486" t="str">
        <f t="shared" si="33"/>
        <v xml:space="preserve">Trucker Cap Chrome </v>
      </c>
      <c r="D486" s="2"/>
      <c r="E486" s="2"/>
      <c r="F486" s="2"/>
      <c r="G486" s="2"/>
      <c r="H486" s="2"/>
      <c r="I486" t="str">
        <f>_xlfn.LET(_xlpm.Searching,"63",_xlpm.inStr,IFERROR(FIND(_xlpm.Searching,$A492)&gt;=1,FALSE),IF(AND(_xlpm.inStr,LEN(A492)&lt;=6),$A493,""))</f>
        <v/>
      </c>
    </row>
    <row r="487" spans="1:10" x14ac:dyDescent="0.25">
      <c r="A487" s="6" t="s">
        <v>51</v>
      </c>
    </row>
    <row r="488" spans="1:10" x14ac:dyDescent="0.25">
      <c r="A488" s="6" t="s">
        <v>164</v>
      </c>
      <c r="B488" s="1" t="s">
        <v>1</v>
      </c>
      <c r="C488" s="1" t="s">
        <v>220</v>
      </c>
      <c r="D488" s="1" t="s">
        <v>0</v>
      </c>
      <c r="E488" s="1">
        <v>55</v>
      </c>
      <c r="F488" s="1">
        <v>57</v>
      </c>
      <c r="G488" s="1">
        <v>59</v>
      </c>
      <c r="H488" s="1">
        <v>61</v>
      </c>
      <c r="I488" s="1">
        <v>63</v>
      </c>
      <c r="J488" s="3" t="s">
        <v>2</v>
      </c>
    </row>
    <row r="489" spans="1:10" x14ac:dyDescent="0.25">
      <c r="A489" s="6" t="s">
        <v>197</v>
      </c>
      <c r="B489" t="str" cm="1">
        <f t="array" ref="B489">БУКВЫ(MID($A489,3,11))</f>
        <v>775610628</v>
      </c>
      <c r="C489" t="str">
        <f>MID($A490,1,FIND("Per",A490)-1)</f>
        <v xml:space="preserve">Trucker Cap Fishermen´s Bay </v>
      </c>
      <c r="D489">
        <f>_xlfn.LET(_xlpm.Searching,"OSFA",_xlpm.inStr,IFERROR(FIND(_xlpm.Searching,$A491)&gt;=1,FALSE),IF(AND(_xlpm.inStr,LEN(A491)&lt;=6),A492,""))</f>
        <v>105</v>
      </c>
      <c r="E489" t="str">
        <f>_xlfn.LET(_xlpm.Searching,"55",_xlpm.inStr,IFERROR(FIND(_xlpm.Searching,$A491)&gt;=1,FALSE),IF(AND(_xlpm.inStr,LEN(A491)&lt;=6),A492,""))</f>
        <v/>
      </c>
      <c r="F489" t="str">
        <f>_xlfn.LET(_xlpm.Searching,"57",_xlpm.inStr,IFERROR(FIND(_xlpm.Searching,$A491)&gt;=1,FALSE),IF(AND(_xlpm.inStr,LEN(A491)&lt;=6),$A492,""))&amp;F490</f>
        <v/>
      </c>
      <c r="G489" t="str">
        <f>_xlfn.LET(_xlpm.Searching,"59",_xlpm.inStr,IFERROR(FIND(_xlpm.Searching,$A491)&gt;=1,FALSE),IF(AND(_xlpm.inStr,LEN(A491)&lt;=6),$A492,""))&amp;G490&amp;G491</f>
        <v/>
      </c>
      <c r="H489" t="str">
        <f>_xlfn.LET(_xlpm.Searching,"61",_xlpm.inStr,IFERROR(FIND(_xlpm.Searching,$A491)&gt;=1,FALSE),IF(AND(_xlpm.inStr,LEN(A491)&lt;=6),$A492,""))&amp;H490&amp;H491&amp;H492</f>
        <v/>
      </c>
      <c r="I489" t="str">
        <f>_xlfn.LET(_xlpm.Searching,"63",_xlpm.inStr,IFERROR(FIND(_xlpm.Searching,$A491)&gt;=1,FALSE),IF(AND(_xlpm.inStr,LEN(A491)&lt;=6),$A492,""))&amp;I490&amp;I491&amp;I492&amp;I493</f>
        <v/>
      </c>
      <c r="J489" s="4">
        <f>MID(TRIM(RIGHT(A489,10)),1,LEN(TRIM(RIGHT(A489,10)))-3)*0.8</f>
        <v>11.920000000000002</v>
      </c>
    </row>
    <row r="490" spans="1:10" x14ac:dyDescent="0.25">
      <c r="A490" s="6" t="s">
        <v>198</v>
      </c>
      <c r="B490" t="str" cm="1">
        <f t="array" ref="B490">БУКВЫ(MID($A489,3,11))</f>
        <v>775610628</v>
      </c>
      <c r="C490" t="str">
        <f>C489</f>
        <v xml:space="preserve">Trucker Cap Fishermen´s Bay </v>
      </c>
      <c r="D490" s="2"/>
      <c r="E490" s="2"/>
      <c r="F490" t="str">
        <f>_xlfn.LET(_xlpm.Searching,"57",_xlpm.inStr,IFERROR(FIND(_xlpm.Searching,$A493)&gt;=1,FALSE),IF(AND(_xlpm.inStr,LEN(A493)&lt;=6),$A494,""))</f>
        <v/>
      </c>
      <c r="G490" t="str">
        <f>_xlfn.LET(_xlpm.Searching,"59",_xlpm.inStr,IFERROR(FIND(_xlpm.Searching,$A493)&gt;=1,FALSE),IF(AND(_xlpm.inStr,LEN(A493)&lt;=6),$A494,""))</f>
        <v/>
      </c>
      <c r="H490" t="str">
        <f>_xlfn.LET(_xlpm.Searching,"61",_xlpm.inStr,IFERROR(FIND(_xlpm.Searching,$A493)&gt;=1,FALSE),IF(AND(_xlpm.inStr,LEN(A493)&lt;=6),$A494,""))</f>
        <v/>
      </c>
      <c r="I490" t="str">
        <f>_xlfn.LET(_xlpm.Searching,"63",_xlpm.inStr,IFERROR(FIND(_xlpm.Searching,$A493)&gt;=1,FALSE),IF(AND(_xlpm.inStr,LEN(A493)&lt;=6),$A494,""))</f>
        <v/>
      </c>
    </row>
    <row r="491" spans="1:10" x14ac:dyDescent="0.25">
      <c r="A491" s="6" t="s">
        <v>0</v>
      </c>
      <c r="B491" t="str" cm="1">
        <f t="array" ref="B491">БУКВЫ(MID($A489,3,11))</f>
        <v>775610628</v>
      </c>
      <c r="C491" t="str">
        <f t="shared" ref="C491:C493" si="34">C490</f>
        <v xml:space="preserve">Trucker Cap Fishermen´s Bay </v>
      </c>
      <c r="D491" s="2"/>
      <c r="E491" s="2"/>
      <c r="F491" s="2"/>
      <c r="G491" t="str">
        <f>_xlfn.LET(_xlpm.Searching,"59",_xlpm.inStr,IFERROR(FIND(_xlpm.Searching,$A495)&gt;=1,FALSE),IF(AND(_xlpm.inStr,LEN(A495)&lt;=6),$A496,""))</f>
        <v/>
      </c>
      <c r="H491" t="str">
        <f>_xlfn.LET(_xlpm.Searching,"61",_xlpm.inStr,IFERROR(FIND(_xlpm.Searching,$A495)&gt;=1,FALSE),IF(AND(_xlpm.inStr,LEN(A495)&lt;=6),$A496,""))</f>
        <v/>
      </c>
      <c r="I491" t="str">
        <f>_xlfn.LET(_xlpm.Searching,"63",_xlpm.inStr,IFERROR(FIND(_xlpm.Searching,$A495)&gt;=1,FALSE),IF(AND(_xlpm.inStr,LEN(A495)&lt;=6),$A496,""))</f>
        <v/>
      </c>
    </row>
    <row r="492" spans="1:10" x14ac:dyDescent="0.25">
      <c r="A492" s="6">
        <v>105</v>
      </c>
      <c r="B492" t="str" cm="1">
        <f t="array" ref="B492">БУКВЫ(MID($A489,3,11))</f>
        <v>775610628</v>
      </c>
      <c r="C492" t="str">
        <f t="shared" si="34"/>
        <v xml:space="preserve">Trucker Cap Fishermen´s Bay </v>
      </c>
      <c r="D492" s="2"/>
      <c r="E492" s="2"/>
      <c r="F492" s="2"/>
      <c r="G492" s="2"/>
      <c r="H492" t="str">
        <f>_xlfn.LET(_xlpm.Searching,"61",_xlpm.inStr,IFERROR(FIND(_xlpm.Searching,$A497)&gt;=1,FALSE),IF(AND(_xlpm.inStr,LEN(A497)&lt;=6),$A498,""))</f>
        <v/>
      </c>
      <c r="I492" t="str">
        <f>_xlfn.LET(_xlpm.Searching,"63",_xlpm.inStr,IFERROR(FIND(_xlpm.Searching,$A497)&gt;=1,FALSE),IF(AND(_xlpm.inStr,LEN(A497)&lt;=6),$A498,""))</f>
        <v/>
      </c>
    </row>
    <row r="493" spans="1:10" x14ac:dyDescent="0.25">
      <c r="A493" s="6" t="s">
        <v>35</v>
      </c>
      <c r="B493" t="str" cm="1">
        <f t="array" ref="B493">БУКВЫ(MID($A489,3,11))</f>
        <v>775610628</v>
      </c>
      <c r="C493" t="str">
        <f t="shared" si="34"/>
        <v xml:space="preserve">Trucker Cap Fishermen´s Bay </v>
      </c>
      <c r="D493" s="2"/>
      <c r="E493" s="2"/>
      <c r="F493" s="2"/>
      <c r="G493" s="2"/>
      <c r="H493" s="2"/>
      <c r="I493" t="str">
        <f>_xlfn.LET(_xlpm.Searching,"63",_xlpm.inStr,IFERROR(FIND(_xlpm.Searching,$A499)&gt;=1,FALSE),IF(AND(_xlpm.inStr,LEN(A499)&lt;=6),$A500,""))</f>
        <v/>
      </c>
    </row>
    <row r="494" spans="1:10" x14ac:dyDescent="0.25">
      <c r="A494" s="6" t="s">
        <v>199</v>
      </c>
    </row>
    <row r="495" spans="1:10" x14ac:dyDescent="0.25">
      <c r="A495" s="6" t="s">
        <v>200</v>
      </c>
    </row>
    <row r="496" spans="1:10" x14ac:dyDescent="0.25">
      <c r="A496" s="6" t="s">
        <v>18</v>
      </c>
    </row>
    <row r="497" spans="1:1" x14ac:dyDescent="0.25">
      <c r="A497" s="6" t="s">
        <v>36</v>
      </c>
    </row>
    <row r="498" spans="1:1" x14ac:dyDescent="0.25">
      <c r="A498" s="6" t="s">
        <v>37</v>
      </c>
    </row>
    <row r="499" spans="1:1" x14ac:dyDescent="0.25">
      <c r="A499" s="6" t="s">
        <v>38</v>
      </c>
    </row>
    <row r="500" spans="1:1" x14ac:dyDescent="0.25">
      <c r="A500" s="6" t="s">
        <v>39</v>
      </c>
    </row>
    <row r="501" spans="1:1" x14ac:dyDescent="0.25">
      <c r="A501" s="6" t="s">
        <v>40</v>
      </c>
    </row>
    <row r="502" spans="1:1" x14ac:dyDescent="0.25">
      <c r="A502" s="6" t="s">
        <v>41</v>
      </c>
    </row>
    <row r="503" spans="1:1" x14ac:dyDescent="0.25">
      <c r="A503" s="6" t="s">
        <v>42</v>
      </c>
    </row>
    <row r="504" spans="1:1" x14ac:dyDescent="0.25">
      <c r="A504" s="6" t="s">
        <v>43</v>
      </c>
    </row>
    <row r="505" spans="1:1" x14ac:dyDescent="0.25">
      <c r="A505" s="6" t="s">
        <v>44</v>
      </c>
    </row>
    <row r="506" spans="1:1" x14ac:dyDescent="0.25">
      <c r="A506" s="6" t="s">
        <v>45</v>
      </c>
    </row>
    <row r="507" spans="1:1" x14ac:dyDescent="0.25">
      <c r="A507" s="6" t="s">
        <v>46</v>
      </c>
    </row>
    <row r="508" spans="1:1" x14ac:dyDescent="0.25">
      <c r="A508" s="6" t="s">
        <v>47</v>
      </c>
    </row>
    <row r="509" spans="1:1" x14ac:dyDescent="0.25">
      <c r="A509" s="6" t="s">
        <v>48</v>
      </c>
    </row>
    <row r="510" spans="1:1" x14ac:dyDescent="0.25">
      <c r="A510" s="6" t="s">
        <v>49</v>
      </c>
    </row>
    <row r="511" spans="1:1" x14ac:dyDescent="0.25">
      <c r="A511" s="6" t="s">
        <v>81</v>
      </c>
    </row>
    <row r="512" spans="1:1" x14ac:dyDescent="0.25">
      <c r="A512" s="6" t="s">
        <v>95</v>
      </c>
    </row>
    <row r="513" spans="1:10" x14ac:dyDescent="0.25">
      <c r="A513" s="6" t="s">
        <v>68</v>
      </c>
    </row>
    <row r="514" spans="1:10" x14ac:dyDescent="0.25">
      <c r="A514" s="6" t="s">
        <v>21</v>
      </c>
    </row>
    <row r="515" spans="1:10" x14ac:dyDescent="0.25">
      <c r="A515" s="6" t="s">
        <v>22</v>
      </c>
    </row>
    <row r="516" spans="1:10" x14ac:dyDescent="0.25">
      <c r="A516" s="6" t="s">
        <v>23</v>
      </c>
    </row>
    <row r="517" spans="1:10" x14ac:dyDescent="0.25">
      <c r="A517" s="6" t="s">
        <v>24</v>
      </c>
    </row>
    <row r="518" spans="1:10" x14ac:dyDescent="0.25">
      <c r="A518" s="6" t="s">
        <v>25</v>
      </c>
    </row>
    <row r="519" spans="1:10" x14ac:dyDescent="0.25">
      <c r="A519" s="6" t="s">
        <v>26</v>
      </c>
    </row>
    <row r="520" spans="1:10" x14ac:dyDescent="0.25">
      <c r="A520" s="6" t="s">
        <v>27</v>
      </c>
      <c r="B520" s="1" t="s">
        <v>1</v>
      </c>
      <c r="C520" s="1" t="s">
        <v>220</v>
      </c>
      <c r="D520" s="1" t="s">
        <v>0</v>
      </c>
      <c r="E520" s="1">
        <v>55</v>
      </c>
      <c r="F520" s="1">
        <v>57</v>
      </c>
      <c r="G520" s="1">
        <v>59</v>
      </c>
      <c r="H520" s="1">
        <v>61</v>
      </c>
      <c r="I520" s="1">
        <v>63</v>
      </c>
      <c r="J520" s="3" t="s">
        <v>2</v>
      </c>
    </row>
    <row r="521" spans="1:10" x14ac:dyDescent="0.25">
      <c r="A521" t="s">
        <v>201</v>
      </c>
      <c r="B521" t="str" cm="1">
        <f t="array" ref="B521">БУКВЫ(MID($A521,3,11))</f>
        <v>775611337</v>
      </c>
      <c r="C521" t="str">
        <f>MID($A522,1,FIND("Per",A522)-1)</f>
        <v xml:space="preserve">Trucker Cap Animal Nature </v>
      </c>
      <c r="D521">
        <f>_xlfn.LET(_xlpm.Searching,"OSFA",_xlpm.inStr,IFERROR(FIND(_xlpm.Searching,$A523)&gt;=1,FALSE),IF(AND(_xlpm.inStr,LEN(A523)&lt;=6),A524,""))</f>
        <v>90</v>
      </c>
      <c r="E521" t="str">
        <f>_xlfn.LET(_xlpm.Searching,"55",_xlpm.inStr,IFERROR(FIND(_xlpm.Searching,$A523)&gt;=1,FALSE),IF(AND(_xlpm.inStr,LEN(A523)&lt;=6),A524,""))</f>
        <v/>
      </c>
      <c r="F521" t="str">
        <f>_xlfn.LET(_xlpm.Searching,"57",_xlpm.inStr,IFERROR(FIND(_xlpm.Searching,$A523)&gt;=1,FALSE),IF(AND(_xlpm.inStr,LEN(A523)&lt;=6),$A524,""))&amp;F522</f>
        <v/>
      </c>
      <c r="G521" t="str">
        <f>_xlfn.LET(_xlpm.Searching,"59",_xlpm.inStr,IFERROR(FIND(_xlpm.Searching,$A523)&gt;=1,FALSE),IF(AND(_xlpm.inStr,LEN(A523)&lt;=6),$A524,""))&amp;G522&amp;G523</f>
        <v/>
      </c>
      <c r="H521" t="str">
        <f>_xlfn.LET(_xlpm.Searching,"61",_xlpm.inStr,IFERROR(FIND(_xlpm.Searching,$A523)&gt;=1,FALSE),IF(AND(_xlpm.inStr,LEN(A523)&lt;=6),$A524,""))&amp;H522&amp;H523&amp;H524</f>
        <v/>
      </c>
      <c r="I521" t="str">
        <f>_xlfn.LET(_xlpm.Searching,"63",_xlpm.inStr,IFERROR(FIND(_xlpm.Searching,$A523)&gt;=1,FALSE),IF(AND(_xlpm.inStr,LEN(A523)&lt;=6),$A524,""))&amp;I522&amp;I523&amp;I524&amp;I525</f>
        <v/>
      </c>
      <c r="J521" s="4">
        <f>MID(TRIM(RIGHT(A521,10)),1,LEN(TRIM(RIGHT(A521,10)))-3)*0.8</f>
        <v>11.920000000000002</v>
      </c>
    </row>
    <row r="522" spans="1:10" x14ac:dyDescent="0.25">
      <c r="A522" t="s">
        <v>202</v>
      </c>
      <c r="B522" t="str" cm="1">
        <f t="array" ref="B522">БУКВЫ(MID($A521,3,11))</f>
        <v>775611337</v>
      </c>
      <c r="C522" t="str">
        <f>C521</f>
        <v xml:space="preserve">Trucker Cap Animal Nature </v>
      </c>
      <c r="D522" s="2"/>
      <c r="E522" s="2"/>
      <c r="F522" t="str">
        <f>_xlfn.LET(_xlpm.Searching,"57",_xlpm.inStr,IFERROR(FIND(_xlpm.Searching,$A525)&gt;=1,FALSE),IF(AND(_xlpm.inStr,LEN(A525)&lt;=6),$A526,""))</f>
        <v/>
      </c>
      <c r="G522" t="str">
        <f>_xlfn.LET(_xlpm.Searching,"59",_xlpm.inStr,IFERROR(FIND(_xlpm.Searching,$A525)&gt;=1,FALSE),IF(AND(_xlpm.inStr,LEN(A525)&lt;=6),$A526,""))</f>
        <v/>
      </c>
      <c r="H522" t="str">
        <f>_xlfn.LET(_xlpm.Searching,"61",_xlpm.inStr,IFERROR(FIND(_xlpm.Searching,$A525)&gt;=1,FALSE),IF(AND(_xlpm.inStr,LEN(A525)&lt;=6),$A526,""))</f>
        <v/>
      </c>
      <c r="I522" t="str">
        <f>_xlfn.LET(_xlpm.Searching,"63",_xlpm.inStr,IFERROR(FIND(_xlpm.Searching,$A525)&gt;=1,FALSE),IF(AND(_xlpm.inStr,LEN(A525)&lt;=6),$A526,""))</f>
        <v/>
      </c>
    </row>
    <row r="523" spans="1:10" x14ac:dyDescent="0.25">
      <c r="A523" t="s">
        <v>0</v>
      </c>
      <c r="B523" t="str" cm="1">
        <f t="array" ref="B523">БУКВЫ(MID($A521,3,11))</f>
        <v>775611337</v>
      </c>
      <c r="C523" t="str">
        <f t="shared" ref="C523:C525" si="35">C522</f>
        <v xml:space="preserve">Trucker Cap Animal Nature </v>
      </c>
      <c r="D523" s="2"/>
      <c r="E523" s="2"/>
      <c r="F523" s="2"/>
      <c r="G523" t="str">
        <f>_xlfn.LET(_xlpm.Searching,"59",_xlpm.inStr,IFERROR(FIND(_xlpm.Searching,$A527)&gt;=1,FALSE),IF(AND(_xlpm.inStr,LEN(A527)&lt;=6),$A528,""))</f>
        <v/>
      </c>
      <c r="H523" t="str">
        <f>_xlfn.LET(_xlpm.Searching,"61",_xlpm.inStr,IFERROR(FIND(_xlpm.Searching,$A527)&gt;=1,FALSE),IF(AND(_xlpm.inStr,LEN(A527)&lt;=6),$A528,""))</f>
        <v/>
      </c>
      <c r="I523" t="str">
        <f>_xlfn.LET(_xlpm.Searching,"63",_xlpm.inStr,IFERROR(FIND(_xlpm.Searching,$A527)&gt;=1,FALSE),IF(AND(_xlpm.inStr,LEN(A527)&lt;=6),$A528,""))</f>
        <v/>
      </c>
    </row>
    <row r="524" spans="1:10" x14ac:dyDescent="0.25">
      <c r="A524">
        <v>90</v>
      </c>
      <c r="B524" t="str" cm="1">
        <f t="array" ref="B524">БУКВЫ(MID($A521,3,11))</f>
        <v>775611337</v>
      </c>
      <c r="C524" t="str">
        <f t="shared" si="35"/>
        <v xml:space="preserve">Trucker Cap Animal Nature </v>
      </c>
      <c r="D524" s="2"/>
      <c r="E524" s="2"/>
      <c r="F524" s="2"/>
      <c r="G524" s="2"/>
      <c r="H524" t="str">
        <f>_xlfn.LET(_xlpm.Searching,"61",_xlpm.inStr,IFERROR(FIND(_xlpm.Searching,$A529)&gt;=1,FALSE),IF(AND(_xlpm.inStr,LEN(A529)&lt;=6),$A530,""))</f>
        <v/>
      </c>
      <c r="I524" t="str">
        <f>_xlfn.LET(_xlpm.Searching,"63",_xlpm.inStr,IFERROR(FIND(_xlpm.Searching,$A529)&gt;=1,FALSE),IF(AND(_xlpm.inStr,LEN(A529)&lt;=6),$A530,""))</f>
        <v/>
      </c>
    </row>
    <row r="525" spans="1:10" x14ac:dyDescent="0.25">
      <c r="A525" t="s">
        <v>35</v>
      </c>
      <c r="B525" t="str" cm="1">
        <f t="array" ref="B525">БУКВЫ(MID($A521,3,11))</f>
        <v>775611337</v>
      </c>
      <c r="C525" t="str">
        <f t="shared" si="35"/>
        <v xml:space="preserve">Trucker Cap Animal Nature </v>
      </c>
      <c r="D525" s="2"/>
      <c r="E525" s="2"/>
      <c r="F525" s="2"/>
      <c r="G525" s="2"/>
      <c r="H525" s="2"/>
      <c r="I525" t="str">
        <f>_xlfn.LET(_xlpm.Searching,"63",_xlpm.inStr,IFERROR(FIND(_xlpm.Searching,$A531)&gt;=1,FALSE),IF(AND(_xlpm.inStr,LEN(A531)&lt;=6),$A532,""))</f>
        <v/>
      </c>
    </row>
    <row r="526" spans="1:10" x14ac:dyDescent="0.25">
      <c r="A526" t="s">
        <v>59</v>
      </c>
    </row>
    <row r="527" spans="1:10" x14ac:dyDescent="0.25">
      <c r="A527" t="s">
        <v>203</v>
      </c>
      <c r="B527" s="1" t="s">
        <v>1</v>
      </c>
      <c r="C527" s="1" t="s">
        <v>220</v>
      </c>
      <c r="D527" s="1" t="s">
        <v>0</v>
      </c>
      <c r="E527" s="1">
        <v>55</v>
      </c>
      <c r="F527" s="1">
        <v>57</v>
      </c>
      <c r="G527" s="1">
        <v>59</v>
      </c>
      <c r="H527" s="1">
        <v>61</v>
      </c>
      <c r="I527" s="1">
        <v>63</v>
      </c>
      <c r="J527" s="3" t="s">
        <v>2</v>
      </c>
    </row>
    <row r="528" spans="1:10" x14ac:dyDescent="0.25">
      <c r="A528" t="s">
        <v>204</v>
      </c>
      <c r="B528" t="str" cm="1">
        <f t="array" ref="B528">БУКВЫ(MID($A528,3,11))</f>
        <v>775611428</v>
      </c>
      <c r="C528" t="str">
        <f>MID($A529,1,FIND("Per",A529)-1)</f>
        <v xml:space="preserve">Trucker Cap Canoe </v>
      </c>
      <c r="D528">
        <f>_xlfn.LET(_xlpm.Searching,"OSFA",_xlpm.inStr,IFERROR(FIND(_xlpm.Searching,$A530)&gt;=1,FALSE),IF(AND(_xlpm.inStr,LEN(A530)&lt;=6),A531,""))</f>
        <v>130</v>
      </c>
      <c r="E528" t="str">
        <f>_xlfn.LET(_xlpm.Searching,"55",_xlpm.inStr,IFERROR(FIND(_xlpm.Searching,$A530)&gt;=1,FALSE),IF(AND(_xlpm.inStr,LEN(A530)&lt;=6),A531,""))</f>
        <v/>
      </c>
      <c r="F528" t="str">
        <f>_xlfn.LET(_xlpm.Searching,"57",_xlpm.inStr,IFERROR(FIND(_xlpm.Searching,$A530)&gt;=1,FALSE),IF(AND(_xlpm.inStr,LEN(A530)&lt;=6),$A531,""))&amp;F529</f>
        <v/>
      </c>
      <c r="G528" t="str">
        <f>_xlfn.LET(_xlpm.Searching,"59",_xlpm.inStr,IFERROR(FIND(_xlpm.Searching,$A530)&gt;=1,FALSE),IF(AND(_xlpm.inStr,LEN(A530)&lt;=6),$A531,""))&amp;G529&amp;G530</f>
        <v/>
      </c>
      <c r="H528" t="str">
        <f>_xlfn.LET(_xlpm.Searching,"61",_xlpm.inStr,IFERROR(FIND(_xlpm.Searching,$A530)&gt;=1,FALSE),IF(AND(_xlpm.inStr,LEN(A530)&lt;=6),$A531,""))&amp;H529&amp;H530&amp;H531</f>
        <v/>
      </c>
      <c r="I528" t="str">
        <f>_xlfn.LET(_xlpm.Searching,"63",_xlpm.inStr,IFERROR(FIND(_xlpm.Searching,$A530)&gt;=1,FALSE),IF(AND(_xlpm.inStr,LEN(A530)&lt;=6),$A531,""))&amp;I529&amp;I530&amp;I531&amp;I532</f>
        <v/>
      </c>
      <c r="J528" s="4">
        <f>MID(TRIM(RIGHT(A528,10)),1,LEN(TRIM(RIGHT(A528,10)))-3)*0.8</f>
        <v>11.920000000000002</v>
      </c>
    </row>
    <row r="529" spans="1:10" x14ac:dyDescent="0.25">
      <c r="A529" t="s">
        <v>205</v>
      </c>
      <c r="B529" t="str" cm="1">
        <f t="array" ref="B529">БУКВЫ(MID($A528,3,11))</f>
        <v>775611428</v>
      </c>
      <c r="C529" t="str">
        <f>C528</f>
        <v xml:space="preserve">Trucker Cap Canoe </v>
      </c>
      <c r="D529" s="2"/>
      <c r="E529" s="2"/>
      <c r="F529" t="str">
        <f>_xlfn.LET(_xlpm.Searching,"57",_xlpm.inStr,IFERROR(FIND(_xlpm.Searching,$A532)&gt;=1,FALSE),IF(AND(_xlpm.inStr,LEN(A532)&lt;=6),$A533,""))</f>
        <v/>
      </c>
      <c r="G529" t="str">
        <f>_xlfn.LET(_xlpm.Searching,"59",_xlpm.inStr,IFERROR(FIND(_xlpm.Searching,$A532)&gt;=1,FALSE),IF(AND(_xlpm.inStr,LEN(A532)&lt;=6),$A533,""))</f>
        <v/>
      </c>
      <c r="H529" t="str">
        <f>_xlfn.LET(_xlpm.Searching,"61",_xlpm.inStr,IFERROR(FIND(_xlpm.Searching,$A532)&gt;=1,FALSE),IF(AND(_xlpm.inStr,LEN(A532)&lt;=6),$A533,""))</f>
        <v/>
      </c>
      <c r="I529" t="str">
        <f>_xlfn.LET(_xlpm.Searching,"63",_xlpm.inStr,IFERROR(FIND(_xlpm.Searching,$A532)&gt;=1,FALSE),IF(AND(_xlpm.inStr,LEN(A532)&lt;=6),$A533,""))</f>
        <v/>
      </c>
    </row>
    <row r="530" spans="1:10" x14ac:dyDescent="0.25">
      <c r="A530" t="s">
        <v>0</v>
      </c>
      <c r="B530" t="str" cm="1">
        <f t="array" ref="B530">БУКВЫ(MID($A528,3,11))</f>
        <v>775611428</v>
      </c>
      <c r="C530" t="str">
        <f t="shared" ref="C530:C532" si="36">C529</f>
        <v xml:space="preserve">Trucker Cap Canoe </v>
      </c>
      <c r="D530" s="2"/>
      <c r="E530" s="2"/>
      <c r="F530" s="2"/>
      <c r="G530" t="str">
        <f>_xlfn.LET(_xlpm.Searching,"59",_xlpm.inStr,IFERROR(FIND(_xlpm.Searching,$A534)&gt;=1,FALSE),IF(AND(_xlpm.inStr,LEN(A534)&lt;=6),$A535,""))</f>
        <v/>
      </c>
      <c r="H530" t="str">
        <f>_xlfn.LET(_xlpm.Searching,"61",_xlpm.inStr,IFERROR(FIND(_xlpm.Searching,$A534)&gt;=1,FALSE),IF(AND(_xlpm.inStr,LEN(A534)&lt;=6),$A535,""))</f>
        <v/>
      </c>
      <c r="I530" t="str">
        <f>_xlfn.LET(_xlpm.Searching,"63",_xlpm.inStr,IFERROR(FIND(_xlpm.Searching,$A534)&gt;=1,FALSE),IF(AND(_xlpm.inStr,LEN(A534)&lt;=6),$A535,""))</f>
        <v/>
      </c>
    </row>
    <row r="531" spans="1:10" x14ac:dyDescent="0.25">
      <c r="A531">
        <v>130</v>
      </c>
      <c r="B531" t="str" cm="1">
        <f t="array" ref="B531">БУКВЫ(MID($A528,3,11))</f>
        <v>775611428</v>
      </c>
      <c r="C531" t="str">
        <f t="shared" si="36"/>
        <v xml:space="preserve">Trucker Cap Canoe </v>
      </c>
      <c r="D531" s="2"/>
      <c r="E531" s="2"/>
      <c r="F531" s="2"/>
      <c r="G531" s="2"/>
      <c r="H531" t="str">
        <f>_xlfn.LET(_xlpm.Searching,"61",_xlpm.inStr,IFERROR(FIND(_xlpm.Searching,$A536)&gt;=1,FALSE),IF(AND(_xlpm.inStr,LEN(A536)&lt;=6),$A537,""))</f>
        <v/>
      </c>
      <c r="I531" t="str">
        <f>_xlfn.LET(_xlpm.Searching,"63",_xlpm.inStr,IFERROR(FIND(_xlpm.Searching,$A536)&gt;=1,FALSE),IF(AND(_xlpm.inStr,LEN(A536)&lt;=6),$A537,""))</f>
        <v/>
      </c>
    </row>
    <row r="532" spans="1:10" x14ac:dyDescent="0.25">
      <c r="A532" t="s">
        <v>35</v>
      </c>
      <c r="B532" t="str" cm="1">
        <f t="array" ref="B532">БУКВЫ(MID($A528,3,11))</f>
        <v>775611428</v>
      </c>
      <c r="C532" t="str">
        <f t="shared" si="36"/>
        <v xml:space="preserve">Trucker Cap Canoe </v>
      </c>
      <c r="D532" s="2"/>
      <c r="E532" s="2"/>
      <c r="F532" s="2"/>
      <c r="G532" s="2"/>
      <c r="H532" s="2"/>
      <c r="I532" t="str">
        <f>_xlfn.LET(_xlpm.Searching,"63",_xlpm.inStr,IFERROR(FIND(_xlpm.Searching,$A538)&gt;=1,FALSE),IF(AND(_xlpm.inStr,LEN(A538)&lt;=6),$A539,""))</f>
        <v/>
      </c>
    </row>
    <row r="533" spans="1:10" x14ac:dyDescent="0.25">
      <c r="A533" t="s">
        <v>54</v>
      </c>
    </row>
    <row r="534" spans="1:10" x14ac:dyDescent="0.25">
      <c r="A534" t="s">
        <v>206</v>
      </c>
      <c r="B534" s="1" t="s">
        <v>1</v>
      </c>
      <c r="C534" s="1" t="s">
        <v>220</v>
      </c>
      <c r="D534" s="1" t="s">
        <v>0</v>
      </c>
      <c r="E534" s="1">
        <v>55</v>
      </c>
      <c r="F534" s="1">
        <v>57</v>
      </c>
      <c r="G534" s="1">
        <v>59</v>
      </c>
      <c r="H534" s="1">
        <v>61</v>
      </c>
      <c r="I534" s="1">
        <v>63</v>
      </c>
      <c r="J534" s="3" t="s">
        <v>2</v>
      </c>
    </row>
    <row r="535" spans="1:10" x14ac:dyDescent="0.25">
      <c r="A535" t="s">
        <v>207</v>
      </c>
      <c r="B535" t="str" cm="1">
        <f t="array" ref="B535">БУКВЫ(MID($A535,3,11))</f>
        <v>77211105</v>
      </c>
      <c r="C535" t="str">
        <f>MID($A536,1,FIND("Per",A536)-1)</f>
        <v xml:space="preserve">Baseball Cap Cotton </v>
      </c>
      <c r="D535">
        <f>_xlfn.LET(_xlpm.Searching,"OSFA",_xlpm.inStr,IFERROR(FIND(_xlpm.Searching,$A537)&gt;=1,FALSE),IF(AND(_xlpm.inStr,LEN(A537)&lt;=6),A538,""))</f>
        <v>10</v>
      </c>
      <c r="E535" t="str">
        <f>_xlfn.LET(_xlpm.Searching,"55",_xlpm.inStr,IFERROR(FIND(_xlpm.Searching,$A537)&gt;=1,FALSE),IF(AND(_xlpm.inStr,LEN(A537)&lt;=6),A538,""))</f>
        <v/>
      </c>
      <c r="F535" t="str">
        <f>_xlfn.LET(_xlpm.Searching,"57",_xlpm.inStr,IFERROR(FIND(_xlpm.Searching,$A537)&gt;=1,FALSE),IF(AND(_xlpm.inStr,LEN(A537)&lt;=6),$A538,""))&amp;F536</f>
        <v/>
      </c>
      <c r="G535" t="str">
        <f>_xlfn.LET(_xlpm.Searching,"59",_xlpm.inStr,IFERROR(FIND(_xlpm.Searching,$A537)&gt;=1,FALSE),IF(AND(_xlpm.inStr,LEN(A537)&lt;=6),$A538,""))&amp;G536&amp;G537</f>
        <v/>
      </c>
      <c r="H535" t="str">
        <f>_xlfn.LET(_xlpm.Searching,"61",_xlpm.inStr,IFERROR(FIND(_xlpm.Searching,$A537)&gt;=1,FALSE),IF(AND(_xlpm.inStr,LEN(A537)&lt;=6),$A538,""))&amp;H536&amp;H537&amp;H538</f>
        <v/>
      </c>
      <c r="I535" t="str">
        <f>_xlfn.LET(_xlpm.Searching,"63",_xlpm.inStr,IFERROR(FIND(_xlpm.Searching,$A537)&gt;=1,FALSE),IF(AND(_xlpm.inStr,LEN(A537)&lt;=6),$A538,""))&amp;I536&amp;I537&amp;I538&amp;I539</f>
        <v/>
      </c>
      <c r="J535" s="4">
        <f>MID(TRIM(RIGHT(A535,10)),1,LEN(TRIM(RIGHT(A535,10)))-3)*0.8</f>
        <v>11.920000000000002</v>
      </c>
    </row>
    <row r="536" spans="1:10" x14ac:dyDescent="0.25">
      <c r="A536" t="s">
        <v>62</v>
      </c>
      <c r="B536" t="str" cm="1">
        <f t="array" ref="B536">БУКВЫ(MID($A535,3,11))</f>
        <v>77211105</v>
      </c>
      <c r="C536" t="str">
        <f>C535</f>
        <v xml:space="preserve">Baseball Cap Cotton </v>
      </c>
      <c r="D536" s="2"/>
      <c r="E536" s="2"/>
      <c r="F536" t="str">
        <f>_xlfn.LET(_xlpm.Searching,"57",_xlpm.inStr,IFERROR(FIND(_xlpm.Searching,$A539)&gt;=1,FALSE),IF(AND(_xlpm.inStr,LEN(A539)&lt;=6),$A540,""))</f>
        <v/>
      </c>
      <c r="G536" t="str">
        <f>_xlfn.LET(_xlpm.Searching,"59",_xlpm.inStr,IFERROR(FIND(_xlpm.Searching,$A539)&gt;=1,FALSE),IF(AND(_xlpm.inStr,LEN(A539)&lt;=6),$A540,""))</f>
        <v/>
      </c>
      <c r="H536" t="str">
        <f>_xlfn.LET(_xlpm.Searching,"61",_xlpm.inStr,IFERROR(FIND(_xlpm.Searching,$A539)&gt;=1,FALSE),IF(AND(_xlpm.inStr,LEN(A539)&lt;=6),$A540,""))</f>
        <v/>
      </c>
      <c r="I536" t="str">
        <f>_xlfn.LET(_xlpm.Searching,"63",_xlpm.inStr,IFERROR(FIND(_xlpm.Searching,$A539)&gt;=1,FALSE),IF(AND(_xlpm.inStr,LEN(A539)&lt;=6),$A540,""))</f>
        <v/>
      </c>
    </row>
    <row r="537" spans="1:10" x14ac:dyDescent="0.25">
      <c r="A537" t="s">
        <v>0</v>
      </c>
      <c r="B537" t="str" cm="1">
        <f t="array" ref="B537">БУКВЫ(MID($A535,3,11))</f>
        <v>77211105</v>
      </c>
      <c r="C537" t="str">
        <f t="shared" ref="C537:C539" si="37">C536</f>
        <v xml:space="preserve">Baseball Cap Cotton </v>
      </c>
      <c r="D537" s="2"/>
      <c r="E537" s="2"/>
      <c r="F537" s="2"/>
      <c r="G537" t="str">
        <f>_xlfn.LET(_xlpm.Searching,"59",_xlpm.inStr,IFERROR(FIND(_xlpm.Searching,$A541)&gt;=1,FALSE),IF(AND(_xlpm.inStr,LEN(A541)&lt;=6),$A542,""))</f>
        <v/>
      </c>
      <c r="H537" t="str">
        <f>_xlfn.LET(_xlpm.Searching,"61",_xlpm.inStr,IFERROR(FIND(_xlpm.Searching,$A541)&gt;=1,FALSE),IF(AND(_xlpm.inStr,LEN(A541)&lt;=6),$A542,""))</f>
        <v/>
      </c>
      <c r="I537" t="str">
        <f>_xlfn.LET(_xlpm.Searching,"63",_xlpm.inStr,IFERROR(FIND(_xlpm.Searching,$A541)&gt;=1,FALSE),IF(AND(_xlpm.inStr,LEN(A541)&lt;=6),$A542,""))</f>
        <v/>
      </c>
    </row>
    <row r="538" spans="1:10" x14ac:dyDescent="0.25">
      <c r="A538">
        <v>10</v>
      </c>
      <c r="B538" t="str" cm="1">
        <f t="array" ref="B538">БУКВЫ(MID($A535,3,11))</f>
        <v>77211105</v>
      </c>
      <c r="C538" t="str">
        <f t="shared" si="37"/>
        <v xml:space="preserve">Baseball Cap Cotton </v>
      </c>
      <c r="D538" s="2"/>
      <c r="E538" s="2"/>
      <c r="F538" s="2"/>
      <c r="G538" s="2"/>
      <c r="H538" t="str">
        <f>_xlfn.LET(_xlpm.Searching,"61",_xlpm.inStr,IFERROR(FIND(_xlpm.Searching,$A543)&gt;=1,FALSE),IF(AND(_xlpm.inStr,LEN(A543)&lt;=6),$A544,""))</f>
        <v/>
      </c>
      <c r="I538" t="str">
        <f>_xlfn.LET(_xlpm.Searching,"63",_xlpm.inStr,IFERROR(FIND(_xlpm.Searching,$A543)&gt;=1,FALSE),IF(AND(_xlpm.inStr,LEN(A543)&lt;=6),$A544,""))</f>
        <v/>
      </c>
    </row>
    <row r="539" spans="1:10" x14ac:dyDescent="0.25">
      <c r="A539" t="s">
        <v>35</v>
      </c>
      <c r="B539" t="str" cm="1">
        <f t="array" ref="B539">БУКВЫ(MID($A535,3,11))</f>
        <v>77211105</v>
      </c>
      <c r="C539" t="str">
        <f t="shared" si="37"/>
        <v xml:space="preserve">Baseball Cap Cotton </v>
      </c>
      <c r="D539" s="2"/>
      <c r="E539" s="2"/>
      <c r="F539" s="2"/>
      <c r="G539" s="2"/>
      <c r="H539" s="2"/>
      <c r="I539" t="str">
        <f>_xlfn.LET(_xlpm.Searching,"63",_xlpm.inStr,IFERROR(FIND(_xlpm.Searching,$A545)&gt;=1,FALSE),IF(AND(_xlpm.inStr,LEN(A545)&lt;=6),$A546,""))</f>
        <v/>
      </c>
    </row>
    <row r="540" spans="1:10" x14ac:dyDescent="0.25">
      <c r="A540" t="s">
        <v>63</v>
      </c>
    </row>
    <row r="541" spans="1:10" x14ac:dyDescent="0.25">
      <c r="A541" t="s">
        <v>208</v>
      </c>
      <c r="B541" s="1" t="s">
        <v>1</v>
      </c>
      <c r="C541" s="1" t="s">
        <v>220</v>
      </c>
      <c r="D541" s="1" t="s">
        <v>0</v>
      </c>
      <c r="E541" s="1">
        <v>55</v>
      </c>
      <c r="F541" s="1">
        <v>57</v>
      </c>
      <c r="G541" s="1">
        <v>59</v>
      </c>
      <c r="H541" s="1">
        <v>61</v>
      </c>
      <c r="I541" s="1">
        <v>63</v>
      </c>
      <c r="J541" s="3" t="s">
        <v>2</v>
      </c>
    </row>
    <row r="542" spans="1:10" x14ac:dyDescent="0.25">
      <c r="A542" t="s">
        <v>209</v>
      </c>
      <c r="B542" t="str" cm="1">
        <f t="array" ref="B542">БУКВЫ(MID($A542,3,11))</f>
        <v>77211226</v>
      </c>
      <c r="C542" t="str">
        <f>MID($A543,1,FIND("Per",A543)-1)</f>
        <v xml:space="preserve">Baseball Cap Duck </v>
      </c>
      <c r="D542">
        <f>_xlfn.LET(_xlpm.Searching,"OSFA",_xlpm.inStr,IFERROR(FIND(_xlpm.Searching,$A544)&gt;=1,FALSE),IF(AND(_xlpm.inStr,LEN(A544)&lt;=6),A545,""))</f>
        <v>40</v>
      </c>
      <c r="E542" t="str">
        <f>_xlfn.LET(_xlpm.Searching,"55",_xlpm.inStr,IFERROR(FIND(_xlpm.Searching,$A544)&gt;=1,FALSE),IF(AND(_xlpm.inStr,LEN(A544)&lt;=6),A545,""))</f>
        <v/>
      </c>
      <c r="F542" t="str">
        <f>_xlfn.LET(_xlpm.Searching,"57",_xlpm.inStr,IFERROR(FIND(_xlpm.Searching,$A544)&gt;=1,FALSE),IF(AND(_xlpm.inStr,LEN(A544)&lt;=6),$A545,""))&amp;F543</f>
        <v/>
      </c>
      <c r="G542" t="str">
        <f>_xlfn.LET(_xlpm.Searching,"59",_xlpm.inStr,IFERROR(FIND(_xlpm.Searching,$A544)&gt;=1,FALSE),IF(AND(_xlpm.inStr,LEN(A544)&lt;=6),$A545,""))&amp;G543&amp;G544</f>
        <v/>
      </c>
      <c r="H542" t="str">
        <f>_xlfn.LET(_xlpm.Searching,"61",_xlpm.inStr,IFERROR(FIND(_xlpm.Searching,$A544)&gt;=1,FALSE),IF(AND(_xlpm.inStr,LEN(A544)&lt;=6),$A545,""))&amp;H543&amp;H544&amp;H545</f>
        <v/>
      </c>
      <c r="I542" t="str">
        <f>_xlfn.LET(_xlpm.Searching,"63",_xlpm.inStr,IFERROR(FIND(_xlpm.Searching,$A544)&gt;=1,FALSE),IF(AND(_xlpm.inStr,LEN(A544)&lt;=6),$A545,""))&amp;I543&amp;I544&amp;I545&amp;I546</f>
        <v/>
      </c>
      <c r="J542" s="4">
        <f>MID(TRIM(RIGHT(A542,10)),1,LEN(TRIM(RIGHT(A542,10)))-3)*0.8</f>
        <v>15.12</v>
      </c>
    </row>
    <row r="543" spans="1:10" x14ac:dyDescent="0.25">
      <c r="A543" t="s">
        <v>210</v>
      </c>
      <c r="B543" t="str" cm="1">
        <f t="array" ref="B543">БУКВЫ(MID($A542,3,11))</f>
        <v>77211226</v>
      </c>
      <c r="C543" t="str">
        <f>C542</f>
        <v xml:space="preserve">Baseball Cap Duck </v>
      </c>
      <c r="D543" s="2"/>
      <c r="E543" s="2"/>
      <c r="F543" t="str">
        <f>_xlfn.LET(_xlpm.Searching,"57",_xlpm.inStr,IFERROR(FIND(_xlpm.Searching,$A546)&gt;=1,FALSE),IF(AND(_xlpm.inStr,LEN(A546)&lt;=6),$A547,""))</f>
        <v/>
      </c>
      <c r="G543" t="str">
        <f>_xlfn.LET(_xlpm.Searching,"59",_xlpm.inStr,IFERROR(FIND(_xlpm.Searching,$A546)&gt;=1,FALSE),IF(AND(_xlpm.inStr,LEN(A546)&lt;=6),$A547,""))</f>
        <v/>
      </c>
      <c r="H543" t="str">
        <f>_xlfn.LET(_xlpm.Searching,"61",_xlpm.inStr,IFERROR(FIND(_xlpm.Searching,$A546)&gt;=1,FALSE),IF(AND(_xlpm.inStr,LEN(A546)&lt;=6),$A547,""))</f>
        <v/>
      </c>
      <c r="I543" t="str">
        <f>_xlfn.LET(_xlpm.Searching,"63",_xlpm.inStr,IFERROR(FIND(_xlpm.Searching,$A546)&gt;=1,FALSE),IF(AND(_xlpm.inStr,LEN(A546)&lt;=6),$A547,""))</f>
        <v/>
      </c>
    </row>
    <row r="544" spans="1:10" x14ac:dyDescent="0.25">
      <c r="A544" t="s">
        <v>0</v>
      </c>
      <c r="B544" t="str" cm="1">
        <f t="array" ref="B544">БУКВЫ(MID($A542,3,11))</f>
        <v>77211226</v>
      </c>
      <c r="C544" t="str">
        <f t="shared" ref="C544:C546" si="38">C543</f>
        <v xml:space="preserve">Baseball Cap Duck </v>
      </c>
      <c r="D544" s="2"/>
      <c r="E544" s="2"/>
      <c r="F544" s="2"/>
      <c r="G544" t="str">
        <f>_xlfn.LET(_xlpm.Searching,"59",_xlpm.inStr,IFERROR(FIND(_xlpm.Searching,$A548)&gt;=1,FALSE),IF(AND(_xlpm.inStr,LEN(A548)&lt;=6),$A549,""))</f>
        <v/>
      </c>
      <c r="H544" t="str">
        <f>_xlfn.LET(_xlpm.Searching,"61",_xlpm.inStr,IFERROR(FIND(_xlpm.Searching,$A548)&gt;=1,FALSE),IF(AND(_xlpm.inStr,LEN(A548)&lt;=6),$A549,""))</f>
        <v/>
      </c>
      <c r="I544" t="str">
        <f>_xlfn.LET(_xlpm.Searching,"63",_xlpm.inStr,IFERROR(FIND(_xlpm.Searching,$A548)&gt;=1,FALSE),IF(AND(_xlpm.inStr,LEN(A548)&lt;=6),$A549,""))</f>
        <v/>
      </c>
    </row>
    <row r="545" spans="1:9" x14ac:dyDescent="0.25">
      <c r="A545">
        <v>40</v>
      </c>
      <c r="B545" t="str" cm="1">
        <f t="array" ref="B545">БУКВЫ(MID($A542,3,11))</f>
        <v>77211226</v>
      </c>
      <c r="C545" t="str">
        <f t="shared" si="38"/>
        <v xml:space="preserve">Baseball Cap Duck </v>
      </c>
      <c r="D545" s="2"/>
      <c r="E545" s="2"/>
      <c r="F545" s="2"/>
      <c r="G545" s="2"/>
      <c r="H545" t="str">
        <f>_xlfn.LET(_xlpm.Searching,"61",_xlpm.inStr,IFERROR(FIND(_xlpm.Searching,$A550)&gt;=1,FALSE),IF(AND(_xlpm.inStr,LEN(A550)&lt;=6),$A551,""))</f>
        <v/>
      </c>
      <c r="I545" t="str">
        <f>_xlfn.LET(_xlpm.Searching,"63",_xlpm.inStr,IFERROR(FIND(_xlpm.Searching,$A550)&gt;=1,FALSE),IF(AND(_xlpm.inStr,LEN(A550)&lt;=6),$A551,""))</f>
        <v/>
      </c>
    </row>
    <row r="546" spans="1:9" x14ac:dyDescent="0.25">
      <c r="A546" t="s">
        <v>67</v>
      </c>
      <c r="B546" t="str" cm="1">
        <f t="array" ref="B546">БУКВЫ(MID($A542,3,11))</f>
        <v>77211226</v>
      </c>
      <c r="C546" t="str">
        <f t="shared" si="38"/>
        <v xml:space="preserve">Baseball Cap Duck </v>
      </c>
      <c r="D546" s="2"/>
      <c r="E546" s="2"/>
      <c r="F546" s="2"/>
      <c r="G546" s="2"/>
      <c r="H546" s="2"/>
      <c r="I546" t="str">
        <f>_xlfn.LET(_xlpm.Searching,"63",_xlpm.inStr,IFERROR(FIND(_xlpm.Searching,$A552)&gt;=1,FALSE),IF(AND(_xlpm.inStr,LEN(A552)&lt;=6),$A553,""))</f>
        <v/>
      </c>
    </row>
    <row r="547" spans="1:9" x14ac:dyDescent="0.25">
      <c r="A547" t="s">
        <v>211</v>
      </c>
    </row>
    <row r="548" spans="1:9" x14ac:dyDescent="0.25">
      <c r="A548" t="s">
        <v>212</v>
      </c>
    </row>
    <row r="549" spans="1:9" x14ac:dyDescent="0.25">
      <c r="A549" t="s">
        <v>213</v>
      </c>
    </row>
    <row r="550" spans="1:9" x14ac:dyDescent="0.25">
      <c r="A550" t="s">
        <v>214</v>
      </c>
    </row>
    <row r="551" spans="1:9" x14ac:dyDescent="0.25">
      <c r="A551" t="s">
        <v>70</v>
      </c>
    </row>
    <row r="552" spans="1:9" x14ac:dyDescent="0.25">
      <c r="A552" t="s">
        <v>215</v>
      </c>
    </row>
    <row r="553" spans="1:9" x14ac:dyDescent="0.25">
      <c r="A553" t="s">
        <v>71</v>
      </c>
    </row>
    <row r="554" spans="1:9" x14ac:dyDescent="0.25">
      <c r="A554" t="s">
        <v>216</v>
      </c>
    </row>
    <row r="555" spans="1:9" x14ac:dyDescent="0.25">
      <c r="A555" t="s">
        <v>73</v>
      </c>
    </row>
    <row r="556" spans="1:9" x14ac:dyDescent="0.25">
      <c r="A556" t="s">
        <v>217</v>
      </c>
    </row>
    <row r="557" spans="1:9" x14ac:dyDescent="0.25">
      <c r="A557" t="s">
        <v>218</v>
      </c>
    </row>
    <row r="558" spans="1:9" x14ac:dyDescent="0.25">
      <c r="A558" t="s">
        <v>74</v>
      </c>
    </row>
    <row r="559" spans="1:9" x14ac:dyDescent="0.25">
      <c r="A559" t="s">
        <v>75</v>
      </c>
    </row>
    <row r="560" spans="1:9" x14ac:dyDescent="0.25">
      <c r="A560" t="s">
        <v>219</v>
      </c>
    </row>
    <row r="561" spans="1:1" x14ac:dyDescent="0.25">
      <c r="A561" t="s">
        <v>76</v>
      </c>
    </row>
    <row r="562" spans="1:1" x14ac:dyDescent="0.25">
      <c r="A562" t="s">
        <v>18</v>
      </c>
    </row>
    <row r="563" spans="1:1" x14ac:dyDescent="0.25">
      <c r="A563" t="s">
        <v>36</v>
      </c>
    </row>
    <row r="564" spans="1:1" x14ac:dyDescent="0.25">
      <c r="A564" t="s">
        <v>37</v>
      </c>
    </row>
    <row r="565" spans="1:1" x14ac:dyDescent="0.25">
      <c r="A565" t="s">
        <v>38</v>
      </c>
    </row>
    <row r="566" spans="1:1" x14ac:dyDescent="0.25">
      <c r="A566" t="s">
        <v>39</v>
      </c>
    </row>
    <row r="567" spans="1:1" x14ac:dyDescent="0.25">
      <c r="A567" t="s">
        <v>40</v>
      </c>
    </row>
    <row r="568" spans="1:1" x14ac:dyDescent="0.25">
      <c r="A568" t="s">
        <v>41</v>
      </c>
    </row>
    <row r="569" spans="1:1" x14ac:dyDescent="0.25">
      <c r="A569" t="s">
        <v>42</v>
      </c>
    </row>
    <row r="570" spans="1:1" x14ac:dyDescent="0.25">
      <c r="A570" t="s">
        <v>43</v>
      </c>
    </row>
    <row r="571" spans="1:1" x14ac:dyDescent="0.25">
      <c r="A571" t="s">
        <v>44</v>
      </c>
    </row>
    <row r="572" spans="1:1" x14ac:dyDescent="0.25">
      <c r="A572" t="s">
        <v>45</v>
      </c>
    </row>
    <row r="573" spans="1:1" x14ac:dyDescent="0.25">
      <c r="A573" t="s">
        <v>46</v>
      </c>
    </row>
    <row r="574" spans="1:1" x14ac:dyDescent="0.25">
      <c r="A574" t="s">
        <v>47</v>
      </c>
    </row>
    <row r="575" spans="1:1" x14ac:dyDescent="0.25">
      <c r="A575" t="s">
        <v>48</v>
      </c>
    </row>
    <row r="576" spans="1:1" x14ac:dyDescent="0.25">
      <c r="A576" t="s">
        <v>49</v>
      </c>
    </row>
    <row r="577" spans="1:1" x14ac:dyDescent="0.25">
      <c r="A577" t="s">
        <v>81</v>
      </c>
    </row>
    <row r="578" spans="1:1" x14ac:dyDescent="0.25">
      <c r="A578" t="s">
        <v>95</v>
      </c>
    </row>
    <row r="579" spans="1:1" x14ac:dyDescent="0.25">
      <c r="A579" t="s">
        <v>72</v>
      </c>
    </row>
    <row r="580" spans="1:1" x14ac:dyDescent="0.25">
      <c r="A580" t="s">
        <v>21</v>
      </c>
    </row>
    <row r="581" spans="1:1" x14ac:dyDescent="0.25">
      <c r="A581" t="s">
        <v>22</v>
      </c>
    </row>
    <row r="582" spans="1:1" x14ac:dyDescent="0.25">
      <c r="A582" t="s">
        <v>23</v>
      </c>
    </row>
    <row r="583" spans="1:1" x14ac:dyDescent="0.25">
      <c r="A583" t="s">
        <v>24</v>
      </c>
    </row>
    <row r="584" spans="1:1" x14ac:dyDescent="0.25">
      <c r="A584" t="s">
        <v>25</v>
      </c>
    </row>
    <row r="585" spans="1:1" x14ac:dyDescent="0.25">
      <c r="A585" t="s">
        <v>26</v>
      </c>
    </row>
    <row r="586" spans="1:1" x14ac:dyDescent="0.25">
      <c r="A586" t="s">
        <v>27</v>
      </c>
    </row>
    <row r="587" spans="1:1" x14ac:dyDescent="0.25">
      <c r="A587" t="s">
        <v>77</v>
      </c>
    </row>
    <row r="588" spans="1:1" x14ac:dyDescent="0.25">
      <c r="A588" t="s">
        <v>78</v>
      </c>
    </row>
    <row r="589" spans="1:1" x14ac:dyDescent="0.25">
      <c r="A589" t="s">
        <v>18</v>
      </c>
    </row>
    <row r="590" spans="1:1" x14ac:dyDescent="0.25">
      <c r="A590" t="s">
        <v>36</v>
      </c>
    </row>
    <row r="591" spans="1:1" x14ac:dyDescent="0.25">
      <c r="A591" t="s">
        <v>37</v>
      </c>
    </row>
    <row r="592" spans="1:1" x14ac:dyDescent="0.25">
      <c r="A592" t="s">
        <v>38</v>
      </c>
    </row>
    <row r="593" spans="1:1" x14ac:dyDescent="0.25">
      <c r="A593" t="s">
        <v>39</v>
      </c>
    </row>
    <row r="594" spans="1:1" x14ac:dyDescent="0.25">
      <c r="A594" t="s">
        <v>40</v>
      </c>
    </row>
    <row r="595" spans="1:1" x14ac:dyDescent="0.25">
      <c r="A595" t="s">
        <v>41</v>
      </c>
    </row>
    <row r="596" spans="1:1" x14ac:dyDescent="0.25">
      <c r="A596" t="s">
        <v>42</v>
      </c>
    </row>
    <row r="597" spans="1:1" x14ac:dyDescent="0.25">
      <c r="A597" t="s">
        <v>43</v>
      </c>
    </row>
    <row r="598" spans="1:1" x14ac:dyDescent="0.25">
      <c r="A598" t="s">
        <v>44</v>
      </c>
    </row>
    <row r="599" spans="1:1" x14ac:dyDescent="0.25">
      <c r="A599" t="s">
        <v>45</v>
      </c>
    </row>
    <row r="600" spans="1:1" x14ac:dyDescent="0.25">
      <c r="A600" t="s">
        <v>46</v>
      </c>
    </row>
    <row r="601" spans="1:1" x14ac:dyDescent="0.25">
      <c r="A601" t="s">
        <v>47</v>
      </c>
    </row>
    <row r="602" spans="1:1" x14ac:dyDescent="0.25">
      <c r="A602" t="s">
        <v>48</v>
      </c>
    </row>
    <row r="603" spans="1:1" x14ac:dyDescent="0.25">
      <c r="A603" t="s">
        <v>49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J39"/>
  <sheetViews>
    <sheetView topLeftCell="A2" workbookViewId="0">
      <selection activeCell="A18" sqref="A18"/>
    </sheetView>
  </sheetViews>
  <sheetFormatPr defaultRowHeight="15" x14ac:dyDescent="0.25"/>
  <cols>
    <col min="1" max="1" width="10.7109375" style="11" customWidth="1"/>
    <col min="2" max="2" width="28.140625" style="11" bestFit="1" customWidth="1"/>
    <col min="3" max="8" width="10.7109375" style="17" customWidth="1"/>
    <col min="9" max="9" width="10.7109375" style="4" customWidth="1"/>
    <col min="10" max="10" width="10.7109375" customWidth="1"/>
  </cols>
  <sheetData>
    <row r="1" spans="1:10" s="1" customFormat="1" hidden="1" x14ac:dyDescent="0.25">
      <c r="A1" s="15" cm="1">
        <f t="array" ref="A1:A38">_xlfn.UNIQUE(Calculation!B:B,0,0)</f>
        <v>0</v>
      </c>
      <c r="B1" s="15"/>
      <c r="C1" s="16"/>
      <c r="D1" s="16"/>
      <c r="E1" s="16"/>
      <c r="F1" s="16"/>
      <c r="G1" s="16"/>
      <c r="H1" s="16"/>
      <c r="I1" s="13"/>
      <c r="J1" s="14"/>
    </row>
    <row r="2" spans="1:10" x14ac:dyDescent="0.25">
      <c r="A2" s="19" t="str">
        <v>Article</v>
      </c>
      <c r="B2" s="19" t="str">
        <f>_xlfn.XLOOKUP($A2,Calculation!$B:$B,Calculation!C:C,"ERR",0)</f>
        <v>Name</v>
      </c>
      <c r="C2" s="19" t="str">
        <f>_xlfn.XLOOKUP($A2,Calculation!$B:$B,Calculation!D:D,"ERR",0)</f>
        <v>OSFA</v>
      </c>
      <c r="D2" s="19">
        <f>IFERROR(VALUE(_xlfn.XLOOKUP($A2,Calculation!$B:$B,Calculation!E:E,"ERR",0)),"")</f>
        <v>55</v>
      </c>
      <c r="E2" s="19">
        <f>IFERROR(VALUE(_xlfn.XLOOKUP($A2,Calculation!$B:$B,Calculation!F:F,"ERR",0)),"")</f>
        <v>57</v>
      </c>
      <c r="F2" s="19">
        <f>_xlfn.XLOOKUP($A2,Calculation!$B:$B,Calculation!G:G,"ERR",0)</f>
        <v>59</v>
      </c>
      <c r="G2" s="19">
        <f>_xlfn.XLOOKUP($A2,Calculation!$B:$B,Calculation!H:H,"ERR",0)</f>
        <v>61</v>
      </c>
      <c r="H2" s="19">
        <f>_xlfn.XLOOKUP($A2,Calculation!$B:$B,Calculation!I:I,"ERR",0)</f>
        <v>63</v>
      </c>
      <c r="I2" s="20" t="str">
        <f>_xlfn.XLOOKUP($A2,Calculation!$B:$B,Calculation!J:J,"ERR",0)</f>
        <v>Price</v>
      </c>
      <c r="J2" s="21" t="s">
        <v>79</v>
      </c>
    </row>
    <row r="3" spans="1:10" s="6" customFormat="1" x14ac:dyDescent="0.25">
      <c r="A3" s="12" t="str">
        <v>181390499</v>
      </c>
      <c r="B3" s="17" t="str">
        <f>_xlfn.XLOOKUP($A3,Calculation!$B:$B,Calculation!C:C,"ERR",0)</f>
        <v xml:space="preserve">Bucket Linen </v>
      </c>
      <c r="C3" s="17" t="str">
        <f>IFERROR(VALUE(_xlfn.XLOOKUP($A3,Calculation!$B:$B,Calculation!D:D,"ERR",0)),"")</f>
        <v/>
      </c>
      <c r="D3" s="17" t="str">
        <f>IFERROR(VALUE(_xlfn.XLOOKUP($A3,Calculation!$B:$B,Calculation!E:E,"ERR",0)),"")</f>
        <v/>
      </c>
      <c r="E3" s="17">
        <f>IFERROR(VALUE(_xlfn.XLOOKUP($A3,Calculation!$B:$B,Calculation!F:F,"ERR",0)),"")</f>
        <v>2</v>
      </c>
      <c r="F3" s="18">
        <f>IFERROR(VALUE(_xlfn.XLOOKUP($A3,Calculation!$B:$B,Calculation!G:G,"ERR",0)),"")</f>
        <v>4</v>
      </c>
      <c r="G3" s="18">
        <f>IFERROR(VALUE(_xlfn.XLOOKUP($A3,Calculation!$B:$B,Calculation!H:H,"ERR",0)),"")</f>
        <v>2</v>
      </c>
      <c r="H3" s="18" t="str">
        <f>IFERROR(VALUE(_xlfn.XLOOKUP($A3,Calculation!$B:$B,Calculation!I:I,"ERR",0)),"")</f>
        <v/>
      </c>
      <c r="I3" s="10">
        <f>VALUE(_xlfn.XLOOKUP($A3,Calculation!$B:$B,Calculation!J:J,"ERR",0))</f>
        <v>30.32</v>
      </c>
      <c r="J3" s="7">
        <f>SUM(C3:H3)*I3</f>
        <v>242.56</v>
      </c>
    </row>
    <row r="4" spans="1:10" x14ac:dyDescent="0.25">
      <c r="A4" s="11" t="str">
        <v>77811153</v>
      </c>
      <c r="B4" s="17" t="str">
        <f>_xlfn.XLOOKUP($A4,Calculation!$B:$B,Calculation!C:C,"ERR",0)</f>
        <v xml:space="preserve">Baseball Cap Shaka Cotton </v>
      </c>
      <c r="C4" s="17">
        <f>IFERROR(VALUE(_xlfn.XLOOKUP($A4,Calculation!$B:$B,Calculation!D:D,"ERR",0)),"")</f>
        <v>12</v>
      </c>
      <c r="D4" s="17" t="str">
        <f>IFERROR(VALUE(_xlfn.XLOOKUP($A4,Calculation!$B:$B,Calculation!E:E,"ERR",0)),"")</f>
        <v/>
      </c>
      <c r="E4" s="17" t="str">
        <f>IFERROR(VALUE(_xlfn.XLOOKUP($A4,Calculation!$B:$B,Calculation!F:F,"ERR",0)),"")</f>
        <v/>
      </c>
      <c r="F4" s="18" t="str">
        <f>IFERROR(VALUE(_xlfn.XLOOKUP($A4,Calculation!$B:$B,Calculation!G:G,"ERR",0)),"")</f>
        <v/>
      </c>
      <c r="G4" s="18" t="str">
        <f>IFERROR(VALUE(_xlfn.XLOOKUP($A4,Calculation!$B:$B,Calculation!H:H,"ERR",0)),"")</f>
        <v/>
      </c>
      <c r="H4" s="18" t="str">
        <f>IFERROR(VALUE(_xlfn.XLOOKUP($A4,Calculation!$B:$B,Calculation!I:I,"ERR",0)),"")</f>
        <v/>
      </c>
      <c r="I4" s="10">
        <f>VALUE(_xlfn.XLOOKUP($A4,Calculation!$B:$B,Calculation!J:J,"ERR",0))</f>
        <v>11.920000000000002</v>
      </c>
      <c r="J4" s="7">
        <f t="shared" ref="J4:J30" si="0">SUM(C4:H4)*I4</f>
        <v>143.04000000000002</v>
      </c>
    </row>
    <row r="5" spans="1:10" x14ac:dyDescent="0.25">
      <c r="A5" s="11" t="str">
        <v>77811158</v>
      </c>
      <c r="B5" s="17" t="str">
        <f>_xlfn.XLOOKUP($A5,Calculation!$B:$B,Calculation!C:C,"ERR",0)</f>
        <v xml:space="preserve">Baseball Cap Shaka Cotton </v>
      </c>
      <c r="C5" s="17">
        <f>IFERROR(VALUE(_xlfn.XLOOKUP($A5,Calculation!$B:$B,Calculation!D:D,"ERR",0)),"")</f>
        <v>6</v>
      </c>
      <c r="D5" s="17" t="str">
        <f>IFERROR(VALUE(_xlfn.XLOOKUP($A5,Calculation!$B:$B,Calculation!E:E,"ERR",0)),"")</f>
        <v/>
      </c>
      <c r="E5" s="17" t="str">
        <f>IFERROR(VALUE(_xlfn.XLOOKUP($A5,Calculation!$B:$B,Calculation!F:F,"ERR",0)),"")</f>
        <v/>
      </c>
      <c r="F5" s="18" t="str">
        <f>IFERROR(VALUE(_xlfn.XLOOKUP($A5,Calculation!$B:$B,Calculation!G:G,"ERR",0)),"")</f>
        <v/>
      </c>
      <c r="G5" s="18" t="str">
        <f>IFERROR(VALUE(_xlfn.XLOOKUP($A5,Calculation!$B:$B,Calculation!H:H,"ERR",0)),"")</f>
        <v/>
      </c>
      <c r="H5" s="18" t="str">
        <f>IFERROR(VALUE(_xlfn.XLOOKUP($A5,Calculation!$B:$B,Calculation!I:I,"ERR",0)),"")</f>
        <v/>
      </c>
      <c r="I5" s="10">
        <f>VALUE(_xlfn.XLOOKUP($A5,Calculation!$B:$B,Calculation!J:J,"ERR",0))</f>
        <v>11.920000000000002</v>
      </c>
      <c r="J5" s="7">
        <f t="shared" si="0"/>
        <v>71.52000000000001</v>
      </c>
    </row>
    <row r="6" spans="1:10" x14ac:dyDescent="0.25">
      <c r="A6" s="11" t="str">
        <v>778111875</v>
      </c>
      <c r="B6" s="17" t="str">
        <f>_xlfn.XLOOKUP($A6,Calculation!$B:$B,Calculation!C:C,"ERR",0)</f>
        <v xml:space="preserve">Baseball Cap Camo Cotton </v>
      </c>
      <c r="C6" s="17">
        <f>IFERROR(VALUE(_xlfn.XLOOKUP($A6,Calculation!$B:$B,Calculation!D:D,"ERR",0)),"")</f>
        <v>6</v>
      </c>
      <c r="D6" s="17" t="str">
        <f>IFERROR(VALUE(_xlfn.XLOOKUP($A6,Calculation!$B:$B,Calculation!E:E,"ERR",0)),"")</f>
        <v/>
      </c>
      <c r="E6" s="17" t="str">
        <f>IFERROR(VALUE(_xlfn.XLOOKUP($A6,Calculation!$B:$B,Calculation!F:F,"ERR",0)),"")</f>
        <v/>
      </c>
      <c r="F6" s="18" t="str">
        <f>IFERROR(VALUE(_xlfn.XLOOKUP($A6,Calculation!$B:$B,Calculation!G:G,"ERR",0)),"")</f>
        <v/>
      </c>
      <c r="G6" s="18" t="str">
        <f>IFERROR(VALUE(_xlfn.XLOOKUP($A6,Calculation!$B:$B,Calculation!H:H,"ERR",0)),"")</f>
        <v/>
      </c>
      <c r="H6" s="18" t="str">
        <f>IFERROR(VALUE(_xlfn.XLOOKUP($A6,Calculation!$B:$B,Calculation!I:I,"ERR",0)),"")</f>
        <v/>
      </c>
      <c r="I6" s="10">
        <f>VALUE(_xlfn.XLOOKUP($A6,Calculation!$B:$B,Calculation!J:J,"ERR",0))</f>
        <v>11.920000000000002</v>
      </c>
      <c r="J6" s="7">
        <f t="shared" si="0"/>
        <v>71.52000000000001</v>
      </c>
    </row>
    <row r="7" spans="1:10" x14ac:dyDescent="0.25">
      <c r="A7" s="11" t="str">
        <v>778112031</v>
      </c>
      <c r="B7" s="17" t="str">
        <f>_xlfn.XLOOKUP($A7,Calculation!$B:$B,Calculation!C:C,"ERR",0)</f>
        <v xml:space="preserve">Baseball Cap Cotton </v>
      </c>
      <c r="C7" s="17">
        <f>IFERROR(VALUE(_xlfn.XLOOKUP($A7,Calculation!$B:$B,Calculation!D:D,"ERR",0)),"")</f>
        <v>6</v>
      </c>
      <c r="D7" s="17" t="str">
        <f>IFERROR(VALUE(_xlfn.XLOOKUP($A7,Calculation!$B:$B,Calculation!E:E,"ERR",0)),"")</f>
        <v/>
      </c>
      <c r="E7" s="17" t="str">
        <f>IFERROR(VALUE(_xlfn.XLOOKUP($A7,Calculation!$B:$B,Calculation!F:F,"ERR",0)),"")</f>
        <v/>
      </c>
      <c r="F7" s="18" t="str">
        <f>IFERROR(VALUE(_xlfn.XLOOKUP($A7,Calculation!$B:$B,Calculation!G:G,"ERR",0)),"")</f>
        <v/>
      </c>
      <c r="G7" s="18" t="str">
        <f>IFERROR(VALUE(_xlfn.XLOOKUP($A7,Calculation!$B:$B,Calculation!H:H,"ERR",0)),"")</f>
        <v/>
      </c>
      <c r="H7" s="18" t="str">
        <f>IFERROR(VALUE(_xlfn.XLOOKUP($A7,Calculation!$B:$B,Calculation!I:I,"ERR",0)),"")</f>
        <v/>
      </c>
      <c r="I7" s="10">
        <f>VALUE(_xlfn.XLOOKUP($A7,Calculation!$B:$B,Calculation!J:J,"ERR",0))</f>
        <v>11.920000000000002</v>
      </c>
      <c r="J7" s="7">
        <f t="shared" si="0"/>
        <v>71.52000000000001</v>
      </c>
    </row>
    <row r="8" spans="1:10" x14ac:dyDescent="0.25">
      <c r="A8" s="11" t="str">
        <v>66111302</v>
      </c>
      <c r="B8" s="17" t="str">
        <f>_xlfn.XLOOKUP($A8,Calculation!$B:$B,Calculation!C:C,"ERR",0)</f>
        <v xml:space="preserve">Texas Denim </v>
      </c>
      <c r="C8" s="17" t="str">
        <f>IFERROR(VALUE(_xlfn.XLOOKUP($A8,Calculation!$B:$B,Calculation!D:D,"ERR",0)),"")</f>
        <v/>
      </c>
      <c r="D8" s="17">
        <f>IFERROR(VALUE(_xlfn.XLOOKUP($A8,Calculation!$B:$B,Calculation!E:E,"ERR",0)),"")</f>
        <v>1</v>
      </c>
      <c r="E8" s="17">
        <f>IFERROR(VALUE(_xlfn.XLOOKUP($A8,Calculation!$B:$B,Calculation!F:F,"ERR",0)),"")</f>
        <v>5</v>
      </c>
      <c r="F8" s="18">
        <f>IFERROR(VALUE(_xlfn.XLOOKUP($A8,Calculation!$B:$B,Calculation!G:G,"ERR",0)),"")</f>
        <v>7</v>
      </c>
      <c r="G8" s="18">
        <f>IFERROR(VALUE(_xlfn.XLOOKUP($A8,Calculation!$B:$B,Calculation!H:H,"ERR",0)),"")</f>
        <v>5</v>
      </c>
      <c r="H8" s="18">
        <f>IFERROR(VALUE(_xlfn.XLOOKUP($A8,Calculation!$B:$B,Calculation!I:I,"ERR",0)),"")</f>
        <v>3</v>
      </c>
      <c r="I8" s="10">
        <f>VALUE(_xlfn.XLOOKUP($A8,Calculation!$B:$B,Calculation!J:J,"ERR",0))</f>
        <v>18.32</v>
      </c>
      <c r="J8" s="7">
        <f t="shared" si="0"/>
        <v>384.72</v>
      </c>
    </row>
    <row r="9" spans="1:10" x14ac:dyDescent="0.25">
      <c r="A9" s="11" t="str">
        <v>66111052</v>
      </c>
      <c r="B9" s="17" t="str">
        <f>_xlfn.XLOOKUP($A9,Calculation!$B:$B,Calculation!C:C,"ERR",0)</f>
        <v xml:space="preserve">Texas Cotton </v>
      </c>
      <c r="C9" s="17" t="str">
        <f>IFERROR(VALUE(_xlfn.XLOOKUP($A9,Calculation!$B:$B,Calculation!D:D,"ERR",0)),"")</f>
        <v/>
      </c>
      <c r="D9" s="17" t="str">
        <f>IFERROR(VALUE(_xlfn.XLOOKUP($A9,Calculation!$B:$B,Calculation!E:E,"ERR",0)),"")</f>
        <v/>
      </c>
      <c r="E9" s="17">
        <f>IFERROR(VALUE(_xlfn.XLOOKUP($A9,Calculation!$B:$B,Calculation!F:F,"ERR",0)),"")</f>
        <v>5</v>
      </c>
      <c r="F9" s="18">
        <f>IFERROR(VALUE(_xlfn.XLOOKUP($A9,Calculation!$B:$B,Calculation!G:G,"ERR",0)),"")</f>
        <v>5</v>
      </c>
      <c r="G9" s="18" t="str">
        <f>IFERROR(VALUE(_xlfn.XLOOKUP($A9,Calculation!$B:$B,Calculation!H:H,"ERR",0)),"")</f>
        <v/>
      </c>
      <c r="H9" s="18" t="str">
        <f>IFERROR(VALUE(_xlfn.XLOOKUP($A9,Calculation!$B:$B,Calculation!I:I,"ERR",0)),"")</f>
        <v/>
      </c>
      <c r="I9" s="10">
        <f>VALUE(_xlfn.XLOOKUP($A9,Calculation!$B:$B,Calculation!J:J,"ERR",0))</f>
        <v>10.32</v>
      </c>
      <c r="J9" s="7">
        <f t="shared" si="0"/>
        <v>103.2</v>
      </c>
    </row>
    <row r="10" spans="1:10" x14ac:dyDescent="0.25">
      <c r="A10" s="11" t="str">
        <v>661110532</v>
      </c>
      <c r="B10" s="17" t="str">
        <f>_xlfn.XLOOKUP($A10,Calculation!$B:$B,Calculation!C:C,"ERR",0)</f>
        <v xml:space="preserve">Texas Cotton </v>
      </c>
      <c r="C10" s="17" t="str">
        <f>IFERROR(VALUE(_xlfn.XLOOKUP($A10,Calculation!$B:$B,Calculation!D:D,"ERR",0)),"")</f>
        <v/>
      </c>
      <c r="D10" s="17" t="str">
        <f>IFERROR(VALUE(_xlfn.XLOOKUP($A10,Calculation!$B:$B,Calculation!E:E,"ERR",0)),"")</f>
        <v/>
      </c>
      <c r="E10" s="17">
        <f>IFERROR(VALUE(_xlfn.XLOOKUP($A10,Calculation!$B:$B,Calculation!F:F,"ERR",0)),"")</f>
        <v>4</v>
      </c>
      <c r="F10" s="18">
        <f>IFERROR(VALUE(_xlfn.XLOOKUP($A10,Calculation!$B:$B,Calculation!G:G,"ERR",0)),"")</f>
        <v>9</v>
      </c>
      <c r="G10" s="18">
        <f>IFERROR(VALUE(_xlfn.XLOOKUP($A10,Calculation!$B:$B,Calculation!H:H,"ERR",0)),"")</f>
        <v>6</v>
      </c>
      <c r="H10" s="18" t="str">
        <f>IFERROR(VALUE(_xlfn.XLOOKUP($A10,Calculation!$B:$B,Calculation!I:I,"ERR",0)),"")</f>
        <v/>
      </c>
      <c r="I10" s="10">
        <f>VALUE(_xlfn.XLOOKUP($A10,Calculation!$B:$B,Calculation!J:J,"ERR",0))</f>
        <v>10.32</v>
      </c>
      <c r="J10" s="7">
        <f t="shared" si="0"/>
        <v>196.08</v>
      </c>
    </row>
    <row r="11" spans="1:10" x14ac:dyDescent="0.25">
      <c r="A11" s="11" t="str">
        <v>661110555</v>
      </c>
      <c r="B11" s="17" t="str">
        <f>_xlfn.XLOOKUP($A11,Calculation!$B:$B,Calculation!C:C,"ERR",0)</f>
        <v xml:space="preserve">Texas Cotton </v>
      </c>
      <c r="C11" s="17" t="str">
        <f>IFERROR(VALUE(_xlfn.XLOOKUP($A11,Calculation!$B:$B,Calculation!D:D,"ERR",0)),"")</f>
        <v/>
      </c>
      <c r="D11" s="17" t="str">
        <f>IFERROR(VALUE(_xlfn.XLOOKUP($A11,Calculation!$B:$B,Calculation!E:E,"ERR",0)),"")</f>
        <v/>
      </c>
      <c r="E11" s="17">
        <f>IFERROR(VALUE(_xlfn.XLOOKUP($A11,Calculation!$B:$B,Calculation!F:F,"ERR",0)),"")</f>
        <v>5</v>
      </c>
      <c r="F11" s="18">
        <f>IFERROR(VALUE(_xlfn.XLOOKUP($A11,Calculation!$B:$B,Calculation!G:G,"ERR",0)),"")</f>
        <v>6</v>
      </c>
      <c r="G11" s="18">
        <f>IFERROR(VALUE(_xlfn.XLOOKUP($A11,Calculation!$B:$B,Calculation!H:H,"ERR",0)),"")</f>
        <v>5</v>
      </c>
      <c r="H11" s="18" t="str">
        <f>IFERROR(VALUE(_xlfn.XLOOKUP($A11,Calculation!$B:$B,Calculation!I:I,"ERR",0)),"")</f>
        <v/>
      </c>
      <c r="I11" s="10">
        <f>VALUE(_xlfn.XLOOKUP($A11,Calculation!$B:$B,Calculation!J:J,"ERR",0))</f>
        <v>10.32</v>
      </c>
      <c r="J11" s="7">
        <f t="shared" si="0"/>
        <v>165.12</v>
      </c>
    </row>
    <row r="12" spans="1:10" x14ac:dyDescent="0.25">
      <c r="A12" s="11" t="str">
        <v>74311011</v>
      </c>
      <c r="B12" s="17" t="str">
        <f>_xlfn.XLOOKUP($A12,Calculation!$B:$B,Calculation!C:C,"ERR",0)</f>
        <v xml:space="preserve">Army Cap Cotton </v>
      </c>
      <c r="C12" s="17" t="str">
        <f>IFERROR(VALUE(_xlfn.XLOOKUP($A12,Calculation!$B:$B,Calculation!D:D,"ERR",0)),"")</f>
        <v/>
      </c>
      <c r="D12" s="17" t="str">
        <f>IFERROR(VALUE(_xlfn.XLOOKUP($A12,Calculation!$B:$B,Calculation!E:E,"ERR",0)),"")</f>
        <v/>
      </c>
      <c r="E12" s="17">
        <f>IFERROR(VALUE(_xlfn.XLOOKUP($A12,Calculation!$B:$B,Calculation!F:F,"ERR",0)),"")</f>
        <v>3</v>
      </c>
      <c r="F12" s="18">
        <f>IFERROR(VALUE(_xlfn.XLOOKUP($A12,Calculation!$B:$B,Calculation!G:G,"ERR",0)),"")</f>
        <v>8</v>
      </c>
      <c r="G12" s="18">
        <f>IFERROR(VALUE(_xlfn.XLOOKUP($A12,Calculation!$B:$B,Calculation!H:H,"ERR",0)),"")</f>
        <v>5</v>
      </c>
      <c r="H12" s="18">
        <f>IFERROR(VALUE(_xlfn.XLOOKUP($A12,Calculation!$B:$B,Calculation!I:I,"ERR",0)),"")</f>
        <v>4</v>
      </c>
      <c r="I12" s="10">
        <f>VALUE(_xlfn.XLOOKUP($A12,Calculation!$B:$B,Calculation!J:J,"ERR",0))</f>
        <v>11.920000000000002</v>
      </c>
      <c r="J12" s="7">
        <f t="shared" si="0"/>
        <v>238.40000000000003</v>
      </c>
    </row>
    <row r="13" spans="1:10" x14ac:dyDescent="0.25">
      <c r="A13" s="11" t="str">
        <v>743110155</v>
      </c>
      <c r="B13" s="17" t="str">
        <f>_xlfn.XLOOKUP($A13,Calculation!$B:$B,Calculation!C:C,"ERR",0)</f>
        <v xml:space="preserve">Army Cap Cotton </v>
      </c>
      <c r="C13" s="17" t="str">
        <f>IFERROR(VALUE(_xlfn.XLOOKUP($A13,Calculation!$B:$B,Calculation!D:D,"ERR",0)),"")</f>
        <v/>
      </c>
      <c r="D13" s="17">
        <f>IFERROR(VALUE(_xlfn.XLOOKUP($A13,Calculation!$B:$B,Calculation!E:E,"ERR",0)),"")</f>
        <v>1</v>
      </c>
      <c r="E13" s="17">
        <f>IFERROR(VALUE(_xlfn.XLOOKUP($A13,Calculation!$B:$B,Calculation!F:F,"ERR",0)),"")</f>
        <v>4</v>
      </c>
      <c r="F13" s="18">
        <f>IFERROR(VALUE(_xlfn.XLOOKUP($A13,Calculation!$B:$B,Calculation!G:G,"ERR",0)),"")</f>
        <v>7</v>
      </c>
      <c r="G13" s="18">
        <f>IFERROR(VALUE(_xlfn.XLOOKUP($A13,Calculation!$B:$B,Calculation!H:H,"ERR",0)),"")</f>
        <v>5</v>
      </c>
      <c r="H13" s="18">
        <f>IFERROR(VALUE(_xlfn.XLOOKUP($A13,Calculation!$B:$B,Calculation!I:I,"ERR",0)),"")</f>
        <v>2</v>
      </c>
      <c r="I13" s="10">
        <f>VALUE(_xlfn.XLOOKUP($A13,Calculation!$B:$B,Calculation!J:J,"ERR",0))</f>
        <v>11.920000000000002</v>
      </c>
      <c r="J13" s="7">
        <f t="shared" si="0"/>
        <v>226.48000000000002</v>
      </c>
    </row>
    <row r="14" spans="1:10" x14ac:dyDescent="0.25">
      <c r="A14" s="11" t="str">
        <v>775119127</v>
      </c>
      <c r="B14" s="17" t="str">
        <f>_xlfn.XLOOKUP($A14,Calculation!$B:$B,Calculation!C:C,"ERR",0)</f>
        <v xml:space="preserve">Trucker Cap Gambling Grifter </v>
      </c>
      <c r="C14" s="17">
        <f>IFERROR(VALUE(_xlfn.XLOOKUP($A14,Calculation!$B:$B,Calculation!D:D,"ERR",0)),"")</f>
        <v>150</v>
      </c>
      <c r="D14" s="17" t="str">
        <f>IFERROR(VALUE(_xlfn.XLOOKUP($A14,Calculation!$B:$B,Calculation!E:E,"ERR",0)),"")</f>
        <v/>
      </c>
      <c r="E14" s="17" t="str">
        <f>IFERROR(VALUE(_xlfn.XLOOKUP($A14,Calculation!$B:$B,Calculation!F:F,"ERR",0)),"")</f>
        <v/>
      </c>
      <c r="F14" s="18" t="str">
        <f>IFERROR(VALUE(_xlfn.XLOOKUP($A14,Calculation!$B:$B,Calculation!G:G,"ERR",0)),"")</f>
        <v/>
      </c>
      <c r="G14" s="18" t="str">
        <f>IFERROR(VALUE(_xlfn.XLOOKUP($A14,Calculation!$B:$B,Calculation!H:H,"ERR",0)),"")</f>
        <v/>
      </c>
      <c r="H14" s="18" t="str">
        <f>IFERROR(VALUE(_xlfn.XLOOKUP($A14,Calculation!$B:$B,Calculation!I:I,"ERR",0)),"")</f>
        <v/>
      </c>
      <c r="I14" s="10">
        <f>VALUE(_xlfn.XLOOKUP($A14,Calculation!$B:$B,Calculation!J:J,"ERR",0))</f>
        <v>11.920000000000002</v>
      </c>
      <c r="J14" s="7">
        <f t="shared" si="0"/>
        <v>1788.0000000000002</v>
      </c>
    </row>
    <row r="15" spans="1:10" x14ac:dyDescent="0.25">
      <c r="A15" s="11" t="str">
        <v>77131013</v>
      </c>
      <c r="B15" s="17" t="str">
        <f>_xlfn.XLOOKUP($A15,Calculation!$B:$B,Calculation!C:C,"ERR",0)</f>
        <v xml:space="preserve">Baseball Cap Linen </v>
      </c>
      <c r="C15" s="17" t="str">
        <f>IFERROR(VALUE(_xlfn.XLOOKUP($A15,Calculation!$B:$B,Calculation!D:D,"ERR",0)),"")</f>
        <v/>
      </c>
      <c r="D15" s="17" t="str">
        <f>IFERROR(VALUE(_xlfn.XLOOKUP($A15,Calculation!$B:$B,Calculation!E:E,"ERR",0)),"")</f>
        <v/>
      </c>
      <c r="E15" s="17">
        <f>IFERROR(VALUE(_xlfn.XLOOKUP($A15,Calculation!$B:$B,Calculation!F:F,"ERR",0)),"")</f>
        <v>4</v>
      </c>
      <c r="F15" s="18">
        <f>IFERROR(VALUE(_xlfn.XLOOKUP($A15,Calculation!$B:$B,Calculation!G:G,"ERR",0)),"")</f>
        <v>6</v>
      </c>
      <c r="G15" s="18">
        <f>IFERROR(VALUE(_xlfn.XLOOKUP($A15,Calculation!$B:$B,Calculation!H:H,"ERR",0)),"")</f>
        <v>4</v>
      </c>
      <c r="H15" s="18" t="str">
        <f>IFERROR(VALUE(_xlfn.XLOOKUP($A15,Calculation!$B:$B,Calculation!I:I,"ERR",0)),"")</f>
        <v/>
      </c>
      <c r="I15" s="10">
        <f>VALUE(_xlfn.XLOOKUP($A15,Calculation!$B:$B,Calculation!J:J,"ERR",0))</f>
        <v>15.12</v>
      </c>
      <c r="J15" s="7">
        <f t="shared" si="0"/>
        <v>211.67999999999998</v>
      </c>
    </row>
    <row r="16" spans="1:10" x14ac:dyDescent="0.25">
      <c r="A16" s="11" t="str">
        <v>68431162</v>
      </c>
      <c r="B16" s="17" t="str">
        <f>_xlfn.XLOOKUP($A16,Calculation!$B:$B,Calculation!C:C,"ERR",0)</f>
        <v xml:space="preserve">Hatteras Linen </v>
      </c>
      <c r="C16" s="17" t="str">
        <f>IFERROR(VALUE(_xlfn.XLOOKUP($A16,Calculation!$B:$B,Calculation!D:D,"ERR",0)),"")</f>
        <v/>
      </c>
      <c r="D16" s="17">
        <f>IFERROR(VALUE(_xlfn.XLOOKUP($A16,Calculation!$B:$B,Calculation!E:E,"ERR",0)),"")</f>
        <v>1</v>
      </c>
      <c r="E16" s="17">
        <f>IFERROR(VALUE(_xlfn.XLOOKUP($A16,Calculation!$B:$B,Calculation!F:F,"ERR",0)),"")</f>
        <v>5</v>
      </c>
      <c r="F16" s="18">
        <f>IFERROR(VALUE(_xlfn.XLOOKUP($A16,Calculation!$B:$B,Calculation!G:G,"ERR",0)),"")</f>
        <v>8</v>
      </c>
      <c r="G16" s="18">
        <f>IFERROR(VALUE(_xlfn.XLOOKUP($A16,Calculation!$B:$B,Calculation!H:H,"ERR",0)),"")</f>
        <v>5</v>
      </c>
      <c r="H16" s="18">
        <f>IFERROR(VALUE(_xlfn.XLOOKUP($A16,Calculation!$B:$B,Calculation!I:I,"ERR",0)),"")</f>
        <v>2</v>
      </c>
      <c r="I16" s="10">
        <f>VALUE(_xlfn.XLOOKUP($A16,Calculation!$B:$B,Calculation!J:J,"ERR",0))</f>
        <v>23.92</v>
      </c>
      <c r="J16" s="7">
        <f t="shared" si="0"/>
        <v>502.32000000000005</v>
      </c>
    </row>
    <row r="17" spans="1:10" x14ac:dyDescent="0.25">
      <c r="A17" s="11" t="str">
        <v>68131036</v>
      </c>
      <c r="B17" s="17" t="str">
        <f>_xlfn.XLOOKUP($A17,Calculation!$B:$B,Calculation!C:C,"ERR",0)</f>
        <v xml:space="preserve">8-Panel Cap Linen </v>
      </c>
      <c r="C17" s="17" t="str">
        <f>IFERROR(VALUE(_xlfn.XLOOKUP($A17,Calculation!$B:$B,Calculation!D:D,"ERR",0)),"")</f>
        <v/>
      </c>
      <c r="D17" s="17" t="str">
        <f>IFERROR(VALUE(_xlfn.XLOOKUP($A17,Calculation!$B:$B,Calculation!E:E,"ERR",0)),"")</f>
        <v/>
      </c>
      <c r="E17" s="17">
        <f>IFERROR(VALUE(_xlfn.XLOOKUP($A17,Calculation!$B:$B,Calculation!F:F,"ERR",0)),"")</f>
        <v>4</v>
      </c>
      <c r="F17" s="18">
        <f>IFERROR(VALUE(_xlfn.XLOOKUP($A17,Calculation!$B:$B,Calculation!G:G,"ERR",0)),"")</f>
        <v>6</v>
      </c>
      <c r="G17" s="18">
        <f>IFERROR(VALUE(_xlfn.XLOOKUP($A17,Calculation!$B:$B,Calculation!H:H,"ERR",0)),"")</f>
        <v>4</v>
      </c>
      <c r="H17" s="18">
        <f>IFERROR(VALUE(_xlfn.XLOOKUP($A17,Calculation!$B:$B,Calculation!I:I,"ERR",0)),"")</f>
        <v>1</v>
      </c>
      <c r="I17" s="10">
        <f>VALUE(_xlfn.XLOOKUP($A17,Calculation!$B:$B,Calculation!J:J,"ERR",0))</f>
        <v>30.32</v>
      </c>
      <c r="J17" s="7">
        <f t="shared" si="0"/>
        <v>454.8</v>
      </c>
    </row>
    <row r="18" spans="1:10" x14ac:dyDescent="0.25">
      <c r="A18" s="11" t="str">
        <v>6840407267</v>
      </c>
      <c r="B18" s="17" t="str">
        <f>_xlfn.XLOOKUP($A18,Calculation!$B:$B,Calculation!C:C,"ERR",0)</f>
        <v xml:space="preserve">Hatteras Virgin Wool/Silk </v>
      </c>
      <c r="C18" s="17" t="str">
        <f>IFERROR(VALUE(_xlfn.XLOOKUP($A18,Calculation!$B:$B,Calculation!D:D,"ERR",0)),"")</f>
        <v/>
      </c>
      <c r="D18" s="17" t="str">
        <f>IFERROR(VALUE(_xlfn.XLOOKUP($A18,Calculation!$B:$B,Calculation!E:E,"ERR",0)),"")</f>
        <v/>
      </c>
      <c r="E18" s="17">
        <f>IFERROR(VALUE(_xlfn.XLOOKUP($A18,Calculation!$B:$B,Calculation!F:F,"ERR",0)),"")</f>
        <v>1</v>
      </c>
      <c r="F18" s="18">
        <f>IFERROR(VALUE(_xlfn.XLOOKUP($A18,Calculation!$B:$B,Calculation!G:G,"ERR",0)),"")</f>
        <v>2</v>
      </c>
      <c r="G18" s="18">
        <f>IFERROR(VALUE(_xlfn.XLOOKUP($A18,Calculation!$B:$B,Calculation!H:H,"ERR",0)),"")</f>
        <v>1</v>
      </c>
      <c r="H18" s="18" t="str">
        <f>IFERROR(VALUE(_xlfn.XLOOKUP($A18,Calculation!$B:$B,Calculation!I:I,"ERR",0)),"")</f>
        <v/>
      </c>
      <c r="I18" s="10">
        <f>VALUE(_xlfn.XLOOKUP($A18,Calculation!$B:$B,Calculation!J:J,"ERR",0))</f>
        <v>39.92</v>
      </c>
      <c r="J18" s="7">
        <f t="shared" si="0"/>
        <v>159.68</v>
      </c>
    </row>
    <row r="19" spans="1:10" x14ac:dyDescent="0.25">
      <c r="A19" s="11" t="str">
        <v>6382504322</v>
      </c>
      <c r="B19" s="17" t="str">
        <f>_xlfn.XLOOKUP($A19,Calculation!$B:$B,Calculation!C:C,"ERR",0)</f>
        <v xml:space="preserve">Driver Cap Silk/Virgin Wool </v>
      </c>
      <c r="C19" s="17" t="str">
        <f>IFERROR(VALUE(_xlfn.XLOOKUP($A19,Calculation!$B:$B,Calculation!D:D,"ERR",0)),"")</f>
        <v/>
      </c>
      <c r="D19" s="17" t="str">
        <f>IFERROR(VALUE(_xlfn.XLOOKUP($A19,Calculation!$B:$B,Calculation!E:E,"ERR",0)),"")</f>
        <v/>
      </c>
      <c r="E19" s="17">
        <f>IFERROR(VALUE(_xlfn.XLOOKUP($A19,Calculation!$B:$B,Calculation!F:F,"ERR",0)),"")</f>
        <v>2</v>
      </c>
      <c r="F19" s="18">
        <f>IFERROR(VALUE(_xlfn.XLOOKUP($A19,Calculation!$B:$B,Calculation!G:G,"ERR",0)),"")</f>
        <v>4</v>
      </c>
      <c r="G19" s="18">
        <f>IFERROR(VALUE(_xlfn.XLOOKUP($A19,Calculation!$B:$B,Calculation!H:H,"ERR",0)),"")</f>
        <v>3</v>
      </c>
      <c r="H19" s="18" t="str">
        <f>IFERROR(VALUE(_xlfn.XLOOKUP($A19,Calculation!$B:$B,Calculation!I:I,"ERR",0)),"")</f>
        <v/>
      </c>
      <c r="I19" s="10">
        <f>VALUE(_xlfn.XLOOKUP($A19,Calculation!$B:$B,Calculation!J:J,"ERR",0))</f>
        <v>39.92</v>
      </c>
      <c r="J19" s="7">
        <f t="shared" si="0"/>
        <v>359.28000000000003</v>
      </c>
    </row>
    <row r="20" spans="1:10" x14ac:dyDescent="0.25">
      <c r="A20" s="11" t="str">
        <v>6842504322</v>
      </c>
      <c r="B20" s="17" t="str">
        <f>_xlfn.XLOOKUP($A20,Calculation!$B:$B,Calculation!C:C,"ERR",0)</f>
        <v xml:space="preserve">Hatteras Silk/Virgin Wool </v>
      </c>
      <c r="C20" s="17" t="str">
        <f>IFERROR(VALUE(_xlfn.XLOOKUP($A20,Calculation!$B:$B,Calculation!D:D,"ERR",0)),"")</f>
        <v/>
      </c>
      <c r="D20" s="17" t="str">
        <f>IFERROR(VALUE(_xlfn.XLOOKUP($A20,Calculation!$B:$B,Calculation!E:E,"ERR",0)),"")</f>
        <v/>
      </c>
      <c r="E20" s="17">
        <f>IFERROR(VALUE(_xlfn.XLOOKUP($A20,Calculation!$B:$B,Calculation!F:F,"ERR",0)),"")</f>
        <v>2</v>
      </c>
      <c r="F20" s="18">
        <f>IFERROR(VALUE(_xlfn.XLOOKUP($A20,Calculation!$B:$B,Calculation!G:G,"ERR",0)),"")</f>
        <v>4</v>
      </c>
      <c r="G20" s="18">
        <f>IFERROR(VALUE(_xlfn.XLOOKUP($A20,Calculation!$B:$B,Calculation!H:H,"ERR",0)),"")</f>
        <v>3</v>
      </c>
      <c r="H20" s="18" t="str">
        <f>IFERROR(VALUE(_xlfn.XLOOKUP($A20,Calculation!$B:$B,Calculation!I:I,"ERR",0)),"")</f>
        <v/>
      </c>
      <c r="I20" s="10">
        <f>VALUE(_xlfn.XLOOKUP($A20,Calculation!$B:$B,Calculation!J:J,"ERR",0))</f>
        <v>39.92</v>
      </c>
      <c r="J20" s="7">
        <f t="shared" si="0"/>
        <v>359.28000000000003</v>
      </c>
    </row>
    <row r="21" spans="1:10" x14ac:dyDescent="0.25">
      <c r="A21" s="11" t="str">
        <v>118710163</v>
      </c>
      <c r="B21" s="17" t="str">
        <f>_xlfn.XLOOKUP($A21,Calculation!$B:$B,Calculation!C:C,"ERR",0)</f>
        <v xml:space="preserve">Player Pigskin </v>
      </c>
      <c r="C21" s="17" t="str">
        <f>IFERROR(VALUE(_xlfn.XLOOKUP($A21,Calculation!$B:$B,Calculation!D:D,"ERR",0)),"")</f>
        <v/>
      </c>
      <c r="D21" s="17" t="str">
        <f>IFERROR(VALUE(_xlfn.XLOOKUP($A21,Calculation!$B:$B,Calculation!E:E,"ERR",0)),"")</f>
        <v/>
      </c>
      <c r="E21" s="17">
        <f>IFERROR(VALUE(_xlfn.XLOOKUP($A21,Calculation!$B:$B,Calculation!F:F,"ERR",0)),"")</f>
        <v>8</v>
      </c>
      <c r="F21" s="18">
        <f>IFERROR(VALUE(_xlfn.XLOOKUP($A21,Calculation!$B:$B,Calculation!G:G,"ERR",0)),"")</f>
        <v>9</v>
      </c>
      <c r="G21" s="18" t="str">
        <f>IFERROR(VALUE(_xlfn.XLOOKUP($A21,Calculation!$B:$B,Calculation!H:H,"ERR",0)),"")</f>
        <v/>
      </c>
      <c r="H21" s="18" t="str">
        <f>IFERROR(VALUE(_xlfn.XLOOKUP($A21,Calculation!$B:$B,Calculation!I:I,"ERR",0)),"")</f>
        <v/>
      </c>
      <c r="I21" s="10">
        <f>VALUE(_xlfn.XLOOKUP($A21,Calculation!$B:$B,Calculation!J:J,"ERR",0))</f>
        <v>45.6</v>
      </c>
      <c r="J21" s="7">
        <f t="shared" si="0"/>
        <v>775.2</v>
      </c>
    </row>
    <row r="22" spans="1:10" x14ac:dyDescent="0.25">
      <c r="A22" s="11" t="str">
        <v>749710562</v>
      </c>
      <c r="B22" s="17" t="str">
        <f>_xlfn.XLOOKUP($A22,Calculation!$B:$B,Calculation!C:C,"ERR",0)</f>
        <v xml:space="preserve">Army Cap Pigskin </v>
      </c>
      <c r="C22" s="17">
        <f>IFERROR(VALUE(_xlfn.XLOOKUP($A22,Calculation!$B:$B,Calculation!D:D,"ERR",0)),"")</f>
        <v>10</v>
      </c>
      <c r="D22" s="17" t="str">
        <f>IFERROR(VALUE(_xlfn.XLOOKUP($A22,Calculation!$B:$B,Calculation!E:E,"ERR",0)),"")</f>
        <v/>
      </c>
      <c r="E22" s="17" t="str">
        <f>IFERROR(VALUE(_xlfn.XLOOKUP($A22,Calculation!$B:$B,Calculation!F:F,"ERR",0)),"")</f>
        <v/>
      </c>
      <c r="F22" s="18" t="str">
        <f>IFERROR(VALUE(_xlfn.XLOOKUP($A22,Calculation!$B:$B,Calculation!G:G,"ERR",0)),"")</f>
        <v/>
      </c>
      <c r="G22" s="18" t="str">
        <f>IFERROR(VALUE(_xlfn.XLOOKUP($A22,Calculation!$B:$B,Calculation!H:H,"ERR",0)),"")</f>
        <v/>
      </c>
      <c r="H22" s="18" t="str">
        <f>IFERROR(VALUE(_xlfn.XLOOKUP($A22,Calculation!$B:$B,Calculation!I:I,"ERR",0)),"")</f>
        <v/>
      </c>
      <c r="I22" s="10">
        <f>VALUE(_xlfn.XLOOKUP($A22,Calculation!$B:$B,Calculation!J:J,"ERR",0))</f>
        <v>21.52</v>
      </c>
      <c r="J22" s="7">
        <f t="shared" si="0"/>
        <v>215.2</v>
      </c>
    </row>
    <row r="23" spans="1:10" x14ac:dyDescent="0.25">
      <c r="A23" s="11" t="str">
        <v>28111012</v>
      </c>
      <c r="B23" s="17" t="str">
        <f>_xlfn.XLOOKUP($A23,Calculation!$B:$B,Calculation!C:C,"ERR",0)</f>
        <v xml:space="preserve">Bucket Delave Organic Cotton </v>
      </c>
      <c r="C23" s="17" t="str">
        <f>IFERROR(VALUE(_xlfn.XLOOKUP($A23,Calculation!$B:$B,Calculation!D:D,"ERR",0)),"")</f>
        <v/>
      </c>
      <c r="D23" s="17" t="str">
        <f>IFERROR(VALUE(_xlfn.XLOOKUP($A23,Calculation!$B:$B,Calculation!E:E,"ERR",0)),"")</f>
        <v/>
      </c>
      <c r="E23" s="17" t="str">
        <f>IFERROR(VALUE(_xlfn.XLOOKUP($A23,Calculation!$B:$B,Calculation!F:F,"ERR",0)),"")</f>
        <v/>
      </c>
      <c r="F23" s="18">
        <f>IFERROR(VALUE(_xlfn.XLOOKUP($A23,Calculation!$B:$B,Calculation!G:G,"ERR",0)),"")</f>
        <v>4</v>
      </c>
      <c r="G23" s="18">
        <f>IFERROR(VALUE(_xlfn.XLOOKUP($A23,Calculation!$B:$B,Calculation!H:H,"ERR",0)),"")</f>
        <v>4</v>
      </c>
      <c r="H23" s="18">
        <f>IFERROR(VALUE(_xlfn.XLOOKUP($A23,Calculation!$B:$B,Calculation!I:I,"ERR",0)),"")</f>
        <v>2</v>
      </c>
      <c r="I23" s="10">
        <f>VALUE(_xlfn.XLOOKUP($A23,Calculation!$B:$B,Calculation!J:J,"ERR",0))</f>
        <v>21.52</v>
      </c>
      <c r="J23" s="7">
        <f t="shared" si="0"/>
        <v>215.2</v>
      </c>
    </row>
    <row r="24" spans="1:10" x14ac:dyDescent="0.25">
      <c r="A24" s="11" t="str">
        <v>28111011</v>
      </c>
      <c r="B24" s="17" t="str">
        <f>_xlfn.XLOOKUP($A24,Calculation!$B:$B,Calculation!C:C,"ERR",0)</f>
        <v xml:space="preserve">Bucket Delave Organic Cotton </v>
      </c>
      <c r="C24" s="17" t="str">
        <f>IFERROR(VALUE(_xlfn.XLOOKUP($A24,Calculation!$B:$B,Calculation!D:D,"ERR",0)),"")</f>
        <v/>
      </c>
      <c r="D24" s="17" t="str">
        <f>IFERROR(VALUE(_xlfn.XLOOKUP($A24,Calculation!$B:$B,Calculation!E:E,"ERR",0)),"")</f>
        <v/>
      </c>
      <c r="E24" s="17">
        <f>IFERROR(VALUE(_xlfn.XLOOKUP($A24,Calculation!$B:$B,Calculation!F:F,"ERR",0)),"")</f>
        <v>2</v>
      </c>
      <c r="F24" s="18">
        <f>IFERROR(VALUE(_xlfn.XLOOKUP($A24,Calculation!$B:$B,Calculation!G:G,"ERR",0)),"")</f>
        <v>8</v>
      </c>
      <c r="G24" s="18">
        <f>IFERROR(VALUE(_xlfn.XLOOKUP($A24,Calculation!$B:$B,Calculation!H:H,"ERR",0)),"")</f>
        <v>10</v>
      </c>
      <c r="H24" s="18">
        <f>IFERROR(VALUE(_xlfn.XLOOKUP($A24,Calculation!$B:$B,Calculation!I:I,"ERR",0)),"")</f>
        <v>5</v>
      </c>
      <c r="I24" s="10">
        <f>VALUE(_xlfn.XLOOKUP($A24,Calculation!$B:$B,Calculation!J:J,"ERR",0))</f>
        <v>21.52</v>
      </c>
      <c r="J24" s="7">
        <f t="shared" si="0"/>
        <v>538</v>
      </c>
    </row>
    <row r="25" spans="1:10" x14ac:dyDescent="0.25">
      <c r="A25" s="11" t="str">
        <v>77511945</v>
      </c>
      <c r="B25" s="17" t="str">
        <f>_xlfn.XLOOKUP($A25,Calculation!$B:$B,Calculation!C:C,"ERR",0)</f>
        <v xml:space="preserve">Trucker Cap Sun </v>
      </c>
      <c r="C25" s="17">
        <f>IFERROR(VALUE(_xlfn.XLOOKUP($A25,Calculation!$B:$B,Calculation!D:D,"ERR",0)),"")</f>
        <v>115</v>
      </c>
      <c r="D25" s="17" t="str">
        <f>IFERROR(VALUE(_xlfn.XLOOKUP($A25,Calculation!$B:$B,Calculation!E:E,"ERR",0)),"")</f>
        <v/>
      </c>
      <c r="E25" s="17" t="str">
        <f>IFERROR(VALUE(_xlfn.XLOOKUP($A25,Calculation!$B:$B,Calculation!F:F,"ERR",0)),"")</f>
        <v/>
      </c>
      <c r="F25" s="18" t="str">
        <f>IFERROR(VALUE(_xlfn.XLOOKUP($A25,Calculation!$B:$B,Calculation!G:G,"ERR",0)),"")</f>
        <v/>
      </c>
      <c r="G25" s="18" t="str">
        <f>IFERROR(VALUE(_xlfn.XLOOKUP($A25,Calculation!$B:$B,Calculation!H:H,"ERR",0)),"")</f>
        <v/>
      </c>
      <c r="H25" s="18" t="str">
        <f>IFERROR(VALUE(_xlfn.XLOOKUP($A25,Calculation!$B:$B,Calculation!I:I,"ERR",0)),"")</f>
        <v/>
      </c>
      <c r="I25" s="10">
        <f>VALUE(_xlfn.XLOOKUP($A25,Calculation!$B:$B,Calculation!J:J,"ERR",0))</f>
        <v>11.920000000000002</v>
      </c>
      <c r="J25" s="7">
        <f t="shared" si="0"/>
        <v>1370.8000000000002</v>
      </c>
    </row>
    <row r="26" spans="1:10" x14ac:dyDescent="0.25">
      <c r="A26" s="11" t="str">
        <v>28111016</v>
      </c>
      <c r="B26" s="17" t="str">
        <f>_xlfn.XLOOKUP($A26,Calculation!$B:$B,Calculation!C:C,"ERR",0)</f>
        <v xml:space="preserve">Bucket Delave Organic Cotton </v>
      </c>
      <c r="C26" s="17" t="str">
        <f>IFERROR(VALUE(_xlfn.XLOOKUP($A26,Calculation!$B:$B,Calculation!D:D,"ERR",0)),"")</f>
        <v/>
      </c>
      <c r="D26" s="17" t="str">
        <f>IFERROR(VALUE(_xlfn.XLOOKUP($A26,Calculation!$B:$B,Calculation!E:E,"ERR",0)),"")</f>
        <v/>
      </c>
      <c r="E26" s="17">
        <f>IFERROR(VALUE(_xlfn.XLOOKUP($A26,Calculation!$B:$B,Calculation!F:F,"ERR",0)),"")</f>
        <v>2</v>
      </c>
      <c r="F26" s="18">
        <f>IFERROR(VALUE(_xlfn.XLOOKUP($A26,Calculation!$B:$B,Calculation!G:G,"ERR",0)),"")</f>
        <v>6</v>
      </c>
      <c r="G26" s="18">
        <f>IFERROR(VALUE(_xlfn.XLOOKUP($A26,Calculation!$B:$B,Calculation!H:H,"ERR",0)),"")</f>
        <v>6</v>
      </c>
      <c r="H26" s="18">
        <f>IFERROR(VALUE(_xlfn.XLOOKUP($A26,Calculation!$B:$B,Calculation!I:I,"ERR",0)),"")</f>
        <v>3</v>
      </c>
      <c r="I26" s="10">
        <f>VALUE(_xlfn.XLOOKUP($A26,Calculation!$B:$B,Calculation!J:J,"ERR",0))</f>
        <v>21.52</v>
      </c>
      <c r="J26" s="7">
        <f t="shared" si="0"/>
        <v>365.84</v>
      </c>
    </row>
    <row r="27" spans="1:10" x14ac:dyDescent="0.25">
      <c r="A27" s="11" t="str">
        <v>281110161</v>
      </c>
      <c r="B27" s="17" t="str">
        <f>_xlfn.XLOOKUP($A27,Calculation!$B:$B,Calculation!C:C,"ERR",0)</f>
        <v xml:space="preserve">Bucket Delave Organic Cotton </v>
      </c>
      <c r="C27" s="17" t="str">
        <f>IFERROR(VALUE(_xlfn.XLOOKUP($A27,Calculation!$B:$B,Calculation!D:D,"ERR",0)),"")</f>
        <v/>
      </c>
      <c r="D27" s="17" t="str">
        <f>IFERROR(VALUE(_xlfn.XLOOKUP($A27,Calculation!$B:$B,Calculation!E:E,"ERR",0)),"")</f>
        <v/>
      </c>
      <c r="E27" s="17" t="str">
        <f>IFERROR(VALUE(_xlfn.XLOOKUP($A27,Calculation!$B:$B,Calculation!F:F,"ERR",0)),"")</f>
        <v/>
      </c>
      <c r="F27" s="18">
        <f>IFERROR(VALUE(_xlfn.XLOOKUP($A27,Calculation!$B:$B,Calculation!G:G,"ERR",0)),"")</f>
        <v>13</v>
      </c>
      <c r="G27" s="18">
        <f>IFERROR(VALUE(_xlfn.XLOOKUP($A27,Calculation!$B:$B,Calculation!H:H,"ERR",0)),"")</f>
        <v>13</v>
      </c>
      <c r="H27" s="18">
        <f>IFERROR(VALUE(_xlfn.XLOOKUP($A27,Calculation!$B:$B,Calculation!I:I,"ERR",0)),"")</f>
        <v>6</v>
      </c>
      <c r="I27" s="10">
        <f>VALUE(_xlfn.XLOOKUP($A27,Calculation!$B:$B,Calculation!J:J,"ERR",0))</f>
        <v>21.52</v>
      </c>
      <c r="J27" s="7">
        <f t="shared" si="0"/>
        <v>688.64</v>
      </c>
    </row>
    <row r="28" spans="1:10" x14ac:dyDescent="0.25">
      <c r="A28" s="11" t="str">
        <v>74911016</v>
      </c>
      <c r="B28" s="17" t="str">
        <f>_xlfn.XLOOKUP($A28,Calculation!$B:$B,Calculation!C:C,"ERR",0)</f>
        <v xml:space="preserve">Army Cap Cotton </v>
      </c>
      <c r="C28" s="17" t="str">
        <f>IFERROR(VALUE(_xlfn.XLOOKUP($A28,Calculation!$B:$B,Calculation!D:D,"ERR",0)),"")</f>
        <v/>
      </c>
      <c r="D28" s="17" t="str">
        <f>IFERROR(VALUE(_xlfn.XLOOKUP($A28,Calculation!$B:$B,Calculation!E:E,"ERR",0)),"")</f>
        <v/>
      </c>
      <c r="E28" s="17">
        <f>IFERROR(VALUE(_xlfn.XLOOKUP($A28,Calculation!$B:$B,Calculation!F:F,"ERR",0)),"")</f>
        <v>2</v>
      </c>
      <c r="F28" s="18">
        <f>IFERROR(VALUE(_xlfn.XLOOKUP($A28,Calculation!$B:$B,Calculation!G:G,"ERR",0)),"")</f>
        <v>7</v>
      </c>
      <c r="G28" s="18">
        <f>IFERROR(VALUE(_xlfn.XLOOKUP($A28,Calculation!$B:$B,Calculation!H:H,"ERR",0)),"")</f>
        <v>7</v>
      </c>
      <c r="H28" s="18" t="str">
        <f>IFERROR(VALUE(_xlfn.XLOOKUP($A28,Calculation!$B:$B,Calculation!I:I,"ERR",0)),"")</f>
        <v/>
      </c>
      <c r="I28" s="10">
        <f>VALUE(_xlfn.XLOOKUP($A28,Calculation!$B:$B,Calculation!J:J,"ERR",0))</f>
        <v>11.920000000000002</v>
      </c>
      <c r="J28" s="7">
        <f t="shared" si="0"/>
        <v>190.72000000000003</v>
      </c>
    </row>
    <row r="29" spans="1:10" x14ac:dyDescent="0.25">
      <c r="A29" s="11" t="str">
        <v>25411046</v>
      </c>
      <c r="B29" s="17" t="str">
        <f>_xlfn.XLOOKUP($A29,Calculation!$B:$B,Calculation!C:C,"ERR",0)</f>
        <v xml:space="preserve">Traveller Waxed Cotton </v>
      </c>
      <c r="C29" s="17" t="str">
        <f>IFERROR(VALUE(_xlfn.XLOOKUP($A29,Calculation!$B:$B,Calculation!D:D,"ERR",0)),"")</f>
        <v/>
      </c>
      <c r="D29" s="17" t="str">
        <f>IFERROR(VALUE(_xlfn.XLOOKUP($A29,Calculation!$B:$B,Calculation!E:E,"ERR",0)),"")</f>
        <v/>
      </c>
      <c r="E29" s="17">
        <f>IFERROR(VALUE(_xlfn.XLOOKUP($A29,Calculation!$B:$B,Calculation!F:F,"ERR",0)),"")</f>
        <v>8</v>
      </c>
      <c r="F29" s="18">
        <f>IFERROR(VALUE(_xlfn.XLOOKUP($A29,Calculation!$B:$B,Calculation!G:G,"ERR",0)),"")</f>
        <v>8</v>
      </c>
      <c r="G29" s="18">
        <f>IFERROR(VALUE(_xlfn.XLOOKUP($A29,Calculation!$B:$B,Calculation!H:H,"ERR",0)),"")</f>
        <v>6</v>
      </c>
      <c r="H29" s="18">
        <f>IFERROR(VALUE(_xlfn.XLOOKUP($A29,Calculation!$B:$B,Calculation!I:I,"ERR",0)),"")</f>
        <v>6</v>
      </c>
      <c r="I29" s="10">
        <f>VALUE(_xlfn.XLOOKUP($A29,Calculation!$B:$B,Calculation!J:J,"ERR",0))</f>
        <v>21.52</v>
      </c>
      <c r="J29" s="7">
        <f t="shared" si="0"/>
        <v>602.55999999999995</v>
      </c>
    </row>
    <row r="30" spans="1:10" x14ac:dyDescent="0.25">
      <c r="A30" s="11" t="str">
        <v>254110923</v>
      </c>
      <c r="B30" s="17" t="str">
        <f>_xlfn.XLOOKUP($A30,Calculation!$B:$B,Calculation!C:C,"ERR",0)</f>
        <v xml:space="preserve">Traveller Cotton </v>
      </c>
      <c r="C30" s="17" t="str">
        <f>IFERROR(VALUE(_xlfn.XLOOKUP($A30,Calculation!$B:$B,Calculation!D:D,"ERR",0)),"")</f>
        <v/>
      </c>
      <c r="D30" s="17" t="str">
        <f>IFERROR(VALUE(_xlfn.XLOOKUP($A30,Calculation!$B:$B,Calculation!E:E,"ERR",0)),"")</f>
        <v/>
      </c>
      <c r="E30" s="17">
        <f>IFERROR(VALUE(_xlfn.XLOOKUP($A30,Calculation!$B:$B,Calculation!F:F,"ERR",0)),"")</f>
        <v>3</v>
      </c>
      <c r="F30" s="18">
        <f>IFERROR(VALUE(_xlfn.XLOOKUP($A30,Calculation!$B:$B,Calculation!G:G,"ERR",0)),"")</f>
        <v>5</v>
      </c>
      <c r="G30" s="18">
        <f>IFERROR(VALUE(_xlfn.XLOOKUP($A30,Calculation!$B:$B,Calculation!H:H,"ERR",0)),"")</f>
        <v>5</v>
      </c>
      <c r="H30" s="18">
        <f>IFERROR(VALUE(_xlfn.XLOOKUP($A30,Calculation!$B:$B,Calculation!I:I,"ERR",0)),"")</f>
        <v>3</v>
      </c>
      <c r="I30" s="10">
        <f>VALUE(_xlfn.XLOOKUP($A30,Calculation!$B:$B,Calculation!J:J,"ERR",0))</f>
        <v>18.32</v>
      </c>
      <c r="J30" s="7">
        <f t="shared" si="0"/>
        <v>293.12</v>
      </c>
    </row>
    <row r="31" spans="1:10" x14ac:dyDescent="0.25">
      <c r="A31" s="11" t="str">
        <v>775611257</v>
      </c>
      <c r="B31" s="17" t="str">
        <f>_xlfn.XLOOKUP($A31,Calculation!$B:$B,Calculation!C:C,"ERR",0)</f>
        <v xml:space="preserve">Trucker Cap Hiking </v>
      </c>
      <c r="C31" s="17">
        <f>IFERROR(VALUE(_xlfn.XLOOKUP($A31,Calculation!$B:$B,Calculation!D:D,"ERR",0)),"")</f>
        <v>74</v>
      </c>
      <c r="D31" s="17" t="str">
        <f>IFERROR(VALUE(_xlfn.XLOOKUP($A31,Calculation!$B:$B,Calculation!E:E,"ERR",0)),"")</f>
        <v/>
      </c>
      <c r="E31" s="17" t="str">
        <f>IFERROR(VALUE(_xlfn.XLOOKUP($A31,Calculation!$B:$B,Calculation!F:F,"ERR",0)),"")</f>
        <v/>
      </c>
      <c r="F31" s="18" t="str">
        <f>IFERROR(VALUE(_xlfn.XLOOKUP($A31,Calculation!$B:$B,Calculation!G:G,"ERR",0)),"")</f>
        <v/>
      </c>
      <c r="G31" s="18" t="str">
        <f>IFERROR(VALUE(_xlfn.XLOOKUP($A31,Calculation!$B:$B,Calculation!H:H,"ERR",0)),"")</f>
        <v/>
      </c>
      <c r="H31" s="18" t="str">
        <f>IFERROR(VALUE(_xlfn.XLOOKUP($A31,Calculation!$B:$B,Calculation!I:I,"ERR",0)),"")</f>
        <v/>
      </c>
      <c r="I31" s="10">
        <f>VALUE(_xlfn.XLOOKUP($A31,Calculation!$B:$B,Calculation!J:J,"ERR",0))</f>
        <v>11.920000000000002</v>
      </c>
      <c r="J31" s="7">
        <f t="shared" ref="J31:J38" si="1">SUM(C31:H31)*I31</f>
        <v>882.08000000000015</v>
      </c>
    </row>
    <row r="32" spans="1:10" x14ac:dyDescent="0.25">
      <c r="A32" s="11" t="str">
        <v>778510189</v>
      </c>
      <c r="B32" s="17" t="str">
        <f>_xlfn.XLOOKUP($A32,Calculation!$B:$B,Calculation!C:C,"ERR",0)</f>
        <v xml:space="preserve">Baseball Cap Toothpick Rebel </v>
      </c>
      <c r="C32" s="17">
        <f>IFERROR(VALUE(_xlfn.XLOOKUP($A32,Calculation!$B:$B,Calculation!D:D,"ERR",0)),"")</f>
        <v>5</v>
      </c>
      <c r="D32" s="17" t="str">
        <f>IFERROR(VALUE(_xlfn.XLOOKUP($A32,Calculation!$B:$B,Calculation!E:E,"ERR",0)),"")</f>
        <v/>
      </c>
      <c r="E32" s="17" t="str">
        <f>IFERROR(VALUE(_xlfn.XLOOKUP($A32,Calculation!$B:$B,Calculation!F:F,"ERR",0)),"")</f>
        <v/>
      </c>
      <c r="F32" s="18" t="str">
        <f>IFERROR(VALUE(_xlfn.XLOOKUP($A32,Calculation!$B:$B,Calculation!G:G,"ERR",0)),"")</f>
        <v/>
      </c>
      <c r="G32" s="18" t="str">
        <f>IFERROR(VALUE(_xlfn.XLOOKUP($A32,Calculation!$B:$B,Calculation!H:H,"ERR",0)),"")</f>
        <v/>
      </c>
      <c r="H32" s="18" t="str">
        <f>IFERROR(VALUE(_xlfn.XLOOKUP($A32,Calculation!$B:$B,Calculation!I:I,"ERR",0)),"")</f>
        <v/>
      </c>
      <c r="I32" s="10">
        <f>VALUE(_xlfn.XLOOKUP($A32,Calculation!$B:$B,Calculation!J:J,"ERR",0))</f>
        <v>11.920000000000002</v>
      </c>
      <c r="J32" s="7">
        <f t="shared" si="1"/>
        <v>59.600000000000009</v>
      </c>
    </row>
    <row r="33" spans="1:10" x14ac:dyDescent="0.25">
      <c r="A33" s="11" t="str">
        <v>775119625</v>
      </c>
      <c r="B33" s="17" t="str">
        <f>_xlfn.XLOOKUP($A33,Calculation!$B:$B,Calculation!C:C,"ERR",0)</f>
        <v xml:space="preserve">Trucker Cap Chrome </v>
      </c>
      <c r="C33" s="17">
        <f>IFERROR(VALUE(_xlfn.XLOOKUP($A33,Calculation!$B:$B,Calculation!D:D,"ERR",0)),"")</f>
        <v>115</v>
      </c>
      <c r="D33" s="17" t="str">
        <f>IFERROR(VALUE(_xlfn.XLOOKUP($A33,Calculation!$B:$B,Calculation!E:E,"ERR",0)),"")</f>
        <v/>
      </c>
      <c r="E33" s="17" t="str">
        <f>IFERROR(VALUE(_xlfn.XLOOKUP($A33,Calculation!$B:$B,Calculation!F:F,"ERR",0)),"")</f>
        <v/>
      </c>
      <c r="F33" s="18" t="str">
        <f>IFERROR(VALUE(_xlfn.XLOOKUP($A33,Calculation!$B:$B,Calculation!G:G,"ERR",0)),"")</f>
        <v/>
      </c>
      <c r="G33" s="18" t="str">
        <f>IFERROR(VALUE(_xlfn.XLOOKUP($A33,Calculation!$B:$B,Calculation!H:H,"ERR",0)),"")</f>
        <v/>
      </c>
      <c r="H33" s="18" t="str">
        <f>IFERROR(VALUE(_xlfn.XLOOKUP($A33,Calculation!$B:$B,Calculation!I:I,"ERR",0)),"")</f>
        <v/>
      </c>
      <c r="I33" s="10">
        <f>VALUE(_xlfn.XLOOKUP($A33,Calculation!$B:$B,Calculation!J:J,"ERR",0))</f>
        <v>11.920000000000002</v>
      </c>
      <c r="J33" s="7">
        <f t="shared" si="1"/>
        <v>1370.8000000000002</v>
      </c>
    </row>
    <row r="34" spans="1:10" x14ac:dyDescent="0.25">
      <c r="A34" s="11" t="str">
        <v>775610628</v>
      </c>
      <c r="B34" s="17" t="str">
        <f>_xlfn.XLOOKUP($A34,Calculation!$B:$B,Calculation!C:C,"ERR",0)</f>
        <v xml:space="preserve">Trucker Cap Fishermen´s Bay </v>
      </c>
      <c r="C34" s="17">
        <f>IFERROR(VALUE(_xlfn.XLOOKUP($A34,Calculation!$B:$B,Calculation!D:D,"ERR",0)),"")</f>
        <v>105</v>
      </c>
      <c r="D34" s="17" t="str">
        <f>IFERROR(VALUE(_xlfn.XLOOKUP($A34,Calculation!$B:$B,Calculation!E:E,"ERR",0)),"")</f>
        <v/>
      </c>
      <c r="E34" s="17" t="str">
        <f>IFERROR(VALUE(_xlfn.XLOOKUP($A34,Calculation!$B:$B,Calculation!F:F,"ERR",0)),"")</f>
        <v/>
      </c>
      <c r="F34" s="18" t="str">
        <f>IFERROR(VALUE(_xlfn.XLOOKUP($A34,Calculation!$B:$B,Calculation!G:G,"ERR",0)),"")</f>
        <v/>
      </c>
      <c r="G34" s="18" t="str">
        <f>IFERROR(VALUE(_xlfn.XLOOKUP($A34,Calculation!$B:$B,Calculation!H:H,"ERR",0)),"")</f>
        <v/>
      </c>
      <c r="H34" s="18" t="str">
        <f>IFERROR(VALUE(_xlfn.XLOOKUP($A34,Calculation!$B:$B,Calculation!I:I,"ERR",0)),"")</f>
        <v/>
      </c>
      <c r="I34" s="10">
        <f>VALUE(_xlfn.XLOOKUP($A34,Calculation!$B:$B,Calculation!J:J,"ERR",0))</f>
        <v>11.920000000000002</v>
      </c>
      <c r="J34" s="7">
        <f t="shared" si="1"/>
        <v>1251.6000000000001</v>
      </c>
    </row>
    <row r="35" spans="1:10" x14ac:dyDescent="0.25">
      <c r="A35" s="11" t="str">
        <v>775611337</v>
      </c>
      <c r="B35" s="17" t="str">
        <f>_xlfn.XLOOKUP($A35,Calculation!$B:$B,Calculation!C:C,"ERR",0)</f>
        <v xml:space="preserve">Trucker Cap Animal Nature </v>
      </c>
      <c r="C35" s="17">
        <f>IFERROR(VALUE(_xlfn.XLOOKUP($A35,Calculation!$B:$B,Calculation!D:D,"ERR",0)),"")</f>
        <v>90</v>
      </c>
      <c r="D35" s="17" t="str">
        <f>IFERROR(VALUE(_xlfn.XLOOKUP($A35,Calculation!$B:$B,Calculation!E:E,"ERR",0)),"")</f>
        <v/>
      </c>
      <c r="E35" s="17" t="str">
        <f>IFERROR(VALUE(_xlfn.XLOOKUP($A35,Calculation!$B:$B,Calculation!F:F,"ERR",0)),"")</f>
        <v/>
      </c>
      <c r="F35" s="18" t="str">
        <f>IFERROR(VALUE(_xlfn.XLOOKUP($A35,Calculation!$B:$B,Calculation!G:G,"ERR",0)),"")</f>
        <v/>
      </c>
      <c r="G35" s="18" t="str">
        <f>IFERROR(VALUE(_xlfn.XLOOKUP($A35,Calculation!$B:$B,Calculation!H:H,"ERR",0)),"")</f>
        <v/>
      </c>
      <c r="H35" s="18" t="str">
        <f>IFERROR(VALUE(_xlfn.XLOOKUP($A35,Calculation!$B:$B,Calculation!I:I,"ERR",0)),"")</f>
        <v/>
      </c>
      <c r="I35" s="10">
        <f>VALUE(_xlfn.XLOOKUP($A35,Calculation!$B:$B,Calculation!J:J,"ERR",0))</f>
        <v>11.920000000000002</v>
      </c>
      <c r="J35" s="7">
        <f t="shared" si="1"/>
        <v>1072.8000000000002</v>
      </c>
    </row>
    <row r="36" spans="1:10" x14ac:dyDescent="0.25">
      <c r="A36" s="11" t="str">
        <v>775611428</v>
      </c>
      <c r="B36" s="17" t="str">
        <f>_xlfn.XLOOKUP($A36,Calculation!$B:$B,Calculation!C:C,"ERR",0)</f>
        <v xml:space="preserve">Trucker Cap Canoe </v>
      </c>
      <c r="C36" s="17">
        <f>IFERROR(VALUE(_xlfn.XLOOKUP($A36,Calculation!$B:$B,Calculation!D:D,"ERR",0)),"")</f>
        <v>130</v>
      </c>
      <c r="D36" s="17" t="str">
        <f>IFERROR(VALUE(_xlfn.XLOOKUP($A36,Calculation!$B:$B,Calculation!E:E,"ERR",0)),"")</f>
        <v/>
      </c>
      <c r="E36" s="17" t="str">
        <f>IFERROR(VALUE(_xlfn.XLOOKUP($A36,Calculation!$B:$B,Calculation!F:F,"ERR",0)),"")</f>
        <v/>
      </c>
      <c r="F36" s="18" t="str">
        <f>IFERROR(VALUE(_xlfn.XLOOKUP($A36,Calculation!$B:$B,Calculation!G:G,"ERR",0)),"")</f>
        <v/>
      </c>
      <c r="G36" s="18" t="str">
        <f>IFERROR(VALUE(_xlfn.XLOOKUP($A36,Calculation!$B:$B,Calculation!H:H,"ERR",0)),"")</f>
        <v/>
      </c>
      <c r="H36" s="18" t="str">
        <f>IFERROR(VALUE(_xlfn.XLOOKUP($A36,Calculation!$B:$B,Calculation!I:I,"ERR",0)),"")</f>
        <v/>
      </c>
      <c r="I36" s="10">
        <f>VALUE(_xlfn.XLOOKUP($A36,Calculation!$B:$B,Calculation!J:J,"ERR",0))</f>
        <v>11.920000000000002</v>
      </c>
      <c r="J36" s="7">
        <f t="shared" si="1"/>
        <v>1549.6000000000001</v>
      </c>
    </row>
    <row r="37" spans="1:10" x14ac:dyDescent="0.25">
      <c r="A37" s="11" t="str">
        <v>77211105</v>
      </c>
      <c r="B37" s="17" t="str">
        <f>_xlfn.XLOOKUP($A37,Calculation!$B:$B,Calculation!C:C,"ERR",0)</f>
        <v xml:space="preserve">Baseball Cap Cotton </v>
      </c>
      <c r="C37" s="17">
        <f>IFERROR(VALUE(_xlfn.XLOOKUP($A37,Calculation!$B:$B,Calculation!D:D,"ERR",0)),"")</f>
        <v>10</v>
      </c>
      <c r="D37" s="17" t="str">
        <f>IFERROR(VALUE(_xlfn.XLOOKUP($A37,Calculation!$B:$B,Calculation!E:E,"ERR",0)),"")</f>
        <v/>
      </c>
      <c r="E37" s="17" t="str">
        <f>IFERROR(VALUE(_xlfn.XLOOKUP($A37,Calculation!$B:$B,Calculation!F:F,"ERR",0)),"")</f>
        <v/>
      </c>
      <c r="F37" s="18" t="str">
        <f>IFERROR(VALUE(_xlfn.XLOOKUP($A37,Calculation!$B:$B,Calculation!G:G,"ERR",0)),"")</f>
        <v/>
      </c>
      <c r="G37" s="18" t="str">
        <f>IFERROR(VALUE(_xlfn.XLOOKUP($A37,Calculation!$B:$B,Calculation!H:H,"ERR",0)),"")</f>
        <v/>
      </c>
      <c r="H37" s="18" t="str">
        <f>IFERROR(VALUE(_xlfn.XLOOKUP($A37,Calculation!$B:$B,Calculation!I:I,"ERR",0)),"")</f>
        <v/>
      </c>
      <c r="I37" s="10">
        <f>VALUE(_xlfn.XLOOKUP($A37,Calculation!$B:$B,Calculation!J:J,"ERR",0))</f>
        <v>11.920000000000002</v>
      </c>
      <c r="J37" s="7">
        <f t="shared" si="1"/>
        <v>119.20000000000002</v>
      </c>
    </row>
    <row r="38" spans="1:10" x14ac:dyDescent="0.25">
      <c r="A38" s="11" t="str">
        <v>77211226</v>
      </c>
      <c r="B38" s="17" t="str">
        <f>_xlfn.XLOOKUP($A38,Calculation!$B:$B,Calculation!C:C,"ERR",0)</f>
        <v xml:space="preserve">Baseball Cap Duck </v>
      </c>
      <c r="C38" s="17">
        <f>IFERROR(VALUE(_xlfn.XLOOKUP($A38,Calculation!$B:$B,Calculation!D:D,"ERR",0)),"")</f>
        <v>40</v>
      </c>
      <c r="D38" s="17" t="str">
        <f>IFERROR(VALUE(_xlfn.XLOOKUP($A38,Calculation!$B:$B,Calculation!E:E,"ERR",0)),"")</f>
        <v/>
      </c>
      <c r="E38" s="17" t="str">
        <f>IFERROR(VALUE(_xlfn.XLOOKUP($A38,Calculation!$B:$B,Calculation!F:F,"ERR",0)),"")</f>
        <v/>
      </c>
      <c r="F38" s="18" t="str">
        <f>IFERROR(VALUE(_xlfn.XLOOKUP($A38,Calculation!$B:$B,Calculation!G:G,"ERR",0)),"")</f>
        <v/>
      </c>
      <c r="G38" s="18" t="str">
        <f>IFERROR(VALUE(_xlfn.XLOOKUP($A38,Calculation!$B:$B,Calculation!H:H,"ERR",0)),"")</f>
        <v/>
      </c>
      <c r="H38" s="18" t="str">
        <f>IFERROR(VALUE(_xlfn.XLOOKUP($A38,Calculation!$B:$B,Calculation!I:I,"ERR",0)),"")</f>
        <v/>
      </c>
      <c r="I38" s="10">
        <f>VALUE(_xlfn.XLOOKUP($A38,Calculation!$B:$B,Calculation!J:J,"ERR",0))</f>
        <v>15.12</v>
      </c>
      <c r="J38" s="7">
        <f t="shared" si="1"/>
        <v>604.79999999999995</v>
      </c>
    </row>
    <row r="39" spans="1:10" x14ac:dyDescent="0.25">
      <c r="I39" s="5"/>
      <c r="J39" s="4"/>
    </row>
  </sheetData>
  <conditionalFormatting sqref="A2:J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2022-02-24T15:23:42Z</dcterms:modified>
</cp:coreProperties>
</file>